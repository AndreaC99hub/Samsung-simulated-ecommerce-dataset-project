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DC304C55-C3AB-494F-95D0-C9AF7BAB32F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ales_Data" sheetId="1" r:id="rId1"/>
    <sheet name="Products" sheetId="2" r:id="rId2"/>
    <sheet name="Promotions" sheetId="3" r:id="rId3"/>
    <sheet name="Targets" sheetId="4" r:id="rId4"/>
    <sheet name="Retaile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348" i="1" l="1"/>
  <c r="O4348" i="1"/>
  <c r="C4348" i="1"/>
  <c r="B4348" i="1"/>
  <c r="T4347" i="1"/>
  <c r="O4347" i="1"/>
  <c r="C4347" i="1"/>
  <c r="B4347" i="1"/>
  <c r="T4346" i="1"/>
  <c r="O4346" i="1"/>
  <c r="C4346" i="1"/>
  <c r="B4346" i="1"/>
  <c r="T4345" i="1"/>
  <c r="O4345" i="1"/>
  <c r="Q4345" i="1" s="1"/>
  <c r="C4345" i="1"/>
  <c r="B4345" i="1"/>
  <c r="T4344" i="1"/>
  <c r="Q4344" i="1"/>
  <c r="O4344" i="1"/>
  <c r="R4344" i="1" s="1"/>
  <c r="S4344" i="1" s="1"/>
  <c r="C4344" i="1"/>
  <c r="B4344" i="1"/>
  <c r="T4343" i="1"/>
  <c r="O4343" i="1"/>
  <c r="C4343" i="1"/>
  <c r="B4343" i="1"/>
  <c r="T4342" i="1"/>
  <c r="O4342" i="1"/>
  <c r="C4342" i="1"/>
  <c r="B4342" i="1"/>
  <c r="T4341" i="1"/>
  <c r="O4341" i="1"/>
  <c r="C4341" i="1"/>
  <c r="B4341" i="1"/>
  <c r="T4340" i="1"/>
  <c r="O4340" i="1"/>
  <c r="C4340" i="1"/>
  <c r="B4340" i="1"/>
  <c r="T4339" i="1"/>
  <c r="O4339" i="1"/>
  <c r="C4339" i="1"/>
  <c r="B4339" i="1"/>
  <c r="T4338" i="1"/>
  <c r="O4338" i="1"/>
  <c r="C4338" i="1"/>
  <c r="B4338" i="1"/>
  <c r="T4337" i="1"/>
  <c r="O4337" i="1"/>
  <c r="C4337" i="1"/>
  <c r="B4337" i="1"/>
  <c r="T4336" i="1"/>
  <c r="O4336" i="1"/>
  <c r="C4336" i="1"/>
  <c r="B4336" i="1"/>
  <c r="T4335" i="1"/>
  <c r="O4335" i="1"/>
  <c r="C4335" i="1"/>
  <c r="B4335" i="1"/>
  <c r="T4334" i="1"/>
  <c r="O4334" i="1"/>
  <c r="C4334" i="1"/>
  <c r="B4334" i="1"/>
  <c r="T4333" i="1"/>
  <c r="O4333" i="1"/>
  <c r="C4333" i="1"/>
  <c r="B4333" i="1"/>
  <c r="T4332" i="1"/>
  <c r="Q4332" i="1"/>
  <c r="O4332" i="1"/>
  <c r="C4332" i="1"/>
  <c r="B4332" i="1"/>
  <c r="T4331" i="1"/>
  <c r="O4331" i="1"/>
  <c r="C4331" i="1"/>
  <c r="B4331" i="1"/>
  <c r="T4330" i="1"/>
  <c r="Q4330" i="1"/>
  <c r="O4330" i="1"/>
  <c r="C4330" i="1"/>
  <c r="B4330" i="1"/>
  <c r="T4329" i="1"/>
  <c r="Q4329" i="1"/>
  <c r="O4329" i="1"/>
  <c r="R4329" i="1" s="1"/>
  <c r="S4329" i="1" s="1"/>
  <c r="C4329" i="1"/>
  <c r="B4329" i="1"/>
  <c r="T4328" i="1"/>
  <c r="O4328" i="1"/>
  <c r="C4328" i="1"/>
  <c r="B4328" i="1"/>
  <c r="T4327" i="1"/>
  <c r="Q4327" i="1"/>
  <c r="R4327" i="1" s="1"/>
  <c r="S4327" i="1" s="1"/>
  <c r="O4327" i="1"/>
  <c r="C4327" i="1"/>
  <c r="B4327" i="1"/>
  <c r="T4326" i="1"/>
  <c r="O4326" i="1"/>
  <c r="C4326" i="1"/>
  <c r="B4326" i="1"/>
  <c r="T4325" i="1"/>
  <c r="O4325" i="1"/>
  <c r="C4325" i="1"/>
  <c r="B4325" i="1"/>
  <c r="T4324" i="1"/>
  <c r="Q4324" i="1"/>
  <c r="O4324" i="1"/>
  <c r="C4324" i="1"/>
  <c r="B4324" i="1"/>
  <c r="T4323" i="1"/>
  <c r="Q4323" i="1"/>
  <c r="O4323" i="1"/>
  <c r="C4323" i="1"/>
  <c r="B4323" i="1"/>
  <c r="T4322" i="1"/>
  <c r="O4322" i="1"/>
  <c r="C4322" i="1"/>
  <c r="B4322" i="1"/>
  <c r="T4321" i="1"/>
  <c r="Q4321" i="1"/>
  <c r="O4321" i="1"/>
  <c r="C4321" i="1"/>
  <c r="B4321" i="1"/>
  <c r="T4320" i="1"/>
  <c r="R4320" i="1"/>
  <c r="S4320" i="1" s="1"/>
  <c r="O4320" i="1"/>
  <c r="Q4320" i="1" s="1"/>
  <c r="C4320" i="1"/>
  <c r="B4320" i="1"/>
  <c r="T4319" i="1"/>
  <c r="Q4319" i="1"/>
  <c r="R4319" i="1" s="1"/>
  <c r="S4319" i="1" s="1"/>
  <c r="O4319" i="1"/>
  <c r="C4319" i="1"/>
  <c r="B4319" i="1"/>
  <c r="T4318" i="1"/>
  <c r="O4318" i="1"/>
  <c r="C4318" i="1"/>
  <c r="B4318" i="1"/>
  <c r="T4317" i="1"/>
  <c r="R4317" i="1"/>
  <c r="S4317" i="1" s="1"/>
  <c r="Q4317" i="1"/>
  <c r="O4317" i="1"/>
  <c r="C4317" i="1"/>
  <c r="B4317" i="1"/>
  <c r="T4316" i="1"/>
  <c r="S4316" i="1"/>
  <c r="Q4316" i="1"/>
  <c r="R4316" i="1" s="1"/>
  <c r="O4316" i="1"/>
  <c r="C4316" i="1"/>
  <c r="B4316" i="1"/>
  <c r="T4315" i="1"/>
  <c r="O4315" i="1"/>
  <c r="C4315" i="1"/>
  <c r="B4315" i="1"/>
  <c r="T4314" i="1"/>
  <c r="Q4314" i="1"/>
  <c r="R4314" i="1" s="1"/>
  <c r="S4314" i="1" s="1"/>
  <c r="O4314" i="1"/>
  <c r="C4314" i="1"/>
  <c r="B4314" i="1"/>
  <c r="T4313" i="1"/>
  <c r="O4313" i="1"/>
  <c r="C4313" i="1"/>
  <c r="B4313" i="1"/>
  <c r="T4312" i="1"/>
  <c r="R4312" i="1"/>
  <c r="S4312" i="1" s="1"/>
  <c r="O4312" i="1"/>
  <c r="Q4312" i="1" s="1"/>
  <c r="C4312" i="1"/>
  <c r="B4312" i="1"/>
  <c r="T4311" i="1"/>
  <c r="O4311" i="1"/>
  <c r="C4311" i="1"/>
  <c r="B4311" i="1"/>
  <c r="T4310" i="1"/>
  <c r="O4310" i="1"/>
  <c r="C4310" i="1"/>
  <c r="B4310" i="1"/>
  <c r="T4309" i="1"/>
  <c r="O4309" i="1"/>
  <c r="C4309" i="1"/>
  <c r="B4309" i="1"/>
  <c r="T4308" i="1"/>
  <c r="R4308" i="1"/>
  <c r="S4308" i="1" s="1"/>
  <c r="O4308" i="1"/>
  <c r="Q4308" i="1" s="1"/>
  <c r="C4308" i="1"/>
  <c r="B4308" i="1"/>
  <c r="T4307" i="1"/>
  <c r="S4307" i="1"/>
  <c r="R4307" i="1"/>
  <c r="O4307" i="1"/>
  <c r="Q4307" i="1" s="1"/>
  <c r="C4307" i="1"/>
  <c r="B4307" i="1"/>
  <c r="T4306" i="1"/>
  <c r="Q4306" i="1"/>
  <c r="O4306" i="1"/>
  <c r="C4306" i="1"/>
  <c r="B4306" i="1"/>
  <c r="T4305" i="1"/>
  <c r="Q4305" i="1"/>
  <c r="O4305" i="1"/>
  <c r="R4305" i="1" s="1"/>
  <c r="S4305" i="1" s="1"/>
  <c r="C4305" i="1"/>
  <c r="B4305" i="1"/>
  <c r="T4304" i="1"/>
  <c r="O4304" i="1"/>
  <c r="C4304" i="1"/>
  <c r="B4304" i="1"/>
  <c r="T4303" i="1"/>
  <c r="R4303" i="1"/>
  <c r="S4303" i="1" s="1"/>
  <c r="Q4303" i="1"/>
  <c r="O4303" i="1"/>
  <c r="C4303" i="1"/>
  <c r="B4303" i="1"/>
  <c r="T4302" i="1"/>
  <c r="O4302" i="1"/>
  <c r="C4302" i="1"/>
  <c r="B4302" i="1"/>
  <c r="T4301" i="1"/>
  <c r="O4301" i="1"/>
  <c r="C4301" i="1"/>
  <c r="B4301" i="1"/>
  <c r="T4300" i="1"/>
  <c r="O4300" i="1"/>
  <c r="C4300" i="1"/>
  <c r="B4300" i="1"/>
  <c r="T4299" i="1"/>
  <c r="S4299" i="1"/>
  <c r="R4299" i="1"/>
  <c r="Q4299" i="1"/>
  <c r="O4299" i="1"/>
  <c r="C4299" i="1"/>
  <c r="B4299" i="1"/>
  <c r="T4298" i="1"/>
  <c r="O4298" i="1"/>
  <c r="C4298" i="1"/>
  <c r="B4298" i="1"/>
  <c r="T4297" i="1"/>
  <c r="O4297" i="1"/>
  <c r="Q4297" i="1" s="1"/>
  <c r="C4297" i="1"/>
  <c r="B4297" i="1"/>
  <c r="T4296" i="1"/>
  <c r="O4296" i="1"/>
  <c r="C4296" i="1"/>
  <c r="B4296" i="1"/>
  <c r="T4295" i="1"/>
  <c r="Q4295" i="1"/>
  <c r="R4295" i="1" s="1"/>
  <c r="S4295" i="1" s="1"/>
  <c r="O4295" i="1"/>
  <c r="C4295" i="1"/>
  <c r="B4295" i="1"/>
  <c r="T4294" i="1"/>
  <c r="O4294" i="1"/>
  <c r="Q4294" i="1" s="1"/>
  <c r="R4294" i="1" s="1"/>
  <c r="S4294" i="1" s="1"/>
  <c r="C4294" i="1"/>
  <c r="B4294" i="1"/>
  <c r="T4293" i="1"/>
  <c r="Q4293" i="1"/>
  <c r="O4293" i="1"/>
  <c r="C4293" i="1"/>
  <c r="B4293" i="1"/>
  <c r="T4292" i="1"/>
  <c r="Q4292" i="1"/>
  <c r="R4292" i="1" s="1"/>
  <c r="S4292" i="1" s="1"/>
  <c r="O4292" i="1"/>
  <c r="C4292" i="1"/>
  <c r="B4292" i="1"/>
  <c r="T4291" i="1"/>
  <c r="Q4291" i="1"/>
  <c r="O4291" i="1"/>
  <c r="C4291" i="1"/>
  <c r="B4291" i="1"/>
  <c r="T4290" i="1"/>
  <c r="S4290" i="1"/>
  <c r="Q4290" i="1"/>
  <c r="R4290" i="1" s="1"/>
  <c r="O4290" i="1"/>
  <c r="C4290" i="1"/>
  <c r="B4290" i="1"/>
  <c r="T4289" i="1"/>
  <c r="Q4289" i="1"/>
  <c r="O4289" i="1"/>
  <c r="C4289" i="1"/>
  <c r="B4289" i="1"/>
  <c r="T4288" i="1"/>
  <c r="R4288" i="1"/>
  <c r="S4288" i="1" s="1"/>
  <c r="O4288" i="1"/>
  <c r="Q4288" i="1" s="1"/>
  <c r="C4288" i="1"/>
  <c r="B4288" i="1"/>
  <c r="T4287" i="1"/>
  <c r="O4287" i="1"/>
  <c r="Q4287" i="1" s="1"/>
  <c r="R4287" i="1" s="1"/>
  <c r="S4287" i="1" s="1"/>
  <c r="C4287" i="1"/>
  <c r="B4287" i="1"/>
  <c r="T4286" i="1"/>
  <c r="O4286" i="1"/>
  <c r="C4286" i="1"/>
  <c r="B4286" i="1"/>
  <c r="T4285" i="1"/>
  <c r="O4285" i="1"/>
  <c r="Q4285" i="1" s="1"/>
  <c r="C4285" i="1"/>
  <c r="B4285" i="1"/>
  <c r="T4284" i="1"/>
  <c r="Q4284" i="1"/>
  <c r="O4284" i="1"/>
  <c r="C4284" i="1"/>
  <c r="B4284" i="1"/>
  <c r="T4283" i="1"/>
  <c r="O4283" i="1"/>
  <c r="C4283" i="1"/>
  <c r="B4283" i="1"/>
  <c r="T4282" i="1"/>
  <c r="O4282" i="1"/>
  <c r="C4282" i="1"/>
  <c r="B4282" i="1"/>
  <c r="T4281" i="1"/>
  <c r="Q4281" i="1"/>
  <c r="O4281" i="1"/>
  <c r="R4281" i="1" s="1"/>
  <c r="S4281" i="1" s="1"/>
  <c r="C4281" i="1"/>
  <c r="B4281" i="1"/>
  <c r="T4280" i="1"/>
  <c r="O4280" i="1"/>
  <c r="C4280" i="1"/>
  <c r="B4280" i="1"/>
  <c r="T4279" i="1"/>
  <c r="Q4279" i="1"/>
  <c r="R4279" i="1" s="1"/>
  <c r="S4279" i="1" s="1"/>
  <c r="O4279" i="1"/>
  <c r="C4279" i="1"/>
  <c r="B4279" i="1"/>
  <c r="T4278" i="1"/>
  <c r="O4278" i="1"/>
  <c r="C4278" i="1"/>
  <c r="B4278" i="1"/>
  <c r="T4277" i="1"/>
  <c r="R4277" i="1"/>
  <c r="S4277" i="1" s="1"/>
  <c r="Q4277" i="1"/>
  <c r="O4277" i="1"/>
  <c r="C4277" i="1"/>
  <c r="B4277" i="1"/>
  <c r="T4276" i="1"/>
  <c r="O4276" i="1"/>
  <c r="C4276" i="1"/>
  <c r="B4276" i="1"/>
  <c r="T4275" i="1"/>
  <c r="Q4275" i="1"/>
  <c r="O4275" i="1"/>
  <c r="R4275" i="1" s="1"/>
  <c r="S4275" i="1" s="1"/>
  <c r="C4275" i="1"/>
  <c r="B4275" i="1"/>
  <c r="T4274" i="1"/>
  <c r="O4274" i="1"/>
  <c r="C4274" i="1"/>
  <c r="B4274" i="1"/>
  <c r="T4273" i="1"/>
  <c r="O4273" i="1"/>
  <c r="C4273" i="1"/>
  <c r="B4273" i="1"/>
  <c r="T4272" i="1"/>
  <c r="O4272" i="1"/>
  <c r="Q4272" i="1" s="1"/>
  <c r="C4272" i="1"/>
  <c r="B4272" i="1"/>
  <c r="T4271" i="1"/>
  <c r="R4271" i="1"/>
  <c r="S4271" i="1" s="1"/>
  <c r="Q4271" i="1"/>
  <c r="O4271" i="1"/>
  <c r="C4271" i="1"/>
  <c r="B4271" i="1"/>
  <c r="T4270" i="1"/>
  <c r="Q4270" i="1"/>
  <c r="R4270" i="1" s="1"/>
  <c r="S4270" i="1" s="1"/>
  <c r="O4270" i="1"/>
  <c r="C4270" i="1"/>
  <c r="B4270" i="1"/>
  <c r="T4269" i="1"/>
  <c r="O4269" i="1"/>
  <c r="C4269" i="1"/>
  <c r="B4269" i="1"/>
  <c r="T4268" i="1"/>
  <c r="S4268" i="1"/>
  <c r="Q4268" i="1"/>
  <c r="R4268" i="1" s="1"/>
  <c r="O4268" i="1"/>
  <c r="C4268" i="1"/>
  <c r="B4268" i="1"/>
  <c r="T4267" i="1"/>
  <c r="Q4267" i="1"/>
  <c r="O4267" i="1"/>
  <c r="C4267" i="1"/>
  <c r="B4267" i="1"/>
  <c r="T4266" i="1"/>
  <c r="S4266" i="1"/>
  <c r="R4266" i="1"/>
  <c r="Q4266" i="1"/>
  <c r="O4266" i="1"/>
  <c r="C4266" i="1"/>
  <c r="B4266" i="1"/>
  <c r="T4265" i="1"/>
  <c r="Q4265" i="1"/>
  <c r="O4265" i="1"/>
  <c r="C4265" i="1"/>
  <c r="B4265" i="1"/>
  <c r="T4264" i="1"/>
  <c r="O4264" i="1"/>
  <c r="Q4264" i="1" s="1"/>
  <c r="R4264" i="1" s="1"/>
  <c r="S4264" i="1" s="1"/>
  <c r="C4264" i="1"/>
  <c r="B4264" i="1"/>
  <c r="T4263" i="1"/>
  <c r="Q4263" i="1"/>
  <c r="O4263" i="1"/>
  <c r="C4263" i="1"/>
  <c r="B4263" i="1"/>
  <c r="T4262" i="1"/>
  <c r="O4262" i="1"/>
  <c r="C4262" i="1"/>
  <c r="B4262" i="1"/>
  <c r="T4261" i="1"/>
  <c r="S4261" i="1"/>
  <c r="R4261" i="1"/>
  <c r="O4261" i="1"/>
  <c r="Q4261" i="1" s="1"/>
  <c r="C4261" i="1"/>
  <c r="B4261" i="1"/>
  <c r="T4260" i="1"/>
  <c r="Q4260" i="1"/>
  <c r="O4260" i="1"/>
  <c r="C4260" i="1"/>
  <c r="B4260" i="1"/>
  <c r="T4259" i="1"/>
  <c r="R4259" i="1"/>
  <c r="S4259" i="1" s="1"/>
  <c r="O4259" i="1"/>
  <c r="Q4259" i="1" s="1"/>
  <c r="C4259" i="1"/>
  <c r="B4259" i="1"/>
  <c r="T4258" i="1"/>
  <c r="O4258" i="1"/>
  <c r="C4258" i="1"/>
  <c r="B4258" i="1"/>
  <c r="T4257" i="1"/>
  <c r="Q4257" i="1"/>
  <c r="O4257" i="1"/>
  <c r="R4257" i="1" s="1"/>
  <c r="S4257" i="1" s="1"/>
  <c r="C4257" i="1"/>
  <c r="B4257" i="1"/>
  <c r="T4256" i="1"/>
  <c r="R4256" i="1"/>
  <c r="S4256" i="1" s="1"/>
  <c r="Q4256" i="1"/>
  <c r="O4256" i="1"/>
  <c r="C4256" i="1"/>
  <c r="B4256" i="1"/>
  <c r="T4255" i="1"/>
  <c r="Q4255" i="1"/>
  <c r="R4255" i="1" s="1"/>
  <c r="S4255" i="1" s="1"/>
  <c r="O4255" i="1"/>
  <c r="C4255" i="1"/>
  <c r="B4255" i="1"/>
  <c r="T4254" i="1"/>
  <c r="O4254" i="1"/>
  <c r="C4254" i="1"/>
  <c r="B4254" i="1"/>
  <c r="T4253" i="1"/>
  <c r="S4253" i="1"/>
  <c r="R4253" i="1"/>
  <c r="Q4253" i="1"/>
  <c r="O4253" i="1"/>
  <c r="C4253" i="1"/>
  <c r="B4253" i="1"/>
  <c r="T4252" i="1"/>
  <c r="Q4252" i="1"/>
  <c r="O4252" i="1"/>
  <c r="C4252" i="1"/>
  <c r="B4252" i="1"/>
  <c r="T4251" i="1"/>
  <c r="R4251" i="1"/>
  <c r="S4251" i="1" s="1"/>
  <c r="O4251" i="1"/>
  <c r="Q4251" i="1" s="1"/>
  <c r="C4251" i="1"/>
  <c r="B4251" i="1"/>
  <c r="T4250" i="1"/>
  <c r="O4250" i="1"/>
  <c r="C4250" i="1"/>
  <c r="B4250" i="1"/>
  <c r="T4249" i="1"/>
  <c r="O4249" i="1"/>
  <c r="C4249" i="1"/>
  <c r="B4249" i="1"/>
  <c r="T4248" i="1"/>
  <c r="R4248" i="1"/>
  <c r="S4248" i="1" s="1"/>
  <c r="O4248" i="1"/>
  <c r="Q4248" i="1" s="1"/>
  <c r="C4248" i="1"/>
  <c r="B4248" i="1"/>
  <c r="T4247" i="1"/>
  <c r="R4247" i="1"/>
  <c r="S4247" i="1" s="1"/>
  <c r="Q4247" i="1"/>
  <c r="O4247" i="1"/>
  <c r="C4247" i="1"/>
  <c r="B4247" i="1"/>
  <c r="T4246" i="1"/>
  <c r="O4246" i="1"/>
  <c r="C4246" i="1"/>
  <c r="B4246" i="1"/>
  <c r="T4245" i="1"/>
  <c r="O4245" i="1"/>
  <c r="C4245" i="1"/>
  <c r="B4245" i="1"/>
  <c r="T4244" i="1"/>
  <c r="Q4244" i="1"/>
  <c r="R4244" i="1" s="1"/>
  <c r="S4244" i="1" s="1"/>
  <c r="O4244" i="1"/>
  <c r="C4244" i="1"/>
  <c r="B4244" i="1"/>
  <c r="T4243" i="1"/>
  <c r="O4243" i="1"/>
  <c r="C4243" i="1"/>
  <c r="B4243" i="1"/>
  <c r="T4242" i="1"/>
  <c r="Q4242" i="1"/>
  <c r="R4242" i="1" s="1"/>
  <c r="S4242" i="1" s="1"/>
  <c r="O4242" i="1"/>
  <c r="C4242" i="1"/>
  <c r="B4242" i="1"/>
  <c r="T4241" i="1"/>
  <c r="Q4241" i="1"/>
  <c r="O4241" i="1"/>
  <c r="C4241" i="1"/>
  <c r="B4241" i="1"/>
  <c r="T4240" i="1"/>
  <c r="O4240" i="1"/>
  <c r="Q4240" i="1" s="1"/>
  <c r="R4240" i="1" s="1"/>
  <c r="S4240" i="1" s="1"/>
  <c r="C4240" i="1"/>
  <c r="B4240" i="1"/>
  <c r="T4239" i="1"/>
  <c r="O4239" i="1"/>
  <c r="C4239" i="1"/>
  <c r="B4239" i="1"/>
  <c r="T4238" i="1"/>
  <c r="R4238" i="1"/>
  <c r="S4238" i="1" s="1"/>
  <c r="Q4238" i="1"/>
  <c r="O4238" i="1"/>
  <c r="C4238" i="1"/>
  <c r="B4238" i="1"/>
  <c r="T4237" i="1"/>
  <c r="R4237" i="1"/>
  <c r="S4237" i="1" s="1"/>
  <c r="O4237" i="1"/>
  <c r="Q4237" i="1" s="1"/>
  <c r="C4237" i="1"/>
  <c r="B4237" i="1"/>
  <c r="T4236" i="1"/>
  <c r="R4236" i="1"/>
  <c r="S4236" i="1" s="1"/>
  <c r="O4236" i="1"/>
  <c r="Q4236" i="1" s="1"/>
  <c r="C4236" i="1"/>
  <c r="B4236" i="1"/>
  <c r="T4235" i="1"/>
  <c r="R4235" i="1"/>
  <c r="S4235" i="1" s="1"/>
  <c r="O4235" i="1"/>
  <c r="Q4235" i="1" s="1"/>
  <c r="C4235" i="1"/>
  <c r="B4235" i="1"/>
  <c r="T4234" i="1"/>
  <c r="O4234" i="1"/>
  <c r="C4234" i="1"/>
  <c r="B4234" i="1"/>
  <c r="T4233" i="1"/>
  <c r="S4233" i="1"/>
  <c r="Q4233" i="1"/>
  <c r="O4233" i="1"/>
  <c r="R4233" i="1" s="1"/>
  <c r="C4233" i="1"/>
  <c r="B4233" i="1"/>
  <c r="T4232" i="1"/>
  <c r="O4232" i="1"/>
  <c r="C4232" i="1"/>
  <c r="B4232" i="1"/>
  <c r="T4231" i="1"/>
  <c r="R4231" i="1"/>
  <c r="S4231" i="1" s="1"/>
  <c r="Q4231" i="1"/>
  <c r="O4231" i="1"/>
  <c r="C4231" i="1"/>
  <c r="B4231" i="1"/>
  <c r="T4230" i="1"/>
  <c r="O4230" i="1"/>
  <c r="C4230" i="1"/>
  <c r="B4230" i="1"/>
  <c r="T4229" i="1"/>
  <c r="O4229" i="1"/>
  <c r="C4229" i="1"/>
  <c r="B4229" i="1"/>
  <c r="T4228" i="1"/>
  <c r="O4228" i="1"/>
  <c r="C4228" i="1"/>
  <c r="B4228" i="1"/>
  <c r="T4227" i="1"/>
  <c r="Q4227" i="1"/>
  <c r="O4227" i="1"/>
  <c r="C4227" i="1"/>
  <c r="B4227" i="1"/>
  <c r="T4226" i="1"/>
  <c r="O4226" i="1"/>
  <c r="C4226" i="1"/>
  <c r="B4226" i="1"/>
  <c r="T4225" i="1"/>
  <c r="O4225" i="1"/>
  <c r="C4225" i="1"/>
  <c r="B4225" i="1"/>
  <c r="T4224" i="1"/>
  <c r="O4224" i="1"/>
  <c r="Q4224" i="1" s="1"/>
  <c r="C4224" i="1"/>
  <c r="B4224" i="1"/>
  <c r="T4223" i="1"/>
  <c r="R4223" i="1"/>
  <c r="S4223" i="1" s="1"/>
  <c r="Q4223" i="1"/>
  <c r="O4223" i="1"/>
  <c r="C4223" i="1"/>
  <c r="B4223" i="1"/>
  <c r="T4222" i="1"/>
  <c r="S4222" i="1"/>
  <c r="R4222" i="1"/>
  <c r="O4222" i="1"/>
  <c r="Q4222" i="1" s="1"/>
  <c r="C4222" i="1"/>
  <c r="B4222" i="1"/>
  <c r="T4221" i="1"/>
  <c r="O4221" i="1"/>
  <c r="C4221" i="1"/>
  <c r="B4221" i="1"/>
  <c r="T4220" i="1"/>
  <c r="Q4220" i="1"/>
  <c r="R4220" i="1" s="1"/>
  <c r="S4220" i="1" s="1"/>
  <c r="O4220" i="1"/>
  <c r="C4220" i="1"/>
  <c r="B4220" i="1"/>
  <c r="T4219" i="1"/>
  <c r="O4219" i="1"/>
  <c r="Q4219" i="1" s="1"/>
  <c r="C4219" i="1"/>
  <c r="B4219" i="1"/>
  <c r="T4218" i="1"/>
  <c r="Q4218" i="1"/>
  <c r="R4218" i="1" s="1"/>
  <c r="S4218" i="1" s="1"/>
  <c r="O4218" i="1"/>
  <c r="C4218" i="1"/>
  <c r="B4218" i="1"/>
  <c r="T4217" i="1"/>
  <c r="Q4217" i="1"/>
  <c r="O4217" i="1"/>
  <c r="C4217" i="1"/>
  <c r="B4217" i="1"/>
  <c r="T4216" i="1"/>
  <c r="O4216" i="1"/>
  <c r="Q4216" i="1" s="1"/>
  <c r="R4216" i="1" s="1"/>
  <c r="S4216" i="1" s="1"/>
  <c r="C4216" i="1"/>
  <c r="B4216" i="1"/>
  <c r="T4215" i="1"/>
  <c r="O4215" i="1"/>
  <c r="C4215" i="1"/>
  <c r="B4215" i="1"/>
  <c r="T4214" i="1"/>
  <c r="O4214" i="1"/>
  <c r="Q4214" i="1" s="1"/>
  <c r="R4214" i="1" s="1"/>
  <c r="S4214" i="1" s="1"/>
  <c r="C4214" i="1"/>
  <c r="B4214" i="1"/>
  <c r="T4213" i="1"/>
  <c r="R4213" i="1"/>
  <c r="S4213" i="1" s="1"/>
  <c r="O4213" i="1"/>
  <c r="Q4213" i="1" s="1"/>
  <c r="C4213" i="1"/>
  <c r="B4213" i="1"/>
  <c r="T4212" i="1"/>
  <c r="O4212" i="1"/>
  <c r="C4212" i="1"/>
  <c r="B4212" i="1"/>
  <c r="T4211" i="1"/>
  <c r="O4211" i="1"/>
  <c r="C4211" i="1"/>
  <c r="B4211" i="1"/>
  <c r="T4210" i="1"/>
  <c r="O4210" i="1"/>
  <c r="Q4210" i="1" s="1"/>
  <c r="R4210" i="1" s="1"/>
  <c r="S4210" i="1" s="1"/>
  <c r="C4210" i="1"/>
  <c r="B4210" i="1"/>
  <c r="T4209" i="1"/>
  <c r="Q4209" i="1"/>
  <c r="O4209" i="1"/>
  <c r="R4209" i="1" s="1"/>
  <c r="S4209" i="1" s="1"/>
  <c r="C4209" i="1"/>
  <c r="B4209" i="1"/>
  <c r="T4208" i="1"/>
  <c r="R4208" i="1"/>
  <c r="S4208" i="1" s="1"/>
  <c r="Q4208" i="1"/>
  <c r="O4208" i="1"/>
  <c r="C4208" i="1"/>
  <c r="B4208" i="1"/>
  <c r="T4207" i="1"/>
  <c r="Q4207" i="1"/>
  <c r="R4207" i="1" s="1"/>
  <c r="S4207" i="1" s="1"/>
  <c r="O4207" i="1"/>
  <c r="C4207" i="1"/>
  <c r="B4207" i="1"/>
  <c r="T4206" i="1"/>
  <c r="O4206" i="1"/>
  <c r="C4206" i="1"/>
  <c r="B4206" i="1"/>
  <c r="T4205" i="1"/>
  <c r="O4205" i="1"/>
  <c r="C4205" i="1"/>
  <c r="B4205" i="1"/>
  <c r="T4204" i="1"/>
  <c r="O4204" i="1"/>
  <c r="C4204" i="1"/>
  <c r="B4204" i="1"/>
  <c r="T4203" i="1"/>
  <c r="O4203" i="1"/>
  <c r="C4203" i="1"/>
  <c r="B4203" i="1"/>
  <c r="T4202" i="1"/>
  <c r="O4202" i="1"/>
  <c r="C4202" i="1"/>
  <c r="B4202" i="1"/>
  <c r="T4201" i="1"/>
  <c r="O4201" i="1"/>
  <c r="C4201" i="1"/>
  <c r="B4201" i="1"/>
  <c r="T4200" i="1"/>
  <c r="S4200" i="1"/>
  <c r="R4200" i="1"/>
  <c r="O4200" i="1"/>
  <c r="Q4200" i="1" s="1"/>
  <c r="C4200" i="1"/>
  <c r="B4200" i="1"/>
  <c r="T4199" i="1"/>
  <c r="Q4199" i="1"/>
  <c r="R4199" i="1" s="1"/>
  <c r="S4199" i="1" s="1"/>
  <c r="O4199" i="1"/>
  <c r="C4199" i="1"/>
  <c r="B4199" i="1"/>
  <c r="T4198" i="1"/>
  <c r="Q4198" i="1"/>
  <c r="R4198" i="1" s="1"/>
  <c r="S4198" i="1" s="1"/>
  <c r="O4198" i="1"/>
  <c r="C4198" i="1"/>
  <c r="B4198" i="1"/>
  <c r="T4197" i="1"/>
  <c r="O4197" i="1"/>
  <c r="C4197" i="1"/>
  <c r="B4197" i="1"/>
  <c r="T4196" i="1"/>
  <c r="R4196" i="1"/>
  <c r="S4196" i="1" s="1"/>
  <c r="Q4196" i="1"/>
  <c r="O4196" i="1"/>
  <c r="C4196" i="1"/>
  <c r="B4196" i="1"/>
  <c r="T4195" i="1"/>
  <c r="O4195" i="1"/>
  <c r="C4195" i="1"/>
  <c r="B4195" i="1"/>
  <c r="T4194" i="1"/>
  <c r="S4194" i="1"/>
  <c r="R4194" i="1"/>
  <c r="Q4194" i="1"/>
  <c r="O4194" i="1"/>
  <c r="C4194" i="1"/>
  <c r="B4194" i="1"/>
  <c r="T4193" i="1"/>
  <c r="O4193" i="1"/>
  <c r="C4193" i="1"/>
  <c r="B4193" i="1"/>
  <c r="T4192" i="1"/>
  <c r="O4192" i="1"/>
  <c r="Q4192" i="1" s="1"/>
  <c r="R4192" i="1" s="1"/>
  <c r="S4192" i="1" s="1"/>
  <c r="C4192" i="1"/>
  <c r="B4192" i="1"/>
  <c r="T4191" i="1"/>
  <c r="R4191" i="1"/>
  <c r="S4191" i="1" s="1"/>
  <c r="O4191" i="1"/>
  <c r="Q4191" i="1" s="1"/>
  <c r="C4191" i="1"/>
  <c r="B4191" i="1"/>
  <c r="T4190" i="1"/>
  <c r="R4190" i="1"/>
  <c r="S4190" i="1" s="1"/>
  <c r="Q4190" i="1"/>
  <c r="O4190" i="1"/>
  <c r="C4190" i="1"/>
  <c r="B4190" i="1"/>
  <c r="T4189" i="1"/>
  <c r="O4189" i="1"/>
  <c r="Q4189" i="1" s="1"/>
  <c r="C4189" i="1"/>
  <c r="B4189" i="1"/>
  <c r="T4188" i="1"/>
  <c r="O4188" i="1"/>
  <c r="C4188" i="1"/>
  <c r="B4188" i="1"/>
  <c r="T4187" i="1"/>
  <c r="R4187" i="1"/>
  <c r="S4187" i="1" s="1"/>
  <c r="O4187" i="1"/>
  <c r="Q4187" i="1" s="1"/>
  <c r="C4187" i="1"/>
  <c r="B4187" i="1"/>
  <c r="T4186" i="1"/>
  <c r="Q4186" i="1"/>
  <c r="R4186" i="1" s="1"/>
  <c r="S4186" i="1" s="1"/>
  <c r="O4186" i="1"/>
  <c r="C4186" i="1"/>
  <c r="B4186" i="1"/>
  <c r="T4185" i="1"/>
  <c r="Q4185" i="1"/>
  <c r="R4185" i="1" s="1"/>
  <c r="S4185" i="1" s="1"/>
  <c r="O4185" i="1"/>
  <c r="C4185" i="1"/>
  <c r="B4185" i="1"/>
  <c r="T4184" i="1"/>
  <c r="Q4184" i="1"/>
  <c r="O4184" i="1"/>
  <c r="C4184" i="1"/>
  <c r="B4184" i="1"/>
  <c r="T4183" i="1"/>
  <c r="Q4183" i="1"/>
  <c r="R4183" i="1" s="1"/>
  <c r="S4183" i="1" s="1"/>
  <c r="O4183" i="1"/>
  <c r="C4183" i="1"/>
  <c r="B4183" i="1"/>
  <c r="T4182" i="1"/>
  <c r="O4182" i="1"/>
  <c r="C4182" i="1"/>
  <c r="B4182" i="1"/>
  <c r="T4181" i="1"/>
  <c r="R4181" i="1"/>
  <c r="S4181" i="1" s="1"/>
  <c r="Q4181" i="1"/>
  <c r="O4181" i="1"/>
  <c r="C4181" i="1"/>
  <c r="B4181" i="1"/>
  <c r="T4180" i="1"/>
  <c r="Q4180" i="1"/>
  <c r="O4180" i="1"/>
  <c r="C4180" i="1"/>
  <c r="B4180" i="1"/>
  <c r="T4179" i="1"/>
  <c r="O4179" i="1"/>
  <c r="C4179" i="1"/>
  <c r="B4179" i="1"/>
  <c r="T4178" i="1"/>
  <c r="O4178" i="1"/>
  <c r="C4178" i="1"/>
  <c r="B4178" i="1"/>
  <c r="T4177" i="1"/>
  <c r="R4177" i="1"/>
  <c r="S4177" i="1" s="1"/>
  <c r="O4177" i="1"/>
  <c r="Q4177" i="1" s="1"/>
  <c r="C4177" i="1"/>
  <c r="B4177" i="1"/>
  <c r="T4176" i="1"/>
  <c r="R4176" i="1"/>
  <c r="S4176" i="1" s="1"/>
  <c r="O4176" i="1"/>
  <c r="Q4176" i="1" s="1"/>
  <c r="C4176" i="1"/>
  <c r="B4176" i="1"/>
  <c r="T4175" i="1"/>
  <c r="R4175" i="1"/>
  <c r="S4175" i="1" s="1"/>
  <c r="Q4175" i="1"/>
  <c r="O4175" i="1"/>
  <c r="C4175" i="1"/>
  <c r="B4175" i="1"/>
  <c r="T4174" i="1"/>
  <c r="O4174" i="1"/>
  <c r="C4174" i="1"/>
  <c r="B4174" i="1"/>
  <c r="T4173" i="1"/>
  <c r="O4173" i="1"/>
  <c r="C4173" i="1"/>
  <c r="B4173" i="1"/>
  <c r="T4172" i="1"/>
  <c r="R4172" i="1"/>
  <c r="S4172" i="1" s="1"/>
  <c r="Q4172" i="1"/>
  <c r="O4172" i="1"/>
  <c r="C4172" i="1"/>
  <c r="B4172" i="1"/>
  <c r="T4171" i="1"/>
  <c r="O4171" i="1"/>
  <c r="C4171" i="1"/>
  <c r="B4171" i="1"/>
  <c r="T4170" i="1"/>
  <c r="Q4170" i="1"/>
  <c r="R4170" i="1" s="1"/>
  <c r="S4170" i="1" s="1"/>
  <c r="O4170" i="1"/>
  <c r="C4170" i="1"/>
  <c r="B4170" i="1"/>
  <c r="T4169" i="1"/>
  <c r="Q4169" i="1"/>
  <c r="O4169" i="1"/>
  <c r="C4169" i="1"/>
  <c r="B4169" i="1"/>
  <c r="T4168" i="1"/>
  <c r="O4168" i="1"/>
  <c r="Q4168" i="1" s="1"/>
  <c r="R4168" i="1" s="1"/>
  <c r="S4168" i="1" s="1"/>
  <c r="C4168" i="1"/>
  <c r="B4168" i="1"/>
  <c r="T4167" i="1"/>
  <c r="Q4167" i="1"/>
  <c r="R4167" i="1" s="1"/>
  <c r="S4167" i="1" s="1"/>
  <c r="O4167" i="1"/>
  <c r="C4167" i="1"/>
  <c r="B4167" i="1"/>
  <c r="T4166" i="1"/>
  <c r="Q4166" i="1"/>
  <c r="O4166" i="1"/>
  <c r="C4166" i="1"/>
  <c r="B4166" i="1"/>
  <c r="T4165" i="1"/>
  <c r="R4165" i="1"/>
  <c r="S4165" i="1" s="1"/>
  <c r="O4165" i="1"/>
  <c r="Q4165" i="1" s="1"/>
  <c r="C4165" i="1"/>
  <c r="B4165" i="1"/>
  <c r="T4164" i="1"/>
  <c r="O4164" i="1"/>
  <c r="C4164" i="1"/>
  <c r="B4164" i="1"/>
  <c r="T4163" i="1"/>
  <c r="O4163" i="1"/>
  <c r="Q4163" i="1" s="1"/>
  <c r="C4163" i="1"/>
  <c r="B4163" i="1"/>
  <c r="T4162" i="1"/>
  <c r="O4162" i="1"/>
  <c r="C4162" i="1"/>
  <c r="B4162" i="1"/>
  <c r="T4161" i="1"/>
  <c r="Q4161" i="1"/>
  <c r="O4161" i="1"/>
  <c r="R4161" i="1" s="1"/>
  <c r="S4161" i="1" s="1"/>
  <c r="C4161" i="1"/>
  <c r="B4161" i="1"/>
  <c r="T4160" i="1"/>
  <c r="Q4160" i="1"/>
  <c r="O4160" i="1"/>
  <c r="C4160" i="1"/>
  <c r="B4160" i="1"/>
  <c r="T4159" i="1"/>
  <c r="Q4159" i="1"/>
  <c r="R4159" i="1" s="1"/>
  <c r="S4159" i="1" s="1"/>
  <c r="O4159" i="1"/>
  <c r="C4159" i="1"/>
  <c r="B4159" i="1"/>
  <c r="T4158" i="1"/>
  <c r="Q4158" i="1"/>
  <c r="O4158" i="1"/>
  <c r="C4158" i="1"/>
  <c r="B4158" i="1"/>
  <c r="T4157" i="1"/>
  <c r="Q4157" i="1"/>
  <c r="R4157" i="1" s="1"/>
  <c r="S4157" i="1" s="1"/>
  <c r="O4157" i="1"/>
  <c r="C4157" i="1"/>
  <c r="B4157" i="1"/>
  <c r="T4156" i="1"/>
  <c r="O4156" i="1"/>
  <c r="C4156" i="1"/>
  <c r="B4156" i="1"/>
  <c r="T4155" i="1"/>
  <c r="O4155" i="1"/>
  <c r="C4155" i="1"/>
  <c r="B4155" i="1"/>
  <c r="T4154" i="1"/>
  <c r="O4154" i="1"/>
  <c r="C4154" i="1"/>
  <c r="B4154" i="1"/>
  <c r="T4153" i="1"/>
  <c r="S4153" i="1"/>
  <c r="R4153" i="1"/>
  <c r="Q4153" i="1"/>
  <c r="O4153" i="1"/>
  <c r="C4153" i="1"/>
  <c r="B4153" i="1"/>
  <c r="T4152" i="1"/>
  <c r="O4152" i="1"/>
  <c r="C4152" i="1"/>
  <c r="B4152" i="1"/>
  <c r="T4151" i="1"/>
  <c r="Q4151" i="1"/>
  <c r="R4151" i="1" s="1"/>
  <c r="S4151" i="1" s="1"/>
  <c r="O4151" i="1"/>
  <c r="C4151" i="1"/>
  <c r="B4151" i="1"/>
  <c r="T4150" i="1"/>
  <c r="O4150" i="1"/>
  <c r="C4150" i="1"/>
  <c r="B4150" i="1"/>
  <c r="T4149" i="1"/>
  <c r="R4149" i="1"/>
  <c r="S4149" i="1" s="1"/>
  <c r="O4149" i="1"/>
  <c r="Q4149" i="1" s="1"/>
  <c r="C4149" i="1"/>
  <c r="B4149" i="1"/>
  <c r="T4148" i="1"/>
  <c r="R4148" i="1"/>
  <c r="S4148" i="1" s="1"/>
  <c r="Q4148" i="1"/>
  <c r="O4148" i="1"/>
  <c r="C4148" i="1"/>
  <c r="B4148" i="1"/>
  <c r="T4147" i="1"/>
  <c r="Q4147" i="1"/>
  <c r="O4147" i="1"/>
  <c r="C4147" i="1"/>
  <c r="B4147" i="1"/>
  <c r="T4146" i="1"/>
  <c r="R4146" i="1"/>
  <c r="S4146" i="1" s="1"/>
  <c r="Q4146" i="1"/>
  <c r="O4146" i="1"/>
  <c r="C4146" i="1"/>
  <c r="B4146" i="1"/>
  <c r="T4145" i="1"/>
  <c r="Q4145" i="1"/>
  <c r="O4145" i="1"/>
  <c r="C4145" i="1"/>
  <c r="B4145" i="1"/>
  <c r="T4144" i="1"/>
  <c r="R4144" i="1"/>
  <c r="S4144" i="1" s="1"/>
  <c r="O4144" i="1"/>
  <c r="Q4144" i="1" s="1"/>
  <c r="C4144" i="1"/>
  <c r="B4144" i="1"/>
  <c r="T4143" i="1"/>
  <c r="R4143" i="1"/>
  <c r="S4143" i="1" s="1"/>
  <c r="Q4143" i="1"/>
  <c r="O4143" i="1"/>
  <c r="C4143" i="1"/>
  <c r="B4143" i="1"/>
  <c r="T4142" i="1"/>
  <c r="Q4142" i="1"/>
  <c r="O4142" i="1"/>
  <c r="C4142" i="1"/>
  <c r="B4142" i="1"/>
  <c r="T4141" i="1"/>
  <c r="O4141" i="1"/>
  <c r="C4141" i="1"/>
  <c r="B4141" i="1"/>
  <c r="T4140" i="1"/>
  <c r="O4140" i="1"/>
  <c r="C4140" i="1"/>
  <c r="B4140" i="1"/>
  <c r="T4139" i="1"/>
  <c r="R4139" i="1"/>
  <c r="S4139" i="1" s="1"/>
  <c r="O4139" i="1"/>
  <c r="Q4139" i="1" s="1"/>
  <c r="C4139" i="1"/>
  <c r="B4139" i="1"/>
  <c r="T4138" i="1"/>
  <c r="O4138" i="1"/>
  <c r="C4138" i="1"/>
  <c r="B4138" i="1"/>
  <c r="T4137" i="1"/>
  <c r="Q4137" i="1"/>
  <c r="R4137" i="1" s="1"/>
  <c r="S4137" i="1" s="1"/>
  <c r="O4137" i="1"/>
  <c r="C4137" i="1"/>
  <c r="B4137" i="1"/>
  <c r="T4136" i="1"/>
  <c r="O4136" i="1"/>
  <c r="C4136" i="1"/>
  <c r="B4136" i="1"/>
  <c r="T4135" i="1"/>
  <c r="R4135" i="1"/>
  <c r="S4135" i="1" s="1"/>
  <c r="Q4135" i="1"/>
  <c r="O4135" i="1"/>
  <c r="C4135" i="1"/>
  <c r="B4135" i="1"/>
  <c r="T4134" i="1"/>
  <c r="Q4134" i="1"/>
  <c r="O4134" i="1"/>
  <c r="C4134" i="1"/>
  <c r="B4134" i="1"/>
  <c r="T4133" i="1"/>
  <c r="Q4133" i="1"/>
  <c r="O4133" i="1"/>
  <c r="C4133" i="1"/>
  <c r="B4133" i="1"/>
  <c r="T4132" i="1"/>
  <c r="O4132" i="1"/>
  <c r="C4132" i="1"/>
  <c r="B4132" i="1"/>
  <c r="T4131" i="1"/>
  <c r="O4131" i="1"/>
  <c r="C4131" i="1"/>
  <c r="B4131" i="1"/>
  <c r="T4130" i="1"/>
  <c r="O4130" i="1"/>
  <c r="C4130" i="1"/>
  <c r="B4130" i="1"/>
  <c r="T4129" i="1"/>
  <c r="Q4129" i="1"/>
  <c r="O4129" i="1"/>
  <c r="C4129" i="1"/>
  <c r="B4129" i="1"/>
  <c r="T4128" i="1"/>
  <c r="R4128" i="1"/>
  <c r="S4128" i="1" s="1"/>
  <c r="O4128" i="1"/>
  <c r="Q4128" i="1" s="1"/>
  <c r="C4128" i="1"/>
  <c r="B4128" i="1"/>
  <c r="T4127" i="1"/>
  <c r="Q4127" i="1"/>
  <c r="R4127" i="1" s="1"/>
  <c r="S4127" i="1" s="1"/>
  <c r="O4127" i="1"/>
  <c r="C4127" i="1"/>
  <c r="B4127" i="1"/>
  <c r="T4126" i="1"/>
  <c r="O4126" i="1"/>
  <c r="C4126" i="1"/>
  <c r="B4126" i="1"/>
  <c r="T4125" i="1"/>
  <c r="R4125" i="1"/>
  <c r="S4125" i="1" s="1"/>
  <c r="Q4125" i="1"/>
  <c r="O4125" i="1"/>
  <c r="C4125" i="1"/>
  <c r="B4125" i="1"/>
  <c r="T4124" i="1"/>
  <c r="Q4124" i="1"/>
  <c r="R4124" i="1" s="1"/>
  <c r="S4124" i="1" s="1"/>
  <c r="O4124" i="1"/>
  <c r="C4124" i="1"/>
  <c r="B4124" i="1"/>
  <c r="T4123" i="1"/>
  <c r="O4123" i="1"/>
  <c r="C4123" i="1"/>
  <c r="B4123" i="1"/>
  <c r="T4122" i="1"/>
  <c r="Q4122" i="1"/>
  <c r="R4122" i="1" s="1"/>
  <c r="S4122" i="1" s="1"/>
  <c r="O4122" i="1"/>
  <c r="C4122" i="1"/>
  <c r="B4122" i="1"/>
  <c r="T4121" i="1"/>
  <c r="O4121" i="1"/>
  <c r="C4121" i="1"/>
  <c r="B4121" i="1"/>
  <c r="T4120" i="1"/>
  <c r="O4120" i="1"/>
  <c r="Q4120" i="1" s="1"/>
  <c r="R4120" i="1" s="1"/>
  <c r="S4120" i="1" s="1"/>
  <c r="C4120" i="1"/>
  <c r="B4120" i="1"/>
  <c r="T4119" i="1"/>
  <c r="R4119" i="1"/>
  <c r="S4119" i="1" s="1"/>
  <c r="Q4119" i="1"/>
  <c r="O4119" i="1"/>
  <c r="C4119" i="1"/>
  <c r="B4119" i="1"/>
  <c r="T4118" i="1"/>
  <c r="R4118" i="1"/>
  <c r="S4118" i="1" s="1"/>
  <c r="Q4118" i="1"/>
  <c r="O4118" i="1"/>
  <c r="C4118" i="1"/>
  <c r="B4118" i="1"/>
  <c r="T4117" i="1"/>
  <c r="O4117" i="1"/>
  <c r="C4117" i="1"/>
  <c r="B4117" i="1"/>
  <c r="T4116" i="1"/>
  <c r="R4116" i="1"/>
  <c r="S4116" i="1" s="1"/>
  <c r="Q4116" i="1"/>
  <c r="O4116" i="1"/>
  <c r="C4116" i="1"/>
  <c r="B4116" i="1"/>
  <c r="T4115" i="1"/>
  <c r="R4115" i="1"/>
  <c r="S4115" i="1" s="1"/>
  <c r="O4115" i="1"/>
  <c r="Q4115" i="1" s="1"/>
  <c r="C4115" i="1"/>
  <c r="B4115" i="1"/>
  <c r="T4114" i="1"/>
  <c r="Q4114" i="1"/>
  <c r="R4114" i="1" s="1"/>
  <c r="S4114" i="1" s="1"/>
  <c r="O4114" i="1"/>
  <c r="C4114" i="1"/>
  <c r="B4114" i="1"/>
  <c r="T4113" i="1"/>
  <c r="Q4113" i="1"/>
  <c r="R4113" i="1" s="1"/>
  <c r="S4113" i="1" s="1"/>
  <c r="O4113" i="1"/>
  <c r="C4113" i="1"/>
  <c r="B4113" i="1"/>
  <c r="T4112" i="1"/>
  <c r="S4112" i="1"/>
  <c r="R4112" i="1"/>
  <c r="Q4112" i="1"/>
  <c r="O4112" i="1"/>
  <c r="C4112" i="1"/>
  <c r="B4112" i="1"/>
  <c r="T4111" i="1"/>
  <c r="R4111" i="1"/>
  <c r="S4111" i="1" s="1"/>
  <c r="Q4111" i="1"/>
  <c r="O4111" i="1"/>
  <c r="C4111" i="1"/>
  <c r="B4111" i="1"/>
  <c r="T4110" i="1"/>
  <c r="O4110" i="1"/>
  <c r="C4110" i="1"/>
  <c r="B4110" i="1"/>
  <c r="T4109" i="1"/>
  <c r="Q4109" i="1"/>
  <c r="O4109" i="1"/>
  <c r="C4109" i="1"/>
  <c r="B4109" i="1"/>
  <c r="T4108" i="1"/>
  <c r="O4108" i="1"/>
  <c r="C4108" i="1"/>
  <c r="B4108" i="1"/>
  <c r="T4107" i="1"/>
  <c r="O4107" i="1"/>
  <c r="C4107" i="1"/>
  <c r="B4107" i="1"/>
  <c r="T4106" i="1"/>
  <c r="O4106" i="1"/>
  <c r="C4106" i="1"/>
  <c r="B4106" i="1"/>
  <c r="T4105" i="1"/>
  <c r="S4105" i="1"/>
  <c r="O4105" i="1"/>
  <c r="Q4105" i="1" s="1"/>
  <c r="R4105" i="1" s="1"/>
  <c r="C4105" i="1"/>
  <c r="B4105" i="1"/>
  <c r="T4104" i="1"/>
  <c r="R4104" i="1"/>
  <c r="S4104" i="1" s="1"/>
  <c r="O4104" i="1"/>
  <c r="Q4104" i="1" s="1"/>
  <c r="C4104" i="1"/>
  <c r="B4104" i="1"/>
  <c r="T4103" i="1"/>
  <c r="Q4103" i="1"/>
  <c r="R4103" i="1" s="1"/>
  <c r="S4103" i="1" s="1"/>
  <c r="O4103" i="1"/>
  <c r="C4103" i="1"/>
  <c r="B4103" i="1"/>
  <c r="T4102" i="1"/>
  <c r="O4102" i="1"/>
  <c r="Q4102" i="1" s="1"/>
  <c r="R4102" i="1" s="1"/>
  <c r="S4102" i="1" s="1"/>
  <c r="C4102" i="1"/>
  <c r="B4102" i="1"/>
  <c r="T4101" i="1"/>
  <c r="R4101" i="1"/>
  <c r="S4101" i="1" s="1"/>
  <c r="Q4101" i="1"/>
  <c r="O4101" i="1"/>
  <c r="C4101" i="1"/>
  <c r="B4101" i="1"/>
  <c r="T4100" i="1"/>
  <c r="Q4100" i="1"/>
  <c r="R4100" i="1" s="1"/>
  <c r="S4100" i="1" s="1"/>
  <c r="O4100" i="1"/>
  <c r="C4100" i="1"/>
  <c r="B4100" i="1"/>
  <c r="T4099" i="1"/>
  <c r="O4099" i="1"/>
  <c r="C4099" i="1"/>
  <c r="B4099" i="1"/>
  <c r="T4098" i="1"/>
  <c r="Q4098" i="1"/>
  <c r="R4098" i="1" s="1"/>
  <c r="S4098" i="1" s="1"/>
  <c r="O4098" i="1"/>
  <c r="C4098" i="1"/>
  <c r="B4098" i="1"/>
  <c r="T4097" i="1"/>
  <c r="Q4097" i="1"/>
  <c r="O4097" i="1"/>
  <c r="C4097" i="1"/>
  <c r="B4097" i="1"/>
  <c r="T4096" i="1"/>
  <c r="S4096" i="1"/>
  <c r="R4096" i="1"/>
  <c r="O4096" i="1"/>
  <c r="Q4096" i="1" s="1"/>
  <c r="C4096" i="1"/>
  <c r="B4096" i="1"/>
  <c r="T4095" i="1"/>
  <c r="R4095" i="1"/>
  <c r="S4095" i="1" s="1"/>
  <c r="Q4095" i="1"/>
  <c r="O4095" i="1"/>
  <c r="C4095" i="1"/>
  <c r="B4095" i="1"/>
  <c r="T4094" i="1"/>
  <c r="O4094" i="1"/>
  <c r="C4094" i="1"/>
  <c r="B4094" i="1"/>
  <c r="T4093" i="1"/>
  <c r="R4093" i="1"/>
  <c r="S4093" i="1" s="1"/>
  <c r="O4093" i="1"/>
  <c r="Q4093" i="1" s="1"/>
  <c r="C4093" i="1"/>
  <c r="B4093" i="1"/>
  <c r="T4092" i="1"/>
  <c r="Q4092" i="1"/>
  <c r="R4092" i="1" s="1"/>
  <c r="S4092" i="1" s="1"/>
  <c r="O4092" i="1"/>
  <c r="C4092" i="1"/>
  <c r="B4092" i="1"/>
  <c r="T4091" i="1"/>
  <c r="O4091" i="1"/>
  <c r="C4091" i="1"/>
  <c r="B4091" i="1"/>
  <c r="T4090" i="1"/>
  <c r="O4090" i="1"/>
  <c r="C4090" i="1"/>
  <c r="B4090" i="1"/>
  <c r="T4089" i="1"/>
  <c r="S4089" i="1"/>
  <c r="Q4089" i="1"/>
  <c r="R4089" i="1" s="1"/>
  <c r="O4089" i="1"/>
  <c r="C4089" i="1"/>
  <c r="B4089" i="1"/>
  <c r="T4088" i="1"/>
  <c r="R4088" i="1"/>
  <c r="S4088" i="1" s="1"/>
  <c r="Q4088" i="1"/>
  <c r="O4088" i="1"/>
  <c r="C4088" i="1"/>
  <c r="B4088" i="1"/>
  <c r="T4087" i="1"/>
  <c r="R4087" i="1"/>
  <c r="S4087" i="1" s="1"/>
  <c r="Q4087" i="1"/>
  <c r="O4087" i="1"/>
  <c r="C4087" i="1"/>
  <c r="B4087" i="1"/>
  <c r="T4086" i="1"/>
  <c r="O4086" i="1"/>
  <c r="C4086" i="1"/>
  <c r="B4086" i="1"/>
  <c r="T4085" i="1"/>
  <c r="O4085" i="1"/>
  <c r="C4085" i="1"/>
  <c r="B4085" i="1"/>
  <c r="T4084" i="1"/>
  <c r="O4084" i="1"/>
  <c r="C4084" i="1"/>
  <c r="B4084" i="1"/>
  <c r="T4083" i="1"/>
  <c r="O4083" i="1"/>
  <c r="C4083" i="1"/>
  <c r="B4083" i="1"/>
  <c r="T4082" i="1"/>
  <c r="O4082" i="1"/>
  <c r="C4082" i="1"/>
  <c r="B4082" i="1"/>
  <c r="T4081" i="1"/>
  <c r="R4081" i="1"/>
  <c r="S4081" i="1" s="1"/>
  <c r="Q4081" i="1"/>
  <c r="O4081" i="1"/>
  <c r="C4081" i="1"/>
  <c r="B4081" i="1"/>
  <c r="T4080" i="1"/>
  <c r="O4080" i="1"/>
  <c r="C4080" i="1"/>
  <c r="B4080" i="1"/>
  <c r="T4079" i="1"/>
  <c r="R4079" i="1"/>
  <c r="S4079" i="1" s="1"/>
  <c r="Q4079" i="1"/>
  <c r="O4079" i="1"/>
  <c r="C4079" i="1"/>
  <c r="B4079" i="1"/>
  <c r="T4078" i="1"/>
  <c r="O4078" i="1"/>
  <c r="C4078" i="1"/>
  <c r="B4078" i="1"/>
  <c r="T4077" i="1"/>
  <c r="O4077" i="1"/>
  <c r="Q4077" i="1" s="1"/>
  <c r="R4077" i="1" s="1"/>
  <c r="S4077" i="1" s="1"/>
  <c r="C4077" i="1"/>
  <c r="B4077" i="1"/>
  <c r="T4076" i="1"/>
  <c r="Q4076" i="1"/>
  <c r="R4076" i="1" s="1"/>
  <c r="S4076" i="1" s="1"/>
  <c r="O4076" i="1"/>
  <c r="C4076" i="1"/>
  <c r="B4076" i="1"/>
  <c r="T4075" i="1"/>
  <c r="O4075" i="1"/>
  <c r="C4075" i="1"/>
  <c r="B4075" i="1"/>
  <c r="T4074" i="1"/>
  <c r="Q4074" i="1"/>
  <c r="R4074" i="1" s="1"/>
  <c r="S4074" i="1" s="1"/>
  <c r="O4074" i="1"/>
  <c r="C4074" i="1"/>
  <c r="B4074" i="1"/>
  <c r="T4073" i="1"/>
  <c r="O4073" i="1"/>
  <c r="C4073" i="1"/>
  <c r="B4073" i="1"/>
  <c r="T4072" i="1"/>
  <c r="R4072" i="1"/>
  <c r="S4072" i="1" s="1"/>
  <c r="O4072" i="1"/>
  <c r="Q4072" i="1" s="1"/>
  <c r="C4072" i="1"/>
  <c r="B4072" i="1"/>
  <c r="T4071" i="1"/>
  <c r="O4071" i="1"/>
  <c r="C4071" i="1"/>
  <c r="B4071" i="1"/>
  <c r="T4070" i="1"/>
  <c r="S4070" i="1"/>
  <c r="Q4070" i="1"/>
  <c r="R4070" i="1" s="1"/>
  <c r="O4070" i="1"/>
  <c r="C4070" i="1"/>
  <c r="B4070" i="1"/>
  <c r="T4069" i="1"/>
  <c r="O4069" i="1"/>
  <c r="Q4069" i="1" s="1"/>
  <c r="C4069" i="1"/>
  <c r="B4069" i="1"/>
  <c r="T4068" i="1"/>
  <c r="Q4068" i="1"/>
  <c r="O4068" i="1"/>
  <c r="C4068" i="1"/>
  <c r="B4068" i="1"/>
  <c r="T4067" i="1"/>
  <c r="O4067" i="1"/>
  <c r="Q4067" i="1" s="1"/>
  <c r="C4067" i="1"/>
  <c r="B4067" i="1"/>
  <c r="T4066" i="1"/>
  <c r="R4066" i="1"/>
  <c r="S4066" i="1" s="1"/>
  <c r="Q4066" i="1"/>
  <c r="O4066" i="1"/>
  <c r="C4066" i="1"/>
  <c r="B4066" i="1"/>
  <c r="T4065" i="1"/>
  <c r="S4065" i="1"/>
  <c r="Q4065" i="1"/>
  <c r="R4065" i="1" s="1"/>
  <c r="O4065" i="1"/>
  <c r="C4065" i="1"/>
  <c r="B4065" i="1"/>
  <c r="T4064" i="1"/>
  <c r="R4064" i="1"/>
  <c r="S4064" i="1" s="1"/>
  <c r="Q4064" i="1"/>
  <c r="O4064" i="1"/>
  <c r="C4064" i="1"/>
  <c r="B4064" i="1"/>
  <c r="T4063" i="1"/>
  <c r="Q4063" i="1"/>
  <c r="R4063" i="1" s="1"/>
  <c r="S4063" i="1" s="1"/>
  <c r="O4063" i="1"/>
  <c r="C4063" i="1"/>
  <c r="B4063" i="1"/>
  <c r="T4062" i="1"/>
  <c r="O4062" i="1"/>
  <c r="C4062" i="1"/>
  <c r="B4062" i="1"/>
  <c r="T4061" i="1"/>
  <c r="Q4061" i="1"/>
  <c r="O4061" i="1"/>
  <c r="C4061" i="1"/>
  <c r="B4061" i="1"/>
  <c r="T4060" i="1"/>
  <c r="O4060" i="1"/>
  <c r="C4060" i="1"/>
  <c r="B4060" i="1"/>
  <c r="T4059" i="1"/>
  <c r="O4059" i="1"/>
  <c r="Q4059" i="1" s="1"/>
  <c r="R4059" i="1" s="1"/>
  <c r="S4059" i="1" s="1"/>
  <c r="C4059" i="1"/>
  <c r="B4059" i="1"/>
  <c r="T4058" i="1"/>
  <c r="O4058" i="1"/>
  <c r="C4058" i="1"/>
  <c r="B4058" i="1"/>
  <c r="T4057" i="1"/>
  <c r="Q4057" i="1"/>
  <c r="O4057" i="1"/>
  <c r="C4057" i="1"/>
  <c r="B4057" i="1"/>
  <c r="T4056" i="1"/>
  <c r="O4056" i="1"/>
  <c r="Q4056" i="1" s="1"/>
  <c r="C4056" i="1"/>
  <c r="B4056" i="1"/>
  <c r="T4055" i="1"/>
  <c r="R4055" i="1"/>
  <c r="S4055" i="1" s="1"/>
  <c r="Q4055" i="1"/>
  <c r="O4055" i="1"/>
  <c r="C4055" i="1"/>
  <c r="B4055" i="1"/>
  <c r="T4054" i="1"/>
  <c r="O4054" i="1"/>
  <c r="C4054" i="1"/>
  <c r="B4054" i="1"/>
  <c r="T4053" i="1"/>
  <c r="R4053" i="1"/>
  <c r="S4053" i="1" s="1"/>
  <c r="Q4053" i="1"/>
  <c r="O4053" i="1"/>
  <c r="C4053" i="1"/>
  <c r="B4053" i="1"/>
  <c r="T4052" i="1"/>
  <c r="Q4052" i="1"/>
  <c r="R4052" i="1" s="1"/>
  <c r="S4052" i="1" s="1"/>
  <c r="O4052" i="1"/>
  <c r="C4052" i="1"/>
  <c r="B4052" i="1"/>
  <c r="T4051" i="1"/>
  <c r="O4051" i="1"/>
  <c r="C4051" i="1"/>
  <c r="B4051" i="1"/>
  <c r="T4050" i="1"/>
  <c r="Q4050" i="1"/>
  <c r="R4050" i="1" s="1"/>
  <c r="S4050" i="1" s="1"/>
  <c r="O4050" i="1"/>
  <c r="C4050" i="1"/>
  <c r="B4050" i="1"/>
  <c r="T4049" i="1"/>
  <c r="O4049" i="1"/>
  <c r="C4049" i="1"/>
  <c r="B4049" i="1"/>
  <c r="T4048" i="1"/>
  <c r="R4048" i="1"/>
  <c r="S4048" i="1" s="1"/>
  <c r="O4048" i="1"/>
  <c r="Q4048" i="1" s="1"/>
  <c r="C4048" i="1"/>
  <c r="B4048" i="1"/>
  <c r="T4047" i="1"/>
  <c r="S4047" i="1"/>
  <c r="R4047" i="1"/>
  <c r="Q4047" i="1"/>
  <c r="O4047" i="1"/>
  <c r="C4047" i="1"/>
  <c r="B4047" i="1"/>
  <c r="T4046" i="1"/>
  <c r="O4046" i="1"/>
  <c r="C4046" i="1"/>
  <c r="B4046" i="1"/>
  <c r="T4045" i="1"/>
  <c r="S4045" i="1"/>
  <c r="R4045" i="1"/>
  <c r="O4045" i="1"/>
  <c r="Q4045" i="1" s="1"/>
  <c r="C4045" i="1"/>
  <c r="B4045" i="1"/>
  <c r="T4044" i="1"/>
  <c r="O4044" i="1"/>
  <c r="C4044" i="1"/>
  <c r="B4044" i="1"/>
  <c r="T4043" i="1"/>
  <c r="O4043" i="1"/>
  <c r="C4043" i="1"/>
  <c r="B4043" i="1"/>
  <c r="T4042" i="1"/>
  <c r="O4042" i="1"/>
  <c r="C4042" i="1"/>
  <c r="B4042" i="1"/>
  <c r="T4041" i="1"/>
  <c r="Q4041" i="1"/>
  <c r="R4041" i="1" s="1"/>
  <c r="S4041" i="1" s="1"/>
  <c r="O4041" i="1"/>
  <c r="C4041" i="1"/>
  <c r="B4041" i="1"/>
  <c r="T4040" i="1"/>
  <c r="O4040" i="1"/>
  <c r="C4040" i="1"/>
  <c r="B4040" i="1"/>
  <c r="T4039" i="1"/>
  <c r="R4039" i="1"/>
  <c r="S4039" i="1" s="1"/>
  <c r="Q4039" i="1"/>
  <c r="O4039" i="1"/>
  <c r="C4039" i="1"/>
  <c r="B4039" i="1"/>
  <c r="T4038" i="1"/>
  <c r="Q4038" i="1"/>
  <c r="O4038" i="1"/>
  <c r="C4038" i="1"/>
  <c r="B4038" i="1"/>
  <c r="T4037" i="1"/>
  <c r="O4037" i="1"/>
  <c r="C4037" i="1"/>
  <c r="B4037" i="1"/>
  <c r="T4036" i="1"/>
  <c r="O4036" i="1"/>
  <c r="C4036" i="1"/>
  <c r="B4036" i="1"/>
  <c r="T4035" i="1"/>
  <c r="S4035" i="1"/>
  <c r="Q4035" i="1"/>
  <c r="R4035" i="1" s="1"/>
  <c r="O4035" i="1"/>
  <c r="C4035" i="1"/>
  <c r="B4035" i="1"/>
  <c r="T4034" i="1"/>
  <c r="O4034" i="1"/>
  <c r="C4034" i="1"/>
  <c r="B4034" i="1"/>
  <c r="T4033" i="1"/>
  <c r="O4033" i="1"/>
  <c r="C4033" i="1"/>
  <c r="B4033" i="1"/>
  <c r="T4032" i="1"/>
  <c r="O4032" i="1"/>
  <c r="C4032" i="1"/>
  <c r="B4032" i="1"/>
  <c r="T4031" i="1"/>
  <c r="Q4031" i="1"/>
  <c r="R4031" i="1" s="1"/>
  <c r="S4031" i="1" s="1"/>
  <c r="O4031" i="1"/>
  <c r="C4031" i="1"/>
  <c r="B4031" i="1"/>
  <c r="T4030" i="1"/>
  <c r="R4030" i="1"/>
  <c r="S4030" i="1" s="1"/>
  <c r="O4030" i="1"/>
  <c r="Q4030" i="1" s="1"/>
  <c r="C4030" i="1"/>
  <c r="B4030" i="1"/>
  <c r="T4029" i="1"/>
  <c r="Q4029" i="1"/>
  <c r="O4029" i="1"/>
  <c r="C4029" i="1"/>
  <c r="B4029" i="1"/>
  <c r="T4028" i="1"/>
  <c r="R4028" i="1"/>
  <c r="S4028" i="1" s="1"/>
  <c r="Q4028" i="1"/>
  <c r="O4028" i="1"/>
  <c r="C4028" i="1"/>
  <c r="B4028" i="1"/>
  <c r="T4027" i="1"/>
  <c r="Q4027" i="1"/>
  <c r="O4027" i="1"/>
  <c r="C4027" i="1"/>
  <c r="B4027" i="1"/>
  <c r="T4026" i="1"/>
  <c r="Q4026" i="1"/>
  <c r="R4026" i="1" s="1"/>
  <c r="S4026" i="1" s="1"/>
  <c r="O4026" i="1"/>
  <c r="C4026" i="1"/>
  <c r="B4026" i="1"/>
  <c r="T4025" i="1"/>
  <c r="Q4025" i="1"/>
  <c r="O4025" i="1"/>
  <c r="C4025" i="1"/>
  <c r="B4025" i="1"/>
  <c r="T4024" i="1"/>
  <c r="R4024" i="1"/>
  <c r="S4024" i="1" s="1"/>
  <c r="O4024" i="1"/>
  <c r="Q4024" i="1" s="1"/>
  <c r="C4024" i="1"/>
  <c r="B4024" i="1"/>
  <c r="T4023" i="1"/>
  <c r="O4023" i="1"/>
  <c r="C4023" i="1"/>
  <c r="B4023" i="1"/>
  <c r="T4022" i="1"/>
  <c r="O4022" i="1"/>
  <c r="Q4022" i="1" s="1"/>
  <c r="R4022" i="1" s="1"/>
  <c r="S4022" i="1" s="1"/>
  <c r="C4022" i="1"/>
  <c r="B4022" i="1"/>
  <c r="T4021" i="1"/>
  <c r="O4021" i="1"/>
  <c r="Q4021" i="1" s="1"/>
  <c r="C4021" i="1"/>
  <c r="B4021" i="1"/>
  <c r="T4020" i="1"/>
  <c r="Q4020" i="1"/>
  <c r="O4020" i="1"/>
  <c r="C4020" i="1"/>
  <c r="B4020" i="1"/>
  <c r="T4019" i="1"/>
  <c r="O4019" i="1"/>
  <c r="C4019" i="1"/>
  <c r="B4019" i="1"/>
  <c r="T4018" i="1"/>
  <c r="R4018" i="1"/>
  <c r="S4018" i="1" s="1"/>
  <c r="O4018" i="1"/>
  <c r="Q4018" i="1" s="1"/>
  <c r="C4018" i="1"/>
  <c r="B4018" i="1"/>
  <c r="T4017" i="1"/>
  <c r="S4017" i="1"/>
  <c r="Q4017" i="1"/>
  <c r="R4017" i="1" s="1"/>
  <c r="O4017" i="1"/>
  <c r="C4017" i="1"/>
  <c r="B4017" i="1"/>
  <c r="T4016" i="1"/>
  <c r="O4016" i="1"/>
  <c r="C4016" i="1"/>
  <c r="B4016" i="1"/>
  <c r="T4015" i="1"/>
  <c r="R4015" i="1"/>
  <c r="S4015" i="1" s="1"/>
  <c r="Q4015" i="1"/>
  <c r="O4015" i="1"/>
  <c r="C4015" i="1"/>
  <c r="B4015" i="1"/>
  <c r="T4014" i="1"/>
  <c r="O4014" i="1"/>
  <c r="C4014" i="1"/>
  <c r="B4014" i="1"/>
  <c r="T4013" i="1"/>
  <c r="R4013" i="1"/>
  <c r="S4013" i="1" s="1"/>
  <c r="Q4013" i="1"/>
  <c r="O4013" i="1"/>
  <c r="C4013" i="1"/>
  <c r="B4013" i="1"/>
  <c r="T4012" i="1"/>
  <c r="Q4012" i="1"/>
  <c r="O4012" i="1"/>
  <c r="C4012" i="1"/>
  <c r="B4012" i="1"/>
  <c r="T4011" i="1"/>
  <c r="Q4011" i="1"/>
  <c r="O4011" i="1"/>
  <c r="C4011" i="1"/>
  <c r="B4011" i="1"/>
  <c r="T4010" i="1"/>
  <c r="O4010" i="1"/>
  <c r="C4010" i="1"/>
  <c r="B4010" i="1"/>
  <c r="T4009" i="1"/>
  <c r="S4009" i="1"/>
  <c r="R4009" i="1"/>
  <c r="Q4009" i="1"/>
  <c r="O4009" i="1"/>
  <c r="C4009" i="1"/>
  <c r="B4009" i="1"/>
  <c r="T4008" i="1"/>
  <c r="S4008" i="1"/>
  <c r="R4008" i="1"/>
  <c r="O4008" i="1"/>
  <c r="Q4008" i="1" s="1"/>
  <c r="C4008" i="1"/>
  <c r="B4008" i="1"/>
  <c r="T4007" i="1"/>
  <c r="R4007" i="1"/>
  <c r="S4007" i="1" s="1"/>
  <c r="Q4007" i="1"/>
  <c r="O4007" i="1"/>
  <c r="C4007" i="1"/>
  <c r="B4007" i="1"/>
  <c r="T4006" i="1"/>
  <c r="O4006" i="1"/>
  <c r="C4006" i="1"/>
  <c r="B4006" i="1"/>
  <c r="T4005" i="1"/>
  <c r="Q4005" i="1"/>
  <c r="R4005" i="1" s="1"/>
  <c r="S4005" i="1" s="1"/>
  <c r="O4005" i="1"/>
  <c r="C4005" i="1"/>
  <c r="B4005" i="1"/>
  <c r="T4004" i="1"/>
  <c r="S4004" i="1"/>
  <c r="Q4004" i="1"/>
  <c r="R4004" i="1" s="1"/>
  <c r="O4004" i="1"/>
  <c r="C4004" i="1"/>
  <c r="B4004" i="1"/>
  <c r="T4003" i="1"/>
  <c r="Q4003" i="1"/>
  <c r="O4003" i="1"/>
  <c r="C4003" i="1"/>
  <c r="B4003" i="1"/>
  <c r="T4002" i="1"/>
  <c r="Q4002" i="1"/>
  <c r="R4002" i="1" s="1"/>
  <c r="S4002" i="1" s="1"/>
  <c r="O4002" i="1"/>
  <c r="C4002" i="1"/>
  <c r="B4002" i="1"/>
  <c r="T4001" i="1"/>
  <c r="O4001" i="1"/>
  <c r="C4001" i="1"/>
  <c r="B4001" i="1"/>
  <c r="T4000" i="1"/>
  <c r="O4000" i="1"/>
  <c r="Q4000" i="1" s="1"/>
  <c r="R4000" i="1" s="1"/>
  <c r="S4000" i="1" s="1"/>
  <c r="C4000" i="1"/>
  <c r="B4000" i="1"/>
  <c r="T3999" i="1"/>
  <c r="O3999" i="1"/>
  <c r="Q3999" i="1" s="1"/>
  <c r="R3999" i="1" s="1"/>
  <c r="S3999" i="1" s="1"/>
  <c r="C3999" i="1"/>
  <c r="B3999" i="1"/>
  <c r="T3998" i="1"/>
  <c r="O3998" i="1"/>
  <c r="C3998" i="1"/>
  <c r="B3998" i="1"/>
  <c r="T3997" i="1"/>
  <c r="O3997" i="1"/>
  <c r="Q3997" i="1" s="1"/>
  <c r="C3997" i="1"/>
  <c r="B3997" i="1"/>
  <c r="T3996" i="1"/>
  <c r="O3996" i="1"/>
  <c r="C3996" i="1"/>
  <c r="B3996" i="1"/>
  <c r="T3995" i="1"/>
  <c r="O3995" i="1"/>
  <c r="Q3995" i="1" s="1"/>
  <c r="C3995" i="1"/>
  <c r="B3995" i="1"/>
  <c r="T3994" i="1"/>
  <c r="Q3994" i="1"/>
  <c r="R3994" i="1" s="1"/>
  <c r="S3994" i="1" s="1"/>
  <c r="O3994" i="1"/>
  <c r="C3994" i="1"/>
  <c r="B3994" i="1"/>
  <c r="T3993" i="1"/>
  <c r="S3993" i="1"/>
  <c r="Q3993" i="1"/>
  <c r="R3993" i="1" s="1"/>
  <c r="O3993" i="1"/>
  <c r="C3993" i="1"/>
  <c r="B3993" i="1"/>
  <c r="T3992" i="1"/>
  <c r="Q3992" i="1"/>
  <c r="R3992" i="1" s="1"/>
  <c r="S3992" i="1" s="1"/>
  <c r="O3992" i="1"/>
  <c r="C3992" i="1"/>
  <c r="B3992" i="1"/>
  <c r="T3991" i="1"/>
  <c r="Q3991" i="1"/>
  <c r="R3991" i="1" s="1"/>
  <c r="S3991" i="1" s="1"/>
  <c r="O3991" i="1"/>
  <c r="C3991" i="1"/>
  <c r="B3991" i="1"/>
  <c r="T3990" i="1"/>
  <c r="R3990" i="1"/>
  <c r="S3990" i="1" s="1"/>
  <c r="Q3990" i="1"/>
  <c r="O3990" i="1"/>
  <c r="C3990" i="1"/>
  <c r="B3990" i="1"/>
  <c r="T3989" i="1"/>
  <c r="O3989" i="1"/>
  <c r="C3989" i="1"/>
  <c r="B3989" i="1"/>
  <c r="T3988" i="1"/>
  <c r="Q3988" i="1"/>
  <c r="O3988" i="1"/>
  <c r="C3988" i="1"/>
  <c r="B3988" i="1"/>
  <c r="T3987" i="1"/>
  <c r="O3987" i="1"/>
  <c r="C3987" i="1"/>
  <c r="B3987" i="1"/>
  <c r="T3986" i="1"/>
  <c r="O3986" i="1"/>
  <c r="C3986" i="1"/>
  <c r="B3986" i="1"/>
  <c r="T3985" i="1"/>
  <c r="O3985" i="1"/>
  <c r="C3985" i="1"/>
  <c r="B3985" i="1"/>
  <c r="T3984" i="1"/>
  <c r="R3984" i="1"/>
  <c r="S3984" i="1" s="1"/>
  <c r="O3984" i="1"/>
  <c r="Q3984" i="1" s="1"/>
  <c r="C3984" i="1"/>
  <c r="B3984" i="1"/>
  <c r="T3983" i="1"/>
  <c r="S3983" i="1"/>
  <c r="R3983" i="1"/>
  <c r="Q3983" i="1"/>
  <c r="O3983" i="1"/>
  <c r="C3983" i="1"/>
  <c r="B3983" i="1"/>
  <c r="T3982" i="1"/>
  <c r="O3982" i="1"/>
  <c r="C3982" i="1"/>
  <c r="B3982" i="1"/>
  <c r="T3981" i="1"/>
  <c r="O3981" i="1"/>
  <c r="C3981" i="1"/>
  <c r="B3981" i="1"/>
  <c r="T3980" i="1"/>
  <c r="O3980" i="1"/>
  <c r="C3980" i="1"/>
  <c r="B3980" i="1"/>
  <c r="T3979" i="1"/>
  <c r="O3979" i="1"/>
  <c r="C3979" i="1"/>
  <c r="B3979" i="1"/>
  <c r="T3978" i="1"/>
  <c r="Q3978" i="1"/>
  <c r="R3978" i="1" s="1"/>
  <c r="S3978" i="1" s="1"/>
  <c r="O3978" i="1"/>
  <c r="C3978" i="1"/>
  <c r="B3978" i="1"/>
  <c r="T3977" i="1"/>
  <c r="Q3977" i="1"/>
  <c r="O3977" i="1"/>
  <c r="C3977" i="1"/>
  <c r="B3977" i="1"/>
  <c r="T3976" i="1"/>
  <c r="O3976" i="1"/>
  <c r="Q3976" i="1" s="1"/>
  <c r="R3976" i="1" s="1"/>
  <c r="S3976" i="1" s="1"/>
  <c r="C3976" i="1"/>
  <c r="B3976" i="1"/>
  <c r="T3975" i="1"/>
  <c r="Q3975" i="1"/>
  <c r="O3975" i="1"/>
  <c r="C3975" i="1"/>
  <c r="B3975" i="1"/>
  <c r="T3974" i="1"/>
  <c r="R3974" i="1"/>
  <c r="S3974" i="1" s="1"/>
  <c r="Q3974" i="1"/>
  <c r="O3974" i="1"/>
  <c r="C3974" i="1"/>
  <c r="B3974" i="1"/>
  <c r="T3973" i="1"/>
  <c r="R3973" i="1"/>
  <c r="S3973" i="1" s="1"/>
  <c r="Q3973" i="1"/>
  <c r="O3973" i="1"/>
  <c r="C3973" i="1"/>
  <c r="B3973" i="1"/>
  <c r="T3972" i="1"/>
  <c r="O3972" i="1"/>
  <c r="Q3972" i="1" s="1"/>
  <c r="R3972" i="1" s="1"/>
  <c r="S3972" i="1" s="1"/>
  <c r="C3972" i="1"/>
  <c r="B3972" i="1"/>
  <c r="T3971" i="1"/>
  <c r="R3971" i="1"/>
  <c r="S3971" i="1" s="1"/>
  <c r="O3971" i="1"/>
  <c r="Q3971" i="1" s="1"/>
  <c r="C3971" i="1"/>
  <c r="B3971" i="1"/>
  <c r="T3970" i="1"/>
  <c r="O3970" i="1"/>
  <c r="C3970" i="1"/>
  <c r="B3970" i="1"/>
  <c r="T3969" i="1"/>
  <c r="Q3969" i="1"/>
  <c r="R3969" i="1" s="1"/>
  <c r="S3969" i="1" s="1"/>
  <c r="O3969" i="1"/>
  <c r="C3969" i="1"/>
  <c r="B3969" i="1"/>
  <c r="T3968" i="1"/>
  <c r="R3968" i="1"/>
  <c r="S3968" i="1" s="1"/>
  <c r="Q3968" i="1"/>
  <c r="O3968" i="1"/>
  <c r="C3968" i="1"/>
  <c r="B3968" i="1"/>
  <c r="T3967" i="1"/>
  <c r="S3967" i="1"/>
  <c r="Q3967" i="1"/>
  <c r="R3967" i="1" s="1"/>
  <c r="O3967" i="1"/>
  <c r="C3967" i="1"/>
  <c r="B3967" i="1"/>
  <c r="T3966" i="1"/>
  <c r="Q3966" i="1"/>
  <c r="R3966" i="1" s="1"/>
  <c r="S3966" i="1" s="1"/>
  <c r="O3966" i="1"/>
  <c r="C3966" i="1"/>
  <c r="B3966" i="1"/>
  <c r="T3965" i="1"/>
  <c r="Q3965" i="1"/>
  <c r="O3965" i="1"/>
  <c r="C3965" i="1"/>
  <c r="B3965" i="1"/>
  <c r="T3964" i="1"/>
  <c r="Q3964" i="1"/>
  <c r="O3964" i="1"/>
  <c r="C3964" i="1"/>
  <c r="B3964" i="1"/>
  <c r="T3963" i="1"/>
  <c r="R3963" i="1"/>
  <c r="S3963" i="1" s="1"/>
  <c r="Q3963" i="1"/>
  <c r="O3963" i="1"/>
  <c r="C3963" i="1"/>
  <c r="B3963" i="1"/>
  <c r="T3962" i="1"/>
  <c r="O3962" i="1"/>
  <c r="C3962" i="1"/>
  <c r="B3962" i="1"/>
  <c r="T3961" i="1"/>
  <c r="Q3961" i="1"/>
  <c r="R3961" i="1" s="1"/>
  <c r="S3961" i="1" s="1"/>
  <c r="O3961" i="1"/>
  <c r="C3961" i="1"/>
  <c r="B3961" i="1"/>
  <c r="T3960" i="1"/>
  <c r="O3960" i="1"/>
  <c r="Q3960" i="1" s="1"/>
  <c r="C3960" i="1"/>
  <c r="B3960" i="1"/>
  <c r="T3959" i="1"/>
  <c r="S3959" i="1"/>
  <c r="R3959" i="1"/>
  <c r="Q3959" i="1"/>
  <c r="O3959" i="1"/>
  <c r="C3959" i="1"/>
  <c r="B3959" i="1"/>
  <c r="T3958" i="1"/>
  <c r="O3958" i="1"/>
  <c r="Q3958" i="1" s="1"/>
  <c r="R3958" i="1" s="1"/>
  <c r="S3958" i="1" s="1"/>
  <c r="C3958" i="1"/>
  <c r="B3958" i="1"/>
  <c r="T3957" i="1"/>
  <c r="R3957" i="1"/>
  <c r="S3957" i="1" s="1"/>
  <c r="Q3957" i="1"/>
  <c r="O3957" i="1"/>
  <c r="C3957" i="1"/>
  <c r="B3957" i="1"/>
  <c r="T3956" i="1"/>
  <c r="O3956" i="1"/>
  <c r="C3956" i="1"/>
  <c r="B3956" i="1"/>
  <c r="T3955" i="1"/>
  <c r="O3955" i="1"/>
  <c r="C3955" i="1"/>
  <c r="B3955" i="1"/>
  <c r="T3954" i="1"/>
  <c r="Q3954" i="1"/>
  <c r="R3954" i="1" s="1"/>
  <c r="S3954" i="1" s="1"/>
  <c r="O3954" i="1"/>
  <c r="C3954" i="1"/>
  <c r="B3954" i="1"/>
  <c r="T3953" i="1"/>
  <c r="Q3953" i="1"/>
  <c r="O3953" i="1"/>
  <c r="C3953" i="1"/>
  <c r="B3953" i="1"/>
  <c r="T3952" i="1"/>
  <c r="R3952" i="1"/>
  <c r="S3952" i="1" s="1"/>
  <c r="O3952" i="1"/>
  <c r="Q3952" i="1" s="1"/>
  <c r="C3952" i="1"/>
  <c r="B3952" i="1"/>
  <c r="T3951" i="1"/>
  <c r="R3951" i="1"/>
  <c r="S3951" i="1" s="1"/>
  <c r="O3951" i="1"/>
  <c r="Q3951" i="1" s="1"/>
  <c r="C3951" i="1"/>
  <c r="B3951" i="1"/>
  <c r="T3950" i="1"/>
  <c r="O3950" i="1"/>
  <c r="C3950" i="1"/>
  <c r="B3950" i="1"/>
  <c r="T3949" i="1"/>
  <c r="S3949" i="1"/>
  <c r="R3949" i="1"/>
  <c r="Q3949" i="1"/>
  <c r="O3949" i="1"/>
  <c r="C3949" i="1"/>
  <c r="B3949" i="1"/>
  <c r="T3948" i="1"/>
  <c r="O3948" i="1"/>
  <c r="C3948" i="1"/>
  <c r="B3948" i="1"/>
  <c r="T3947" i="1"/>
  <c r="S3947" i="1"/>
  <c r="R3947" i="1"/>
  <c r="O3947" i="1"/>
  <c r="Q3947" i="1" s="1"/>
  <c r="C3947" i="1"/>
  <c r="B3947" i="1"/>
  <c r="T3946" i="1"/>
  <c r="R3946" i="1"/>
  <c r="S3946" i="1" s="1"/>
  <c r="Q3946" i="1"/>
  <c r="O3946" i="1"/>
  <c r="C3946" i="1"/>
  <c r="B3946" i="1"/>
  <c r="T3945" i="1"/>
  <c r="Q3945" i="1"/>
  <c r="R3945" i="1" s="1"/>
  <c r="S3945" i="1" s="1"/>
  <c r="O3945" i="1"/>
  <c r="C3945" i="1"/>
  <c r="B3945" i="1"/>
  <c r="T3944" i="1"/>
  <c r="O3944" i="1"/>
  <c r="C3944" i="1"/>
  <c r="B3944" i="1"/>
  <c r="T3943" i="1"/>
  <c r="S3943" i="1"/>
  <c r="Q3943" i="1"/>
  <c r="R3943" i="1" s="1"/>
  <c r="O3943" i="1"/>
  <c r="C3943" i="1"/>
  <c r="B3943" i="1"/>
  <c r="T3942" i="1"/>
  <c r="R3942" i="1"/>
  <c r="S3942" i="1" s="1"/>
  <c r="Q3942" i="1"/>
  <c r="O3942" i="1"/>
  <c r="C3942" i="1"/>
  <c r="B3942" i="1"/>
  <c r="T3941" i="1"/>
  <c r="S3941" i="1"/>
  <c r="Q3941" i="1"/>
  <c r="R3941" i="1" s="1"/>
  <c r="O3941" i="1"/>
  <c r="C3941" i="1"/>
  <c r="B3941" i="1"/>
  <c r="T3940" i="1"/>
  <c r="O3940" i="1"/>
  <c r="C3940" i="1"/>
  <c r="B3940" i="1"/>
  <c r="T3939" i="1"/>
  <c r="R3939" i="1"/>
  <c r="S3939" i="1" s="1"/>
  <c r="O3939" i="1"/>
  <c r="Q3939" i="1" s="1"/>
  <c r="C3939" i="1"/>
  <c r="B3939" i="1"/>
  <c r="T3938" i="1"/>
  <c r="R3938" i="1"/>
  <c r="S3938" i="1" s="1"/>
  <c r="O3938" i="1"/>
  <c r="Q3938" i="1" s="1"/>
  <c r="C3938" i="1"/>
  <c r="B3938" i="1"/>
  <c r="T3937" i="1"/>
  <c r="S3937" i="1"/>
  <c r="R3937" i="1"/>
  <c r="Q3937" i="1"/>
  <c r="O3937" i="1"/>
  <c r="C3937" i="1"/>
  <c r="B3937" i="1"/>
  <c r="T3936" i="1"/>
  <c r="R3936" i="1"/>
  <c r="S3936" i="1" s="1"/>
  <c r="O3936" i="1"/>
  <c r="Q3936" i="1" s="1"/>
  <c r="C3936" i="1"/>
  <c r="B3936" i="1"/>
  <c r="T3935" i="1"/>
  <c r="S3935" i="1"/>
  <c r="R3935" i="1"/>
  <c r="Q3935" i="1"/>
  <c r="O3935" i="1"/>
  <c r="C3935" i="1"/>
  <c r="B3935" i="1"/>
  <c r="T3934" i="1"/>
  <c r="O3934" i="1"/>
  <c r="C3934" i="1"/>
  <c r="B3934" i="1"/>
  <c r="T3933" i="1"/>
  <c r="O3933" i="1"/>
  <c r="C3933" i="1"/>
  <c r="B3933" i="1"/>
  <c r="T3932" i="1"/>
  <c r="O3932" i="1"/>
  <c r="C3932" i="1"/>
  <c r="B3932" i="1"/>
  <c r="T3931" i="1"/>
  <c r="Q3931" i="1"/>
  <c r="O3931" i="1"/>
  <c r="C3931" i="1"/>
  <c r="B3931" i="1"/>
  <c r="T3930" i="1"/>
  <c r="Q3930" i="1"/>
  <c r="R3930" i="1" s="1"/>
  <c r="S3930" i="1" s="1"/>
  <c r="O3930" i="1"/>
  <c r="C3930" i="1"/>
  <c r="B3930" i="1"/>
  <c r="T3929" i="1"/>
  <c r="Q3929" i="1"/>
  <c r="O3929" i="1"/>
  <c r="C3929" i="1"/>
  <c r="B3929" i="1"/>
  <c r="T3928" i="1"/>
  <c r="O3928" i="1"/>
  <c r="C3928" i="1"/>
  <c r="B3928" i="1"/>
  <c r="T3927" i="1"/>
  <c r="O3927" i="1"/>
  <c r="C3927" i="1"/>
  <c r="B3927" i="1"/>
  <c r="T3926" i="1"/>
  <c r="R3926" i="1"/>
  <c r="S3926" i="1" s="1"/>
  <c r="Q3926" i="1"/>
  <c r="O3926" i="1"/>
  <c r="C3926" i="1"/>
  <c r="B3926" i="1"/>
  <c r="T3925" i="1"/>
  <c r="Q3925" i="1"/>
  <c r="R3925" i="1" s="1"/>
  <c r="S3925" i="1" s="1"/>
  <c r="O3925" i="1"/>
  <c r="C3925" i="1"/>
  <c r="B3925" i="1"/>
  <c r="T3924" i="1"/>
  <c r="O3924" i="1"/>
  <c r="C3924" i="1"/>
  <c r="B3924" i="1"/>
  <c r="T3923" i="1"/>
  <c r="O3923" i="1"/>
  <c r="C3923" i="1"/>
  <c r="B3923" i="1"/>
  <c r="T3922" i="1"/>
  <c r="O3922" i="1"/>
  <c r="C3922" i="1"/>
  <c r="B3922" i="1"/>
  <c r="T3921" i="1"/>
  <c r="Q3921" i="1"/>
  <c r="R3921" i="1" s="1"/>
  <c r="S3921" i="1" s="1"/>
  <c r="O3921" i="1"/>
  <c r="C3921" i="1"/>
  <c r="B3921" i="1"/>
  <c r="T3920" i="1"/>
  <c r="O3920" i="1"/>
  <c r="C3920" i="1"/>
  <c r="B3920" i="1"/>
  <c r="T3919" i="1"/>
  <c r="Q3919" i="1"/>
  <c r="R3919" i="1" s="1"/>
  <c r="S3919" i="1" s="1"/>
  <c r="O3919" i="1"/>
  <c r="C3919" i="1"/>
  <c r="B3919" i="1"/>
  <c r="T3918" i="1"/>
  <c r="R3918" i="1"/>
  <c r="S3918" i="1" s="1"/>
  <c r="Q3918" i="1"/>
  <c r="O3918" i="1"/>
  <c r="C3918" i="1"/>
  <c r="B3918" i="1"/>
  <c r="T3917" i="1"/>
  <c r="O3917" i="1"/>
  <c r="C3917" i="1"/>
  <c r="B3917" i="1"/>
  <c r="T3916" i="1"/>
  <c r="Q3916" i="1"/>
  <c r="O3916" i="1"/>
  <c r="C3916" i="1"/>
  <c r="B3916" i="1"/>
  <c r="T3915" i="1"/>
  <c r="R3915" i="1"/>
  <c r="S3915" i="1" s="1"/>
  <c r="Q3915" i="1"/>
  <c r="O3915" i="1"/>
  <c r="C3915" i="1"/>
  <c r="B3915" i="1"/>
  <c r="T3914" i="1"/>
  <c r="O3914" i="1"/>
  <c r="C3914" i="1"/>
  <c r="B3914" i="1"/>
  <c r="T3913" i="1"/>
  <c r="Q3913" i="1"/>
  <c r="O3913" i="1"/>
  <c r="C3913" i="1"/>
  <c r="B3913" i="1"/>
  <c r="T3912" i="1"/>
  <c r="O3912" i="1"/>
  <c r="C3912" i="1"/>
  <c r="B3912" i="1"/>
  <c r="T3911" i="1"/>
  <c r="S3911" i="1"/>
  <c r="R3911" i="1"/>
  <c r="Q3911" i="1"/>
  <c r="O3911" i="1"/>
  <c r="C3911" i="1"/>
  <c r="B3911" i="1"/>
  <c r="T3910" i="1"/>
  <c r="O3910" i="1"/>
  <c r="Q3910" i="1" s="1"/>
  <c r="R3910" i="1" s="1"/>
  <c r="S3910" i="1" s="1"/>
  <c r="C3910" i="1"/>
  <c r="B3910" i="1"/>
  <c r="T3909" i="1"/>
  <c r="Q3909" i="1"/>
  <c r="R3909" i="1" s="1"/>
  <c r="S3909" i="1" s="1"/>
  <c r="O3909" i="1"/>
  <c r="C3909" i="1"/>
  <c r="B3909" i="1"/>
  <c r="T3908" i="1"/>
  <c r="R3908" i="1"/>
  <c r="S3908" i="1" s="1"/>
  <c r="O3908" i="1"/>
  <c r="Q3908" i="1" s="1"/>
  <c r="C3908" i="1"/>
  <c r="B3908" i="1"/>
  <c r="T3907" i="1"/>
  <c r="O3907" i="1"/>
  <c r="C3907" i="1"/>
  <c r="B3907" i="1"/>
  <c r="T3906" i="1"/>
  <c r="Q3906" i="1"/>
  <c r="R3906" i="1" s="1"/>
  <c r="S3906" i="1" s="1"/>
  <c r="O3906" i="1"/>
  <c r="C3906" i="1"/>
  <c r="B3906" i="1"/>
  <c r="T3905" i="1"/>
  <c r="Q3905" i="1"/>
  <c r="O3905" i="1"/>
  <c r="C3905" i="1"/>
  <c r="B3905" i="1"/>
  <c r="T3904" i="1"/>
  <c r="O3904" i="1"/>
  <c r="Q3904" i="1" s="1"/>
  <c r="C3904" i="1"/>
  <c r="B3904" i="1"/>
  <c r="T3903" i="1"/>
  <c r="S3903" i="1"/>
  <c r="R3903" i="1"/>
  <c r="O3903" i="1"/>
  <c r="Q3903" i="1" s="1"/>
  <c r="C3903" i="1"/>
  <c r="B3903" i="1"/>
  <c r="T3902" i="1"/>
  <c r="O3902" i="1"/>
  <c r="C3902" i="1"/>
  <c r="B3902" i="1"/>
  <c r="T3901" i="1"/>
  <c r="O3901" i="1"/>
  <c r="Q3901" i="1" s="1"/>
  <c r="R3901" i="1" s="1"/>
  <c r="S3901" i="1" s="1"/>
  <c r="C3901" i="1"/>
  <c r="B3901" i="1"/>
  <c r="T3900" i="1"/>
  <c r="O3900" i="1"/>
  <c r="C3900" i="1"/>
  <c r="B3900" i="1"/>
  <c r="T3899" i="1"/>
  <c r="S3899" i="1"/>
  <c r="R3899" i="1"/>
  <c r="O3899" i="1"/>
  <c r="Q3899" i="1" s="1"/>
  <c r="C3899" i="1"/>
  <c r="B3899" i="1"/>
  <c r="T3898" i="1"/>
  <c r="R3898" i="1"/>
  <c r="S3898" i="1" s="1"/>
  <c r="Q3898" i="1"/>
  <c r="O3898" i="1"/>
  <c r="C3898" i="1"/>
  <c r="B3898" i="1"/>
  <c r="T3897" i="1"/>
  <c r="Q3897" i="1"/>
  <c r="R3897" i="1" s="1"/>
  <c r="S3897" i="1" s="1"/>
  <c r="O3897" i="1"/>
  <c r="C3897" i="1"/>
  <c r="B3897" i="1"/>
  <c r="T3896" i="1"/>
  <c r="O3896" i="1"/>
  <c r="C3896" i="1"/>
  <c r="B3896" i="1"/>
  <c r="T3895" i="1"/>
  <c r="S3895" i="1"/>
  <c r="Q3895" i="1"/>
  <c r="R3895" i="1" s="1"/>
  <c r="O3895" i="1"/>
  <c r="C3895" i="1"/>
  <c r="B3895" i="1"/>
  <c r="T3894" i="1"/>
  <c r="S3894" i="1"/>
  <c r="R3894" i="1"/>
  <c r="Q3894" i="1"/>
  <c r="O3894" i="1"/>
  <c r="C3894" i="1"/>
  <c r="B3894" i="1"/>
  <c r="T3893" i="1"/>
  <c r="Q3893" i="1"/>
  <c r="R3893" i="1" s="1"/>
  <c r="S3893" i="1" s="1"/>
  <c r="O3893" i="1"/>
  <c r="C3893" i="1"/>
  <c r="B3893" i="1"/>
  <c r="T3892" i="1"/>
  <c r="O3892" i="1"/>
  <c r="C3892" i="1"/>
  <c r="B3892" i="1"/>
  <c r="T3891" i="1"/>
  <c r="O3891" i="1"/>
  <c r="C3891" i="1"/>
  <c r="B3891" i="1"/>
  <c r="T3890" i="1"/>
  <c r="R3890" i="1"/>
  <c r="S3890" i="1" s="1"/>
  <c r="O3890" i="1"/>
  <c r="Q3890" i="1" s="1"/>
  <c r="C3890" i="1"/>
  <c r="B3890" i="1"/>
  <c r="T3889" i="1"/>
  <c r="S3889" i="1"/>
  <c r="R3889" i="1"/>
  <c r="Q3889" i="1"/>
  <c r="O3889" i="1"/>
  <c r="C3889" i="1"/>
  <c r="B3889" i="1"/>
  <c r="T3888" i="1"/>
  <c r="R3888" i="1"/>
  <c r="S3888" i="1" s="1"/>
  <c r="O3888" i="1"/>
  <c r="Q3888" i="1" s="1"/>
  <c r="C3888" i="1"/>
  <c r="B3888" i="1"/>
  <c r="T3887" i="1"/>
  <c r="Q3887" i="1"/>
  <c r="R3887" i="1" s="1"/>
  <c r="S3887" i="1" s="1"/>
  <c r="O3887" i="1"/>
  <c r="C3887" i="1"/>
  <c r="B3887" i="1"/>
  <c r="T3886" i="1"/>
  <c r="O3886" i="1"/>
  <c r="C3886" i="1"/>
  <c r="B3886" i="1"/>
  <c r="T3885" i="1"/>
  <c r="O3885" i="1"/>
  <c r="C3885" i="1"/>
  <c r="B3885" i="1"/>
  <c r="T3884" i="1"/>
  <c r="O3884" i="1"/>
  <c r="C3884" i="1"/>
  <c r="B3884" i="1"/>
  <c r="T3883" i="1"/>
  <c r="Q3883" i="1"/>
  <c r="O3883" i="1"/>
  <c r="C3883" i="1"/>
  <c r="B3883" i="1"/>
  <c r="T3882" i="1"/>
  <c r="R3882" i="1"/>
  <c r="S3882" i="1" s="1"/>
  <c r="Q3882" i="1"/>
  <c r="O3882" i="1"/>
  <c r="C3882" i="1"/>
  <c r="B3882" i="1"/>
  <c r="T3881" i="1"/>
  <c r="Q3881" i="1"/>
  <c r="O3881" i="1"/>
  <c r="C3881" i="1"/>
  <c r="B3881" i="1"/>
  <c r="T3880" i="1"/>
  <c r="O3880" i="1"/>
  <c r="C3880" i="1"/>
  <c r="B3880" i="1"/>
  <c r="T3879" i="1"/>
  <c r="O3879" i="1"/>
  <c r="C3879" i="1"/>
  <c r="B3879" i="1"/>
  <c r="T3878" i="1"/>
  <c r="R3878" i="1"/>
  <c r="S3878" i="1" s="1"/>
  <c r="Q3878" i="1"/>
  <c r="O3878" i="1"/>
  <c r="C3878" i="1"/>
  <c r="B3878" i="1"/>
  <c r="T3877" i="1"/>
  <c r="Q3877" i="1"/>
  <c r="R3877" i="1" s="1"/>
  <c r="S3877" i="1" s="1"/>
  <c r="O3877" i="1"/>
  <c r="C3877" i="1"/>
  <c r="B3877" i="1"/>
  <c r="T3876" i="1"/>
  <c r="O3876" i="1"/>
  <c r="C3876" i="1"/>
  <c r="B3876" i="1"/>
  <c r="T3875" i="1"/>
  <c r="R3875" i="1"/>
  <c r="S3875" i="1" s="1"/>
  <c r="O3875" i="1"/>
  <c r="Q3875" i="1" s="1"/>
  <c r="C3875" i="1"/>
  <c r="B3875" i="1"/>
  <c r="T3874" i="1"/>
  <c r="O3874" i="1"/>
  <c r="C3874" i="1"/>
  <c r="B3874" i="1"/>
  <c r="T3873" i="1"/>
  <c r="S3873" i="1"/>
  <c r="Q3873" i="1"/>
  <c r="R3873" i="1" s="1"/>
  <c r="O3873" i="1"/>
  <c r="C3873" i="1"/>
  <c r="B3873" i="1"/>
  <c r="T3872" i="1"/>
  <c r="O3872" i="1"/>
  <c r="C3872" i="1"/>
  <c r="B3872" i="1"/>
  <c r="T3871" i="1"/>
  <c r="S3871" i="1"/>
  <c r="R3871" i="1"/>
  <c r="Q3871" i="1"/>
  <c r="O3871" i="1"/>
  <c r="C3871" i="1"/>
  <c r="B3871" i="1"/>
  <c r="T3870" i="1"/>
  <c r="R3870" i="1"/>
  <c r="S3870" i="1" s="1"/>
  <c r="Q3870" i="1"/>
  <c r="O3870" i="1"/>
  <c r="C3870" i="1"/>
  <c r="B3870" i="1"/>
  <c r="T3869" i="1"/>
  <c r="Q3869" i="1"/>
  <c r="O3869" i="1"/>
  <c r="C3869" i="1"/>
  <c r="B3869" i="1"/>
  <c r="T3868" i="1"/>
  <c r="O3868" i="1"/>
  <c r="C3868" i="1"/>
  <c r="B3868" i="1"/>
  <c r="T3867" i="1"/>
  <c r="S3867" i="1"/>
  <c r="R3867" i="1"/>
  <c r="Q3867" i="1"/>
  <c r="O3867" i="1"/>
  <c r="C3867" i="1"/>
  <c r="B3867" i="1"/>
  <c r="T3866" i="1"/>
  <c r="O3866" i="1"/>
  <c r="C3866" i="1"/>
  <c r="B3866" i="1"/>
  <c r="T3865" i="1"/>
  <c r="O3865" i="1"/>
  <c r="C3865" i="1"/>
  <c r="B3865" i="1"/>
  <c r="T3864" i="1"/>
  <c r="S3864" i="1"/>
  <c r="R3864" i="1"/>
  <c r="O3864" i="1"/>
  <c r="Q3864" i="1" s="1"/>
  <c r="C3864" i="1"/>
  <c r="B3864" i="1"/>
  <c r="T3863" i="1"/>
  <c r="S3863" i="1"/>
  <c r="R3863" i="1"/>
  <c r="Q3863" i="1"/>
  <c r="O3863" i="1"/>
  <c r="C3863" i="1"/>
  <c r="B3863" i="1"/>
  <c r="T3862" i="1"/>
  <c r="O3862" i="1"/>
  <c r="Q3862" i="1" s="1"/>
  <c r="R3862" i="1" s="1"/>
  <c r="S3862" i="1" s="1"/>
  <c r="C3862" i="1"/>
  <c r="B3862" i="1"/>
  <c r="T3861" i="1"/>
  <c r="R3861" i="1"/>
  <c r="S3861" i="1" s="1"/>
  <c r="Q3861" i="1"/>
  <c r="O3861" i="1"/>
  <c r="C3861" i="1"/>
  <c r="B3861" i="1"/>
  <c r="T3860" i="1"/>
  <c r="R3860" i="1"/>
  <c r="S3860" i="1" s="1"/>
  <c r="Q3860" i="1"/>
  <c r="O3860" i="1"/>
  <c r="C3860" i="1"/>
  <c r="B3860" i="1"/>
  <c r="T3859" i="1"/>
  <c r="O3859" i="1"/>
  <c r="C3859" i="1"/>
  <c r="B3859" i="1"/>
  <c r="T3858" i="1"/>
  <c r="Q3858" i="1"/>
  <c r="R3858" i="1" s="1"/>
  <c r="S3858" i="1" s="1"/>
  <c r="O3858" i="1"/>
  <c r="C3858" i="1"/>
  <c r="B3858" i="1"/>
  <c r="T3857" i="1"/>
  <c r="O3857" i="1"/>
  <c r="C3857" i="1"/>
  <c r="B3857" i="1"/>
  <c r="T3856" i="1"/>
  <c r="O3856" i="1"/>
  <c r="C3856" i="1"/>
  <c r="B3856" i="1"/>
  <c r="T3855" i="1"/>
  <c r="S3855" i="1"/>
  <c r="R3855" i="1"/>
  <c r="O3855" i="1"/>
  <c r="Q3855" i="1" s="1"/>
  <c r="C3855" i="1"/>
  <c r="B3855" i="1"/>
  <c r="T3854" i="1"/>
  <c r="O3854" i="1"/>
  <c r="C3854" i="1"/>
  <c r="B3854" i="1"/>
  <c r="T3853" i="1"/>
  <c r="O3853" i="1"/>
  <c r="Q3853" i="1" s="1"/>
  <c r="R3853" i="1" s="1"/>
  <c r="S3853" i="1" s="1"/>
  <c r="C3853" i="1"/>
  <c r="B3853" i="1"/>
  <c r="T3852" i="1"/>
  <c r="O3852" i="1"/>
  <c r="C3852" i="1"/>
  <c r="B3852" i="1"/>
  <c r="T3851" i="1"/>
  <c r="R3851" i="1"/>
  <c r="S3851" i="1" s="1"/>
  <c r="O3851" i="1"/>
  <c r="Q3851" i="1" s="1"/>
  <c r="C3851" i="1"/>
  <c r="B3851" i="1"/>
  <c r="T3850" i="1"/>
  <c r="R3850" i="1"/>
  <c r="S3850" i="1" s="1"/>
  <c r="O3850" i="1"/>
  <c r="Q3850" i="1" s="1"/>
  <c r="C3850" i="1"/>
  <c r="B3850" i="1"/>
  <c r="T3849" i="1"/>
  <c r="Q3849" i="1"/>
  <c r="R3849" i="1" s="1"/>
  <c r="S3849" i="1" s="1"/>
  <c r="O3849" i="1"/>
  <c r="C3849" i="1"/>
  <c r="B3849" i="1"/>
  <c r="T3848" i="1"/>
  <c r="O3848" i="1"/>
  <c r="C3848" i="1"/>
  <c r="B3848" i="1"/>
  <c r="T3847" i="1"/>
  <c r="S3847" i="1"/>
  <c r="Q3847" i="1"/>
  <c r="R3847" i="1" s="1"/>
  <c r="O3847" i="1"/>
  <c r="C3847" i="1"/>
  <c r="B3847" i="1"/>
  <c r="T3846" i="1"/>
  <c r="Q3846" i="1"/>
  <c r="R3846" i="1" s="1"/>
  <c r="S3846" i="1" s="1"/>
  <c r="O3846" i="1"/>
  <c r="C3846" i="1"/>
  <c r="B3846" i="1"/>
  <c r="T3845" i="1"/>
  <c r="S3845" i="1"/>
  <c r="Q3845" i="1"/>
  <c r="R3845" i="1" s="1"/>
  <c r="O3845" i="1"/>
  <c r="C3845" i="1"/>
  <c r="B3845" i="1"/>
  <c r="T3844" i="1"/>
  <c r="O3844" i="1"/>
  <c r="C3844" i="1"/>
  <c r="B3844" i="1"/>
  <c r="T3843" i="1"/>
  <c r="O3843" i="1"/>
  <c r="C3843" i="1"/>
  <c r="B3843" i="1"/>
  <c r="T3842" i="1"/>
  <c r="R3842" i="1"/>
  <c r="S3842" i="1" s="1"/>
  <c r="O3842" i="1"/>
  <c r="Q3842" i="1" s="1"/>
  <c r="C3842" i="1"/>
  <c r="B3842" i="1"/>
  <c r="T3841" i="1"/>
  <c r="S3841" i="1"/>
  <c r="R3841" i="1"/>
  <c r="Q3841" i="1"/>
  <c r="O3841" i="1"/>
  <c r="C3841" i="1"/>
  <c r="B3841" i="1"/>
  <c r="T3840" i="1"/>
  <c r="O3840" i="1"/>
  <c r="Q3840" i="1" s="1"/>
  <c r="C3840" i="1"/>
  <c r="B3840" i="1"/>
  <c r="T3839" i="1"/>
  <c r="S3839" i="1"/>
  <c r="R3839" i="1"/>
  <c r="Q3839" i="1"/>
  <c r="O3839" i="1"/>
  <c r="C3839" i="1"/>
  <c r="B3839" i="1"/>
  <c r="T3838" i="1"/>
  <c r="O3838" i="1"/>
  <c r="C3838" i="1"/>
  <c r="B3838" i="1"/>
  <c r="T3837" i="1"/>
  <c r="O3837" i="1"/>
  <c r="C3837" i="1"/>
  <c r="B3837" i="1"/>
  <c r="T3836" i="1"/>
  <c r="O3836" i="1"/>
  <c r="C3836" i="1"/>
  <c r="B3836" i="1"/>
  <c r="T3835" i="1"/>
  <c r="Q3835" i="1"/>
  <c r="O3835" i="1"/>
  <c r="C3835" i="1"/>
  <c r="B3835" i="1"/>
  <c r="T3834" i="1"/>
  <c r="R3834" i="1"/>
  <c r="S3834" i="1" s="1"/>
  <c r="Q3834" i="1"/>
  <c r="O3834" i="1"/>
  <c r="C3834" i="1"/>
  <c r="B3834" i="1"/>
  <c r="T3833" i="1"/>
  <c r="Q3833" i="1"/>
  <c r="O3833" i="1"/>
  <c r="C3833" i="1"/>
  <c r="B3833" i="1"/>
  <c r="T3832" i="1"/>
  <c r="O3832" i="1"/>
  <c r="C3832" i="1"/>
  <c r="B3832" i="1"/>
  <c r="T3831" i="1"/>
  <c r="Q3831" i="1"/>
  <c r="O3831" i="1"/>
  <c r="C3831" i="1"/>
  <c r="B3831" i="1"/>
  <c r="T3830" i="1"/>
  <c r="R3830" i="1"/>
  <c r="S3830" i="1" s="1"/>
  <c r="Q3830" i="1"/>
  <c r="O3830" i="1"/>
  <c r="C3830" i="1"/>
  <c r="B3830" i="1"/>
  <c r="T3829" i="1"/>
  <c r="Q3829" i="1"/>
  <c r="R3829" i="1" s="1"/>
  <c r="S3829" i="1" s="1"/>
  <c r="O3829" i="1"/>
  <c r="C3829" i="1"/>
  <c r="B3829" i="1"/>
  <c r="T3828" i="1"/>
  <c r="O3828" i="1"/>
  <c r="C3828" i="1"/>
  <c r="B3828" i="1"/>
  <c r="T3827" i="1"/>
  <c r="R3827" i="1"/>
  <c r="S3827" i="1" s="1"/>
  <c r="O3827" i="1"/>
  <c r="Q3827" i="1" s="1"/>
  <c r="C3827" i="1"/>
  <c r="B3827" i="1"/>
  <c r="T3826" i="1"/>
  <c r="O3826" i="1"/>
  <c r="C3826" i="1"/>
  <c r="B3826" i="1"/>
  <c r="T3825" i="1"/>
  <c r="Q3825" i="1"/>
  <c r="R3825" i="1" s="1"/>
  <c r="S3825" i="1" s="1"/>
  <c r="O3825" i="1"/>
  <c r="C3825" i="1"/>
  <c r="B3825" i="1"/>
  <c r="T3824" i="1"/>
  <c r="O3824" i="1"/>
  <c r="C3824" i="1"/>
  <c r="B3824" i="1"/>
  <c r="T3823" i="1"/>
  <c r="R3823" i="1"/>
  <c r="S3823" i="1" s="1"/>
  <c r="Q3823" i="1"/>
  <c r="O3823" i="1"/>
  <c r="C3823" i="1"/>
  <c r="B3823" i="1"/>
  <c r="T3822" i="1"/>
  <c r="R3822" i="1"/>
  <c r="S3822" i="1" s="1"/>
  <c r="Q3822" i="1"/>
  <c r="O3822" i="1"/>
  <c r="C3822" i="1"/>
  <c r="B3822" i="1"/>
  <c r="T3821" i="1"/>
  <c r="O3821" i="1"/>
  <c r="C3821" i="1"/>
  <c r="B3821" i="1"/>
  <c r="T3820" i="1"/>
  <c r="O3820" i="1"/>
  <c r="C3820" i="1"/>
  <c r="B3820" i="1"/>
  <c r="T3819" i="1"/>
  <c r="R3819" i="1"/>
  <c r="S3819" i="1" s="1"/>
  <c r="Q3819" i="1"/>
  <c r="O3819" i="1"/>
  <c r="C3819" i="1"/>
  <c r="B3819" i="1"/>
  <c r="T3818" i="1"/>
  <c r="O3818" i="1"/>
  <c r="C3818" i="1"/>
  <c r="B3818" i="1"/>
  <c r="T3817" i="1"/>
  <c r="Q3817" i="1"/>
  <c r="O3817" i="1"/>
  <c r="C3817" i="1"/>
  <c r="B3817" i="1"/>
  <c r="T3816" i="1"/>
  <c r="O3816" i="1"/>
  <c r="Q3816" i="1" s="1"/>
  <c r="C3816" i="1"/>
  <c r="B3816" i="1"/>
  <c r="T3815" i="1"/>
  <c r="S3815" i="1"/>
  <c r="R3815" i="1"/>
  <c r="Q3815" i="1"/>
  <c r="O3815" i="1"/>
  <c r="C3815" i="1"/>
  <c r="B3815" i="1"/>
  <c r="T3814" i="1"/>
  <c r="O3814" i="1"/>
  <c r="Q3814" i="1" s="1"/>
  <c r="R3814" i="1" s="1"/>
  <c r="S3814" i="1" s="1"/>
  <c r="C3814" i="1"/>
  <c r="B3814" i="1"/>
  <c r="T3813" i="1"/>
  <c r="Q3813" i="1"/>
  <c r="R3813" i="1" s="1"/>
  <c r="S3813" i="1" s="1"/>
  <c r="O3813" i="1"/>
  <c r="C3813" i="1"/>
  <c r="B3813" i="1"/>
  <c r="T3812" i="1"/>
  <c r="Q3812" i="1"/>
  <c r="O3812" i="1"/>
  <c r="C3812" i="1"/>
  <c r="B3812" i="1"/>
  <c r="T3811" i="1"/>
  <c r="Q3811" i="1"/>
  <c r="O3811" i="1"/>
  <c r="C3811" i="1"/>
  <c r="B3811" i="1"/>
  <c r="T3810" i="1"/>
  <c r="Q3810" i="1"/>
  <c r="R3810" i="1" s="1"/>
  <c r="S3810" i="1" s="1"/>
  <c r="O3810" i="1"/>
  <c r="C3810" i="1"/>
  <c r="B3810" i="1"/>
  <c r="T3809" i="1"/>
  <c r="O3809" i="1"/>
  <c r="C3809" i="1"/>
  <c r="B3809" i="1"/>
  <c r="T3808" i="1"/>
  <c r="O3808" i="1"/>
  <c r="Q3808" i="1" s="1"/>
  <c r="C3808" i="1"/>
  <c r="B3808" i="1"/>
  <c r="T3807" i="1"/>
  <c r="O3807" i="1"/>
  <c r="C3807" i="1"/>
  <c r="B3807" i="1"/>
  <c r="T3806" i="1"/>
  <c r="O3806" i="1"/>
  <c r="C3806" i="1"/>
  <c r="B3806" i="1"/>
  <c r="T3805" i="1"/>
  <c r="S3805" i="1"/>
  <c r="R3805" i="1"/>
  <c r="O3805" i="1"/>
  <c r="Q3805" i="1" s="1"/>
  <c r="C3805" i="1"/>
  <c r="B3805" i="1"/>
  <c r="T3804" i="1"/>
  <c r="O3804" i="1"/>
  <c r="C3804" i="1"/>
  <c r="B3804" i="1"/>
  <c r="T3803" i="1"/>
  <c r="R3803" i="1"/>
  <c r="S3803" i="1" s="1"/>
  <c r="O3803" i="1"/>
  <c r="Q3803" i="1" s="1"/>
  <c r="C3803" i="1"/>
  <c r="B3803" i="1"/>
  <c r="T3802" i="1"/>
  <c r="R3802" i="1"/>
  <c r="S3802" i="1" s="1"/>
  <c r="O3802" i="1"/>
  <c r="Q3802" i="1" s="1"/>
  <c r="C3802" i="1"/>
  <c r="B3802" i="1"/>
  <c r="T3801" i="1"/>
  <c r="Q3801" i="1"/>
  <c r="R3801" i="1" s="1"/>
  <c r="S3801" i="1" s="1"/>
  <c r="O3801" i="1"/>
  <c r="C3801" i="1"/>
  <c r="B3801" i="1"/>
  <c r="T3800" i="1"/>
  <c r="O3800" i="1"/>
  <c r="C3800" i="1"/>
  <c r="B3800" i="1"/>
  <c r="T3799" i="1"/>
  <c r="Q3799" i="1"/>
  <c r="R3799" i="1" s="1"/>
  <c r="S3799" i="1" s="1"/>
  <c r="O3799" i="1"/>
  <c r="C3799" i="1"/>
  <c r="B3799" i="1"/>
  <c r="T3798" i="1"/>
  <c r="S3798" i="1"/>
  <c r="R3798" i="1"/>
  <c r="Q3798" i="1"/>
  <c r="O3798" i="1"/>
  <c r="C3798" i="1"/>
  <c r="B3798" i="1"/>
  <c r="T3797" i="1"/>
  <c r="Q3797" i="1"/>
  <c r="R3797" i="1" s="1"/>
  <c r="S3797" i="1" s="1"/>
  <c r="O3797" i="1"/>
  <c r="C3797" i="1"/>
  <c r="B3797" i="1"/>
  <c r="T3796" i="1"/>
  <c r="O3796" i="1"/>
  <c r="C3796" i="1"/>
  <c r="B3796" i="1"/>
  <c r="T3795" i="1"/>
  <c r="Q3795" i="1"/>
  <c r="O3795" i="1"/>
  <c r="C3795" i="1"/>
  <c r="B3795" i="1"/>
  <c r="T3794" i="1"/>
  <c r="R3794" i="1"/>
  <c r="S3794" i="1" s="1"/>
  <c r="O3794" i="1"/>
  <c r="Q3794" i="1" s="1"/>
  <c r="C3794" i="1"/>
  <c r="B3794" i="1"/>
  <c r="T3793" i="1"/>
  <c r="S3793" i="1"/>
  <c r="R3793" i="1"/>
  <c r="Q3793" i="1"/>
  <c r="O3793" i="1"/>
  <c r="C3793" i="1"/>
  <c r="B3793" i="1"/>
  <c r="T3792" i="1"/>
  <c r="R3792" i="1"/>
  <c r="S3792" i="1" s="1"/>
  <c r="O3792" i="1"/>
  <c r="Q3792" i="1" s="1"/>
  <c r="C3792" i="1"/>
  <c r="B3792" i="1"/>
  <c r="T3791" i="1"/>
  <c r="S3791" i="1"/>
  <c r="Q3791" i="1"/>
  <c r="R3791" i="1" s="1"/>
  <c r="O3791" i="1"/>
  <c r="C3791" i="1"/>
  <c r="B3791" i="1"/>
  <c r="T3790" i="1"/>
  <c r="O3790" i="1"/>
  <c r="C3790" i="1"/>
  <c r="B3790" i="1"/>
  <c r="T3789" i="1"/>
  <c r="O3789" i="1"/>
  <c r="C3789" i="1"/>
  <c r="B3789" i="1"/>
  <c r="T3788" i="1"/>
  <c r="O3788" i="1"/>
  <c r="C3788" i="1"/>
  <c r="B3788" i="1"/>
  <c r="T3787" i="1"/>
  <c r="Q3787" i="1"/>
  <c r="O3787" i="1"/>
  <c r="C3787" i="1"/>
  <c r="B3787" i="1"/>
  <c r="T3786" i="1"/>
  <c r="R3786" i="1"/>
  <c r="S3786" i="1" s="1"/>
  <c r="Q3786" i="1"/>
  <c r="O3786" i="1"/>
  <c r="C3786" i="1"/>
  <c r="B3786" i="1"/>
  <c r="T3785" i="1"/>
  <c r="Q3785" i="1"/>
  <c r="O3785" i="1"/>
  <c r="C3785" i="1"/>
  <c r="B3785" i="1"/>
  <c r="T3784" i="1"/>
  <c r="O3784" i="1"/>
  <c r="C3784" i="1"/>
  <c r="B3784" i="1"/>
  <c r="T3783" i="1"/>
  <c r="Q3783" i="1"/>
  <c r="O3783" i="1"/>
  <c r="C3783" i="1"/>
  <c r="B3783" i="1"/>
  <c r="T3782" i="1"/>
  <c r="R3782" i="1"/>
  <c r="S3782" i="1" s="1"/>
  <c r="Q3782" i="1"/>
  <c r="O3782" i="1"/>
  <c r="C3782" i="1"/>
  <c r="B3782" i="1"/>
  <c r="T3781" i="1"/>
  <c r="Q3781" i="1"/>
  <c r="R3781" i="1" s="1"/>
  <c r="S3781" i="1" s="1"/>
  <c r="O3781" i="1"/>
  <c r="C3781" i="1"/>
  <c r="B3781" i="1"/>
  <c r="T3780" i="1"/>
  <c r="Q3780" i="1"/>
  <c r="O3780" i="1"/>
  <c r="C3780" i="1"/>
  <c r="B3780" i="1"/>
  <c r="T3779" i="1"/>
  <c r="O3779" i="1"/>
  <c r="C3779" i="1"/>
  <c r="B3779" i="1"/>
  <c r="T3778" i="1"/>
  <c r="O3778" i="1"/>
  <c r="C3778" i="1"/>
  <c r="B3778" i="1"/>
  <c r="T3777" i="1"/>
  <c r="Q3777" i="1"/>
  <c r="R3777" i="1" s="1"/>
  <c r="S3777" i="1" s="1"/>
  <c r="O3777" i="1"/>
  <c r="C3777" i="1"/>
  <c r="B3777" i="1"/>
  <c r="T3776" i="1"/>
  <c r="Q3776" i="1"/>
  <c r="O3776" i="1"/>
  <c r="C3776" i="1"/>
  <c r="B3776" i="1"/>
  <c r="T3775" i="1"/>
  <c r="S3775" i="1"/>
  <c r="R3775" i="1"/>
  <c r="Q3775" i="1"/>
  <c r="O3775" i="1"/>
  <c r="C3775" i="1"/>
  <c r="B3775" i="1"/>
  <c r="T3774" i="1"/>
  <c r="R3774" i="1"/>
  <c r="S3774" i="1" s="1"/>
  <c r="Q3774" i="1"/>
  <c r="O3774" i="1"/>
  <c r="C3774" i="1"/>
  <c r="B3774" i="1"/>
  <c r="T3773" i="1"/>
  <c r="O3773" i="1"/>
  <c r="C3773" i="1"/>
  <c r="B3773" i="1"/>
  <c r="T3772" i="1"/>
  <c r="Q3772" i="1"/>
  <c r="O3772" i="1"/>
  <c r="C3772" i="1"/>
  <c r="B3772" i="1"/>
  <c r="T3771" i="1"/>
  <c r="R3771" i="1"/>
  <c r="S3771" i="1" s="1"/>
  <c r="Q3771" i="1"/>
  <c r="O3771" i="1"/>
  <c r="C3771" i="1"/>
  <c r="B3771" i="1"/>
  <c r="T3770" i="1"/>
  <c r="O3770" i="1"/>
  <c r="C3770" i="1"/>
  <c r="B3770" i="1"/>
  <c r="T3769" i="1"/>
  <c r="Q3769" i="1"/>
  <c r="O3769" i="1"/>
  <c r="C3769" i="1"/>
  <c r="B3769" i="1"/>
  <c r="T3768" i="1"/>
  <c r="O3768" i="1"/>
  <c r="Q3768" i="1" s="1"/>
  <c r="C3768" i="1"/>
  <c r="B3768" i="1"/>
  <c r="T3767" i="1"/>
  <c r="S3767" i="1"/>
  <c r="R3767" i="1"/>
  <c r="Q3767" i="1"/>
  <c r="O3767" i="1"/>
  <c r="C3767" i="1"/>
  <c r="B3767" i="1"/>
  <c r="T3766" i="1"/>
  <c r="O3766" i="1"/>
  <c r="Q3766" i="1" s="1"/>
  <c r="R3766" i="1" s="1"/>
  <c r="S3766" i="1" s="1"/>
  <c r="C3766" i="1"/>
  <c r="B3766" i="1"/>
  <c r="T3765" i="1"/>
  <c r="R3765" i="1"/>
  <c r="S3765" i="1" s="1"/>
  <c r="Q3765" i="1"/>
  <c r="O3765" i="1"/>
  <c r="C3765" i="1"/>
  <c r="B3765" i="1"/>
  <c r="T3764" i="1"/>
  <c r="S3764" i="1"/>
  <c r="R3764" i="1"/>
  <c r="O3764" i="1"/>
  <c r="Q3764" i="1" s="1"/>
  <c r="C3764" i="1"/>
  <c r="B3764" i="1"/>
  <c r="T3763" i="1"/>
  <c r="O3763" i="1"/>
  <c r="C3763" i="1"/>
  <c r="B3763" i="1"/>
  <c r="T3762" i="1"/>
  <c r="Q3762" i="1"/>
  <c r="R3762" i="1" s="1"/>
  <c r="S3762" i="1" s="1"/>
  <c r="O3762" i="1"/>
  <c r="C3762" i="1"/>
  <c r="B3762" i="1"/>
  <c r="T3761" i="1"/>
  <c r="Q3761" i="1"/>
  <c r="O3761" i="1"/>
  <c r="C3761" i="1"/>
  <c r="B3761" i="1"/>
  <c r="T3760" i="1"/>
  <c r="O3760" i="1"/>
  <c r="Q3760" i="1" s="1"/>
  <c r="C3760" i="1"/>
  <c r="B3760" i="1"/>
  <c r="T3759" i="1"/>
  <c r="O3759" i="1"/>
  <c r="C3759" i="1"/>
  <c r="B3759" i="1"/>
  <c r="T3758" i="1"/>
  <c r="O3758" i="1"/>
  <c r="C3758" i="1"/>
  <c r="B3758" i="1"/>
  <c r="T3757" i="1"/>
  <c r="R3757" i="1"/>
  <c r="S3757" i="1" s="1"/>
  <c r="O3757" i="1"/>
  <c r="Q3757" i="1" s="1"/>
  <c r="C3757" i="1"/>
  <c r="B3757" i="1"/>
  <c r="T3756" i="1"/>
  <c r="O3756" i="1"/>
  <c r="C3756" i="1"/>
  <c r="B3756" i="1"/>
  <c r="T3755" i="1"/>
  <c r="S3755" i="1"/>
  <c r="R3755" i="1"/>
  <c r="O3755" i="1"/>
  <c r="Q3755" i="1" s="1"/>
  <c r="C3755" i="1"/>
  <c r="B3755" i="1"/>
  <c r="T3754" i="1"/>
  <c r="O3754" i="1"/>
  <c r="Q3754" i="1" s="1"/>
  <c r="R3754" i="1" s="1"/>
  <c r="S3754" i="1" s="1"/>
  <c r="C3754" i="1"/>
  <c r="B3754" i="1"/>
  <c r="T3753" i="1"/>
  <c r="Q3753" i="1"/>
  <c r="R3753" i="1" s="1"/>
  <c r="S3753" i="1" s="1"/>
  <c r="O3753" i="1"/>
  <c r="C3753" i="1"/>
  <c r="B3753" i="1"/>
  <c r="T3752" i="1"/>
  <c r="O3752" i="1"/>
  <c r="C3752" i="1"/>
  <c r="B3752" i="1"/>
  <c r="T3751" i="1"/>
  <c r="S3751" i="1"/>
  <c r="Q3751" i="1"/>
  <c r="R3751" i="1" s="1"/>
  <c r="O3751" i="1"/>
  <c r="C3751" i="1"/>
  <c r="B3751" i="1"/>
  <c r="T3750" i="1"/>
  <c r="Q3750" i="1"/>
  <c r="R3750" i="1" s="1"/>
  <c r="S3750" i="1" s="1"/>
  <c r="O3750" i="1"/>
  <c r="C3750" i="1"/>
  <c r="B3750" i="1"/>
  <c r="T3749" i="1"/>
  <c r="S3749" i="1"/>
  <c r="Q3749" i="1"/>
  <c r="R3749" i="1" s="1"/>
  <c r="O3749" i="1"/>
  <c r="C3749" i="1"/>
  <c r="B3749" i="1"/>
  <c r="T3748" i="1"/>
  <c r="O3748" i="1"/>
  <c r="C3748" i="1"/>
  <c r="B3748" i="1"/>
  <c r="T3747" i="1"/>
  <c r="R3747" i="1"/>
  <c r="S3747" i="1" s="1"/>
  <c r="Q3747" i="1"/>
  <c r="O3747" i="1"/>
  <c r="C3747" i="1"/>
  <c r="B3747" i="1"/>
  <c r="T3746" i="1"/>
  <c r="R3746" i="1"/>
  <c r="S3746" i="1" s="1"/>
  <c r="O3746" i="1"/>
  <c r="Q3746" i="1" s="1"/>
  <c r="C3746" i="1"/>
  <c r="B3746" i="1"/>
  <c r="T3745" i="1"/>
  <c r="S3745" i="1"/>
  <c r="R3745" i="1"/>
  <c r="Q3745" i="1"/>
  <c r="O3745" i="1"/>
  <c r="C3745" i="1"/>
  <c r="B3745" i="1"/>
  <c r="T3744" i="1"/>
  <c r="O3744" i="1"/>
  <c r="Q3744" i="1" s="1"/>
  <c r="C3744" i="1"/>
  <c r="B3744" i="1"/>
  <c r="T3743" i="1"/>
  <c r="R3743" i="1"/>
  <c r="S3743" i="1" s="1"/>
  <c r="Q3743" i="1"/>
  <c r="O3743" i="1"/>
  <c r="C3743" i="1"/>
  <c r="B3743" i="1"/>
  <c r="T3742" i="1"/>
  <c r="O3742" i="1"/>
  <c r="C3742" i="1"/>
  <c r="B3742" i="1"/>
  <c r="T3741" i="1"/>
  <c r="O3741" i="1"/>
  <c r="C3741" i="1"/>
  <c r="B3741" i="1"/>
  <c r="T3740" i="1"/>
  <c r="O3740" i="1"/>
  <c r="C3740" i="1"/>
  <c r="B3740" i="1"/>
  <c r="T3739" i="1"/>
  <c r="O3739" i="1"/>
  <c r="C3739" i="1"/>
  <c r="B3739" i="1"/>
  <c r="T3738" i="1"/>
  <c r="S3738" i="1"/>
  <c r="R3738" i="1"/>
  <c r="Q3738" i="1"/>
  <c r="O3738" i="1"/>
  <c r="C3738" i="1"/>
  <c r="B3738" i="1"/>
  <c r="T3737" i="1"/>
  <c r="Q3737" i="1"/>
  <c r="O3737" i="1"/>
  <c r="C3737" i="1"/>
  <c r="B3737" i="1"/>
  <c r="T3736" i="1"/>
  <c r="O3736" i="1"/>
  <c r="C3736" i="1"/>
  <c r="B3736" i="1"/>
  <c r="T3735" i="1"/>
  <c r="O3735" i="1"/>
  <c r="C3735" i="1"/>
  <c r="B3735" i="1"/>
  <c r="T3734" i="1"/>
  <c r="S3734" i="1"/>
  <c r="R3734" i="1"/>
  <c r="Q3734" i="1"/>
  <c r="O3734" i="1"/>
  <c r="C3734" i="1"/>
  <c r="B3734" i="1"/>
  <c r="T3733" i="1"/>
  <c r="Q3733" i="1"/>
  <c r="R3733" i="1" s="1"/>
  <c r="S3733" i="1" s="1"/>
  <c r="O3733" i="1"/>
  <c r="C3733" i="1"/>
  <c r="B3733" i="1"/>
  <c r="T3732" i="1"/>
  <c r="Q3732" i="1"/>
  <c r="O3732" i="1"/>
  <c r="C3732" i="1"/>
  <c r="B3732" i="1"/>
  <c r="T3731" i="1"/>
  <c r="O3731" i="1"/>
  <c r="Q3731" i="1" s="1"/>
  <c r="C3731" i="1"/>
  <c r="B3731" i="1"/>
  <c r="T3730" i="1"/>
  <c r="O3730" i="1"/>
  <c r="C3730" i="1"/>
  <c r="B3730" i="1"/>
  <c r="T3729" i="1"/>
  <c r="S3729" i="1"/>
  <c r="Q3729" i="1"/>
  <c r="R3729" i="1" s="1"/>
  <c r="O3729" i="1"/>
  <c r="C3729" i="1"/>
  <c r="B3729" i="1"/>
  <c r="T3728" i="1"/>
  <c r="Q3728" i="1"/>
  <c r="O3728" i="1"/>
  <c r="C3728" i="1"/>
  <c r="B3728" i="1"/>
  <c r="T3727" i="1"/>
  <c r="O3727" i="1"/>
  <c r="Q3727" i="1" s="1"/>
  <c r="C3727" i="1"/>
  <c r="B3727" i="1"/>
  <c r="T3726" i="1"/>
  <c r="O3726" i="1"/>
  <c r="Q3726" i="1" s="1"/>
  <c r="C3726" i="1"/>
  <c r="B3726" i="1"/>
  <c r="T3725" i="1"/>
  <c r="Q3725" i="1"/>
  <c r="R3725" i="1" s="1"/>
  <c r="S3725" i="1" s="1"/>
  <c r="O3725" i="1"/>
  <c r="C3725" i="1"/>
  <c r="B3725" i="1"/>
  <c r="T3724" i="1"/>
  <c r="Q3724" i="1"/>
  <c r="O3724" i="1"/>
  <c r="C3724" i="1"/>
  <c r="B3724" i="1"/>
  <c r="T3723" i="1"/>
  <c r="O3723" i="1"/>
  <c r="C3723" i="1"/>
  <c r="B3723" i="1"/>
  <c r="T3722" i="1"/>
  <c r="R3722" i="1"/>
  <c r="S3722" i="1" s="1"/>
  <c r="O3722" i="1"/>
  <c r="Q3722" i="1" s="1"/>
  <c r="C3722" i="1"/>
  <c r="B3722" i="1"/>
  <c r="T3721" i="1"/>
  <c r="Q3721" i="1"/>
  <c r="O3721" i="1"/>
  <c r="C3721" i="1"/>
  <c r="B3721" i="1"/>
  <c r="T3720" i="1"/>
  <c r="O3720" i="1"/>
  <c r="C3720" i="1"/>
  <c r="B3720" i="1"/>
  <c r="T3719" i="1"/>
  <c r="Q3719" i="1"/>
  <c r="R3719" i="1" s="1"/>
  <c r="S3719" i="1" s="1"/>
  <c r="O3719" i="1"/>
  <c r="C3719" i="1"/>
  <c r="B3719" i="1"/>
  <c r="T3718" i="1"/>
  <c r="Q3718" i="1"/>
  <c r="O3718" i="1"/>
  <c r="C3718" i="1"/>
  <c r="B3718" i="1"/>
  <c r="T3717" i="1"/>
  <c r="O3717" i="1"/>
  <c r="Q3717" i="1" s="1"/>
  <c r="C3717" i="1"/>
  <c r="B3717" i="1"/>
  <c r="T3716" i="1"/>
  <c r="Q3716" i="1"/>
  <c r="R3716" i="1" s="1"/>
  <c r="S3716" i="1" s="1"/>
  <c r="O3716" i="1"/>
  <c r="C3716" i="1"/>
  <c r="B3716" i="1"/>
  <c r="T3715" i="1"/>
  <c r="O3715" i="1"/>
  <c r="C3715" i="1"/>
  <c r="B3715" i="1"/>
  <c r="T3714" i="1"/>
  <c r="S3714" i="1"/>
  <c r="R3714" i="1"/>
  <c r="Q3714" i="1"/>
  <c r="O3714" i="1"/>
  <c r="C3714" i="1"/>
  <c r="B3714" i="1"/>
  <c r="T3713" i="1"/>
  <c r="Q3713" i="1"/>
  <c r="R3713" i="1" s="1"/>
  <c r="S3713" i="1" s="1"/>
  <c r="O3713" i="1"/>
  <c r="C3713" i="1"/>
  <c r="B3713" i="1"/>
  <c r="T3712" i="1"/>
  <c r="O3712" i="1"/>
  <c r="Q3712" i="1" s="1"/>
  <c r="C3712" i="1"/>
  <c r="B3712" i="1"/>
  <c r="T3711" i="1"/>
  <c r="R3711" i="1"/>
  <c r="S3711" i="1" s="1"/>
  <c r="Q3711" i="1"/>
  <c r="O3711" i="1"/>
  <c r="C3711" i="1"/>
  <c r="B3711" i="1"/>
  <c r="T3710" i="1"/>
  <c r="O3710" i="1"/>
  <c r="C3710" i="1"/>
  <c r="B3710" i="1"/>
  <c r="T3709" i="1"/>
  <c r="O3709" i="1"/>
  <c r="Q3709" i="1" s="1"/>
  <c r="R3709" i="1" s="1"/>
  <c r="S3709" i="1" s="1"/>
  <c r="C3709" i="1"/>
  <c r="B3709" i="1"/>
  <c r="T3708" i="1"/>
  <c r="Q3708" i="1"/>
  <c r="R3708" i="1" s="1"/>
  <c r="S3708" i="1" s="1"/>
  <c r="O3708" i="1"/>
  <c r="C3708" i="1"/>
  <c r="B3708" i="1"/>
  <c r="T3707" i="1"/>
  <c r="R3707" i="1"/>
  <c r="S3707" i="1" s="1"/>
  <c r="O3707" i="1"/>
  <c r="Q3707" i="1" s="1"/>
  <c r="C3707" i="1"/>
  <c r="B3707" i="1"/>
  <c r="T3706" i="1"/>
  <c r="O3706" i="1"/>
  <c r="C3706" i="1"/>
  <c r="B3706" i="1"/>
  <c r="T3705" i="1"/>
  <c r="S3705" i="1"/>
  <c r="Q3705" i="1"/>
  <c r="R3705" i="1" s="1"/>
  <c r="O3705" i="1"/>
  <c r="C3705" i="1"/>
  <c r="B3705" i="1"/>
  <c r="T3704" i="1"/>
  <c r="Q3704" i="1"/>
  <c r="O3704" i="1"/>
  <c r="C3704" i="1"/>
  <c r="B3704" i="1"/>
  <c r="T3703" i="1"/>
  <c r="R3703" i="1"/>
  <c r="S3703" i="1" s="1"/>
  <c r="Q3703" i="1"/>
  <c r="O3703" i="1"/>
  <c r="C3703" i="1"/>
  <c r="B3703" i="1"/>
  <c r="T3702" i="1"/>
  <c r="R3702" i="1"/>
  <c r="S3702" i="1" s="1"/>
  <c r="Q3702" i="1"/>
  <c r="O3702" i="1"/>
  <c r="C3702" i="1"/>
  <c r="B3702" i="1"/>
  <c r="T3701" i="1"/>
  <c r="Q3701" i="1"/>
  <c r="O3701" i="1"/>
  <c r="C3701" i="1"/>
  <c r="B3701" i="1"/>
  <c r="T3700" i="1"/>
  <c r="O3700" i="1"/>
  <c r="C3700" i="1"/>
  <c r="B3700" i="1"/>
  <c r="T3699" i="1"/>
  <c r="O3699" i="1"/>
  <c r="Q3699" i="1" s="1"/>
  <c r="R3699" i="1" s="1"/>
  <c r="S3699" i="1" s="1"/>
  <c r="C3699" i="1"/>
  <c r="B3699" i="1"/>
  <c r="T3698" i="1"/>
  <c r="O3698" i="1"/>
  <c r="C3698" i="1"/>
  <c r="B3698" i="1"/>
  <c r="T3697" i="1"/>
  <c r="R3697" i="1"/>
  <c r="S3697" i="1" s="1"/>
  <c r="Q3697" i="1"/>
  <c r="O3697" i="1"/>
  <c r="C3697" i="1"/>
  <c r="B3697" i="1"/>
  <c r="T3696" i="1"/>
  <c r="O3696" i="1"/>
  <c r="Q3696" i="1" s="1"/>
  <c r="R3696" i="1" s="1"/>
  <c r="S3696" i="1" s="1"/>
  <c r="C3696" i="1"/>
  <c r="B3696" i="1"/>
  <c r="T3695" i="1"/>
  <c r="Q3695" i="1"/>
  <c r="R3695" i="1" s="1"/>
  <c r="S3695" i="1" s="1"/>
  <c r="O3695" i="1"/>
  <c r="C3695" i="1"/>
  <c r="B3695" i="1"/>
  <c r="T3694" i="1"/>
  <c r="O3694" i="1"/>
  <c r="C3694" i="1"/>
  <c r="B3694" i="1"/>
  <c r="T3693" i="1"/>
  <c r="R3693" i="1"/>
  <c r="S3693" i="1" s="1"/>
  <c r="Q3693" i="1"/>
  <c r="O3693" i="1"/>
  <c r="C3693" i="1"/>
  <c r="B3693" i="1"/>
  <c r="T3692" i="1"/>
  <c r="O3692" i="1"/>
  <c r="C3692" i="1"/>
  <c r="B3692" i="1"/>
  <c r="T3691" i="1"/>
  <c r="O3691" i="1"/>
  <c r="C3691" i="1"/>
  <c r="B3691" i="1"/>
  <c r="T3690" i="1"/>
  <c r="Q3690" i="1"/>
  <c r="R3690" i="1" s="1"/>
  <c r="S3690" i="1" s="1"/>
  <c r="O3690" i="1"/>
  <c r="C3690" i="1"/>
  <c r="B3690" i="1"/>
  <c r="T3689" i="1"/>
  <c r="O3689" i="1"/>
  <c r="C3689" i="1"/>
  <c r="B3689" i="1"/>
  <c r="T3688" i="1"/>
  <c r="S3688" i="1"/>
  <c r="R3688" i="1"/>
  <c r="O3688" i="1"/>
  <c r="Q3688" i="1" s="1"/>
  <c r="C3688" i="1"/>
  <c r="B3688" i="1"/>
  <c r="T3687" i="1"/>
  <c r="R3687" i="1"/>
  <c r="S3687" i="1" s="1"/>
  <c r="Q3687" i="1"/>
  <c r="O3687" i="1"/>
  <c r="C3687" i="1"/>
  <c r="B3687" i="1"/>
  <c r="T3686" i="1"/>
  <c r="O3686" i="1"/>
  <c r="C3686" i="1"/>
  <c r="B3686" i="1"/>
  <c r="T3685" i="1"/>
  <c r="S3685" i="1"/>
  <c r="R3685" i="1"/>
  <c r="O3685" i="1"/>
  <c r="Q3685" i="1" s="1"/>
  <c r="C3685" i="1"/>
  <c r="B3685" i="1"/>
  <c r="T3684" i="1"/>
  <c r="O3684" i="1"/>
  <c r="C3684" i="1"/>
  <c r="B3684" i="1"/>
  <c r="T3683" i="1"/>
  <c r="O3683" i="1"/>
  <c r="Q3683" i="1" s="1"/>
  <c r="C3683" i="1"/>
  <c r="B3683" i="1"/>
  <c r="T3682" i="1"/>
  <c r="O3682" i="1"/>
  <c r="Q3682" i="1" s="1"/>
  <c r="R3682" i="1" s="1"/>
  <c r="S3682" i="1" s="1"/>
  <c r="C3682" i="1"/>
  <c r="B3682" i="1"/>
  <c r="T3681" i="1"/>
  <c r="R3681" i="1"/>
  <c r="S3681" i="1" s="1"/>
  <c r="Q3681" i="1"/>
  <c r="O3681" i="1"/>
  <c r="C3681" i="1"/>
  <c r="B3681" i="1"/>
  <c r="T3680" i="1"/>
  <c r="O3680" i="1"/>
  <c r="C3680" i="1"/>
  <c r="B3680" i="1"/>
  <c r="T3679" i="1"/>
  <c r="O3679" i="1"/>
  <c r="Q3679" i="1" s="1"/>
  <c r="C3679" i="1"/>
  <c r="B3679" i="1"/>
  <c r="T3678" i="1"/>
  <c r="O3678" i="1"/>
  <c r="C3678" i="1"/>
  <c r="B3678" i="1"/>
  <c r="T3677" i="1"/>
  <c r="O3677" i="1"/>
  <c r="C3677" i="1"/>
  <c r="B3677" i="1"/>
  <c r="T3676" i="1"/>
  <c r="O3676" i="1"/>
  <c r="C3676" i="1"/>
  <c r="B3676" i="1"/>
  <c r="T3675" i="1"/>
  <c r="O3675" i="1"/>
  <c r="C3675" i="1"/>
  <c r="B3675" i="1"/>
  <c r="T3674" i="1"/>
  <c r="O3674" i="1"/>
  <c r="C3674" i="1"/>
  <c r="B3674" i="1"/>
  <c r="T3673" i="1"/>
  <c r="O3673" i="1"/>
  <c r="Q3673" i="1" s="1"/>
  <c r="R3673" i="1" s="1"/>
  <c r="S3673" i="1" s="1"/>
  <c r="C3673" i="1"/>
  <c r="B3673" i="1"/>
  <c r="T3672" i="1"/>
  <c r="O3672" i="1"/>
  <c r="C3672" i="1"/>
  <c r="B3672" i="1"/>
  <c r="T3671" i="1"/>
  <c r="Q3671" i="1"/>
  <c r="R3671" i="1" s="1"/>
  <c r="S3671" i="1" s="1"/>
  <c r="O3671" i="1"/>
  <c r="C3671" i="1"/>
  <c r="B3671" i="1"/>
  <c r="T3670" i="1"/>
  <c r="S3670" i="1"/>
  <c r="R3670" i="1"/>
  <c r="Q3670" i="1"/>
  <c r="O3670" i="1"/>
  <c r="C3670" i="1"/>
  <c r="B3670" i="1"/>
  <c r="T3669" i="1"/>
  <c r="O3669" i="1"/>
  <c r="C3669" i="1"/>
  <c r="B3669" i="1"/>
  <c r="T3668" i="1"/>
  <c r="O3668" i="1"/>
  <c r="C3668" i="1"/>
  <c r="B3668" i="1"/>
  <c r="T3667" i="1"/>
  <c r="O3667" i="1"/>
  <c r="Q3667" i="1" s="1"/>
  <c r="C3667" i="1"/>
  <c r="B3667" i="1"/>
  <c r="T3666" i="1"/>
  <c r="Q3666" i="1"/>
  <c r="R3666" i="1" s="1"/>
  <c r="S3666" i="1" s="1"/>
  <c r="O3666" i="1"/>
  <c r="C3666" i="1"/>
  <c r="B3666" i="1"/>
  <c r="T3665" i="1"/>
  <c r="O3665" i="1"/>
  <c r="C3665" i="1"/>
  <c r="B3665" i="1"/>
  <c r="T3664" i="1"/>
  <c r="R3664" i="1"/>
  <c r="S3664" i="1" s="1"/>
  <c r="Q3664" i="1"/>
  <c r="O3664" i="1"/>
  <c r="C3664" i="1"/>
  <c r="B3664" i="1"/>
  <c r="T3663" i="1"/>
  <c r="O3663" i="1"/>
  <c r="Q3663" i="1" s="1"/>
  <c r="R3663" i="1" s="1"/>
  <c r="S3663" i="1" s="1"/>
  <c r="C3663" i="1"/>
  <c r="B3663" i="1"/>
  <c r="T3662" i="1"/>
  <c r="Q3662" i="1"/>
  <c r="O3662" i="1"/>
  <c r="C3662" i="1"/>
  <c r="B3662" i="1"/>
  <c r="T3661" i="1"/>
  <c r="O3661" i="1"/>
  <c r="C3661" i="1"/>
  <c r="B3661" i="1"/>
  <c r="T3660" i="1"/>
  <c r="Q3660" i="1"/>
  <c r="R3660" i="1" s="1"/>
  <c r="S3660" i="1" s="1"/>
  <c r="O3660" i="1"/>
  <c r="C3660" i="1"/>
  <c r="B3660" i="1"/>
  <c r="T3659" i="1"/>
  <c r="S3659" i="1"/>
  <c r="R3659" i="1"/>
  <c r="Q3659" i="1"/>
  <c r="O3659" i="1"/>
  <c r="C3659" i="1"/>
  <c r="B3659" i="1"/>
  <c r="T3658" i="1"/>
  <c r="S3658" i="1"/>
  <c r="R3658" i="1"/>
  <c r="Q3658" i="1"/>
  <c r="O3658" i="1"/>
  <c r="C3658" i="1"/>
  <c r="B3658" i="1"/>
  <c r="T3657" i="1"/>
  <c r="Q3657" i="1"/>
  <c r="O3657" i="1"/>
  <c r="C3657" i="1"/>
  <c r="B3657" i="1"/>
  <c r="T3656" i="1"/>
  <c r="R3656" i="1"/>
  <c r="S3656" i="1" s="1"/>
  <c r="O3656" i="1"/>
  <c r="Q3656" i="1" s="1"/>
  <c r="C3656" i="1"/>
  <c r="B3656" i="1"/>
  <c r="T3655" i="1"/>
  <c r="R3655" i="1"/>
  <c r="S3655" i="1" s="1"/>
  <c r="O3655" i="1"/>
  <c r="Q3655" i="1" s="1"/>
  <c r="C3655" i="1"/>
  <c r="B3655" i="1"/>
  <c r="T3654" i="1"/>
  <c r="Q3654" i="1"/>
  <c r="O3654" i="1"/>
  <c r="C3654" i="1"/>
  <c r="B3654" i="1"/>
  <c r="T3653" i="1"/>
  <c r="R3653" i="1"/>
  <c r="S3653" i="1" s="1"/>
  <c r="O3653" i="1"/>
  <c r="Q3653" i="1" s="1"/>
  <c r="C3653" i="1"/>
  <c r="B3653" i="1"/>
  <c r="T3652" i="1"/>
  <c r="O3652" i="1"/>
  <c r="C3652" i="1"/>
  <c r="B3652" i="1"/>
  <c r="T3651" i="1"/>
  <c r="S3651" i="1"/>
  <c r="R3651" i="1"/>
  <c r="Q3651" i="1"/>
  <c r="O3651" i="1"/>
  <c r="C3651" i="1"/>
  <c r="B3651" i="1"/>
  <c r="T3650" i="1"/>
  <c r="R3650" i="1"/>
  <c r="S3650" i="1" s="1"/>
  <c r="O3650" i="1"/>
  <c r="Q3650" i="1" s="1"/>
  <c r="C3650" i="1"/>
  <c r="B3650" i="1"/>
  <c r="T3649" i="1"/>
  <c r="S3649" i="1"/>
  <c r="Q3649" i="1"/>
  <c r="R3649" i="1" s="1"/>
  <c r="O3649" i="1"/>
  <c r="C3649" i="1"/>
  <c r="B3649" i="1"/>
  <c r="T3648" i="1"/>
  <c r="O3648" i="1"/>
  <c r="C3648" i="1"/>
  <c r="B3648" i="1"/>
  <c r="T3647" i="1"/>
  <c r="R3647" i="1"/>
  <c r="S3647" i="1" s="1"/>
  <c r="O3647" i="1"/>
  <c r="Q3647" i="1" s="1"/>
  <c r="C3647" i="1"/>
  <c r="B3647" i="1"/>
  <c r="T3646" i="1"/>
  <c r="Q3646" i="1"/>
  <c r="R3646" i="1" s="1"/>
  <c r="S3646" i="1" s="1"/>
  <c r="O3646" i="1"/>
  <c r="C3646" i="1"/>
  <c r="B3646" i="1"/>
  <c r="T3645" i="1"/>
  <c r="Q3645" i="1"/>
  <c r="O3645" i="1"/>
  <c r="C3645" i="1"/>
  <c r="B3645" i="1"/>
  <c r="T3644" i="1"/>
  <c r="O3644" i="1"/>
  <c r="C3644" i="1"/>
  <c r="B3644" i="1"/>
  <c r="T3643" i="1"/>
  <c r="O3643" i="1"/>
  <c r="C3643" i="1"/>
  <c r="B3643" i="1"/>
  <c r="T3642" i="1"/>
  <c r="S3642" i="1"/>
  <c r="R3642" i="1"/>
  <c r="Q3642" i="1"/>
  <c r="O3642" i="1"/>
  <c r="C3642" i="1"/>
  <c r="B3642" i="1"/>
  <c r="T3641" i="1"/>
  <c r="R3641" i="1"/>
  <c r="S3641" i="1" s="1"/>
  <c r="O3641" i="1"/>
  <c r="Q3641" i="1" s="1"/>
  <c r="C3641" i="1"/>
  <c r="B3641" i="1"/>
  <c r="T3640" i="1"/>
  <c r="R3640" i="1"/>
  <c r="S3640" i="1" s="1"/>
  <c r="Q3640" i="1"/>
  <c r="O3640" i="1"/>
  <c r="C3640" i="1"/>
  <c r="B3640" i="1"/>
  <c r="T3639" i="1"/>
  <c r="Q3639" i="1"/>
  <c r="O3639" i="1"/>
  <c r="R3639" i="1" s="1"/>
  <c r="S3639" i="1" s="1"/>
  <c r="C3639" i="1"/>
  <c r="B3639" i="1"/>
  <c r="T3638" i="1"/>
  <c r="R3638" i="1"/>
  <c r="S3638" i="1" s="1"/>
  <c r="O3638" i="1"/>
  <c r="Q3638" i="1" s="1"/>
  <c r="C3638" i="1"/>
  <c r="B3638" i="1"/>
  <c r="T3637" i="1"/>
  <c r="O3637" i="1"/>
  <c r="C3637" i="1"/>
  <c r="B3637" i="1"/>
  <c r="T3636" i="1"/>
  <c r="O3636" i="1"/>
  <c r="Q3636" i="1" s="1"/>
  <c r="C3636" i="1"/>
  <c r="B3636" i="1"/>
  <c r="T3635" i="1"/>
  <c r="S3635" i="1"/>
  <c r="R3635" i="1"/>
  <c r="Q3635" i="1"/>
  <c r="O3635" i="1"/>
  <c r="C3635" i="1"/>
  <c r="B3635" i="1"/>
  <c r="T3634" i="1"/>
  <c r="S3634" i="1"/>
  <c r="R3634" i="1"/>
  <c r="Q3634" i="1"/>
  <c r="O3634" i="1"/>
  <c r="C3634" i="1"/>
  <c r="B3634" i="1"/>
  <c r="T3633" i="1"/>
  <c r="O3633" i="1"/>
  <c r="C3633" i="1"/>
  <c r="B3633" i="1"/>
  <c r="T3632" i="1"/>
  <c r="R3632" i="1"/>
  <c r="S3632" i="1" s="1"/>
  <c r="Q3632" i="1"/>
  <c r="O3632" i="1"/>
  <c r="C3632" i="1"/>
  <c r="B3632" i="1"/>
  <c r="T3631" i="1"/>
  <c r="O3631" i="1"/>
  <c r="Q3631" i="1" s="1"/>
  <c r="R3631" i="1" s="1"/>
  <c r="S3631" i="1" s="1"/>
  <c r="C3631" i="1"/>
  <c r="B3631" i="1"/>
  <c r="T3630" i="1"/>
  <c r="O3630" i="1"/>
  <c r="C3630" i="1"/>
  <c r="B3630" i="1"/>
  <c r="T3629" i="1"/>
  <c r="O3629" i="1"/>
  <c r="Q3629" i="1" s="1"/>
  <c r="C3629" i="1"/>
  <c r="B3629" i="1"/>
  <c r="T3628" i="1"/>
  <c r="O3628" i="1"/>
  <c r="C3628" i="1"/>
  <c r="B3628" i="1"/>
  <c r="T3627" i="1"/>
  <c r="S3627" i="1"/>
  <c r="R3627" i="1"/>
  <c r="Q3627" i="1"/>
  <c r="O3627" i="1"/>
  <c r="C3627" i="1"/>
  <c r="B3627" i="1"/>
  <c r="T3626" i="1"/>
  <c r="Q3626" i="1"/>
  <c r="R3626" i="1" s="1"/>
  <c r="S3626" i="1" s="1"/>
  <c r="O3626" i="1"/>
  <c r="C3626" i="1"/>
  <c r="B3626" i="1"/>
  <c r="T3625" i="1"/>
  <c r="R3625" i="1"/>
  <c r="S3625" i="1" s="1"/>
  <c r="O3625" i="1"/>
  <c r="Q3625" i="1" s="1"/>
  <c r="C3625" i="1"/>
  <c r="B3625" i="1"/>
  <c r="T3624" i="1"/>
  <c r="O3624" i="1"/>
  <c r="C3624" i="1"/>
  <c r="B3624" i="1"/>
  <c r="T3623" i="1"/>
  <c r="O3623" i="1"/>
  <c r="Q3623" i="1" s="1"/>
  <c r="R3623" i="1" s="1"/>
  <c r="S3623" i="1" s="1"/>
  <c r="C3623" i="1"/>
  <c r="B3623" i="1"/>
  <c r="T3622" i="1"/>
  <c r="R3622" i="1"/>
  <c r="S3622" i="1" s="1"/>
  <c r="Q3622" i="1"/>
  <c r="O3622" i="1"/>
  <c r="C3622" i="1"/>
  <c r="B3622" i="1"/>
  <c r="T3621" i="1"/>
  <c r="Q3621" i="1"/>
  <c r="O3621" i="1"/>
  <c r="C3621" i="1"/>
  <c r="B3621" i="1"/>
  <c r="T3620" i="1"/>
  <c r="O3620" i="1"/>
  <c r="C3620" i="1"/>
  <c r="B3620" i="1"/>
  <c r="T3619" i="1"/>
  <c r="S3619" i="1"/>
  <c r="R3619" i="1"/>
  <c r="O3619" i="1"/>
  <c r="Q3619" i="1" s="1"/>
  <c r="C3619" i="1"/>
  <c r="B3619" i="1"/>
  <c r="T3618" i="1"/>
  <c r="Q3618" i="1"/>
  <c r="R3618" i="1" s="1"/>
  <c r="S3618" i="1" s="1"/>
  <c r="O3618" i="1"/>
  <c r="C3618" i="1"/>
  <c r="B3618" i="1"/>
  <c r="T3617" i="1"/>
  <c r="O3617" i="1"/>
  <c r="C3617" i="1"/>
  <c r="B3617" i="1"/>
  <c r="T3616" i="1"/>
  <c r="O3616" i="1"/>
  <c r="C3616" i="1"/>
  <c r="B3616" i="1"/>
  <c r="T3615" i="1"/>
  <c r="S3615" i="1"/>
  <c r="R3615" i="1"/>
  <c r="Q3615" i="1"/>
  <c r="O3615" i="1"/>
  <c r="C3615" i="1"/>
  <c r="B3615" i="1"/>
  <c r="T3614" i="1"/>
  <c r="R3614" i="1"/>
  <c r="S3614" i="1" s="1"/>
  <c r="O3614" i="1"/>
  <c r="Q3614" i="1" s="1"/>
  <c r="C3614" i="1"/>
  <c r="B3614" i="1"/>
  <c r="T3613" i="1"/>
  <c r="Q3613" i="1"/>
  <c r="O3613" i="1"/>
  <c r="C3613" i="1"/>
  <c r="B3613" i="1"/>
  <c r="T3612" i="1"/>
  <c r="O3612" i="1"/>
  <c r="C3612" i="1"/>
  <c r="B3612" i="1"/>
  <c r="T3611" i="1"/>
  <c r="S3611" i="1"/>
  <c r="R3611" i="1"/>
  <c r="Q3611" i="1"/>
  <c r="O3611" i="1"/>
  <c r="C3611" i="1"/>
  <c r="B3611" i="1"/>
  <c r="T3610" i="1"/>
  <c r="R3610" i="1"/>
  <c r="S3610" i="1" s="1"/>
  <c r="Q3610" i="1"/>
  <c r="O3610" i="1"/>
  <c r="C3610" i="1"/>
  <c r="B3610" i="1"/>
  <c r="T3609" i="1"/>
  <c r="R3609" i="1"/>
  <c r="S3609" i="1" s="1"/>
  <c r="Q3609" i="1"/>
  <c r="O3609" i="1"/>
  <c r="C3609" i="1"/>
  <c r="B3609" i="1"/>
  <c r="T3608" i="1"/>
  <c r="O3608" i="1"/>
  <c r="C3608" i="1"/>
  <c r="B3608" i="1"/>
  <c r="T3607" i="1"/>
  <c r="S3607" i="1"/>
  <c r="Q3607" i="1"/>
  <c r="R3607" i="1" s="1"/>
  <c r="O3607" i="1"/>
  <c r="C3607" i="1"/>
  <c r="B3607" i="1"/>
  <c r="T3606" i="1"/>
  <c r="O3606" i="1"/>
  <c r="Q3606" i="1" s="1"/>
  <c r="R3606" i="1" s="1"/>
  <c r="S3606" i="1" s="1"/>
  <c r="C3606" i="1"/>
  <c r="B3606" i="1"/>
  <c r="T3605" i="1"/>
  <c r="S3605" i="1"/>
  <c r="R3605" i="1"/>
  <c r="Q3605" i="1"/>
  <c r="O3605" i="1"/>
  <c r="C3605" i="1"/>
  <c r="B3605" i="1"/>
  <c r="T3604" i="1"/>
  <c r="O3604" i="1"/>
  <c r="C3604" i="1"/>
  <c r="B3604" i="1"/>
  <c r="T3603" i="1"/>
  <c r="R3603" i="1"/>
  <c r="S3603" i="1" s="1"/>
  <c r="Q3603" i="1"/>
  <c r="O3603" i="1"/>
  <c r="C3603" i="1"/>
  <c r="B3603" i="1"/>
  <c r="T3602" i="1"/>
  <c r="S3602" i="1"/>
  <c r="Q3602" i="1"/>
  <c r="O3602" i="1"/>
  <c r="R3602" i="1" s="1"/>
  <c r="C3602" i="1"/>
  <c r="B3602" i="1"/>
  <c r="T3601" i="1"/>
  <c r="R3601" i="1"/>
  <c r="S3601" i="1" s="1"/>
  <c r="O3601" i="1"/>
  <c r="Q3601" i="1" s="1"/>
  <c r="C3601" i="1"/>
  <c r="B3601" i="1"/>
  <c r="T3600" i="1"/>
  <c r="R3600" i="1"/>
  <c r="S3600" i="1" s="1"/>
  <c r="Q3600" i="1"/>
  <c r="O3600" i="1"/>
  <c r="C3600" i="1"/>
  <c r="B3600" i="1"/>
  <c r="T3599" i="1"/>
  <c r="S3599" i="1"/>
  <c r="R3599" i="1"/>
  <c r="Q3599" i="1"/>
  <c r="O3599" i="1"/>
  <c r="C3599" i="1"/>
  <c r="B3599" i="1"/>
  <c r="T3598" i="1"/>
  <c r="O3598" i="1"/>
  <c r="C3598" i="1"/>
  <c r="B3598" i="1"/>
  <c r="T3597" i="1"/>
  <c r="Q3597" i="1"/>
  <c r="O3597" i="1"/>
  <c r="C3597" i="1"/>
  <c r="B3597" i="1"/>
  <c r="T3596" i="1"/>
  <c r="O3596" i="1"/>
  <c r="C3596" i="1"/>
  <c r="B3596" i="1"/>
  <c r="T3595" i="1"/>
  <c r="Q3595" i="1"/>
  <c r="O3595" i="1"/>
  <c r="C3595" i="1"/>
  <c r="B3595" i="1"/>
  <c r="T3594" i="1"/>
  <c r="Q3594" i="1"/>
  <c r="R3594" i="1" s="1"/>
  <c r="S3594" i="1" s="1"/>
  <c r="O3594" i="1"/>
  <c r="C3594" i="1"/>
  <c r="B3594" i="1"/>
  <c r="T3593" i="1"/>
  <c r="Q3593" i="1"/>
  <c r="R3593" i="1" s="1"/>
  <c r="S3593" i="1" s="1"/>
  <c r="O3593" i="1"/>
  <c r="C3593" i="1"/>
  <c r="B3593" i="1"/>
  <c r="T3592" i="1"/>
  <c r="Q3592" i="1"/>
  <c r="O3592" i="1"/>
  <c r="C3592" i="1"/>
  <c r="B3592" i="1"/>
  <c r="T3591" i="1"/>
  <c r="S3591" i="1"/>
  <c r="R3591" i="1"/>
  <c r="Q3591" i="1"/>
  <c r="O3591" i="1"/>
  <c r="C3591" i="1"/>
  <c r="B3591" i="1"/>
  <c r="T3590" i="1"/>
  <c r="O3590" i="1"/>
  <c r="Q3590" i="1" s="1"/>
  <c r="R3590" i="1" s="1"/>
  <c r="S3590" i="1" s="1"/>
  <c r="C3590" i="1"/>
  <c r="B3590" i="1"/>
  <c r="T3589" i="1"/>
  <c r="O3589" i="1"/>
  <c r="C3589" i="1"/>
  <c r="B3589" i="1"/>
  <c r="T3588" i="1"/>
  <c r="Q3588" i="1"/>
  <c r="R3588" i="1" s="1"/>
  <c r="S3588" i="1" s="1"/>
  <c r="O3588" i="1"/>
  <c r="C3588" i="1"/>
  <c r="B3588" i="1"/>
  <c r="T3587" i="1"/>
  <c r="R3587" i="1"/>
  <c r="S3587" i="1" s="1"/>
  <c r="Q3587" i="1"/>
  <c r="O3587" i="1"/>
  <c r="C3587" i="1"/>
  <c r="B3587" i="1"/>
  <c r="T3586" i="1"/>
  <c r="Q3586" i="1"/>
  <c r="R3586" i="1" s="1"/>
  <c r="S3586" i="1" s="1"/>
  <c r="O3586" i="1"/>
  <c r="C3586" i="1"/>
  <c r="B3586" i="1"/>
  <c r="T3585" i="1"/>
  <c r="S3585" i="1"/>
  <c r="Q3585" i="1"/>
  <c r="R3585" i="1" s="1"/>
  <c r="O3585" i="1"/>
  <c r="C3585" i="1"/>
  <c r="B3585" i="1"/>
  <c r="T3584" i="1"/>
  <c r="R3584" i="1"/>
  <c r="S3584" i="1" s="1"/>
  <c r="Q3584" i="1"/>
  <c r="O3584" i="1"/>
  <c r="C3584" i="1"/>
  <c r="B3584" i="1"/>
  <c r="T3583" i="1"/>
  <c r="R3583" i="1"/>
  <c r="S3583" i="1" s="1"/>
  <c r="Q3583" i="1"/>
  <c r="O3583" i="1"/>
  <c r="C3583" i="1"/>
  <c r="B3583" i="1"/>
  <c r="T3582" i="1"/>
  <c r="R3582" i="1"/>
  <c r="S3582" i="1" s="1"/>
  <c r="O3582" i="1"/>
  <c r="Q3582" i="1" s="1"/>
  <c r="C3582" i="1"/>
  <c r="B3582" i="1"/>
  <c r="T3581" i="1"/>
  <c r="O3581" i="1"/>
  <c r="C3581" i="1"/>
  <c r="B3581" i="1"/>
  <c r="T3580" i="1"/>
  <c r="O3580" i="1"/>
  <c r="C3580" i="1"/>
  <c r="B3580" i="1"/>
  <c r="T3579" i="1"/>
  <c r="S3579" i="1"/>
  <c r="R3579" i="1"/>
  <c r="Q3579" i="1"/>
  <c r="O3579" i="1"/>
  <c r="C3579" i="1"/>
  <c r="B3579" i="1"/>
  <c r="T3578" i="1"/>
  <c r="Q3578" i="1"/>
  <c r="R3578" i="1" s="1"/>
  <c r="S3578" i="1" s="1"/>
  <c r="O3578" i="1"/>
  <c r="C3578" i="1"/>
  <c r="B3578" i="1"/>
  <c r="T3577" i="1"/>
  <c r="Q3577" i="1"/>
  <c r="O3577" i="1"/>
  <c r="C3577" i="1"/>
  <c r="B3577" i="1"/>
  <c r="T3576" i="1"/>
  <c r="R3576" i="1"/>
  <c r="S3576" i="1" s="1"/>
  <c r="Q3576" i="1"/>
  <c r="O3576" i="1"/>
  <c r="C3576" i="1"/>
  <c r="B3576" i="1"/>
  <c r="T3575" i="1"/>
  <c r="S3575" i="1"/>
  <c r="R3575" i="1"/>
  <c r="Q3575" i="1"/>
  <c r="O3575" i="1"/>
  <c r="C3575" i="1"/>
  <c r="B3575" i="1"/>
  <c r="T3574" i="1"/>
  <c r="Q3574" i="1"/>
  <c r="O3574" i="1"/>
  <c r="C3574" i="1"/>
  <c r="B3574" i="1"/>
  <c r="T3573" i="1"/>
  <c r="Q3573" i="1"/>
  <c r="O3573" i="1"/>
  <c r="C3573" i="1"/>
  <c r="B3573" i="1"/>
  <c r="T3572" i="1"/>
  <c r="S3572" i="1"/>
  <c r="R3572" i="1"/>
  <c r="O3572" i="1"/>
  <c r="Q3572" i="1" s="1"/>
  <c r="C3572" i="1"/>
  <c r="B3572" i="1"/>
  <c r="T3571" i="1"/>
  <c r="S3571" i="1"/>
  <c r="R3571" i="1"/>
  <c r="O3571" i="1"/>
  <c r="Q3571" i="1" s="1"/>
  <c r="C3571" i="1"/>
  <c r="B3571" i="1"/>
  <c r="T3570" i="1"/>
  <c r="Q3570" i="1"/>
  <c r="R3570" i="1" s="1"/>
  <c r="S3570" i="1" s="1"/>
  <c r="O3570" i="1"/>
  <c r="C3570" i="1"/>
  <c r="B3570" i="1"/>
  <c r="T3569" i="1"/>
  <c r="S3569" i="1"/>
  <c r="R3569" i="1"/>
  <c r="Q3569" i="1"/>
  <c r="O3569" i="1"/>
  <c r="C3569" i="1"/>
  <c r="B3569" i="1"/>
  <c r="T3568" i="1"/>
  <c r="Q3568" i="1"/>
  <c r="O3568" i="1"/>
  <c r="C3568" i="1"/>
  <c r="B3568" i="1"/>
  <c r="T3567" i="1"/>
  <c r="S3567" i="1"/>
  <c r="Q3567" i="1"/>
  <c r="R3567" i="1" s="1"/>
  <c r="O3567" i="1"/>
  <c r="C3567" i="1"/>
  <c r="B3567" i="1"/>
  <c r="T3566" i="1"/>
  <c r="Q3566" i="1"/>
  <c r="O3566" i="1"/>
  <c r="C3566" i="1"/>
  <c r="B3566" i="1"/>
  <c r="T3565" i="1"/>
  <c r="Q3565" i="1"/>
  <c r="O3565" i="1"/>
  <c r="C3565" i="1"/>
  <c r="B3565" i="1"/>
  <c r="T3564" i="1"/>
  <c r="Q3564" i="1"/>
  <c r="R3564" i="1" s="1"/>
  <c r="S3564" i="1" s="1"/>
  <c r="O3564" i="1"/>
  <c r="C3564" i="1"/>
  <c r="B3564" i="1"/>
  <c r="T3563" i="1"/>
  <c r="S3563" i="1"/>
  <c r="R3563" i="1"/>
  <c r="Q3563" i="1"/>
  <c r="O3563" i="1"/>
  <c r="C3563" i="1"/>
  <c r="B3563" i="1"/>
  <c r="T3562" i="1"/>
  <c r="S3562" i="1"/>
  <c r="R3562" i="1"/>
  <c r="Q3562" i="1"/>
  <c r="O3562" i="1"/>
  <c r="C3562" i="1"/>
  <c r="B3562" i="1"/>
  <c r="T3561" i="1"/>
  <c r="O3561" i="1"/>
  <c r="C3561" i="1"/>
  <c r="B3561" i="1"/>
  <c r="T3560" i="1"/>
  <c r="R3560" i="1"/>
  <c r="S3560" i="1" s="1"/>
  <c r="O3560" i="1"/>
  <c r="Q3560" i="1" s="1"/>
  <c r="C3560" i="1"/>
  <c r="B3560" i="1"/>
  <c r="T3559" i="1"/>
  <c r="O3559" i="1"/>
  <c r="C3559" i="1"/>
  <c r="B3559" i="1"/>
  <c r="T3558" i="1"/>
  <c r="R3558" i="1"/>
  <c r="S3558" i="1" s="1"/>
  <c r="Q3558" i="1"/>
  <c r="O3558" i="1"/>
  <c r="C3558" i="1"/>
  <c r="B3558" i="1"/>
  <c r="T3557" i="1"/>
  <c r="R3557" i="1"/>
  <c r="S3557" i="1" s="1"/>
  <c r="Q3557" i="1"/>
  <c r="O3557" i="1"/>
  <c r="C3557" i="1"/>
  <c r="B3557" i="1"/>
  <c r="T3556" i="1"/>
  <c r="O3556" i="1"/>
  <c r="C3556" i="1"/>
  <c r="B3556" i="1"/>
  <c r="T3555" i="1"/>
  <c r="Q3555" i="1"/>
  <c r="R3555" i="1" s="1"/>
  <c r="S3555" i="1" s="1"/>
  <c r="O3555" i="1"/>
  <c r="C3555" i="1"/>
  <c r="B3555" i="1"/>
  <c r="T3554" i="1"/>
  <c r="Q3554" i="1"/>
  <c r="R3554" i="1" s="1"/>
  <c r="S3554" i="1" s="1"/>
  <c r="O3554" i="1"/>
  <c r="C3554" i="1"/>
  <c r="B3554" i="1"/>
  <c r="T3553" i="1"/>
  <c r="Q3553" i="1"/>
  <c r="O3553" i="1"/>
  <c r="C3553" i="1"/>
  <c r="B3553" i="1"/>
  <c r="T3552" i="1"/>
  <c r="O3552" i="1"/>
  <c r="Q3552" i="1" s="1"/>
  <c r="R3552" i="1" s="1"/>
  <c r="S3552" i="1" s="1"/>
  <c r="C3552" i="1"/>
  <c r="B3552" i="1"/>
  <c r="T3551" i="1"/>
  <c r="R3551" i="1"/>
  <c r="S3551" i="1" s="1"/>
  <c r="Q3551" i="1"/>
  <c r="O3551" i="1"/>
  <c r="C3551" i="1"/>
  <c r="B3551" i="1"/>
  <c r="T3550" i="1"/>
  <c r="O3550" i="1"/>
  <c r="C3550" i="1"/>
  <c r="B3550" i="1"/>
  <c r="T3549" i="1"/>
  <c r="O3549" i="1"/>
  <c r="C3549" i="1"/>
  <c r="B3549" i="1"/>
  <c r="T3548" i="1"/>
  <c r="S3548" i="1"/>
  <c r="R3548" i="1"/>
  <c r="O3548" i="1"/>
  <c r="Q3548" i="1" s="1"/>
  <c r="C3548" i="1"/>
  <c r="B3548" i="1"/>
  <c r="T3547" i="1"/>
  <c r="Q3547" i="1"/>
  <c r="R3547" i="1" s="1"/>
  <c r="S3547" i="1" s="1"/>
  <c r="O3547" i="1"/>
  <c r="C3547" i="1"/>
  <c r="B3547" i="1"/>
  <c r="T3546" i="1"/>
  <c r="S3546" i="1"/>
  <c r="Q3546" i="1"/>
  <c r="R3546" i="1" s="1"/>
  <c r="O3546" i="1"/>
  <c r="C3546" i="1"/>
  <c r="B3546" i="1"/>
  <c r="T3545" i="1"/>
  <c r="Q3545" i="1"/>
  <c r="O3545" i="1"/>
  <c r="C3545" i="1"/>
  <c r="B3545" i="1"/>
  <c r="T3544" i="1"/>
  <c r="O3544" i="1"/>
  <c r="C3544" i="1"/>
  <c r="B3544" i="1"/>
  <c r="T3543" i="1"/>
  <c r="O3543" i="1"/>
  <c r="C3543" i="1"/>
  <c r="B3543" i="1"/>
  <c r="T3542" i="1"/>
  <c r="Q3542" i="1"/>
  <c r="R3542" i="1" s="1"/>
  <c r="S3542" i="1" s="1"/>
  <c r="O3542" i="1"/>
  <c r="C3542" i="1"/>
  <c r="B3542" i="1"/>
  <c r="T3541" i="1"/>
  <c r="O3541" i="1"/>
  <c r="C3541" i="1"/>
  <c r="B3541" i="1"/>
  <c r="T3540" i="1"/>
  <c r="O3540" i="1"/>
  <c r="C3540" i="1"/>
  <c r="B3540" i="1"/>
  <c r="T3539" i="1"/>
  <c r="S3539" i="1"/>
  <c r="R3539" i="1"/>
  <c r="Q3539" i="1"/>
  <c r="O3539" i="1"/>
  <c r="C3539" i="1"/>
  <c r="B3539" i="1"/>
  <c r="T3538" i="1"/>
  <c r="Q3538" i="1"/>
  <c r="O3538" i="1"/>
  <c r="C3538" i="1"/>
  <c r="B3538" i="1"/>
  <c r="T3537" i="1"/>
  <c r="Q3537" i="1"/>
  <c r="R3537" i="1" s="1"/>
  <c r="S3537" i="1" s="1"/>
  <c r="O3537" i="1"/>
  <c r="C3537" i="1"/>
  <c r="B3537" i="1"/>
  <c r="T3536" i="1"/>
  <c r="O3536" i="1"/>
  <c r="C3536" i="1"/>
  <c r="B3536" i="1"/>
  <c r="T3535" i="1"/>
  <c r="O3535" i="1"/>
  <c r="Q3535" i="1" s="1"/>
  <c r="C3535" i="1"/>
  <c r="B3535" i="1"/>
  <c r="T3534" i="1"/>
  <c r="Q3534" i="1"/>
  <c r="R3534" i="1" s="1"/>
  <c r="S3534" i="1" s="1"/>
  <c r="O3534" i="1"/>
  <c r="C3534" i="1"/>
  <c r="B3534" i="1"/>
  <c r="T3533" i="1"/>
  <c r="O3533" i="1"/>
  <c r="Q3533" i="1" s="1"/>
  <c r="R3533" i="1" s="1"/>
  <c r="S3533" i="1" s="1"/>
  <c r="C3533" i="1"/>
  <c r="B3533" i="1"/>
  <c r="T3532" i="1"/>
  <c r="O3532" i="1"/>
  <c r="C3532" i="1"/>
  <c r="B3532" i="1"/>
  <c r="T3531" i="1"/>
  <c r="O3531" i="1"/>
  <c r="C3531" i="1"/>
  <c r="B3531" i="1"/>
  <c r="T3530" i="1"/>
  <c r="Q3530" i="1"/>
  <c r="O3530" i="1"/>
  <c r="C3530" i="1"/>
  <c r="B3530" i="1"/>
  <c r="T3529" i="1"/>
  <c r="S3529" i="1"/>
  <c r="R3529" i="1"/>
  <c r="Q3529" i="1"/>
  <c r="O3529" i="1"/>
  <c r="C3529" i="1"/>
  <c r="B3529" i="1"/>
  <c r="T3528" i="1"/>
  <c r="Q3528" i="1"/>
  <c r="R3528" i="1" s="1"/>
  <c r="S3528" i="1" s="1"/>
  <c r="O3528" i="1"/>
  <c r="C3528" i="1"/>
  <c r="B3528" i="1"/>
  <c r="T3527" i="1"/>
  <c r="R3527" i="1"/>
  <c r="S3527" i="1" s="1"/>
  <c r="Q3527" i="1"/>
  <c r="O3527" i="1"/>
  <c r="C3527" i="1"/>
  <c r="B3527" i="1"/>
  <c r="T3526" i="1"/>
  <c r="Q3526" i="1"/>
  <c r="R3526" i="1" s="1"/>
  <c r="S3526" i="1" s="1"/>
  <c r="O3526" i="1"/>
  <c r="C3526" i="1"/>
  <c r="B3526" i="1"/>
  <c r="T3525" i="1"/>
  <c r="O3525" i="1"/>
  <c r="C3525" i="1"/>
  <c r="B3525" i="1"/>
  <c r="T3524" i="1"/>
  <c r="Q3524" i="1"/>
  <c r="O3524" i="1"/>
  <c r="C3524" i="1"/>
  <c r="B3524" i="1"/>
  <c r="T3523" i="1"/>
  <c r="R3523" i="1"/>
  <c r="S3523" i="1" s="1"/>
  <c r="Q3523" i="1"/>
  <c r="O3523" i="1"/>
  <c r="C3523" i="1"/>
  <c r="B3523" i="1"/>
  <c r="T3522" i="1"/>
  <c r="R3522" i="1"/>
  <c r="S3522" i="1" s="1"/>
  <c r="Q3522" i="1"/>
  <c r="O3522" i="1"/>
  <c r="C3522" i="1"/>
  <c r="B3522" i="1"/>
  <c r="T3521" i="1"/>
  <c r="Q3521" i="1"/>
  <c r="O3521" i="1"/>
  <c r="C3521" i="1"/>
  <c r="B3521" i="1"/>
  <c r="T3520" i="1"/>
  <c r="S3520" i="1"/>
  <c r="R3520" i="1"/>
  <c r="Q3520" i="1"/>
  <c r="O3520" i="1"/>
  <c r="C3520" i="1"/>
  <c r="B3520" i="1"/>
  <c r="T3519" i="1"/>
  <c r="R3519" i="1"/>
  <c r="S3519" i="1" s="1"/>
  <c r="Q3519" i="1"/>
  <c r="O3519" i="1"/>
  <c r="C3519" i="1"/>
  <c r="B3519" i="1"/>
  <c r="T3518" i="1"/>
  <c r="O3518" i="1"/>
  <c r="C3518" i="1"/>
  <c r="B3518" i="1"/>
  <c r="T3517" i="1"/>
  <c r="Q3517" i="1"/>
  <c r="O3517" i="1"/>
  <c r="R3517" i="1" s="1"/>
  <c r="S3517" i="1" s="1"/>
  <c r="C3517" i="1"/>
  <c r="B3517" i="1"/>
  <c r="T3516" i="1"/>
  <c r="O3516" i="1"/>
  <c r="C3516" i="1"/>
  <c r="B3516" i="1"/>
  <c r="T3515" i="1"/>
  <c r="R3515" i="1"/>
  <c r="S3515" i="1" s="1"/>
  <c r="Q3515" i="1"/>
  <c r="O3515" i="1"/>
  <c r="C3515" i="1"/>
  <c r="B3515" i="1"/>
  <c r="T3514" i="1"/>
  <c r="Q3514" i="1"/>
  <c r="O3514" i="1"/>
  <c r="C3514" i="1"/>
  <c r="B3514" i="1"/>
  <c r="T3513" i="1"/>
  <c r="Q3513" i="1"/>
  <c r="O3513" i="1"/>
  <c r="C3513" i="1"/>
  <c r="B3513" i="1"/>
  <c r="T3512" i="1"/>
  <c r="O3512" i="1"/>
  <c r="C3512" i="1"/>
  <c r="B3512" i="1"/>
  <c r="T3511" i="1"/>
  <c r="Q3511" i="1"/>
  <c r="R3511" i="1" s="1"/>
  <c r="S3511" i="1" s="1"/>
  <c r="O3511" i="1"/>
  <c r="C3511" i="1"/>
  <c r="B3511" i="1"/>
  <c r="T3510" i="1"/>
  <c r="R3510" i="1"/>
  <c r="S3510" i="1" s="1"/>
  <c r="O3510" i="1"/>
  <c r="Q3510" i="1" s="1"/>
  <c r="C3510" i="1"/>
  <c r="B3510" i="1"/>
  <c r="T3509" i="1"/>
  <c r="Q3509" i="1"/>
  <c r="O3509" i="1"/>
  <c r="C3509" i="1"/>
  <c r="B3509" i="1"/>
  <c r="T3508" i="1"/>
  <c r="S3508" i="1"/>
  <c r="R3508" i="1"/>
  <c r="O3508" i="1"/>
  <c r="Q3508" i="1" s="1"/>
  <c r="C3508" i="1"/>
  <c r="B3508" i="1"/>
  <c r="T3507" i="1"/>
  <c r="O3507" i="1"/>
  <c r="Q3507" i="1" s="1"/>
  <c r="R3507" i="1" s="1"/>
  <c r="S3507" i="1" s="1"/>
  <c r="C3507" i="1"/>
  <c r="B3507" i="1"/>
  <c r="T3506" i="1"/>
  <c r="S3506" i="1"/>
  <c r="R3506" i="1"/>
  <c r="Q3506" i="1"/>
  <c r="O3506" i="1"/>
  <c r="C3506" i="1"/>
  <c r="B3506" i="1"/>
  <c r="T3505" i="1"/>
  <c r="Q3505" i="1"/>
  <c r="O3505" i="1"/>
  <c r="C3505" i="1"/>
  <c r="B3505" i="1"/>
  <c r="T3504" i="1"/>
  <c r="O3504" i="1"/>
  <c r="C3504" i="1"/>
  <c r="B3504" i="1"/>
  <c r="T3503" i="1"/>
  <c r="O3503" i="1"/>
  <c r="Q3503" i="1" s="1"/>
  <c r="C3503" i="1"/>
  <c r="B3503" i="1"/>
  <c r="T3502" i="1"/>
  <c r="S3502" i="1"/>
  <c r="R3502" i="1"/>
  <c r="Q3502" i="1"/>
  <c r="O3502" i="1"/>
  <c r="C3502" i="1"/>
  <c r="B3502" i="1"/>
  <c r="T3501" i="1"/>
  <c r="Q3501" i="1"/>
  <c r="O3501" i="1"/>
  <c r="C3501" i="1"/>
  <c r="B3501" i="1"/>
  <c r="T3500" i="1"/>
  <c r="O3500" i="1"/>
  <c r="C3500" i="1"/>
  <c r="B3500" i="1"/>
  <c r="T3499" i="1"/>
  <c r="R3499" i="1"/>
  <c r="S3499" i="1" s="1"/>
  <c r="Q3499" i="1"/>
  <c r="O3499" i="1"/>
  <c r="C3499" i="1"/>
  <c r="B3499" i="1"/>
  <c r="T3498" i="1"/>
  <c r="O3498" i="1"/>
  <c r="C3498" i="1"/>
  <c r="B3498" i="1"/>
  <c r="T3497" i="1"/>
  <c r="O3497" i="1"/>
  <c r="C3497" i="1"/>
  <c r="B3497" i="1"/>
  <c r="T3496" i="1"/>
  <c r="O3496" i="1"/>
  <c r="C3496" i="1"/>
  <c r="B3496" i="1"/>
  <c r="T3495" i="1"/>
  <c r="Q3495" i="1"/>
  <c r="R3495" i="1" s="1"/>
  <c r="S3495" i="1" s="1"/>
  <c r="O3495" i="1"/>
  <c r="C3495" i="1"/>
  <c r="B3495" i="1"/>
  <c r="T3494" i="1"/>
  <c r="R3494" i="1"/>
  <c r="S3494" i="1" s="1"/>
  <c r="Q3494" i="1"/>
  <c r="O3494" i="1"/>
  <c r="C3494" i="1"/>
  <c r="B3494" i="1"/>
  <c r="T3493" i="1"/>
  <c r="O3493" i="1"/>
  <c r="C3493" i="1"/>
  <c r="B3493" i="1"/>
  <c r="T3492" i="1"/>
  <c r="S3492" i="1"/>
  <c r="Q3492" i="1"/>
  <c r="O3492" i="1"/>
  <c r="R3492" i="1" s="1"/>
  <c r="C3492" i="1"/>
  <c r="B3492" i="1"/>
  <c r="T3491" i="1"/>
  <c r="S3491" i="1"/>
  <c r="R3491" i="1"/>
  <c r="Q3491" i="1"/>
  <c r="O3491" i="1"/>
  <c r="C3491" i="1"/>
  <c r="B3491" i="1"/>
  <c r="T3490" i="1"/>
  <c r="Q3490" i="1"/>
  <c r="O3490" i="1"/>
  <c r="C3490" i="1"/>
  <c r="B3490" i="1"/>
  <c r="T3489" i="1"/>
  <c r="O3489" i="1"/>
  <c r="Q3489" i="1" s="1"/>
  <c r="C3489" i="1"/>
  <c r="B3489" i="1"/>
  <c r="T3488" i="1"/>
  <c r="O3488" i="1"/>
  <c r="C3488" i="1"/>
  <c r="B3488" i="1"/>
  <c r="T3487" i="1"/>
  <c r="S3487" i="1"/>
  <c r="R3487" i="1"/>
  <c r="Q3487" i="1"/>
  <c r="O3487" i="1"/>
  <c r="C3487" i="1"/>
  <c r="B3487" i="1"/>
  <c r="T3486" i="1"/>
  <c r="Q3486" i="1"/>
  <c r="R3486" i="1" s="1"/>
  <c r="S3486" i="1" s="1"/>
  <c r="O3486" i="1"/>
  <c r="C3486" i="1"/>
  <c r="B3486" i="1"/>
  <c r="T3485" i="1"/>
  <c r="R3485" i="1"/>
  <c r="S3485" i="1" s="1"/>
  <c r="Q3485" i="1"/>
  <c r="O3485" i="1"/>
  <c r="C3485" i="1"/>
  <c r="B3485" i="1"/>
  <c r="T3484" i="1"/>
  <c r="S3484" i="1"/>
  <c r="R3484" i="1"/>
  <c r="O3484" i="1"/>
  <c r="Q3484" i="1" s="1"/>
  <c r="C3484" i="1"/>
  <c r="B3484" i="1"/>
  <c r="T3483" i="1"/>
  <c r="O3483" i="1"/>
  <c r="C3483" i="1"/>
  <c r="B3483" i="1"/>
  <c r="T3482" i="1"/>
  <c r="O3482" i="1"/>
  <c r="C3482" i="1"/>
  <c r="B3482" i="1"/>
  <c r="T3481" i="1"/>
  <c r="Q3481" i="1"/>
  <c r="R3481" i="1" s="1"/>
  <c r="S3481" i="1" s="1"/>
  <c r="O3481" i="1"/>
  <c r="C3481" i="1"/>
  <c r="B3481" i="1"/>
  <c r="T3480" i="1"/>
  <c r="S3480" i="1"/>
  <c r="R3480" i="1"/>
  <c r="Q3480" i="1"/>
  <c r="O3480" i="1"/>
  <c r="C3480" i="1"/>
  <c r="B3480" i="1"/>
  <c r="T3479" i="1"/>
  <c r="S3479" i="1"/>
  <c r="R3479" i="1"/>
  <c r="Q3479" i="1"/>
  <c r="O3479" i="1"/>
  <c r="C3479" i="1"/>
  <c r="B3479" i="1"/>
  <c r="T3478" i="1"/>
  <c r="Q3478" i="1"/>
  <c r="O3478" i="1"/>
  <c r="C3478" i="1"/>
  <c r="B3478" i="1"/>
  <c r="T3477" i="1"/>
  <c r="O3477" i="1"/>
  <c r="C3477" i="1"/>
  <c r="B3477" i="1"/>
  <c r="T3476" i="1"/>
  <c r="R3476" i="1"/>
  <c r="S3476" i="1" s="1"/>
  <c r="Q3476" i="1"/>
  <c r="O3476" i="1"/>
  <c r="C3476" i="1"/>
  <c r="B3476" i="1"/>
  <c r="T3475" i="1"/>
  <c r="O3475" i="1"/>
  <c r="C3475" i="1"/>
  <c r="B3475" i="1"/>
  <c r="T3474" i="1"/>
  <c r="R3474" i="1"/>
  <c r="S3474" i="1" s="1"/>
  <c r="Q3474" i="1"/>
  <c r="O3474" i="1"/>
  <c r="C3474" i="1"/>
  <c r="B3474" i="1"/>
  <c r="T3473" i="1"/>
  <c r="R3473" i="1"/>
  <c r="S3473" i="1" s="1"/>
  <c r="Q3473" i="1"/>
  <c r="O3473" i="1"/>
  <c r="C3473" i="1"/>
  <c r="B3473" i="1"/>
  <c r="T3472" i="1"/>
  <c r="Q3472" i="1"/>
  <c r="R3472" i="1" s="1"/>
  <c r="S3472" i="1" s="1"/>
  <c r="O3472" i="1"/>
  <c r="C3472" i="1"/>
  <c r="B3472" i="1"/>
  <c r="T3471" i="1"/>
  <c r="R3471" i="1"/>
  <c r="S3471" i="1" s="1"/>
  <c r="Q3471" i="1"/>
  <c r="O3471" i="1"/>
  <c r="C3471" i="1"/>
  <c r="B3471" i="1"/>
  <c r="T3470" i="1"/>
  <c r="Q3470" i="1"/>
  <c r="R3470" i="1" s="1"/>
  <c r="S3470" i="1" s="1"/>
  <c r="O3470" i="1"/>
  <c r="C3470" i="1"/>
  <c r="B3470" i="1"/>
  <c r="T3469" i="1"/>
  <c r="Q3469" i="1"/>
  <c r="R3469" i="1" s="1"/>
  <c r="S3469" i="1" s="1"/>
  <c r="O3469" i="1"/>
  <c r="C3469" i="1"/>
  <c r="B3469" i="1"/>
  <c r="T3468" i="1"/>
  <c r="R3468" i="1"/>
  <c r="S3468" i="1" s="1"/>
  <c r="O3468" i="1"/>
  <c r="Q3468" i="1" s="1"/>
  <c r="C3468" i="1"/>
  <c r="B3468" i="1"/>
  <c r="T3467" i="1"/>
  <c r="Q3467" i="1"/>
  <c r="R3467" i="1" s="1"/>
  <c r="S3467" i="1" s="1"/>
  <c r="O3467" i="1"/>
  <c r="C3467" i="1"/>
  <c r="B3467" i="1"/>
  <c r="T3466" i="1"/>
  <c r="S3466" i="1"/>
  <c r="R3466" i="1"/>
  <c r="Q3466" i="1"/>
  <c r="O3466" i="1"/>
  <c r="C3466" i="1"/>
  <c r="B3466" i="1"/>
  <c r="T3465" i="1"/>
  <c r="R3465" i="1"/>
  <c r="S3465" i="1" s="1"/>
  <c r="Q3465" i="1"/>
  <c r="O3465" i="1"/>
  <c r="C3465" i="1"/>
  <c r="B3465" i="1"/>
  <c r="T3464" i="1"/>
  <c r="R3464" i="1"/>
  <c r="S3464" i="1" s="1"/>
  <c r="Q3464" i="1"/>
  <c r="O3464" i="1"/>
  <c r="C3464" i="1"/>
  <c r="B3464" i="1"/>
  <c r="T3463" i="1"/>
  <c r="Q3463" i="1"/>
  <c r="O3463" i="1"/>
  <c r="C3463" i="1"/>
  <c r="B3463" i="1"/>
  <c r="T3462" i="1"/>
  <c r="R3462" i="1"/>
  <c r="S3462" i="1" s="1"/>
  <c r="Q3462" i="1"/>
  <c r="O3462" i="1"/>
  <c r="C3462" i="1"/>
  <c r="B3462" i="1"/>
  <c r="T3461" i="1"/>
  <c r="Q3461" i="1"/>
  <c r="O3461" i="1"/>
  <c r="C3461" i="1"/>
  <c r="B3461" i="1"/>
  <c r="T3460" i="1"/>
  <c r="O3460" i="1"/>
  <c r="C3460" i="1"/>
  <c r="B3460" i="1"/>
  <c r="T3459" i="1"/>
  <c r="R3459" i="1"/>
  <c r="S3459" i="1" s="1"/>
  <c r="Q3459" i="1"/>
  <c r="O3459" i="1"/>
  <c r="C3459" i="1"/>
  <c r="B3459" i="1"/>
  <c r="T3458" i="1"/>
  <c r="Q3458" i="1"/>
  <c r="R3458" i="1" s="1"/>
  <c r="S3458" i="1" s="1"/>
  <c r="O3458" i="1"/>
  <c r="C3458" i="1"/>
  <c r="B3458" i="1"/>
  <c r="T3457" i="1"/>
  <c r="O3457" i="1"/>
  <c r="C3457" i="1"/>
  <c r="B3457" i="1"/>
  <c r="T3456" i="1"/>
  <c r="S3456" i="1"/>
  <c r="Q3456" i="1"/>
  <c r="R3456" i="1" s="1"/>
  <c r="O3456" i="1"/>
  <c r="C3456" i="1"/>
  <c r="B3456" i="1"/>
  <c r="T3455" i="1"/>
  <c r="R3455" i="1"/>
  <c r="S3455" i="1" s="1"/>
  <c r="O3455" i="1"/>
  <c r="Q3455" i="1" s="1"/>
  <c r="C3455" i="1"/>
  <c r="B3455" i="1"/>
  <c r="T3454" i="1"/>
  <c r="O3454" i="1"/>
  <c r="C3454" i="1"/>
  <c r="B3454" i="1"/>
  <c r="T3453" i="1"/>
  <c r="O3453" i="1"/>
  <c r="C3453" i="1"/>
  <c r="B3453" i="1"/>
  <c r="T3452" i="1"/>
  <c r="R3452" i="1"/>
  <c r="S3452" i="1" s="1"/>
  <c r="Q3452" i="1"/>
  <c r="O3452" i="1"/>
  <c r="C3452" i="1"/>
  <c r="B3452" i="1"/>
  <c r="T3451" i="1"/>
  <c r="Q3451" i="1"/>
  <c r="R3451" i="1" s="1"/>
  <c r="S3451" i="1" s="1"/>
  <c r="O3451" i="1"/>
  <c r="C3451" i="1"/>
  <c r="B3451" i="1"/>
  <c r="T3450" i="1"/>
  <c r="S3450" i="1"/>
  <c r="R3450" i="1"/>
  <c r="Q3450" i="1"/>
  <c r="O3450" i="1"/>
  <c r="C3450" i="1"/>
  <c r="B3450" i="1"/>
  <c r="T3449" i="1"/>
  <c r="R3449" i="1"/>
  <c r="S3449" i="1" s="1"/>
  <c r="O3449" i="1"/>
  <c r="Q3449" i="1" s="1"/>
  <c r="C3449" i="1"/>
  <c r="B3449" i="1"/>
  <c r="T3448" i="1"/>
  <c r="O3448" i="1"/>
  <c r="C3448" i="1"/>
  <c r="B3448" i="1"/>
  <c r="T3447" i="1"/>
  <c r="Q3447" i="1"/>
  <c r="O3447" i="1"/>
  <c r="C3447" i="1"/>
  <c r="B3447" i="1"/>
  <c r="T3446" i="1"/>
  <c r="Q3446" i="1"/>
  <c r="R3446" i="1" s="1"/>
  <c r="S3446" i="1" s="1"/>
  <c r="O3446" i="1"/>
  <c r="C3446" i="1"/>
  <c r="B3446" i="1"/>
  <c r="T3445" i="1"/>
  <c r="O3445" i="1"/>
  <c r="C3445" i="1"/>
  <c r="B3445" i="1"/>
  <c r="T3444" i="1"/>
  <c r="R3444" i="1"/>
  <c r="S3444" i="1" s="1"/>
  <c r="O3444" i="1"/>
  <c r="Q3444" i="1" s="1"/>
  <c r="C3444" i="1"/>
  <c r="B3444" i="1"/>
  <c r="T3443" i="1"/>
  <c r="O3443" i="1"/>
  <c r="C3443" i="1"/>
  <c r="B3443" i="1"/>
  <c r="T3442" i="1"/>
  <c r="R3442" i="1"/>
  <c r="S3442" i="1" s="1"/>
  <c r="Q3442" i="1"/>
  <c r="O3442" i="1"/>
  <c r="C3442" i="1"/>
  <c r="B3442" i="1"/>
  <c r="T3441" i="1"/>
  <c r="Q3441" i="1"/>
  <c r="R3441" i="1" s="1"/>
  <c r="S3441" i="1" s="1"/>
  <c r="O3441" i="1"/>
  <c r="C3441" i="1"/>
  <c r="B3441" i="1"/>
  <c r="T3440" i="1"/>
  <c r="O3440" i="1"/>
  <c r="C3440" i="1"/>
  <c r="B3440" i="1"/>
  <c r="T3439" i="1"/>
  <c r="O3439" i="1"/>
  <c r="C3439" i="1"/>
  <c r="B3439" i="1"/>
  <c r="T3438" i="1"/>
  <c r="O3438" i="1"/>
  <c r="C3438" i="1"/>
  <c r="B3438" i="1"/>
  <c r="T3437" i="1"/>
  <c r="Q3437" i="1"/>
  <c r="O3437" i="1"/>
  <c r="C3437" i="1"/>
  <c r="B3437" i="1"/>
  <c r="T3436" i="1"/>
  <c r="Q3436" i="1"/>
  <c r="O3436" i="1"/>
  <c r="C3436" i="1"/>
  <c r="B3436" i="1"/>
  <c r="T3435" i="1"/>
  <c r="R3435" i="1"/>
  <c r="S3435" i="1" s="1"/>
  <c r="Q3435" i="1"/>
  <c r="O3435" i="1"/>
  <c r="C3435" i="1"/>
  <c r="B3435" i="1"/>
  <c r="T3434" i="1"/>
  <c r="O3434" i="1"/>
  <c r="C3434" i="1"/>
  <c r="B3434" i="1"/>
  <c r="T3433" i="1"/>
  <c r="S3433" i="1"/>
  <c r="R3433" i="1"/>
  <c r="O3433" i="1"/>
  <c r="Q3433" i="1" s="1"/>
  <c r="C3433" i="1"/>
  <c r="B3433" i="1"/>
  <c r="T3432" i="1"/>
  <c r="O3432" i="1"/>
  <c r="C3432" i="1"/>
  <c r="B3432" i="1"/>
  <c r="T3431" i="1"/>
  <c r="Q3431" i="1"/>
  <c r="O3431" i="1"/>
  <c r="C3431" i="1"/>
  <c r="B3431" i="1"/>
  <c r="T3430" i="1"/>
  <c r="O3430" i="1"/>
  <c r="Q3430" i="1" s="1"/>
  <c r="C3430" i="1"/>
  <c r="B3430" i="1"/>
  <c r="T3429" i="1"/>
  <c r="O3429" i="1"/>
  <c r="Q3429" i="1" s="1"/>
  <c r="R3429" i="1" s="1"/>
  <c r="S3429" i="1" s="1"/>
  <c r="C3429" i="1"/>
  <c r="B3429" i="1"/>
  <c r="T3428" i="1"/>
  <c r="R3428" i="1"/>
  <c r="S3428" i="1" s="1"/>
  <c r="Q3428" i="1"/>
  <c r="O3428" i="1"/>
  <c r="C3428" i="1"/>
  <c r="B3428" i="1"/>
  <c r="T3427" i="1"/>
  <c r="Q3427" i="1"/>
  <c r="R3427" i="1" s="1"/>
  <c r="S3427" i="1" s="1"/>
  <c r="O3427" i="1"/>
  <c r="C3427" i="1"/>
  <c r="B3427" i="1"/>
  <c r="T3426" i="1"/>
  <c r="O3426" i="1"/>
  <c r="C3426" i="1"/>
  <c r="B3426" i="1"/>
  <c r="T3425" i="1"/>
  <c r="R3425" i="1"/>
  <c r="S3425" i="1" s="1"/>
  <c r="Q3425" i="1"/>
  <c r="O3425" i="1"/>
  <c r="C3425" i="1"/>
  <c r="B3425" i="1"/>
  <c r="T3424" i="1"/>
  <c r="S3424" i="1"/>
  <c r="R3424" i="1"/>
  <c r="O3424" i="1"/>
  <c r="Q3424" i="1" s="1"/>
  <c r="C3424" i="1"/>
  <c r="B3424" i="1"/>
  <c r="T3423" i="1"/>
  <c r="Q3423" i="1"/>
  <c r="O3423" i="1"/>
  <c r="C3423" i="1"/>
  <c r="B3423" i="1"/>
  <c r="T3422" i="1"/>
  <c r="Q3422" i="1"/>
  <c r="O3422" i="1"/>
  <c r="C3422" i="1"/>
  <c r="B3422" i="1"/>
  <c r="T3421" i="1"/>
  <c r="O3421" i="1"/>
  <c r="C3421" i="1"/>
  <c r="B3421" i="1"/>
  <c r="T3420" i="1"/>
  <c r="R3420" i="1"/>
  <c r="S3420" i="1" s="1"/>
  <c r="O3420" i="1"/>
  <c r="Q3420" i="1" s="1"/>
  <c r="C3420" i="1"/>
  <c r="B3420" i="1"/>
  <c r="T3419" i="1"/>
  <c r="R3419" i="1"/>
  <c r="S3419" i="1" s="1"/>
  <c r="Q3419" i="1"/>
  <c r="O3419" i="1"/>
  <c r="C3419" i="1"/>
  <c r="B3419" i="1"/>
  <c r="T3418" i="1"/>
  <c r="Q3418" i="1"/>
  <c r="O3418" i="1"/>
  <c r="C3418" i="1"/>
  <c r="B3418" i="1"/>
  <c r="T3417" i="1"/>
  <c r="Q3417" i="1"/>
  <c r="R3417" i="1" s="1"/>
  <c r="S3417" i="1" s="1"/>
  <c r="O3417" i="1"/>
  <c r="C3417" i="1"/>
  <c r="B3417" i="1"/>
  <c r="T3416" i="1"/>
  <c r="O3416" i="1"/>
  <c r="C3416" i="1"/>
  <c r="B3416" i="1"/>
  <c r="T3415" i="1"/>
  <c r="O3415" i="1"/>
  <c r="C3415" i="1"/>
  <c r="B3415" i="1"/>
  <c r="T3414" i="1"/>
  <c r="Q3414" i="1"/>
  <c r="O3414" i="1"/>
  <c r="C3414" i="1"/>
  <c r="B3414" i="1"/>
  <c r="T3413" i="1"/>
  <c r="Q3413" i="1"/>
  <c r="O3413" i="1"/>
  <c r="C3413" i="1"/>
  <c r="B3413" i="1"/>
  <c r="T3412" i="1"/>
  <c r="O3412" i="1"/>
  <c r="C3412" i="1"/>
  <c r="B3412" i="1"/>
  <c r="T3411" i="1"/>
  <c r="R3411" i="1"/>
  <c r="S3411" i="1" s="1"/>
  <c r="Q3411" i="1"/>
  <c r="O3411" i="1"/>
  <c r="C3411" i="1"/>
  <c r="B3411" i="1"/>
  <c r="T3410" i="1"/>
  <c r="S3410" i="1"/>
  <c r="R3410" i="1"/>
  <c r="O3410" i="1"/>
  <c r="Q3410" i="1" s="1"/>
  <c r="C3410" i="1"/>
  <c r="B3410" i="1"/>
  <c r="T3409" i="1"/>
  <c r="R3409" i="1"/>
  <c r="S3409" i="1" s="1"/>
  <c r="Q3409" i="1"/>
  <c r="O3409" i="1"/>
  <c r="C3409" i="1"/>
  <c r="B3409" i="1"/>
  <c r="T3408" i="1"/>
  <c r="S3408" i="1"/>
  <c r="R3408" i="1"/>
  <c r="Q3408" i="1"/>
  <c r="O3408" i="1"/>
  <c r="C3408" i="1"/>
  <c r="B3408" i="1"/>
  <c r="T3407" i="1"/>
  <c r="O3407" i="1"/>
  <c r="C3407" i="1"/>
  <c r="B3407" i="1"/>
  <c r="T3406" i="1"/>
  <c r="O3406" i="1"/>
  <c r="Q3406" i="1" s="1"/>
  <c r="C3406" i="1"/>
  <c r="B3406" i="1"/>
  <c r="T3405" i="1"/>
  <c r="O3405" i="1"/>
  <c r="C3405" i="1"/>
  <c r="B3405" i="1"/>
  <c r="T3404" i="1"/>
  <c r="R3404" i="1"/>
  <c r="S3404" i="1" s="1"/>
  <c r="Q3404" i="1"/>
  <c r="O3404" i="1"/>
  <c r="C3404" i="1"/>
  <c r="B3404" i="1"/>
  <c r="T3403" i="1"/>
  <c r="S3403" i="1"/>
  <c r="R3403" i="1"/>
  <c r="Q3403" i="1"/>
  <c r="O3403" i="1"/>
  <c r="C3403" i="1"/>
  <c r="B3403" i="1"/>
  <c r="T3402" i="1"/>
  <c r="R3402" i="1"/>
  <c r="S3402" i="1" s="1"/>
  <c r="O3402" i="1"/>
  <c r="Q3402" i="1" s="1"/>
  <c r="C3402" i="1"/>
  <c r="B3402" i="1"/>
  <c r="T3401" i="1"/>
  <c r="R3401" i="1"/>
  <c r="S3401" i="1" s="1"/>
  <c r="Q3401" i="1"/>
  <c r="O3401" i="1"/>
  <c r="C3401" i="1"/>
  <c r="B3401" i="1"/>
  <c r="T3400" i="1"/>
  <c r="O3400" i="1"/>
  <c r="C3400" i="1"/>
  <c r="B3400" i="1"/>
  <c r="T3399" i="1"/>
  <c r="Q3399" i="1"/>
  <c r="O3399" i="1"/>
  <c r="C3399" i="1"/>
  <c r="B3399" i="1"/>
  <c r="T3398" i="1"/>
  <c r="Q3398" i="1"/>
  <c r="R3398" i="1" s="1"/>
  <c r="S3398" i="1" s="1"/>
  <c r="O3398" i="1"/>
  <c r="C3398" i="1"/>
  <c r="B3398" i="1"/>
  <c r="T3397" i="1"/>
  <c r="O3397" i="1"/>
  <c r="C3397" i="1"/>
  <c r="B3397" i="1"/>
  <c r="T3396" i="1"/>
  <c r="O3396" i="1"/>
  <c r="Q3396" i="1" s="1"/>
  <c r="C3396" i="1"/>
  <c r="B3396" i="1"/>
  <c r="T3395" i="1"/>
  <c r="Q3395" i="1"/>
  <c r="R3395" i="1" s="1"/>
  <c r="S3395" i="1" s="1"/>
  <c r="O3395" i="1"/>
  <c r="C3395" i="1"/>
  <c r="B3395" i="1"/>
  <c r="T3394" i="1"/>
  <c r="O3394" i="1"/>
  <c r="C3394" i="1"/>
  <c r="B3394" i="1"/>
  <c r="T3393" i="1"/>
  <c r="Q3393" i="1"/>
  <c r="O3393" i="1"/>
  <c r="C3393" i="1"/>
  <c r="B3393" i="1"/>
  <c r="T3392" i="1"/>
  <c r="O3392" i="1"/>
  <c r="C3392" i="1"/>
  <c r="B3392" i="1"/>
  <c r="T3391" i="1"/>
  <c r="Q3391" i="1"/>
  <c r="R3391" i="1" s="1"/>
  <c r="S3391" i="1" s="1"/>
  <c r="O3391" i="1"/>
  <c r="C3391" i="1"/>
  <c r="B3391" i="1"/>
  <c r="T3390" i="1"/>
  <c r="O3390" i="1"/>
  <c r="C3390" i="1"/>
  <c r="B3390" i="1"/>
  <c r="T3389" i="1"/>
  <c r="Q3389" i="1"/>
  <c r="O3389" i="1"/>
  <c r="R3389" i="1" s="1"/>
  <c r="S3389" i="1" s="1"/>
  <c r="C3389" i="1"/>
  <c r="B3389" i="1"/>
  <c r="T3388" i="1"/>
  <c r="Q3388" i="1"/>
  <c r="R3388" i="1" s="1"/>
  <c r="S3388" i="1" s="1"/>
  <c r="O3388" i="1"/>
  <c r="C3388" i="1"/>
  <c r="B3388" i="1"/>
  <c r="T3387" i="1"/>
  <c r="Q3387" i="1"/>
  <c r="R3387" i="1" s="1"/>
  <c r="S3387" i="1" s="1"/>
  <c r="O3387" i="1"/>
  <c r="C3387" i="1"/>
  <c r="B3387" i="1"/>
  <c r="T3386" i="1"/>
  <c r="O3386" i="1"/>
  <c r="C3386" i="1"/>
  <c r="B3386" i="1"/>
  <c r="T3385" i="1"/>
  <c r="R3385" i="1"/>
  <c r="S3385" i="1" s="1"/>
  <c r="Q3385" i="1"/>
  <c r="O3385" i="1"/>
  <c r="C3385" i="1"/>
  <c r="B3385" i="1"/>
  <c r="T3384" i="1"/>
  <c r="Q3384" i="1"/>
  <c r="O3384" i="1"/>
  <c r="C3384" i="1"/>
  <c r="B3384" i="1"/>
  <c r="T3383" i="1"/>
  <c r="O3383" i="1"/>
  <c r="C3383" i="1"/>
  <c r="B3383" i="1"/>
  <c r="T3382" i="1"/>
  <c r="R3382" i="1"/>
  <c r="S3382" i="1" s="1"/>
  <c r="O3382" i="1"/>
  <c r="Q3382" i="1" s="1"/>
  <c r="C3382" i="1"/>
  <c r="B3382" i="1"/>
  <c r="T3381" i="1"/>
  <c r="S3381" i="1"/>
  <c r="R3381" i="1"/>
  <c r="Q3381" i="1"/>
  <c r="O3381" i="1"/>
  <c r="C3381" i="1"/>
  <c r="B3381" i="1"/>
  <c r="T3380" i="1"/>
  <c r="R3380" i="1"/>
  <c r="S3380" i="1" s="1"/>
  <c r="Q3380" i="1"/>
  <c r="O3380" i="1"/>
  <c r="C3380" i="1"/>
  <c r="B3380" i="1"/>
  <c r="T3379" i="1"/>
  <c r="Q3379" i="1"/>
  <c r="R3379" i="1" s="1"/>
  <c r="S3379" i="1" s="1"/>
  <c r="O3379" i="1"/>
  <c r="C3379" i="1"/>
  <c r="B3379" i="1"/>
  <c r="T3378" i="1"/>
  <c r="O3378" i="1"/>
  <c r="Q3378" i="1" s="1"/>
  <c r="R3378" i="1" s="1"/>
  <c r="S3378" i="1" s="1"/>
  <c r="C3378" i="1"/>
  <c r="B3378" i="1"/>
  <c r="T3377" i="1"/>
  <c r="O3377" i="1"/>
  <c r="C3377" i="1"/>
  <c r="B3377" i="1"/>
  <c r="T3376" i="1"/>
  <c r="O3376" i="1"/>
  <c r="C3376" i="1"/>
  <c r="B3376" i="1"/>
  <c r="T3375" i="1"/>
  <c r="Q3375" i="1"/>
  <c r="O3375" i="1"/>
  <c r="C3375" i="1"/>
  <c r="B3375" i="1"/>
  <c r="T3374" i="1"/>
  <c r="Q3374" i="1"/>
  <c r="R3374" i="1" s="1"/>
  <c r="S3374" i="1" s="1"/>
  <c r="O3374" i="1"/>
  <c r="C3374" i="1"/>
  <c r="B3374" i="1"/>
  <c r="T3373" i="1"/>
  <c r="O3373" i="1"/>
  <c r="C3373" i="1"/>
  <c r="B3373" i="1"/>
  <c r="T3372" i="1"/>
  <c r="O3372" i="1"/>
  <c r="C3372" i="1"/>
  <c r="B3372" i="1"/>
  <c r="T3371" i="1"/>
  <c r="O3371" i="1"/>
  <c r="C3371" i="1"/>
  <c r="B3371" i="1"/>
  <c r="T3370" i="1"/>
  <c r="S3370" i="1"/>
  <c r="R3370" i="1"/>
  <c r="Q3370" i="1"/>
  <c r="O3370" i="1"/>
  <c r="C3370" i="1"/>
  <c r="B3370" i="1"/>
  <c r="T3369" i="1"/>
  <c r="O3369" i="1"/>
  <c r="C3369" i="1"/>
  <c r="B3369" i="1"/>
  <c r="T3368" i="1"/>
  <c r="Q3368" i="1"/>
  <c r="O3368" i="1"/>
  <c r="C3368" i="1"/>
  <c r="B3368" i="1"/>
  <c r="T3367" i="1"/>
  <c r="R3367" i="1"/>
  <c r="S3367" i="1" s="1"/>
  <c r="Q3367" i="1"/>
  <c r="O3367" i="1"/>
  <c r="C3367" i="1"/>
  <c r="B3367" i="1"/>
  <c r="T3366" i="1"/>
  <c r="Q3366" i="1"/>
  <c r="O3366" i="1"/>
  <c r="C3366" i="1"/>
  <c r="B3366" i="1"/>
  <c r="T3365" i="1"/>
  <c r="Q3365" i="1"/>
  <c r="O3365" i="1"/>
  <c r="R3365" i="1" s="1"/>
  <c r="S3365" i="1" s="1"/>
  <c r="C3365" i="1"/>
  <c r="B3365" i="1"/>
  <c r="T3364" i="1"/>
  <c r="O3364" i="1"/>
  <c r="C3364" i="1"/>
  <c r="B3364" i="1"/>
  <c r="T3363" i="1"/>
  <c r="Q3363" i="1"/>
  <c r="R3363" i="1" s="1"/>
  <c r="S3363" i="1" s="1"/>
  <c r="O3363" i="1"/>
  <c r="C3363" i="1"/>
  <c r="B3363" i="1"/>
  <c r="T3362" i="1"/>
  <c r="O3362" i="1"/>
  <c r="C3362" i="1"/>
  <c r="B3362" i="1"/>
  <c r="T3361" i="1"/>
  <c r="S3361" i="1"/>
  <c r="Q3361" i="1"/>
  <c r="O3361" i="1"/>
  <c r="R3361" i="1" s="1"/>
  <c r="C3361" i="1"/>
  <c r="B3361" i="1"/>
  <c r="T3360" i="1"/>
  <c r="O3360" i="1"/>
  <c r="C3360" i="1"/>
  <c r="B3360" i="1"/>
  <c r="T3359" i="1"/>
  <c r="O3359" i="1"/>
  <c r="C3359" i="1"/>
  <c r="B3359" i="1"/>
  <c r="T3358" i="1"/>
  <c r="O3358" i="1"/>
  <c r="C3358" i="1"/>
  <c r="B3358" i="1"/>
  <c r="T3357" i="1"/>
  <c r="S3357" i="1"/>
  <c r="Q3357" i="1"/>
  <c r="O3357" i="1"/>
  <c r="R3357" i="1" s="1"/>
  <c r="C3357" i="1"/>
  <c r="B3357" i="1"/>
  <c r="T3356" i="1"/>
  <c r="R3356" i="1"/>
  <c r="S3356" i="1" s="1"/>
  <c r="Q3356" i="1"/>
  <c r="O3356" i="1"/>
  <c r="C3356" i="1"/>
  <c r="B3356" i="1"/>
  <c r="T3355" i="1"/>
  <c r="S3355" i="1"/>
  <c r="R3355" i="1"/>
  <c r="Q3355" i="1"/>
  <c r="O3355" i="1"/>
  <c r="C3355" i="1"/>
  <c r="B3355" i="1"/>
  <c r="T3354" i="1"/>
  <c r="R3354" i="1"/>
  <c r="S3354" i="1" s="1"/>
  <c r="O3354" i="1"/>
  <c r="Q3354" i="1" s="1"/>
  <c r="C3354" i="1"/>
  <c r="B3354" i="1"/>
  <c r="T3353" i="1"/>
  <c r="R3353" i="1"/>
  <c r="S3353" i="1" s="1"/>
  <c r="Q3353" i="1"/>
  <c r="O3353" i="1"/>
  <c r="C3353" i="1"/>
  <c r="B3353" i="1"/>
  <c r="T3352" i="1"/>
  <c r="O3352" i="1"/>
  <c r="Q3352" i="1" s="1"/>
  <c r="C3352" i="1"/>
  <c r="B3352" i="1"/>
  <c r="T3351" i="1"/>
  <c r="O3351" i="1"/>
  <c r="C3351" i="1"/>
  <c r="B3351" i="1"/>
  <c r="T3350" i="1"/>
  <c r="O3350" i="1"/>
  <c r="Q3350" i="1" s="1"/>
  <c r="R3350" i="1" s="1"/>
  <c r="S3350" i="1" s="1"/>
  <c r="C3350" i="1"/>
  <c r="B3350" i="1"/>
  <c r="T3349" i="1"/>
  <c r="O3349" i="1"/>
  <c r="C3349" i="1"/>
  <c r="B3349" i="1"/>
  <c r="T3348" i="1"/>
  <c r="S3348" i="1"/>
  <c r="R3348" i="1"/>
  <c r="O3348" i="1"/>
  <c r="Q3348" i="1" s="1"/>
  <c r="C3348" i="1"/>
  <c r="B3348" i="1"/>
  <c r="T3347" i="1"/>
  <c r="O3347" i="1"/>
  <c r="C3347" i="1"/>
  <c r="B3347" i="1"/>
  <c r="T3346" i="1"/>
  <c r="O3346" i="1"/>
  <c r="Q3346" i="1" s="1"/>
  <c r="R3346" i="1" s="1"/>
  <c r="S3346" i="1" s="1"/>
  <c r="C3346" i="1"/>
  <c r="B3346" i="1"/>
  <c r="T3345" i="1"/>
  <c r="O3345" i="1"/>
  <c r="C3345" i="1"/>
  <c r="B3345" i="1"/>
  <c r="T3344" i="1"/>
  <c r="O3344" i="1"/>
  <c r="C3344" i="1"/>
  <c r="B3344" i="1"/>
  <c r="T3343" i="1"/>
  <c r="Q3343" i="1"/>
  <c r="O3343" i="1"/>
  <c r="C3343" i="1"/>
  <c r="B3343" i="1"/>
  <c r="T3342" i="1"/>
  <c r="O3342" i="1"/>
  <c r="C3342" i="1"/>
  <c r="B3342" i="1"/>
  <c r="T3341" i="1"/>
  <c r="Q3341" i="1"/>
  <c r="O3341" i="1"/>
  <c r="R3341" i="1" s="1"/>
  <c r="S3341" i="1" s="1"/>
  <c r="C3341" i="1"/>
  <c r="B3341" i="1"/>
  <c r="T3340" i="1"/>
  <c r="O3340" i="1"/>
  <c r="C3340" i="1"/>
  <c r="B3340" i="1"/>
  <c r="T3339" i="1"/>
  <c r="Q3339" i="1"/>
  <c r="R3339" i="1" s="1"/>
  <c r="S3339" i="1" s="1"/>
  <c r="O3339" i="1"/>
  <c r="C3339" i="1"/>
  <c r="B3339" i="1"/>
  <c r="T3338" i="1"/>
  <c r="R3338" i="1"/>
  <c r="S3338" i="1" s="1"/>
  <c r="O3338" i="1"/>
  <c r="Q3338" i="1" s="1"/>
  <c r="C3338" i="1"/>
  <c r="B3338" i="1"/>
  <c r="T3337" i="1"/>
  <c r="O3337" i="1"/>
  <c r="Q3337" i="1" s="1"/>
  <c r="C3337" i="1"/>
  <c r="B3337" i="1"/>
  <c r="T3336" i="1"/>
  <c r="R3336" i="1"/>
  <c r="S3336" i="1" s="1"/>
  <c r="Q3336" i="1"/>
  <c r="O3336" i="1"/>
  <c r="C3336" i="1"/>
  <c r="B3336" i="1"/>
  <c r="T3335" i="1"/>
  <c r="R3335" i="1"/>
  <c r="S3335" i="1" s="1"/>
  <c r="O3335" i="1"/>
  <c r="Q3335" i="1" s="1"/>
  <c r="C3335" i="1"/>
  <c r="B3335" i="1"/>
  <c r="T3334" i="1"/>
  <c r="O3334" i="1"/>
  <c r="C3334" i="1"/>
  <c r="B3334" i="1"/>
  <c r="T3333" i="1"/>
  <c r="Q3333" i="1"/>
  <c r="R3333" i="1" s="1"/>
  <c r="S3333" i="1" s="1"/>
  <c r="O3333" i="1"/>
  <c r="C3333" i="1"/>
  <c r="B3333" i="1"/>
  <c r="T3332" i="1"/>
  <c r="S3332" i="1"/>
  <c r="R3332" i="1"/>
  <c r="Q3332" i="1"/>
  <c r="O3332" i="1"/>
  <c r="C3332" i="1"/>
  <c r="B3332" i="1"/>
  <c r="T3331" i="1"/>
  <c r="R3331" i="1"/>
  <c r="S3331" i="1" s="1"/>
  <c r="Q3331" i="1"/>
  <c r="O3331" i="1"/>
  <c r="C3331" i="1"/>
  <c r="B3331" i="1"/>
  <c r="T3330" i="1"/>
  <c r="R3330" i="1"/>
  <c r="S3330" i="1" s="1"/>
  <c r="Q3330" i="1"/>
  <c r="O3330" i="1"/>
  <c r="C3330" i="1"/>
  <c r="B3330" i="1"/>
  <c r="T3329" i="1"/>
  <c r="Q3329" i="1"/>
  <c r="R3329" i="1" s="1"/>
  <c r="S3329" i="1" s="1"/>
  <c r="O3329" i="1"/>
  <c r="C3329" i="1"/>
  <c r="B3329" i="1"/>
  <c r="T3328" i="1"/>
  <c r="Q3328" i="1"/>
  <c r="R3328" i="1" s="1"/>
  <c r="S3328" i="1" s="1"/>
  <c r="O3328" i="1"/>
  <c r="C3328" i="1"/>
  <c r="B3328" i="1"/>
  <c r="T3327" i="1"/>
  <c r="O3327" i="1"/>
  <c r="C3327" i="1"/>
  <c r="B3327" i="1"/>
  <c r="T3326" i="1"/>
  <c r="S3326" i="1"/>
  <c r="R3326" i="1"/>
  <c r="O3326" i="1"/>
  <c r="Q3326" i="1" s="1"/>
  <c r="C3326" i="1"/>
  <c r="B3326" i="1"/>
  <c r="T3325" i="1"/>
  <c r="O3325" i="1"/>
  <c r="C3325" i="1"/>
  <c r="B3325" i="1"/>
  <c r="T3324" i="1"/>
  <c r="R3324" i="1"/>
  <c r="S3324" i="1" s="1"/>
  <c r="O3324" i="1"/>
  <c r="Q3324" i="1" s="1"/>
  <c r="C3324" i="1"/>
  <c r="B3324" i="1"/>
  <c r="T3323" i="1"/>
  <c r="O3323" i="1"/>
  <c r="C3323" i="1"/>
  <c r="B3323" i="1"/>
  <c r="T3322" i="1"/>
  <c r="Q3322" i="1"/>
  <c r="O3322" i="1"/>
  <c r="C3322" i="1"/>
  <c r="B3322" i="1"/>
  <c r="T3321" i="1"/>
  <c r="S3321" i="1"/>
  <c r="R3321" i="1"/>
  <c r="Q3321" i="1"/>
  <c r="O3321" i="1"/>
  <c r="C3321" i="1"/>
  <c r="B3321" i="1"/>
  <c r="T3320" i="1"/>
  <c r="O3320" i="1"/>
  <c r="C3320" i="1"/>
  <c r="B3320" i="1"/>
  <c r="T3319" i="1"/>
  <c r="Q3319" i="1"/>
  <c r="R3319" i="1" s="1"/>
  <c r="S3319" i="1" s="1"/>
  <c r="O3319" i="1"/>
  <c r="C3319" i="1"/>
  <c r="B3319" i="1"/>
  <c r="T3318" i="1"/>
  <c r="O3318" i="1"/>
  <c r="C3318" i="1"/>
  <c r="B3318" i="1"/>
  <c r="T3317" i="1"/>
  <c r="Q3317" i="1"/>
  <c r="O3317" i="1"/>
  <c r="C3317" i="1"/>
  <c r="B3317" i="1"/>
  <c r="T3316" i="1"/>
  <c r="O3316" i="1"/>
  <c r="C3316" i="1"/>
  <c r="B3316" i="1"/>
  <c r="T3315" i="1"/>
  <c r="Q3315" i="1"/>
  <c r="R3315" i="1" s="1"/>
  <c r="S3315" i="1" s="1"/>
  <c r="O3315" i="1"/>
  <c r="C3315" i="1"/>
  <c r="B3315" i="1"/>
  <c r="T3314" i="1"/>
  <c r="R3314" i="1"/>
  <c r="S3314" i="1" s="1"/>
  <c r="O3314" i="1"/>
  <c r="Q3314" i="1" s="1"/>
  <c r="C3314" i="1"/>
  <c r="B3314" i="1"/>
  <c r="T3313" i="1"/>
  <c r="O3313" i="1"/>
  <c r="C3313" i="1"/>
  <c r="B3313" i="1"/>
  <c r="T3312" i="1"/>
  <c r="S3312" i="1"/>
  <c r="Q3312" i="1"/>
  <c r="R3312" i="1" s="1"/>
  <c r="O3312" i="1"/>
  <c r="C3312" i="1"/>
  <c r="B3312" i="1"/>
  <c r="T3311" i="1"/>
  <c r="O3311" i="1"/>
  <c r="C3311" i="1"/>
  <c r="B3311" i="1"/>
  <c r="T3310" i="1"/>
  <c r="Q3310" i="1"/>
  <c r="R3310" i="1" s="1"/>
  <c r="S3310" i="1" s="1"/>
  <c r="O3310" i="1"/>
  <c r="C3310" i="1"/>
  <c r="B3310" i="1"/>
  <c r="T3309" i="1"/>
  <c r="R3309" i="1"/>
  <c r="S3309" i="1" s="1"/>
  <c r="O3309" i="1"/>
  <c r="Q3309" i="1" s="1"/>
  <c r="C3309" i="1"/>
  <c r="B3309" i="1"/>
  <c r="T3308" i="1"/>
  <c r="R3308" i="1"/>
  <c r="S3308" i="1" s="1"/>
  <c r="Q3308" i="1"/>
  <c r="O3308" i="1"/>
  <c r="C3308" i="1"/>
  <c r="B3308" i="1"/>
  <c r="T3307" i="1"/>
  <c r="R3307" i="1"/>
  <c r="S3307" i="1" s="1"/>
  <c r="Q3307" i="1"/>
  <c r="O3307" i="1"/>
  <c r="C3307" i="1"/>
  <c r="B3307" i="1"/>
  <c r="T3306" i="1"/>
  <c r="R3306" i="1"/>
  <c r="S3306" i="1" s="1"/>
  <c r="Q3306" i="1"/>
  <c r="O3306" i="1"/>
  <c r="C3306" i="1"/>
  <c r="B3306" i="1"/>
  <c r="T3305" i="1"/>
  <c r="R3305" i="1"/>
  <c r="S3305" i="1" s="1"/>
  <c r="Q3305" i="1"/>
  <c r="O3305" i="1"/>
  <c r="C3305" i="1"/>
  <c r="B3305" i="1"/>
  <c r="T3304" i="1"/>
  <c r="O3304" i="1"/>
  <c r="C3304" i="1"/>
  <c r="B3304" i="1"/>
  <c r="T3303" i="1"/>
  <c r="O3303" i="1"/>
  <c r="C3303" i="1"/>
  <c r="B3303" i="1"/>
  <c r="T3302" i="1"/>
  <c r="O3302" i="1"/>
  <c r="C3302" i="1"/>
  <c r="B3302" i="1"/>
  <c r="T3301" i="1"/>
  <c r="O3301" i="1"/>
  <c r="C3301" i="1"/>
  <c r="B3301" i="1"/>
  <c r="T3300" i="1"/>
  <c r="R3300" i="1"/>
  <c r="S3300" i="1" s="1"/>
  <c r="O3300" i="1"/>
  <c r="Q3300" i="1" s="1"/>
  <c r="C3300" i="1"/>
  <c r="B3300" i="1"/>
  <c r="T3299" i="1"/>
  <c r="O3299" i="1"/>
  <c r="C3299" i="1"/>
  <c r="B3299" i="1"/>
  <c r="T3298" i="1"/>
  <c r="O3298" i="1"/>
  <c r="C3298" i="1"/>
  <c r="B3298" i="1"/>
  <c r="T3297" i="1"/>
  <c r="O3297" i="1"/>
  <c r="Q3297" i="1" s="1"/>
  <c r="C3297" i="1"/>
  <c r="B3297" i="1"/>
  <c r="T3296" i="1"/>
  <c r="O3296" i="1"/>
  <c r="C3296" i="1"/>
  <c r="B3296" i="1"/>
  <c r="T3295" i="1"/>
  <c r="S3295" i="1"/>
  <c r="Q3295" i="1"/>
  <c r="R3295" i="1" s="1"/>
  <c r="O3295" i="1"/>
  <c r="C3295" i="1"/>
  <c r="B3295" i="1"/>
  <c r="T3294" i="1"/>
  <c r="O3294" i="1"/>
  <c r="C3294" i="1"/>
  <c r="B3294" i="1"/>
  <c r="T3293" i="1"/>
  <c r="O3293" i="1"/>
  <c r="C3293" i="1"/>
  <c r="B3293" i="1"/>
  <c r="T3292" i="1"/>
  <c r="S3292" i="1"/>
  <c r="R3292" i="1"/>
  <c r="Q3292" i="1"/>
  <c r="O3292" i="1"/>
  <c r="C3292" i="1"/>
  <c r="B3292" i="1"/>
  <c r="T3291" i="1"/>
  <c r="S3291" i="1"/>
  <c r="R3291" i="1"/>
  <c r="Q3291" i="1"/>
  <c r="O3291" i="1"/>
  <c r="C3291" i="1"/>
  <c r="B3291" i="1"/>
  <c r="T3290" i="1"/>
  <c r="O3290" i="1"/>
  <c r="C3290" i="1"/>
  <c r="B3290" i="1"/>
  <c r="T3289" i="1"/>
  <c r="O3289" i="1"/>
  <c r="C3289" i="1"/>
  <c r="B3289" i="1"/>
  <c r="T3288" i="1"/>
  <c r="Q3288" i="1"/>
  <c r="O3288" i="1"/>
  <c r="C3288" i="1"/>
  <c r="B3288" i="1"/>
  <c r="T3287" i="1"/>
  <c r="O3287" i="1"/>
  <c r="C3287" i="1"/>
  <c r="B3287" i="1"/>
  <c r="T3286" i="1"/>
  <c r="R3286" i="1"/>
  <c r="S3286" i="1" s="1"/>
  <c r="O3286" i="1"/>
  <c r="Q3286" i="1" s="1"/>
  <c r="C3286" i="1"/>
  <c r="B3286" i="1"/>
  <c r="T3285" i="1"/>
  <c r="R3285" i="1"/>
  <c r="S3285" i="1" s="1"/>
  <c r="Q3285" i="1"/>
  <c r="O3285" i="1"/>
  <c r="C3285" i="1"/>
  <c r="B3285" i="1"/>
  <c r="T3284" i="1"/>
  <c r="S3284" i="1"/>
  <c r="R3284" i="1"/>
  <c r="Q3284" i="1"/>
  <c r="O3284" i="1"/>
  <c r="C3284" i="1"/>
  <c r="B3284" i="1"/>
  <c r="T3283" i="1"/>
  <c r="Q3283" i="1"/>
  <c r="R3283" i="1" s="1"/>
  <c r="S3283" i="1" s="1"/>
  <c r="O3283" i="1"/>
  <c r="C3283" i="1"/>
  <c r="B3283" i="1"/>
  <c r="T3282" i="1"/>
  <c r="O3282" i="1"/>
  <c r="C3282" i="1"/>
  <c r="B3282" i="1"/>
  <c r="T3281" i="1"/>
  <c r="Q3281" i="1"/>
  <c r="R3281" i="1" s="1"/>
  <c r="S3281" i="1" s="1"/>
  <c r="O3281" i="1"/>
  <c r="C3281" i="1"/>
  <c r="B3281" i="1"/>
  <c r="T3280" i="1"/>
  <c r="S3280" i="1"/>
  <c r="R3280" i="1"/>
  <c r="Q3280" i="1"/>
  <c r="O3280" i="1"/>
  <c r="C3280" i="1"/>
  <c r="B3280" i="1"/>
  <c r="T3279" i="1"/>
  <c r="Q3279" i="1"/>
  <c r="O3279" i="1"/>
  <c r="C3279" i="1"/>
  <c r="B3279" i="1"/>
  <c r="T3278" i="1"/>
  <c r="O3278" i="1"/>
  <c r="C3278" i="1"/>
  <c r="B3278" i="1"/>
  <c r="T3277" i="1"/>
  <c r="S3277" i="1"/>
  <c r="R3277" i="1"/>
  <c r="O3277" i="1"/>
  <c r="Q3277" i="1" s="1"/>
  <c r="C3277" i="1"/>
  <c r="B3277" i="1"/>
  <c r="T3276" i="1"/>
  <c r="O3276" i="1"/>
  <c r="Q3276" i="1" s="1"/>
  <c r="C3276" i="1"/>
  <c r="B3276" i="1"/>
  <c r="T3275" i="1"/>
  <c r="S3275" i="1"/>
  <c r="O3275" i="1"/>
  <c r="Q3275" i="1" s="1"/>
  <c r="R3275" i="1" s="1"/>
  <c r="C3275" i="1"/>
  <c r="B3275" i="1"/>
  <c r="T3274" i="1"/>
  <c r="R3274" i="1"/>
  <c r="S3274" i="1" s="1"/>
  <c r="Q3274" i="1"/>
  <c r="O3274" i="1"/>
  <c r="C3274" i="1"/>
  <c r="B3274" i="1"/>
  <c r="T3273" i="1"/>
  <c r="O3273" i="1"/>
  <c r="C3273" i="1"/>
  <c r="B3273" i="1"/>
  <c r="T3272" i="1"/>
  <c r="R3272" i="1"/>
  <c r="S3272" i="1" s="1"/>
  <c r="O3272" i="1"/>
  <c r="Q3272" i="1" s="1"/>
  <c r="C3272" i="1"/>
  <c r="B3272" i="1"/>
  <c r="T3271" i="1"/>
  <c r="O3271" i="1"/>
  <c r="C3271" i="1"/>
  <c r="B3271" i="1"/>
  <c r="T3270" i="1"/>
  <c r="Q3270" i="1"/>
  <c r="O3270" i="1"/>
  <c r="C3270" i="1"/>
  <c r="B3270" i="1"/>
  <c r="T3269" i="1"/>
  <c r="Q3269" i="1"/>
  <c r="O3269" i="1"/>
  <c r="C3269" i="1"/>
  <c r="B3269" i="1"/>
  <c r="T3268" i="1"/>
  <c r="Q3268" i="1"/>
  <c r="R3268" i="1" s="1"/>
  <c r="S3268" i="1" s="1"/>
  <c r="O3268" i="1"/>
  <c r="C3268" i="1"/>
  <c r="B3268" i="1"/>
  <c r="T3267" i="1"/>
  <c r="O3267" i="1"/>
  <c r="C3267" i="1"/>
  <c r="B3267" i="1"/>
  <c r="T3266" i="1"/>
  <c r="Q3266" i="1"/>
  <c r="O3266" i="1"/>
  <c r="C3266" i="1"/>
  <c r="B3266" i="1"/>
  <c r="T3265" i="1"/>
  <c r="R3265" i="1"/>
  <c r="S3265" i="1" s="1"/>
  <c r="Q3265" i="1"/>
  <c r="O3265" i="1"/>
  <c r="C3265" i="1"/>
  <c r="B3265" i="1"/>
  <c r="T3264" i="1"/>
  <c r="Q3264" i="1"/>
  <c r="R3264" i="1" s="1"/>
  <c r="S3264" i="1" s="1"/>
  <c r="O3264" i="1"/>
  <c r="C3264" i="1"/>
  <c r="B3264" i="1"/>
  <c r="T3263" i="1"/>
  <c r="O3263" i="1"/>
  <c r="C3263" i="1"/>
  <c r="B3263" i="1"/>
  <c r="T3262" i="1"/>
  <c r="R3262" i="1"/>
  <c r="S3262" i="1" s="1"/>
  <c r="Q3262" i="1"/>
  <c r="O3262" i="1"/>
  <c r="C3262" i="1"/>
  <c r="B3262" i="1"/>
  <c r="T3261" i="1"/>
  <c r="O3261" i="1"/>
  <c r="C3261" i="1"/>
  <c r="B3261" i="1"/>
  <c r="T3260" i="1"/>
  <c r="R3260" i="1"/>
  <c r="S3260" i="1" s="1"/>
  <c r="Q3260" i="1"/>
  <c r="O3260" i="1"/>
  <c r="C3260" i="1"/>
  <c r="B3260" i="1"/>
  <c r="T3259" i="1"/>
  <c r="S3259" i="1"/>
  <c r="R3259" i="1"/>
  <c r="Q3259" i="1"/>
  <c r="O3259" i="1"/>
  <c r="C3259" i="1"/>
  <c r="B3259" i="1"/>
  <c r="T3258" i="1"/>
  <c r="O3258" i="1"/>
  <c r="C3258" i="1"/>
  <c r="B3258" i="1"/>
  <c r="T3257" i="1"/>
  <c r="R3257" i="1"/>
  <c r="S3257" i="1" s="1"/>
  <c r="O3257" i="1"/>
  <c r="Q3257" i="1" s="1"/>
  <c r="C3257" i="1"/>
  <c r="B3257" i="1"/>
  <c r="T3256" i="1"/>
  <c r="Q3256" i="1"/>
  <c r="O3256" i="1"/>
  <c r="C3256" i="1"/>
  <c r="B3256" i="1"/>
  <c r="T3255" i="1"/>
  <c r="O3255" i="1"/>
  <c r="Q3255" i="1" s="1"/>
  <c r="C3255" i="1"/>
  <c r="B3255" i="1"/>
  <c r="T3254" i="1"/>
  <c r="O3254" i="1"/>
  <c r="C3254" i="1"/>
  <c r="B3254" i="1"/>
  <c r="T3253" i="1"/>
  <c r="R3253" i="1"/>
  <c r="S3253" i="1" s="1"/>
  <c r="O3253" i="1"/>
  <c r="Q3253" i="1" s="1"/>
  <c r="C3253" i="1"/>
  <c r="B3253" i="1"/>
  <c r="T3252" i="1"/>
  <c r="R3252" i="1"/>
  <c r="S3252" i="1" s="1"/>
  <c r="O3252" i="1"/>
  <c r="Q3252" i="1" s="1"/>
  <c r="C3252" i="1"/>
  <c r="B3252" i="1"/>
  <c r="T3251" i="1"/>
  <c r="R3251" i="1"/>
  <c r="S3251" i="1" s="1"/>
  <c r="Q3251" i="1"/>
  <c r="O3251" i="1"/>
  <c r="C3251" i="1"/>
  <c r="B3251" i="1"/>
  <c r="T3250" i="1"/>
  <c r="Q3250" i="1"/>
  <c r="O3250" i="1"/>
  <c r="C3250" i="1"/>
  <c r="B3250" i="1"/>
  <c r="T3249" i="1"/>
  <c r="O3249" i="1"/>
  <c r="C3249" i="1"/>
  <c r="B3249" i="1"/>
  <c r="T3248" i="1"/>
  <c r="Q3248" i="1"/>
  <c r="R3248" i="1" s="1"/>
  <c r="S3248" i="1" s="1"/>
  <c r="O3248" i="1"/>
  <c r="C3248" i="1"/>
  <c r="B3248" i="1"/>
  <c r="T3247" i="1"/>
  <c r="Q3247" i="1"/>
  <c r="O3247" i="1"/>
  <c r="C3247" i="1"/>
  <c r="B3247" i="1"/>
  <c r="T3246" i="1"/>
  <c r="O3246" i="1"/>
  <c r="C3246" i="1"/>
  <c r="B3246" i="1"/>
  <c r="T3245" i="1"/>
  <c r="Q3245" i="1"/>
  <c r="O3245" i="1"/>
  <c r="C3245" i="1"/>
  <c r="B3245" i="1"/>
  <c r="T3244" i="1"/>
  <c r="Q3244" i="1"/>
  <c r="R3244" i="1" s="1"/>
  <c r="S3244" i="1" s="1"/>
  <c r="O3244" i="1"/>
  <c r="C3244" i="1"/>
  <c r="B3244" i="1"/>
  <c r="T3243" i="1"/>
  <c r="O3243" i="1"/>
  <c r="C3243" i="1"/>
  <c r="B3243" i="1"/>
  <c r="T3242" i="1"/>
  <c r="R3242" i="1"/>
  <c r="S3242" i="1" s="1"/>
  <c r="Q3242" i="1"/>
  <c r="O3242" i="1"/>
  <c r="C3242" i="1"/>
  <c r="B3242" i="1"/>
  <c r="T3241" i="1"/>
  <c r="R3241" i="1"/>
  <c r="S3241" i="1" s="1"/>
  <c r="O3241" i="1"/>
  <c r="Q3241" i="1" s="1"/>
  <c r="C3241" i="1"/>
  <c r="B3241" i="1"/>
  <c r="T3240" i="1"/>
  <c r="O3240" i="1"/>
  <c r="Q3240" i="1" s="1"/>
  <c r="C3240" i="1"/>
  <c r="B3240" i="1"/>
  <c r="T3239" i="1"/>
  <c r="O3239" i="1"/>
  <c r="C3239" i="1"/>
  <c r="B3239" i="1"/>
  <c r="T3238" i="1"/>
  <c r="R3238" i="1"/>
  <c r="S3238" i="1" s="1"/>
  <c r="Q3238" i="1"/>
  <c r="O3238" i="1"/>
  <c r="C3238" i="1"/>
  <c r="B3238" i="1"/>
  <c r="T3237" i="1"/>
  <c r="O3237" i="1"/>
  <c r="C3237" i="1"/>
  <c r="B3237" i="1"/>
  <c r="T3236" i="1"/>
  <c r="R3236" i="1"/>
  <c r="S3236" i="1" s="1"/>
  <c r="Q3236" i="1"/>
  <c r="O3236" i="1"/>
  <c r="C3236" i="1"/>
  <c r="B3236" i="1"/>
  <c r="T3235" i="1"/>
  <c r="R3235" i="1"/>
  <c r="S3235" i="1" s="1"/>
  <c r="Q3235" i="1"/>
  <c r="O3235" i="1"/>
  <c r="C3235" i="1"/>
  <c r="B3235" i="1"/>
  <c r="T3234" i="1"/>
  <c r="O3234" i="1"/>
  <c r="C3234" i="1"/>
  <c r="B3234" i="1"/>
  <c r="T3233" i="1"/>
  <c r="R3233" i="1"/>
  <c r="S3233" i="1" s="1"/>
  <c r="Q3233" i="1"/>
  <c r="O3233" i="1"/>
  <c r="C3233" i="1"/>
  <c r="B3233" i="1"/>
  <c r="T3232" i="1"/>
  <c r="O3232" i="1"/>
  <c r="C3232" i="1"/>
  <c r="B3232" i="1"/>
  <c r="T3231" i="1"/>
  <c r="R3231" i="1"/>
  <c r="S3231" i="1" s="1"/>
  <c r="Q3231" i="1"/>
  <c r="O3231" i="1"/>
  <c r="C3231" i="1"/>
  <c r="B3231" i="1"/>
  <c r="T3230" i="1"/>
  <c r="Q3230" i="1"/>
  <c r="R3230" i="1" s="1"/>
  <c r="S3230" i="1" s="1"/>
  <c r="O3230" i="1"/>
  <c r="C3230" i="1"/>
  <c r="B3230" i="1"/>
  <c r="T3229" i="1"/>
  <c r="O3229" i="1"/>
  <c r="Q3229" i="1" s="1"/>
  <c r="C3229" i="1"/>
  <c r="B3229" i="1"/>
  <c r="T3228" i="1"/>
  <c r="O3228" i="1"/>
  <c r="C3228" i="1"/>
  <c r="B3228" i="1"/>
  <c r="T3227" i="1"/>
  <c r="O3227" i="1"/>
  <c r="C3227" i="1"/>
  <c r="B3227" i="1"/>
  <c r="T3226" i="1"/>
  <c r="O3226" i="1"/>
  <c r="Q3226" i="1" s="1"/>
  <c r="C3226" i="1"/>
  <c r="B3226" i="1"/>
  <c r="T3225" i="1"/>
  <c r="R3225" i="1"/>
  <c r="S3225" i="1" s="1"/>
  <c r="Q3225" i="1"/>
  <c r="O3225" i="1"/>
  <c r="C3225" i="1"/>
  <c r="B3225" i="1"/>
  <c r="T3224" i="1"/>
  <c r="Q3224" i="1"/>
  <c r="R3224" i="1" s="1"/>
  <c r="S3224" i="1" s="1"/>
  <c r="O3224" i="1"/>
  <c r="C3224" i="1"/>
  <c r="B3224" i="1"/>
  <c r="T3223" i="1"/>
  <c r="S3223" i="1"/>
  <c r="R3223" i="1"/>
  <c r="Q3223" i="1"/>
  <c r="O3223" i="1"/>
  <c r="C3223" i="1"/>
  <c r="B3223" i="1"/>
  <c r="T3222" i="1"/>
  <c r="O3222" i="1"/>
  <c r="C3222" i="1"/>
  <c r="B3222" i="1"/>
  <c r="T3221" i="1"/>
  <c r="O3221" i="1"/>
  <c r="C3221" i="1"/>
  <c r="B3221" i="1"/>
  <c r="T3220" i="1"/>
  <c r="S3220" i="1"/>
  <c r="R3220" i="1"/>
  <c r="Q3220" i="1"/>
  <c r="O3220" i="1"/>
  <c r="C3220" i="1"/>
  <c r="B3220" i="1"/>
  <c r="T3219" i="1"/>
  <c r="R3219" i="1"/>
  <c r="S3219" i="1" s="1"/>
  <c r="Q3219" i="1"/>
  <c r="O3219" i="1"/>
  <c r="C3219" i="1"/>
  <c r="B3219" i="1"/>
  <c r="T3218" i="1"/>
  <c r="R3218" i="1"/>
  <c r="S3218" i="1" s="1"/>
  <c r="Q3218" i="1"/>
  <c r="O3218" i="1"/>
  <c r="C3218" i="1"/>
  <c r="B3218" i="1"/>
  <c r="T3217" i="1"/>
  <c r="Q3217" i="1"/>
  <c r="O3217" i="1"/>
  <c r="C3217" i="1"/>
  <c r="B3217" i="1"/>
  <c r="T3216" i="1"/>
  <c r="O3216" i="1"/>
  <c r="C3216" i="1"/>
  <c r="B3216" i="1"/>
  <c r="T3215" i="1"/>
  <c r="Q3215" i="1"/>
  <c r="O3215" i="1"/>
  <c r="C3215" i="1"/>
  <c r="B3215" i="1"/>
  <c r="T3214" i="1"/>
  <c r="O3214" i="1"/>
  <c r="C3214" i="1"/>
  <c r="B3214" i="1"/>
  <c r="T3213" i="1"/>
  <c r="O3213" i="1"/>
  <c r="Q3213" i="1" s="1"/>
  <c r="R3213" i="1" s="1"/>
  <c r="S3213" i="1" s="1"/>
  <c r="C3213" i="1"/>
  <c r="B3213" i="1"/>
  <c r="T3212" i="1"/>
  <c r="R3212" i="1"/>
  <c r="S3212" i="1" s="1"/>
  <c r="Q3212" i="1"/>
  <c r="O3212" i="1"/>
  <c r="C3212" i="1"/>
  <c r="B3212" i="1"/>
  <c r="T3211" i="1"/>
  <c r="O3211" i="1"/>
  <c r="C3211" i="1"/>
  <c r="B3211" i="1"/>
  <c r="T3210" i="1"/>
  <c r="S3210" i="1"/>
  <c r="R3210" i="1"/>
  <c r="O3210" i="1"/>
  <c r="Q3210" i="1" s="1"/>
  <c r="C3210" i="1"/>
  <c r="B3210" i="1"/>
  <c r="T3209" i="1"/>
  <c r="Q3209" i="1"/>
  <c r="R3209" i="1" s="1"/>
  <c r="S3209" i="1" s="1"/>
  <c r="O3209" i="1"/>
  <c r="C3209" i="1"/>
  <c r="B3209" i="1"/>
  <c r="T3208" i="1"/>
  <c r="O3208" i="1"/>
  <c r="C3208" i="1"/>
  <c r="B3208" i="1"/>
  <c r="T3207" i="1"/>
  <c r="O3207" i="1"/>
  <c r="C3207" i="1"/>
  <c r="B3207" i="1"/>
  <c r="T3206" i="1"/>
  <c r="R3206" i="1"/>
  <c r="S3206" i="1" s="1"/>
  <c r="Q3206" i="1"/>
  <c r="O3206" i="1"/>
  <c r="C3206" i="1"/>
  <c r="B3206" i="1"/>
  <c r="T3205" i="1"/>
  <c r="R3205" i="1"/>
  <c r="S3205" i="1" s="1"/>
  <c r="O3205" i="1"/>
  <c r="Q3205" i="1" s="1"/>
  <c r="C3205" i="1"/>
  <c r="B3205" i="1"/>
  <c r="T3204" i="1"/>
  <c r="O3204" i="1"/>
  <c r="C3204" i="1"/>
  <c r="B3204" i="1"/>
  <c r="T3203" i="1"/>
  <c r="Q3203" i="1"/>
  <c r="R3203" i="1" s="1"/>
  <c r="S3203" i="1" s="1"/>
  <c r="O3203" i="1"/>
  <c r="C3203" i="1"/>
  <c r="B3203" i="1"/>
  <c r="T3202" i="1"/>
  <c r="Q3202" i="1"/>
  <c r="O3202" i="1"/>
  <c r="C3202" i="1"/>
  <c r="B3202" i="1"/>
  <c r="T3201" i="1"/>
  <c r="O3201" i="1"/>
  <c r="C3201" i="1"/>
  <c r="B3201" i="1"/>
  <c r="T3200" i="1"/>
  <c r="S3200" i="1"/>
  <c r="R3200" i="1"/>
  <c r="Q3200" i="1"/>
  <c r="O3200" i="1"/>
  <c r="C3200" i="1"/>
  <c r="B3200" i="1"/>
  <c r="T3199" i="1"/>
  <c r="Q3199" i="1"/>
  <c r="R3199" i="1" s="1"/>
  <c r="S3199" i="1" s="1"/>
  <c r="O3199" i="1"/>
  <c r="C3199" i="1"/>
  <c r="B3199" i="1"/>
  <c r="T3198" i="1"/>
  <c r="S3198" i="1"/>
  <c r="R3198" i="1"/>
  <c r="Q3198" i="1"/>
  <c r="O3198" i="1"/>
  <c r="C3198" i="1"/>
  <c r="B3198" i="1"/>
  <c r="T3197" i="1"/>
  <c r="Q3197" i="1"/>
  <c r="R3197" i="1" s="1"/>
  <c r="S3197" i="1" s="1"/>
  <c r="O3197" i="1"/>
  <c r="C3197" i="1"/>
  <c r="B3197" i="1"/>
  <c r="T3196" i="1"/>
  <c r="Q3196" i="1"/>
  <c r="R3196" i="1" s="1"/>
  <c r="S3196" i="1" s="1"/>
  <c r="O3196" i="1"/>
  <c r="C3196" i="1"/>
  <c r="B3196" i="1"/>
  <c r="T3195" i="1"/>
  <c r="Q3195" i="1"/>
  <c r="O3195" i="1"/>
  <c r="C3195" i="1"/>
  <c r="B3195" i="1"/>
  <c r="T3194" i="1"/>
  <c r="Q3194" i="1"/>
  <c r="O3194" i="1"/>
  <c r="C3194" i="1"/>
  <c r="B3194" i="1"/>
  <c r="T3193" i="1"/>
  <c r="O3193" i="1"/>
  <c r="C3193" i="1"/>
  <c r="B3193" i="1"/>
  <c r="T3192" i="1"/>
  <c r="R3192" i="1"/>
  <c r="S3192" i="1" s="1"/>
  <c r="Q3192" i="1"/>
  <c r="O3192" i="1"/>
  <c r="C3192" i="1"/>
  <c r="B3192" i="1"/>
  <c r="T3191" i="1"/>
  <c r="O3191" i="1"/>
  <c r="C3191" i="1"/>
  <c r="B3191" i="1"/>
  <c r="T3190" i="1"/>
  <c r="O3190" i="1"/>
  <c r="C3190" i="1"/>
  <c r="B3190" i="1"/>
  <c r="T3189" i="1"/>
  <c r="Q3189" i="1"/>
  <c r="R3189" i="1" s="1"/>
  <c r="S3189" i="1" s="1"/>
  <c r="O3189" i="1"/>
  <c r="C3189" i="1"/>
  <c r="B3189" i="1"/>
  <c r="T3188" i="1"/>
  <c r="Q3188" i="1"/>
  <c r="O3188" i="1"/>
  <c r="C3188" i="1"/>
  <c r="B3188" i="1"/>
  <c r="T3187" i="1"/>
  <c r="Q3187" i="1"/>
  <c r="O3187" i="1"/>
  <c r="C3187" i="1"/>
  <c r="B3187" i="1"/>
  <c r="T3186" i="1"/>
  <c r="O3186" i="1"/>
  <c r="C3186" i="1"/>
  <c r="B3186" i="1"/>
  <c r="T3185" i="1"/>
  <c r="R3185" i="1"/>
  <c r="S3185" i="1" s="1"/>
  <c r="Q3185" i="1"/>
  <c r="O3185" i="1"/>
  <c r="C3185" i="1"/>
  <c r="B3185" i="1"/>
  <c r="T3184" i="1"/>
  <c r="Q3184" i="1"/>
  <c r="O3184" i="1"/>
  <c r="C3184" i="1"/>
  <c r="B3184" i="1"/>
  <c r="T3183" i="1"/>
  <c r="Q3183" i="1"/>
  <c r="R3183" i="1" s="1"/>
  <c r="S3183" i="1" s="1"/>
  <c r="O3183" i="1"/>
  <c r="C3183" i="1"/>
  <c r="B3183" i="1"/>
  <c r="T3182" i="1"/>
  <c r="R3182" i="1"/>
  <c r="S3182" i="1" s="1"/>
  <c r="Q3182" i="1"/>
  <c r="O3182" i="1"/>
  <c r="C3182" i="1"/>
  <c r="B3182" i="1"/>
  <c r="T3181" i="1"/>
  <c r="Q3181" i="1"/>
  <c r="O3181" i="1"/>
  <c r="C3181" i="1"/>
  <c r="B3181" i="1"/>
  <c r="T3180" i="1"/>
  <c r="S3180" i="1"/>
  <c r="O3180" i="1"/>
  <c r="Q3180" i="1" s="1"/>
  <c r="R3180" i="1" s="1"/>
  <c r="C3180" i="1"/>
  <c r="B3180" i="1"/>
  <c r="T3179" i="1"/>
  <c r="O3179" i="1"/>
  <c r="C3179" i="1"/>
  <c r="B3179" i="1"/>
  <c r="T3178" i="1"/>
  <c r="S3178" i="1"/>
  <c r="R3178" i="1"/>
  <c r="Q3178" i="1"/>
  <c r="O3178" i="1"/>
  <c r="C3178" i="1"/>
  <c r="B3178" i="1"/>
  <c r="T3177" i="1"/>
  <c r="Q3177" i="1"/>
  <c r="R3177" i="1" s="1"/>
  <c r="S3177" i="1" s="1"/>
  <c r="O3177" i="1"/>
  <c r="C3177" i="1"/>
  <c r="B3177" i="1"/>
  <c r="T3176" i="1"/>
  <c r="Q3176" i="1"/>
  <c r="O3176" i="1"/>
  <c r="C3176" i="1"/>
  <c r="B3176" i="1"/>
  <c r="T3175" i="1"/>
  <c r="R3175" i="1"/>
  <c r="S3175" i="1" s="1"/>
  <c r="O3175" i="1"/>
  <c r="Q3175" i="1" s="1"/>
  <c r="C3175" i="1"/>
  <c r="B3175" i="1"/>
  <c r="T3174" i="1"/>
  <c r="R3174" i="1"/>
  <c r="S3174" i="1" s="1"/>
  <c r="Q3174" i="1"/>
  <c r="O3174" i="1"/>
  <c r="C3174" i="1"/>
  <c r="B3174" i="1"/>
  <c r="T3173" i="1"/>
  <c r="O3173" i="1"/>
  <c r="C3173" i="1"/>
  <c r="B3173" i="1"/>
  <c r="T3172" i="1"/>
  <c r="O3172" i="1"/>
  <c r="C3172" i="1"/>
  <c r="B3172" i="1"/>
  <c r="T3171" i="1"/>
  <c r="S3171" i="1"/>
  <c r="R3171" i="1"/>
  <c r="Q3171" i="1"/>
  <c r="O3171" i="1"/>
  <c r="C3171" i="1"/>
  <c r="B3171" i="1"/>
  <c r="T3170" i="1"/>
  <c r="O3170" i="1"/>
  <c r="C3170" i="1"/>
  <c r="B3170" i="1"/>
  <c r="T3169" i="1"/>
  <c r="Q3169" i="1"/>
  <c r="R3169" i="1" s="1"/>
  <c r="S3169" i="1" s="1"/>
  <c r="O3169" i="1"/>
  <c r="C3169" i="1"/>
  <c r="B3169" i="1"/>
  <c r="T3168" i="1"/>
  <c r="O3168" i="1"/>
  <c r="C3168" i="1"/>
  <c r="B3168" i="1"/>
  <c r="T3167" i="1"/>
  <c r="O3167" i="1"/>
  <c r="C3167" i="1"/>
  <c r="B3167" i="1"/>
  <c r="T3166" i="1"/>
  <c r="R3166" i="1"/>
  <c r="S3166" i="1" s="1"/>
  <c r="Q3166" i="1"/>
  <c r="O3166" i="1"/>
  <c r="C3166" i="1"/>
  <c r="B3166" i="1"/>
  <c r="T3165" i="1"/>
  <c r="Q3165" i="1"/>
  <c r="O3165" i="1"/>
  <c r="C3165" i="1"/>
  <c r="B3165" i="1"/>
  <c r="T3164" i="1"/>
  <c r="O3164" i="1"/>
  <c r="C3164" i="1"/>
  <c r="B3164" i="1"/>
  <c r="T3163" i="1"/>
  <c r="Q3163" i="1"/>
  <c r="O3163" i="1"/>
  <c r="C3163" i="1"/>
  <c r="B3163" i="1"/>
  <c r="T3162" i="1"/>
  <c r="R3162" i="1"/>
  <c r="S3162" i="1" s="1"/>
  <c r="Q3162" i="1"/>
  <c r="O3162" i="1"/>
  <c r="C3162" i="1"/>
  <c r="B3162" i="1"/>
  <c r="T3161" i="1"/>
  <c r="R3161" i="1"/>
  <c r="S3161" i="1" s="1"/>
  <c r="Q3161" i="1"/>
  <c r="O3161" i="1"/>
  <c r="C3161" i="1"/>
  <c r="B3161" i="1"/>
  <c r="T3160" i="1"/>
  <c r="R3160" i="1"/>
  <c r="S3160" i="1" s="1"/>
  <c r="Q3160" i="1"/>
  <c r="O3160" i="1"/>
  <c r="C3160" i="1"/>
  <c r="B3160" i="1"/>
  <c r="T3159" i="1"/>
  <c r="O3159" i="1"/>
  <c r="C3159" i="1"/>
  <c r="B3159" i="1"/>
  <c r="T3158" i="1"/>
  <c r="R3158" i="1"/>
  <c r="S3158" i="1" s="1"/>
  <c r="Q3158" i="1"/>
  <c r="O3158" i="1"/>
  <c r="C3158" i="1"/>
  <c r="B3158" i="1"/>
  <c r="T3157" i="1"/>
  <c r="Q3157" i="1"/>
  <c r="O3157" i="1"/>
  <c r="C3157" i="1"/>
  <c r="B3157" i="1"/>
  <c r="T3156" i="1"/>
  <c r="O3156" i="1"/>
  <c r="Q3156" i="1" s="1"/>
  <c r="R3156" i="1" s="1"/>
  <c r="S3156" i="1" s="1"/>
  <c r="C3156" i="1"/>
  <c r="B3156" i="1"/>
  <c r="T3155" i="1"/>
  <c r="O3155" i="1"/>
  <c r="C3155" i="1"/>
  <c r="B3155" i="1"/>
  <c r="T3154" i="1"/>
  <c r="S3154" i="1"/>
  <c r="R3154" i="1"/>
  <c r="Q3154" i="1"/>
  <c r="O3154" i="1"/>
  <c r="C3154" i="1"/>
  <c r="B3154" i="1"/>
  <c r="T3153" i="1"/>
  <c r="O3153" i="1"/>
  <c r="C3153" i="1"/>
  <c r="B3153" i="1"/>
  <c r="T3152" i="1"/>
  <c r="O3152" i="1"/>
  <c r="C3152" i="1"/>
  <c r="B3152" i="1"/>
  <c r="T3151" i="1"/>
  <c r="O3151" i="1"/>
  <c r="C3151" i="1"/>
  <c r="B3151" i="1"/>
  <c r="T3150" i="1"/>
  <c r="O3150" i="1"/>
  <c r="C3150" i="1"/>
  <c r="B3150" i="1"/>
  <c r="T3149" i="1"/>
  <c r="O3149" i="1"/>
  <c r="C3149" i="1"/>
  <c r="B3149" i="1"/>
  <c r="T3148" i="1"/>
  <c r="O3148" i="1"/>
  <c r="C3148" i="1"/>
  <c r="B3148" i="1"/>
  <c r="T3147" i="1"/>
  <c r="S3147" i="1"/>
  <c r="R3147" i="1"/>
  <c r="Q3147" i="1"/>
  <c r="O3147" i="1"/>
  <c r="C3147" i="1"/>
  <c r="B3147" i="1"/>
  <c r="T3146" i="1"/>
  <c r="Q3146" i="1"/>
  <c r="R3146" i="1" s="1"/>
  <c r="S3146" i="1" s="1"/>
  <c r="O3146" i="1"/>
  <c r="C3146" i="1"/>
  <c r="B3146" i="1"/>
  <c r="T3145" i="1"/>
  <c r="S3145" i="1"/>
  <c r="Q3145" i="1"/>
  <c r="R3145" i="1" s="1"/>
  <c r="O3145" i="1"/>
  <c r="C3145" i="1"/>
  <c r="B3145" i="1"/>
  <c r="T3144" i="1"/>
  <c r="Q3144" i="1"/>
  <c r="O3144" i="1"/>
  <c r="C3144" i="1"/>
  <c r="B3144" i="1"/>
  <c r="T3143" i="1"/>
  <c r="O3143" i="1"/>
  <c r="C3143" i="1"/>
  <c r="B3143" i="1"/>
  <c r="T3142" i="1"/>
  <c r="O3142" i="1"/>
  <c r="C3142" i="1"/>
  <c r="B3142" i="1"/>
  <c r="T3141" i="1"/>
  <c r="Q3141" i="1"/>
  <c r="O3141" i="1"/>
  <c r="C3141" i="1"/>
  <c r="B3141" i="1"/>
  <c r="T3140" i="1"/>
  <c r="O3140" i="1"/>
  <c r="C3140" i="1"/>
  <c r="B3140" i="1"/>
  <c r="T3139" i="1"/>
  <c r="O3139" i="1"/>
  <c r="C3139" i="1"/>
  <c r="B3139" i="1"/>
  <c r="T3138" i="1"/>
  <c r="S3138" i="1"/>
  <c r="R3138" i="1"/>
  <c r="Q3138" i="1"/>
  <c r="O3138" i="1"/>
  <c r="C3138" i="1"/>
  <c r="B3138" i="1"/>
  <c r="T3137" i="1"/>
  <c r="R3137" i="1"/>
  <c r="S3137" i="1" s="1"/>
  <c r="Q3137" i="1"/>
  <c r="O3137" i="1"/>
  <c r="C3137" i="1"/>
  <c r="B3137" i="1"/>
  <c r="T3136" i="1"/>
  <c r="O3136" i="1"/>
  <c r="C3136" i="1"/>
  <c r="B3136" i="1"/>
  <c r="T3135" i="1"/>
  <c r="S3135" i="1"/>
  <c r="R3135" i="1"/>
  <c r="O3135" i="1"/>
  <c r="Q3135" i="1" s="1"/>
  <c r="C3135" i="1"/>
  <c r="B3135" i="1"/>
  <c r="T3134" i="1"/>
  <c r="Q3134" i="1"/>
  <c r="R3134" i="1" s="1"/>
  <c r="S3134" i="1" s="1"/>
  <c r="O3134" i="1"/>
  <c r="C3134" i="1"/>
  <c r="B3134" i="1"/>
  <c r="T3133" i="1"/>
  <c r="Q3133" i="1"/>
  <c r="O3133" i="1"/>
  <c r="C3133" i="1"/>
  <c r="B3133" i="1"/>
  <c r="T3132" i="1"/>
  <c r="O3132" i="1"/>
  <c r="Q3132" i="1" s="1"/>
  <c r="R3132" i="1" s="1"/>
  <c r="S3132" i="1" s="1"/>
  <c r="C3132" i="1"/>
  <c r="B3132" i="1"/>
  <c r="T3131" i="1"/>
  <c r="O3131" i="1"/>
  <c r="C3131" i="1"/>
  <c r="B3131" i="1"/>
  <c r="T3130" i="1"/>
  <c r="S3130" i="1"/>
  <c r="R3130" i="1"/>
  <c r="Q3130" i="1"/>
  <c r="O3130" i="1"/>
  <c r="C3130" i="1"/>
  <c r="B3130" i="1"/>
  <c r="T3129" i="1"/>
  <c r="O3129" i="1"/>
  <c r="C3129" i="1"/>
  <c r="B3129" i="1"/>
  <c r="T3128" i="1"/>
  <c r="Q3128" i="1"/>
  <c r="R3128" i="1" s="1"/>
  <c r="S3128" i="1" s="1"/>
  <c r="O3128" i="1"/>
  <c r="C3128" i="1"/>
  <c r="B3128" i="1"/>
  <c r="T3127" i="1"/>
  <c r="R3127" i="1"/>
  <c r="S3127" i="1" s="1"/>
  <c r="O3127" i="1"/>
  <c r="Q3127" i="1" s="1"/>
  <c r="C3127" i="1"/>
  <c r="B3127" i="1"/>
  <c r="T3126" i="1"/>
  <c r="R3126" i="1"/>
  <c r="S3126" i="1" s="1"/>
  <c r="O3126" i="1"/>
  <c r="Q3126" i="1" s="1"/>
  <c r="C3126" i="1"/>
  <c r="B3126" i="1"/>
  <c r="T3125" i="1"/>
  <c r="O3125" i="1"/>
  <c r="C3125" i="1"/>
  <c r="B3125" i="1"/>
  <c r="T3124" i="1"/>
  <c r="O3124" i="1"/>
  <c r="C3124" i="1"/>
  <c r="B3124" i="1"/>
  <c r="T3123" i="1"/>
  <c r="S3123" i="1"/>
  <c r="R3123" i="1"/>
  <c r="Q3123" i="1"/>
  <c r="O3123" i="1"/>
  <c r="C3123" i="1"/>
  <c r="B3123" i="1"/>
  <c r="T3122" i="1"/>
  <c r="Q3122" i="1"/>
  <c r="O3122" i="1"/>
  <c r="C3122" i="1"/>
  <c r="B3122" i="1"/>
  <c r="T3121" i="1"/>
  <c r="R3121" i="1"/>
  <c r="S3121" i="1" s="1"/>
  <c r="Q3121" i="1"/>
  <c r="O3121" i="1"/>
  <c r="C3121" i="1"/>
  <c r="B3121" i="1"/>
  <c r="T3120" i="1"/>
  <c r="O3120" i="1"/>
  <c r="C3120" i="1"/>
  <c r="B3120" i="1"/>
  <c r="T3119" i="1"/>
  <c r="O3119" i="1"/>
  <c r="C3119" i="1"/>
  <c r="B3119" i="1"/>
  <c r="T3118" i="1"/>
  <c r="S3118" i="1"/>
  <c r="R3118" i="1"/>
  <c r="Q3118" i="1"/>
  <c r="O3118" i="1"/>
  <c r="C3118" i="1"/>
  <c r="B3118" i="1"/>
  <c r="T3117" i="1"/>
  <c r="O3117" i="1"/>
  <c r="C3117" i="1"/>
  <c r="B3117" i="1"/>
  <c r="T3116" i="1"/>
  <c r="O3116" i="1"/>
  <c r="C3116" i="1"/>
  <c r="B3116" i="1"/>
  <c r="T3115" i="1"/>
  <c r="O3115" i="1"/>
  <c r="Q3115" i="1" s="1"/>
  <c r="R3115" i="1" s="1"/>
  <c r="S3115" i="1" s="1"/>
  <c r="C3115" i="1"/>
  <c r="B3115" i="1"/>
  <c r="T3114" i="1"/>
  <c r="R3114" i="1"/>
  <c r="S3114" i="1" s="1"/>
  <c r="Q3114" i="1"/>
  <c r="O3114" i="1"/>
  <c r="C3114" i="1"/>
  <c r="B3114" i="1"/>
  <c r="T3113" i="1"/>
  <c r="Q3113" i="1"/>
  <c r="R3113" i="1" s="1"/>
  <c r="S3113" i="1" s="1"/>
  <c r="O3113" i="1"/>
  <c r="C3113" i="1"/>
  <c r="B3113" i="1"/>
  <c r="T3112" i="1"/>
  <c r="O3112" i="1"/>
  <c r="C3112" i="1"/>
  <c r="B3112" i="1"/>
  <c r="T3111" i="1"/>
  <c r="Q3111" i="1"/>
  <c r="R3111" i="1" s="1"/>
  <c r="S3111" i="1" s="1"/>
  <c r="O3111" i="1"/>
  <c r="C3111" i="1"/>
  <c r="B3111" i="1"/>
  <c r="T3110" i="1"/>
  <c r="R3110" i="1"/>
  <c r="S3110" i="1" s="1"/>
  <c r="Q3110" i="1"/>
  <c r="O3110" i="1"/>
  <c r="C3110" i="1"/>
  <c r="B3110" i="1"/>
  <c r="T3109" i="1"/>
  <c r="O3109" i="1"/>
  <c r="C3109" i="1"/>
  <c r="B3109" i="1"/>
  <c r="T3108" i="1"/>
  <c r="O3108" i="1"/>
  <c r="C3108" i="1"/>
  <c r="B3108" i="1"/>
  <c r="T3107" i="1"/>
  <c r="O3107" i="1"/>
  <c r="C3107" i="1"/>
  <c r="B3107" i="1"/>
  <c r="T3106" i="1"/>
  <c r="S3106" i="1"/>
  <c r="R3106" i="1"/>
  <c r="Q3106" i="1"/>
  <c r="O3106" i="1"/>
  <c r="C3106" i="1"/>
  <c r="B3106" i="1"/>
  <c r="T3105" i="1"/>
  <c r="O3105" i="1"/>
  <c r="C3105" i="1"/>
  <c r="B3105" i="1"/>
  <c r="T3104" i="1"/>
  <c r="S3104" i="1"/>
  <c r="R3104" i="1"/>
  <c r="Q3104" i="1"/>
  <c r="O3104" i="1"/>
  <c r="C3104" i="1"/>
  <c r="B3104" i="1"/>
  <c r="T3103" i="1"/>
  <c r="O3103" i="1"/>
  <c r="Q3103" i="1" s="1"/>
  <c r="C3103" i="1"/>
  <c r="B3103" i="1"/>
  <c r="T3102" i="1"/>
  <c r="O3102" i="1"/>
  <c r="C3102" i="1"/>
  <c r="B3102" i="1"/>
  <c r="T3101" i="1"/>
  <c r="R3101" i="1"/>
  <c r="S3101" i="1" s="1"/>
  <c r="Q3101" i="1"/>
  <c r="O3101" i="1"/>
  <c r="C3101" i="1"/>
  <c r="B3101" i="1"/>
  <c r="T3100" i="1"/>
  <c r="O3100" i="1"/>
  <c r="C3100" i="1"/>
  <c r="B3100" i="1"/>
  <c r="T3099" i="1"/>
  <c r="S3099" i="1"/>
  <c r="R3099" i="1"/>
  <c r="Q3099" i="1"/>
  <c r="O3099" i="1"/>
  <c r="C3099" i="1"/>
  <c r="B3099" i="1"/>
  <c r="T3098" i="1"/>
  <c r="Q3098" i="1"/>
  <c r="R3098" i="1" s="1"/>
  <c r="S3098" i="1" s="1"/>
  <c r="O3098" i="1"/>
  <c r="C3098" i="1"/>
  <c r="B3098" i="1"/>
  <c r="T3097" i="1"/>
  <c r="S3097" i="1"/>
  <c r="R3097" i="1"/>
  <c r="Q3097" i="1"/>
  <c r="O3097" i="1"/>
  <c r="C3097" i="1"/>
  <c r="B3097" i="1"/>
  <c r="T3096" i="1"/>
  <c r="O3096" i="1"/>
  <c r="C3096" i="1"/>
  <c r="B3096" i="1"/>
  <c r="T3095" i="1"/>
  <c r="S3095" i="1"/>
  <c r="R3095" i="1"/>
  <c r="Q3095" i="1"/>
  <c r="O3095" i="1"/>
  <c r="C3095" i="1"/>
  <c r="B3095" i="1"/>
  <c r="T3094" i="1"/>
  <c r="R3094" i="1"/>
  <c r="S3094" i="1" s="1"/>
  <c r="Q3094" i="1"/>
  <c r="O3094" i="1"/>
  <c r="C3094" i="1"/>
  <c r="B3094" i="1"/>
  <c r="T3093" i="1"/>
  <c r="Q3093" i="1"/>
  <c r="O3093" i="1"/>
  <c r="C3093" i="1"/>
  <c r="B3093" i="1"/>
  <c r="T3092" i="1"/>
  <c r="O3092" i="1"/>
  <c r="C3092" i="1"/>
  <c r="B3092" i="1"/>
  <c r="T3091" i="1"/>
  <c r="S3091" i="1"/>
  <c r="R3091" i="1"/>
  <c r="Q3091" i="1"/>
  <c r="O3091" i="1"/>
  <c r="C3091" i="1"/>
  <c r="B3091" i="1"/>
  <c r="T3090" i="1"/>
  <c r="R3090" i="1"/>
  <c r="S3090" i="1" s="1"/>
  <c r="Q3090" i="1"/>
  <c r="O3090" i="1"/>
  <c r="C3090" i="1"/>
  <c r="B3090" i="1"/>
  <c r="T3089" i="1"/>
  <c r="Q3089" i="1"/>
  <c r="R3089" i="1" s="1"/>
  <c r="S3089" i="1" s="1"/>
  <c r="O3089" i="1"/>
  <c r="C3089" i="1"/>
  <c r="B3089" i="1"/>
  <c r="T3088" i="1"/>
  <c r="Q3088" i="1"/>
  <c r="R3088" i="1" s="1"/>
  <c r="S3088" i="1" s="1"/>
  <c r="O3088" i="1"/>
  <c r="C3088" i="1"/>
  <c r="B3088" i="1"/>
  <c r="T3087" i="1"/>
  <c r="O3087" i="1"/>
  <c r="C3087" i="1"/>
  <c r="B3087" i="1"/>
  <c r="T3086" i="1"/>
  <c r="Q3086" i="1"/>
  <c r="R3086" i="1" s="1"/>
  <c r="S3086" i="1" s="1"/>
  <c r="O3086" i="1"/>
  <c r="C3086" i="1"/>
  <c r="B3086" i="1"/>
  <c r="T3085" i="1"/>
  <c r="O3085" i="1"/>
  <c r="C3085" i="1"/>
  <c r="B3085" i="1"/>
  <c r="T3084" i="1"/>
  <c r="S3084" i="1"/>
  <c r="R3084" i="1"/>
  <c r="O3084" i="1"/>
  <c r="Q3084" i="1" s="1"/>
  <c r="C3084" i="1"/>
  <c r="B3084" i="1"/>
  <c r="T3083" i="1"/>
  <c r="O3083" i="1"/>
  <c r="C3083" i="1"/>
  <c r="B3083" i="1"/>
  <c r="T3082" i="1"/>
  <c r="R3082" i="1"/>
  <c r="S3082" i="1" s="1"/>
  <c r="Q3082" i="1"/>
  <c r="O3082" i="1"/>
  <c r="C3082" i="1"/>
  <c r="B3082" i="1"/>
  <c r="T3081" i="1"/>
  <c r="R3081" i="1"/>
  <c r="S3081" i="1" s="1"/>
  <c r="Q3081" i="1"/>
  <c r="O3081" i="1"/>
  <c r="C3081" i="1"/>
  <c r="B3081" i="1"/>
  <c r="T3080" i="1"/>
  <c r="Q3080" i="1"/>
  <c r="R3080" i="1" s="1"/>
  <c r="S3080" i="1" s="1"/>
  <c r="O3080" i="1"/>
  <c r="C3080" i="1"/>
  <c r="B3080" i="1"/>
  <c r="T3079" i="1"/>
  <c r="R3079" i="1"/>
  <c r="S3079" i="1" s="1"/>
  <c r="O3079" i="1"/>
  <c r="Q3079" i="1" s="1"/>
  <c r="C3079" i="1"/>
  <c r="B3079" i="1"/>
  <c r="T3078" i="1"/>
  <c r="O3078" i="1"/>
  <c r="Q3078" i="1" s="1"/>
  <c r="C3078" i="1"/>
  <c r="B3078" i="1"/>
  <c r="T3077" i="1"/>
  <c r="O3077" i="1"/>
  <c r="C3077" i="1"/>
  <c r="B3077" i="1"/>
  <c r="T3076" i="1"/>
  <c r="O3076" i="1"/>
  <c r="C3076" i="1"/>
  <c r="B3076" i="1"/>
  <c r="T3075" i="1"/>
  <c r="S3075" i="1"/>
  <c r="R3075" i="1"/>
  <c r="Q3075" i="1"/>
  <c r="O3075" i="1"/>
  <c r="C3075" i="1"/>
  <c r="B3075" i="1"/>
  <c r="T3074" i="1"/>
  <c r="O3074" i="1"/>
  <c r="C3074" i="1"/>
  <c r="B3074" i="1"/>
  <c r="T3073" i="1"/>
  <c r="Q3073" i="1"/>
  <c r="R3073" i="1" s="1"/>
  <c r="S3073" i="1" s="1"/>
  <c r="O3073" i="1"/>
  <c r="C3073" i="1"/>
  <c r="B3073" i="1"/>
  <c r="T3072" i="1"/>
  <c r="O3072" i="1"/>
  <c r="C3072" i="1"/>
  <c r="B3072" i="1"/>
  <c r="T3071" i="1"/>
  <c r="S3071" i="1"/>
  <c r="R3071" i="1"/>
  <c r="O3071" i="1"/>
  <c r="Q3071" i="1" s="1"/>
  <c r="C3071" i="1"/>
  <c r="B3071" i="1"/>
  <c r="T3070" i="1"/>
  <c r="R3070" i="1"/>
  <c r="S3070" i="1" s="1"/>
  <c r="Q3070" i="1"/>
  <c r="O3070" i="1"/>
  <c r="C3070" i="1"/>
  <c r="B3070" i="1"/>
  <c r="T3069" i="1"/>
  <c r="O3069" i="1"/>
  <c r="C3069" i="1"/>
  <c r="B3069" i="1"/>
  <c r="T3068" i="1"/>
  <c r="O3068" i="1"/>
  <c r="C3068" i="1"/>
  <c r="B3068" i="1"/>
  <c r="T3067" i="1"/>
  <c r="O3067" i="1"/>
  <c r="C3067" i="1"/>
  <c r="B3067" i="1"/>
  <c r="T3066" i="1"/>
  <c r="S3066" i="1"/>
  <c r="R3066" i="1"/>
  <c r="Q3066" i="1"/>
  <c r="O3066" i="1"/>
  <c r="C3066" i="1"/>
  <c r="B3066" i="1"/>
  <c r="T3065" i="1"/>
  <c r="Q3065" i="1"/>
  <c r="R3065" i="1" s="1"/>
  <c r="S3065" i="1" s="1"/>
  <c r="O3065" i="1"/>
  <c r="C3065" i="1"/>
  <c r="B3065" i="1"/>
  <c r="T3064" i="1"/>
  <c r="O3064" i="1"/>
  <c r="C3064" i="1"/>
  <c r="B3064" i="1"/>
  <c r="T3063" i="1"/>
  <c r="R3063" i="1"/>
  <c r="S3063" i="1" s="1"/>
  <c r="Q3063" i="1"/>
  <c r="O3063" i="1"/>
  <c r="C3063" i="1"/>
  <c r="B3063" i="1"/>
  <c r="T3062" i="1"/>
  <c r="O3062" i="1"/>
  <c r="C3062" i="1"/>
  <c r="B3062" i="1"/>
  <c r="T3061" i="1"/>
  <c r="Q3061" i="1"/>
  <c r="O3061" i="1"/>
  <c r="C3061" i="1"/>
  <c r="B3061" i="1"/>
  <c r="T3060" i="1"/>
  <c r="O3060" i="1"/>
  <c r="C3060" i="1"/>
  <c r="B3060" i="1"/>
  <c r="T3059" i="1"/>
  <c r="O3059" i="1"/>
  <c r="C3059" i="1"/>
  <c r="B3059" i="1"/>
  <c r="T3058" i="1"/>
  <c r="S3058" i="1"/>
  <c r="R3058" i="1"/>
  <c r="Q3058" i="1"/>
  <c r="O3058" i="1"/>
  <c r="C3058" i="1"/>
  <c r="B3058" i="1"/>
  <c r="T3057" i="1"/>
  <c r="S3057" i="1"/>
  <c r="R3057" i="1"/>
  <c r="Q3057" i="1"/>
  <c r="O3057" i="1"/>
  <c r="C3057" i="1"/>
  <c r="B3057" i="1"/>
  <c r="T3056" i="1"/>
  <c r="O3056" i="1"/>
  <c r="C3056" i="1"/>
  <c r="B3056" i="1"/>
  <c r="T3055" i="1"/>
  <c r="R3055" i="1"/>
  <c r="S3055" i="1" s="1"/>
  <c r="Q3055" i="1"/>
  <c r="O3055" i="1"/>
  <c r="C3055" i="1"/>
  <c r="B3055" i="1"/>
  <c r="T3054" i="1"/>
  <c r="O3054" i="1"/>
  <c r="C3054" i="1"/>
  <c r="B3054" i="1"/>
  <c r="T3053" i="1"/>
  <c r="R3053" i="1"/>
  <c r="S3053" i="1" s="1"/>
  <c r="Q3053" i="1"/>
  <c r="O3053" i="1"/>
  <c r="C3053" i="1"/>
  <c r="B3053" i="1"/>
  <c r="T3052" i="1"/>
  <c r="O3052" i="1"/>
  <c r="C3052" i="1"/>
  <c r="B3052" i="1"/>
  <c r="T3051" i="1"/>
  <c r="S3051" i="1"/>
  <c r="R3051" i="1"/>
  <c r="Q3051" i="1"/>
  <c r="O3051" i="1"/>
  <c r="C3051" i="1"/>
  <c r="B3051" i="1"/>
  <c r="T3050" i="1"/>
  <c r="Q3050" i="1"/>
  <c r="O3050" i="1"/>
  <c r="C3050" i="1"/>
  <c r="B3050" i="1"/>
  <c r="T3049" i="1"/>
  <c r="S3049" i="1"/>
  <c r="R3049" i="1"/>
  <c r="Q3049" i="1"/>
  <c r="O3049" i="1"/>
  <c r="C3049" i="1"/>
  <c r="B3049" i="1"/>
  <c r="T3048" i="1"/>
  <c r="O3048" i="1"/>
  <c r="C3048" i="1"/>
  <c r="B3048" i="1"/>
  <c r="T3047" i="1"/>
  <c r="O3047" i="1"/>
  <c r="C3047" i="1"/>
  <c r="B3047" i="1"/>
  <c r="T3046" i="1"/>
  <c r="O3046" i="1"/>
  <c r="C3046" i="1"/>
  <c r="B3046" i="1"/>
  <c r="T3045" i="1"/>
  <c r="O3045" i="1"/>
  <c r="C3045" i="1"/>
  <c r="B3045" i="1"/>
  <c r="T3044" i="1"/>
  <c r="O3044" i="1"/>
  <c r="C3044" i="1"/>
  <c r="B3044" i="1"/>
  <c r="T3043" i="1"/>
  <c r="O3043" i="1"/>
  <c r="C3043" i="1"/>
  <c r="B3043" i="1"/>
  <c r="T3042" i="1"/>
  <c r="S3042" i="1"/>
  <c r="R3042" i="1"/>
  <c r="Q3042" i="1"/>
  <c r="O3042" i="1"/>
  <c r="C3042" i="1"/>
  <c r="B3042" i="1"/>
  <c r="T3041" i="1"/>
  <c r="Q3041" i="1"/>
  <c r="R3041" i="1" s="1"/>
  <c r="S3041" i="1" s="1"/>
  <c r="O3041" i="1"/>
  <c r="C3041" i="1"/>
  <c r="B3041" i="1"/>
  <c r="T3040" i="1"/>
  <c r="Q3040" i="1"/>
  <c r="R3040" i="1" s="1"/>
  <c r="S3040" i="1" s="1"/>
  <c r="O3040" i="1"/>
  <c r="C3040" i="1"/>
  <c r="B3040" i="1"/>
  <c r="T3039" i="1"/>
  <c r="O3039" i="1"/>
  <c r="C3039" i="1"/>
  <c r="B3039" i="1"/>
  <c r="T3038" i="1"/>
  <c r="O3038" i="1"/>
  <c r="C3038" i="1"/>
  <c r="B3038" i="1"/>
  <c r="T3037" i="1"/>
  <c r="Q3037" i="1"/>
  <c r="O3037" i="1"/>
  <c r="C3037" i="1"/>
  <c r="B3037" i="1"/>
  <c r="T3036" i="1"/>
  <c r="S3036" i="1"/>
  <c r="R3036" i="1"/>
  <c r="Q3036" i="1"/>
  <c r="O3036" i="1"/>
  <c r="C3036" i="1"/>
  <c r="B3036" i="1"/>
  <c r="T3035" i="1"/>
  <c r="O3035" i="1"/>
  <c r="C3035" i="1"/>
  <c r="B3035" i="1"/>
  <c r="T3034" i="1"/>
  <c r="R3034" i="1"/>
  <c r="S3034" i="1" s="1"/>
  <c r="Q3034" i="1"/>
  <c r="O3034" i="1"/>
  <c r="C3034" i="1"/>
  <c r="B3034" i="1"/>
  <c r="T3033" i="1"/>
  <c r="O3033" i="1"/>
  <c r="C3033" i="1"/>
  <c r="B3033" i="1"/>
  <c r="T3032" i="1"/>
  <c r="O3032" i="1"/>
  <c r="C3032" i="1"/>
  <c r="B3032" i="1"/>
  <c r="T3031" i="1"/>
  <c r="S3031" i="1"/>
  <c r="R3031" i="1"/>
  <c r="Q3031" i="1"/>
  <c r="O3031" i="1"/>
  <c r="C3031" i="1"/>
  <c r="B3031" i="1"/>
  <c r="T3030" i="1"/>
  <c r="O3030" i="1"/>
  <c r="C3030" i="1"/>
  <c r="B3030" i="1"/>
  <c r="T3029" i="1"/>
  <c r="Q3029" i="1"/>
  <c r="O3029" i="1"/>
  <c r="C3029" i="1"/>
  <c r="B3029" i="1"/>
  <c r="T3028" i="1"/>
  <c r="O3028" i="1"/>
  <c r="C3028" i="1"/>
  <c r="B3028" i="1"/>
  <c r="T3027" i="1"/>
  <c r="S3027" i="1"/>
  <c r="R3027" i="1"/>
  <c r="Q3027" i="1"/>
  <c r="O3027" i="1"/>
  <c r="C3027" i="1"/>
  <c r="B3027" i="1"/>
  <c r="T3026" i="1"/>
  <c r="O3026" i="1"/>
  <c r="C3026" i="1"/>
  <c r="B3026" i="1"/>
  <c r="T3025" i="1"/>
  <c r="Q3025" i="1"/>
  <c r="R3025" i="1" s="1"/>
  <c r="S3025" i="1" s="1"/>
  <c r="O3025" i="1"/>
  <c r="C3025" i="1"/>
  <c r="B3025" i="1"/>
  <c r="T3024" i="1"/>
  <c r="O3024" i="1"/>
  <c r="C3024" i="1"/>
  <c r="B3024" i="1"/>
  <c r="T3023" i="1"/>
  <c r="O3023" i="1"/>
  <c r="C3023" i="1"/>
  <c r="B3023" i="1"/>
  <c r="T3022" i="1"/>
  <c r="S3022" i="1"/>
  <c r="R3022" i="1"/>
  <c r="O3022" i="1"/>
  <c r="Q3022" i="1" s="1"/>
  <c r="C3022" i="1"/>
  <c r="B3022" i="1"/>
  <c r="T3021" i="1"/>
  <c r="O3021" i="1"/>
  <c r="C3021" i="1"/>
  <c r="B3021" i="1"/>
  <c r="T3020" i="1"/>
  <c r="O3020" i="1"/>
  <c r="C3020" i="1"/>
  <c r="B3020" i="1"/>
  <c r="T3019" i="1"/>
  <c r="Q3019" i="1"/>
  <c r="O3019" i="1"/>
  <c r="C3019" i="1"/>
  <c r="B3019" i="1"/>
  <c r="T3018" i="1"/>
  <c r="S3018" i="1"/>
  <c r="R3018" i="1"/>
  <c r="Q3018" i="1"/>
  <c r="O3018" i="1"/>
  <c r="C3018" i="1"/>
  <c r="B3018" i="1"/>
  <c r="T3017" i="1"/>
  <c r="Q3017" i="1"/>
  <c r="R3017" i="1" s="1"/>
  <c r="S3017" i="1" s="1"/>
  <c r="O3017" i="1"/>
  <c r="C3017" i="1"/>
  <c r="B3017" i="1"/>
  <c r="T3016" i="1"/>
  <c r="S3016" i="1"/>
  <c r="R3016" i="1"/>
  <c r="Q3016" i="1"/>
  <c r="O3016" i="1"/>
  <c r="C3016" i="1"/>
  <c r="B3016" i="1"/>
  <c r="T3015" i="1"/>
  <c r="S3015" i="1"/>
  <c r="R3015" i="1"/>
  <c r="Q3015" i="1"/>
  <c r="O3015" i="1"/>
  <c r="C3015" i="1"/>
  <c r="B3015" i="1"/>
  <c r="T3014" i="1"/>
  <c r="Q3014" i="1"/>
  <c r="O3014" i="1"/>
  <c r="R3014" i="1" s="1"/>
  <c r="S3014" i="1" s="1"/>
  <c r="C3014" i="1"/>
  <c r="B3014" i="1"/>
  <c r="T3013" i="1"/>
  <c r="O3013" i="1"/>
  <c r="C3013" i="1"/>
  <c r="B3013" i="1"/>
  <c r="T3012" i="1"/>
  <c r="O3012" i="1"/>
  <c r="C3012" i="1"/>
  <c r="B3012" i="1"/>
  <c r="T3011" i="1"/>
  <c r="O3011" i="1"/>
  <c r="C3011" i="1"/>
  <c r="B3011" i="1"/>
  <c r="T3010" i="1"/>
  <c r="R3010" i="1"/>
  <c r="S3010" i="1" s="1"/>
  <c r="Q3010" i="1"/>
  <c r="O3010" i="1"/>
  <c r="C3010" i="1"/>
  <c r="B3010" i="1"/>
  <c r="T3009" i="1"/>
  <c r="R3009" i="1"/>
  <c r="S3009" i="1" s="1"/>
  <c r="O3009" i="1"/>
  <c r="Q3009" i="1" s="1"/>
  <c r="C3009" i="1"/>
  <c r="B3009" i="1"/>
  <c r="T3008" i="1"/>
  <c r="Q3008" i="1"/>
  <c r="R3008" i="1" s="1"/>
  <c r="S3008" i="1" s="1"/>
  <c r="O3008" i="1"/>
  <c r="C3008" i="1"/>
  <c r="B3008" i="1"/>
  <c r="T3007" i="1"/>
  <c r="R3007" i="1"/>
  <c r="S3007" i="1" s="1"/>
  <c r="O3007" i="1"/>
  <c r="Q3007" i="1" s="1"/>
  <c r="C3007" i="1"/>
  <c r="B3007" i="1"/>
  <c r="T3006" i="1"/>
  <c r="R3006" i="1"/>
  <c r="S3006" i="1" s="1"/>
  <c r="Q3006" i="1"/>
  <c r="O3006" i="1"/>
  <c r="C3006" i="1"/>
  <c r="B3006" i="1"/>
  <c r="T3005" i="1"/>
  <c r="S3005" i="1"/>
  <c r="R3005" i="1"/>
  <c r="Q3005" i="1"/>
  <c r="O3005" i="1"/>
  <c r="C3005" i="1"/>
  <c r="B3005" i="1"/>
  <c r="T3004" i="1"/>
  <c r="Q3004" i="1"/>
  <c r="O3004" i="1"/>
  <c r="C3004" i="1"/>
  <c r="B3004" i="1"/>
  <c r="T3003" i="1"/>
  <c r="S3003" i="1"/>
  <c r="R3003" i="1"/>
  <c r="Q3003" i="1"/>
  <c r="O3003" i="1"/>
  <c r="C3003" i="1"/>
  <c r="B3003" i="1"/>
  <c r="T3002" i="1"/>
  <c r="Q3002" i="1"/>
  <c r="O3002" i="1"/>
  <c r="C3002" i="1"/>
  <c r="B3002" i="1"/>
  <c r="T3001" i="1"/>
  <c r="S3001" i="1"/>
  <c r="R3001" i="1"/>
  <c r="Q3001" i="1"/>
  <c r="O3001" i="1"/>
  <c r="C3001" i="1"/>
  <c r="B3001" i="1"/>
  <c r="T3000" i="1"/>
  <c r="O3000" i="1"/>
  <c r="C3000" i="1"/>
  <c r="B3000" i="1"/>
  <c r="T2999" i="1"/>
  <c r="R2999" i="1"/>
  <c r="S2999" i="1" s="1"/>
  <c r="Q2999" i="1"/>
  <c r="O2999" i="1"/>
  <c r="C2999" i="1"/>
  <c r="B2999" i="1"/>
  <c r="T2998" i="1"/>
  <c r="Q2998" i="1"/>
  <c r="R2998" i="1" s="1"/>
  <c r="S2998" i="1" s="1"/>
  <c r="O2998" i="1"/>
  <c r="C2998" i="1"/>
  <c r="B2998" i="1"/>
  <c r="T2997" i="1"/>
  <c r="O2997" i="1"/>
  <c r="C2997" i="1"/>
  <c r="B2997" i="1"/>
  <c r="T2996" i="1"/>
  <c r="O2996" i="1"/>
  <c r="C2996" i="1"/>
  <c r="B2996" i="1"/>
  <c r="T2995" i="1"/>
  <c r="R2995" i="1"/>
  <c r="S2995" i="1" s="1"/>
  <c r="Q2995" i="1"/>
  <c r="O2995" i="1"/>
  <c r="C2995" i="1"/>
  <c r="B2995" i="1"/>
  <c r="T2994" i="1"/>
  <c r="R2994" i="1"/>
  <c r="S2994" i="1" s="1"/>
  <c r="Q2994" i="1"/>
  <c r="O2994" i="1"/>
  <c r="C2994" i="1"/>
  <c r="B2994" i="1"/>
  <c r="T2993" i="1"/>
  <c r="R2993" i="1"/>
  <c r="S2993" i="1" s="1"/>
  <c r="Q2993" i="1"/>
  <c r="O2993" i="1"/>
  <c r="C2993" i="1"/>
  <c r="B2993" i="1"/>
  <c r="T2992" i="1"/>
  <c r="O2992" i="1"/>
  <c r="Q2992" i="1" s="1"/>
  <c r="R2992" i="1" s="1"/>
  <c r="S2992" i="1" s="1"/>
  <c r="C2992" i="1"/>
  <c r="B2992" i="1"/>
  <c r="T2991" i="1"/>
  <c r="Q2991" i="1"/>
  <c r="R2991" i="1" s="1"/>
  <c r="S2991" i="1" s="1"/>
  <c r="O2991" i="1"/>
  <c r="C2991" i="1"/>
  <c r="B2991" i="1"/>
  <c r="T2990" i="1"/>
  <c r="Q2990" i="1"/>
  <c r="O2990" i="1"/>
  <c r="C2990" i="1"/>
  <c r="B2990" i="1"/>
  <c r="T2989" i="1"/>
  <c r="Q2989" i="1"/>
  <c r="O2989" i="1"/>
  <c r="C2989" i="1"/>
  <c r="B2989" i="1"/>
  <c r="T2988" i="1"/>
  <c r="Q2988" i="1"/>
  <c r="R2988" i="1" s="1"/>
  <c r="S2988" i="1" s="1"/>
  <c r="O2988" i="1"/>
  <c r="C2988" i="1"/>
  <c r="B2988" i="1"/>
  <c r="T2987" i="1"/>
  <c r="O2987" i="1"/>
  <c r="C2987" i="1"/>
  <c r="B2987" i="1"/>
  <c r="T2986" i="1"/>
  <c r="S2986" i="1"/>
  <c r="R2986" i="1"/>
  <c r="Q2986" i="1"/>
  <c r="O2986" i="1"/>
  <c r="C2986" i="1"/>
  <c r="B2986" i="1"/>
  <c r="T2985" i="1"/>
  <c r="Q2985" i="1"/>
  <c r="O2985" i="1"/>
  <c r="C2985" i="1"/>
  <c r="B2985" i="1"/>
  <c r="T2984" i="1"/>
  <c r="S2984" i="1"/>
  <c r="R2984" i="1"/>
  <c r="Q2984" i="1"/>
  <c r="O2984" i="1"/>
  <c r="C2984" i="1"/>
  <c r="B2984" i="1"/>
  <c r="T2983" i="1"/>
  <c r="R2983" i="1"/>
  <c r="S2983" i="1" s="1"/>
  <c r="Q2983" i="1"/>
  <c r="O2983" i="1"/>
  <c r="C2983" i="1"/>
  <c r="B2983" i="1"/>
  <c r="T2982" i="1"/>
  <c r="O2982" i="1"/>
  <c r="C2982" i="1"/>
  <c r="B2982" i="1"/>
  <c r="T2981" i="1"/>
  <c r="O2981" i="1"/>
  <c r="C2981" i="1"/>
  <c r="B2981" i="1"/>
  <c r="T2980" i="1"/>
  <c r="O2980" i="1"/>
  <c r="C2980" i="1"/>
  <c r="B2980" i="1"/>
  <c r="T2979" i="1"/>
  <c r="S2979" i="1"/>
  <c r="R2979" i="1"/>
  <c r="Q2979" i="1"/>
  <c r="O2979" i="1"/>
  <c r="C2979" i="1"/>
  <c r="B2979" i="1"/>
  <c r="T2978" i="1"/>
  <c r="Q2978" i="1"/>
  <c r="O2978" i="1"/>
  <c r="C2978" i="1"/>
  <c r="B2978" i="1"/>
  <c r="T2977" i="1"/>
  <c r="Q2977" i="1"/>
  <c r="R2977" i="1" s="1"/>
  <c r="S2977" i="1" s="1"/>
  <c r="O2977" i="1"/>
  <c r="C2977" i="1"/>
  <c r="B2977" i="1"/>
  <c r="T2976" i="1"/>
  <c r="Q2976" i="1"/>
  <c r="O2976" i="1"/>
  <c r="C2976" i="1"/>
  <c r="B2976" i="1"/>
  <c r="T2975" i="1"/>
  <c r="S2975" i="1"/>
  <c r="Q2975" i="1"/>
  <c r="R2975" i="1" s="1"/>
  <c r="O2975" i="1"/>
  <c r="C2975" i="1"/>
  <c r="B2975" i="1"/>
  <c r="T2974" i="1"/>
  <c r="Q2974" i="1"/>
  <c r="O2974" i="1"/>
  <c r="C2974" i="1"/>
  <c r="B2974" i="1"/>
  <c r="T2973" i="1"/>
  <c r="O2973" i="1"/>
  <c r="C2973" i="1"/>
  <c r="B2973" i="1"/>
  <c r="T2972" i="1"/>
  <c r="O2972" i="1"/>
  <c r="C2972" i="1"/>
  <c r="B2972" i="1"/>
  <c r="T2971" i="1"/>
  <c r="O2971" i="1"/>
  <c r="C2971" i="1"/>
  <c r="B2971" i="1"/>
  <c r="T2970" i="1"/>
  <c r="R2970" i="1"/>
  <c r="S2970" i="1" s="1"/>
  <c r="Q2970" i="1"/>
  <c r="O2970" i="1"/>
  <c r="C2970" i="1"/>
  <c r="B2970" i="1"/>
  <c r="T2969" i="1"/>
  <c r="Q2969" i="1"/>
  <c r="R2969" i="1" s="1"/>
  <c r="S2969" i="1" s="1"/>
  <c r="O2969" i="1"/>
  <c r="C2969" i="1"/>
  <c r="B2969" i="1"/>
  <c r="T2968" i="1"/>
  <c r="O2968" i="1"/>
  <c r="C2968" i="1"/>
  <c r="B2968" i="1"/>
  <c r="T2967" i="1"/>
  <c r="O2967" i="1"/>
  <c r="C2967" i="1"/>
  <c r="B2967" i="1"/>
  <c r="T2966" i="1"/>
  <c r="S2966" i="1"/>
  <c r="R2966" i="1"/>
  <c r="Q2966" i="1"/>
  <c r="O2966" i="1"/>
  <c r="C2966" i="1"/>
  <c r="B2966" i="1"/>
  <c r="T2965" i="1"/>
  <c r="O2965" i="1"/>
  <c r="C2965" i="1"/>
  <c r="B2965" i="1"/>
  <c r="T2964" i="1"/>
  <c r="O2964" i="1"/>
  <c r="C2964" i="1"/>
  <c r="B2964" i="1"/>
  <c r="T2963" i="1"/>
  <c r="O2963" i="1"/>
  <c r="C2963" i="1"/>
  <c r="B2963" i="1"/>
  <c r="T2962" i="1"/>
  <c r="S2962" i="1"/>
  <c r="R2962" i="1"/>
  <c r="Q2962" i="1"/>
  <c r="O2962" i="1"/>
  <c r="C2962" i="1"/>
  <c r="B2962" i="1"/>
  <c r="T2961" i="1"/>
  <c r="Q2961" i="1"/>
  <c r="R2961" i="1" s="1"/>
  <c r="S2961" i="1" s="1"/>
  <c r="O2961" i="1"/>
  <c r="C2961" i="1"/>
  <c r="B2961" i="1"/>
  <c r="T2960" i="1"/>
  <c r="O2960" i="1"/>
  <c r="C2960" i="1"/>
  <c r="B2960" i="1"/>
  <c r="T2959" i="1"/>
  <c r="O2959" i="1"/>
  <c r="C2959" i="1"/>
  <c r="B2959" i="1"/>
  <c r="T2958" i="1"/>
  <c r="O2958" i="1"/>
  <c r="C2958" i="1"/>
  <c r="B2958" i="1"/>
  <c r="T2957" i="1"/>
  <c r="O2957" i="1"/>
  <c r="C2957" i="1"/>
  <c r="B2957" i="1"/>
  <c r="T2956" i="1"/>
  <c r="Q2956" i="1"/>
  <c r="O2956" i="1"/>
  <c r="C2956" i="1"/>
  <c r="B2956" i="1"/>
  <c r="T2955" i="1"/>
  <c r="S2955" i="1"/>
  <c r="R2955" i="1"/>
  <c r="Q2955" i="1"/>
  <c r="O2955" i="1"/>
  <c r="C2955" i="1"/>
  <c r="B2955" i="1"/>
  <c r="T2954" i="1"/>
  <c r="O2954" i="1"/>
  <c r="Q2954" i="1" s="1"/>
  <c r="C2954" i="1"/>
  <c r="B2954" i="1"/>
  <c r="T2953" i="1"/>
  <c r="Q2953" i="1"/>
  <c r="R2953" i="1" s="1"/>
  <c r="S2953" i="1" s="1"/>
  <c r="O2953" i="1"/>
  <c r="C2953" i="1"/>
  <c r="B2953" i="1"/>
  <c r="T2952" i="1"/>
  <c r="Q2952" i="1"/>
  <c r="R2952" i="1" s="1"/>
  <c r="S2952" i="1" s="1"/>
  <c r="O2952" i="1"/>
  <c r="C2952" i="1"/>
  <c r="B2952" i="1"/>
  <c r="T2951" i="1"/>
  <c r="O2951" i="1"/>
  <c r="C2951" i="1"/>
  <c r="B2951" i="1"/>
  <c r="T2950" i="1"/>
  <c r="S2950" i="1"/>
  <c r="R2950" i="1"/>
  <c r="Q2950" i="1"/>
  <c r="O2950" i="1"/>
  <c r="C2950" i="1"/>
  <c r="B2950" i="1"/>
  <c r="T2949" i="1"/>
  <c r="Q2949" i="1"/>
  <c r="O2949" i="1"/>
  <c r="C2949" i="1"/>
  <c r="B2949" i="1"/>
  <c r="T2948" i="1"/>
  <c r="O2948" i="1"/>
  <c r="C2948" i="1"/>
  <c r="B2948" i="1"/>
  <c r="T2947" i="1"/>
  <c r="O2947" i="1"/>
  <c r="C2947" i="1"/>
  <c r="B2947" i="1"/>
  <c r="T2946" i="1"/>
  <c r="S2946" i="1"/>
  <c r="R2946" i="1"/>
  <c r="Q2946" i="1"/>
  <c r="O2946" i="1"/>
  <c r="C2946" i="1"/>
  <c r="B2946" i="1"/>
  <c r="T2945" i="1"/>
  <c r="R2945" i="1"/>
  <c r="S2945" i="1" s="1"/>
  <c r="Q2945" i="1"/>
  <c r="O2945" i="1"/>
  <c r="C2945" i="1"/>
  <c r="B2945" i="1"/>
  <c r="T2944" i="1"/>
  <c r="Q2944" i="1"/>
  <c r="R2944" i="1" s="1"/>
  <c r="S2944" i="1" s="1"/>
  <c r="O2944" i="1"/>
  <c r="C2944" i="1"/>
  <c r="B2944" i="1"/>
  <c r="T2943" i="1"/>
  <c r="R2943" i="1"/>
  <c r="S2943" i="1" s="1"/>
  <c r="Q2943" i="1"/>
  <c r="O2943" i="1"/>
  <c r="C2943" i="1"/>
  <c r="B2943" i="1"/>
  <c r="T2942" i="1"/>
  <c r="S2942" i="1"/>
  <c r="Q2942" i="1"/>
  <c r="R2942" i="1" s="1"/>
  <c r="O2942" i="1"/>
  <c r="C2942" i="1"/>
  <c r="B2942" i="1"/>
  <c r="T2941" i="1"/>
  <c r="O2941" i="1"/>
  <c r="C2941" i="1"/>
  <c r="B2941" i="1"/>
  <c r="T2940" i="1"/>
  <c r="O2940" i="1"/>
  <c r="Q2940" i="1" s="1"/>
  <c r="R2940" i="1" s="1"/>
  <c r="S2940" i="1" s="1"/>
  <c r="C2940" i="1"/>
  <c r="B2940" i="1"/>
  <c r="T2939" i="1"/>
  <c r="O2939" i="1"/>
  <c r="C2939" i="1"/>
  <c r="B2939" i="1"/>
  <c r="T2938" i="1"/>
  <c r="R2938" i="1"/>
  <c r="S2938" i="1" s="1"/>
  <c r="Q2938" i="1"/>
  <c r="O2938" i="1"/>
  <c r="C2938" i="1"/>
  <c r="B2938" i="1"/>
  <c r="T2937" i="1"/>
  <c r="O2937" i="1"/>
  <c r="C2937" i="1"/>
  <c r="B2937" i="1"/>
  <c r="T2936" i="1"/>
  <c r="Q2936" i="1"/>
  <c r="O2936" i="1"/>
  <c r="C2936" i="1"/>
  <c r="B2936" i="1"/>
  <c r="T2935" i="1"/>
  <c r="O2935" i="1"/>
  <c r="C2935" i="1"/>
  <c r="B2935" i="1"/>
  <c r="T2934" i="1"/>
  <c r="O2934" i="1"/>
  <c r="C2934" i="1"/>
  <c r="B2934" i="1"/>
  <c r="T2933" i="1"/>
  <c r="Q2933" i="1"/>
  <c r="R2933" i="1" s="1"/>
  <c r="S2933" i="1" s="1"/>
  <c r="O2933" i="1"/>
  <c r="C2933" i="1"/>
  <c r="B2933" i="1"/>
  <c r="T2932" i="1"/>
  <c r="O2932" i="1"/>
  <c r="C2932" i="1"/>
  <c r="B2932" i="1"/>
  <c r="T2931" i="1"/>
  <c r="S2931" i="1"/>
  <c r="R2931" i="1"/>
  <c r="Q2931" i="1"/>
  <c r="O2931" i="1"/>
  <c r="C2931" i="1"/>
  <c r="B2931" i="1"/>
  <c r="T2930" i="1"/>
  <c r="S2930" i="1"/>
  <c r="R2930" i="1"/>
  <c r="Q2930" i="1"/>
  <c r="O2930" i="1"/>
  <c r="C2930" i="1"/>
  <c r="B2930" i="1"/>
  <c r="T2929" i="1"/>
  <c r="S2929" i="1"/>
  <c r="R2929" i="1"/>
  <c r="Q2929" i="1"/>
  <c r="O2929" i="1"/>
  <c r="C2929" i="1"/>
  <c r="B2929" i="1"/>
  <c r="T2928" i="1"/>
  <c r="R2928" i="1"/>
  <c r="S2928" i="1" s="1"/>
  <c r="Q2928" i="1"/>
  <c r="O2928" i="1"/>
  <c r="C2928" i="1"/>
  <c r="B2928" i="1"/>
  <c r="T2927" i="1"/>
  <c r="O2927" i="1"/>
  <c r="C2927" i="1"/>
  <c r="B2927" i="1"/>
  <c r="T2926" i="1"/>
  <c r="O2926" i="1"/>
  <c r="C2926" i="1"/>
  <c r="B2926" i="1"/>
  <c r="T2925" i="1"/>
  <c r="O2925" i="1"/>
  <c r="C2925" i="1"/>
  <c r="B2925" i="1"/>
  <c r="T2924" i="1"/>
  <c r="O2924" i="1"/>
  <c r="C2924" i="1"/>
  <c r="B2924" i="1"/>
  <c r="T2923" i="1"/>
  <c r="O2923" i="1"/>
  <c r="C2923" i="1"/>
  <c r="B2923" i="1"/>
  <c r="T2922" i="1"/>
  <c r="S2922" i="1"/>
  <c r="R2922" i="1"/>
  <c r="Q2922" i="1"/>
  <c r="O2922" i="1"/>
  <c r="C2922" i="1"/>
  <c r="B2922" i="1"/>
  <c r="T2921" i="1"/>
  <c r="Q2921" i="1"/>
  <c r="R2921" i="1" s="1"/>
  <c r="S2921" i="1" s="1"/>
  <c r="O2921" i="1"/>
  <c r="C2921" i="1"/>
  <c r="B2921" i="1"/>
  <c r="T2920" i="1"/>
  <c r="O2920" i="1"/>
  <c r="C2920" i="1"/>
  <c r="B2920" i="1"/>
  <c r="T2919" i="1"/>
  <c r="Q2919" i="1"/>
  <c r="R2919" i="1" s="1"/>
  <c r="S2919" i="1" s="1"/>
  <c r="O2919" i="1"/>
  <c r="C2919" i="1"/>
  <c r="B2919" i="1"/>
  <c r="T2918" i="1"/>
  <c r="O2918" i="1"/>
  <c r="C2918" i="1"/>
  <c r="B2918" i="1"/>
  <c r="T2917" i="1"/>
  <c r="Q2917" i="1"/>
  <c r="O2917" i="1"/>
  <c r="C2917" i="1"/>
  <c r="B2917" i="1"/>
  <c r="T2916" i="1"/>
  <c r="R2916" i="1"/>
  <c r="S2916" i="1" s="1"/>
  <c r="Q2916" i="1"/>
  <c r="O2916" i="1"/>
  <c r="C2916" i="1"/>
  <c r="B2916" i="1"/>
  <c r="T2915" i="1"/>
  <c r="O2915" i="1"/>
  <c r="C2915" i="1"/>
  <c r="B2915" i="1"/>
  <c r="T2914" i="1"/>
  <c r="S2914" i="1"/>
  <c r="R2914" i="1"/>
  <c r="Q2914" i="1"/>
  <c r="O2914" i="1"/>
  <c r="C2914" i="1"/>
  <c r="B2914" i="1"/>
  <c r="T2913" i="1"/>
  <c r="S2913" i="1"/>
  <c r="R2913" i="1"/>
  <c r="Q2913" i="1"/>
  <c r="O2913" i="1"/>
  <c r="C2913" i="1"/>
  <c r="B2913" i="1"/>
  <c r="T2912" i="1"/>
  <c r="S2912" i="1"/>
  <c r="R2912" i="1"/>
  <c r="Q2912" i="1"/>
  <c r="O2912" i="1"/>
  <c r="C2912" i="1"/>
  <c r="B2912" i="1"/>
  <c r="T2911" i="1"/>
  <c r="R2911" i="1"/>
  <c r="S2911" i="1" s="1"/>
  <c r="Q2911" i="1"/>
  <c r="O2911" i="1"/>
  <c r="C2911" i="1"/>
  <c r="B2911" i="1"/>
  <c r="T2910" i="1"/>
  <c r="O2910" i="1"/>
  <c r="C2910" i="1"/>
  <c r="B2910" i="1"/>
  <c r="T2909" i="1"/>
  <c r="Q2909" i="1"/>
  <c r="O2909" i="1"/>
  <c r="C2909" i="1"/>
  <c r="B2909" i="1"/>
  <c r="T2908" i="1"/>
  <c r="O2908" i="1"/>
  <c r="C2908" i="1"/>
  <c r="B2908" i="1"/>
  <c r="T2907" i="1"/>
  <c r="S2907" i="1"/>
  <c r="R2907" i="1"/>
  <c r="Q2907" i="1"/>
  <c r="O2907" i="1"/>
  <c r="C2907" i="1"/>
  <c r="B2907" i="1"/>
  <c r="T2906" i="1"/>
  <c r="R2906" i="1"/>
  <c r="S2906" i="1" s="1"/>
  <c r="Q2906" i="1"/>
  <c r="O2906" i="1"/>
  <c r="C2906" i="1"/>
  <c r="B2906" i="1"/>
  <c r="T2905" i="1"/>
  <c r="R2905" i="1"/>
  <c r="S2905" i="1" s="1"/>
  <c r="Q2905" i="1"/>
  <c r="O2905" i="1"/>
  <c r="C2905" i="1"/>
  <c r="B2905" i="1"/>
  <c r="T2904" i="1"/>
  <c r="Q2904" i="1"/>
  <c r="R2904" i="1" s="1"/>
  <c r="S2904" i="1" s="1"/>
  <c r="O2904" i="1"/>
  <c r="C2904" i="1"/>
  <c r="B2904" i="1"/>
  <c r="T2903" i="1"/>
  <c r="Q2903" i="1"/>
  <c r="O2903" i="1"/>
  <c r="C2903" i="1"/>
  <c r="B2903" i="1"/>
  <c r="T2902" i="1"/>
  <c r="O2902" i="1"/>
  <c r="C2902" i="1"/>
  <c r="B2902" i="1"/>
  <c r="T2901" i="1"/>
  <c r="O2901" i="1"/>
  <c r="C2901" i="1"/>
  <c r="B2901" i="1"/>
  <c r="T2900" i="1"/>
  <c r="O2900" i="1"/>
  <c r="C2900" i="1"/>
  <c r="B2900" i="1"/>
  <c r="T2899" i="1"/>
  <c r="R2899" i="1"/>
  <c r="S2899" i="1" s="1"/>
  <c r="O2899" i="1"/>
  <c r="Q2899" i="1" s="1"/>
  <c r="C2899" i="1"/>
  <c r="B2899" i="1"/>
  <c r="T2898" i="1"/>
  <c r="S2898" i="1"/>
  <c r="R2898" i="1"/>
  <c r="Q2898" i="1"/>
  <c r="O2898" i="1"/>
  <c r="C2898" i="1"/>
  <c r="B2898" i="1"/>
  <c r="T2897" i="1"/>
  <c r="Q2897" i="1"/>
  <c r="R2897" i="1" s="1"/>
  <c r="S2897" i="1" s="1"/>
  <c r="O2897" i="1"/>
  <c r="C2897" i="1"/>
  <c r="B2897" i="1"/>
  <c r="T2896" i="1"/>
  <c r="S2896" i="1"/>
  <c r="R2896" i="1"/>
  <c r="Q2896" i="1"/>
  <c r="O2896" i="1"/>
  <c r="C2896" i="1"/>
  <c r="B2896" i="1"/>
  <c r="T2895" i="1"/>
  <c r="R2895" i="1"/>
  <c r="S2895" i="1" s="1"/>
  <c r="Q2895" i="1"/>
  <c r="O2895" i="1"/>
  <c r="C2895" i="1"/>
  <c r="B2895" i="1"/>
  <c r="T2894" i="1"/>
  <c r="Q2894" i="1"/>
  <c r="O2894" i="1"/>
  <c r="C2894" i="1"/>
  <c r="B2894" i="1"/>
  <c r="T2893" i="1"/>
  <c r="O2893" i="1"/>
  <c r="C2893" i="1"/>
  <c r="B2893" i="1"/>
  <c r="T2892" i="1"/>
  <c r="O2892" i="1"/>
  <c r="C2892" i="1"/>
  <c r="B2892" i="1"/>
  <c r="T2891" i="1"/>
  <c r="O2891" i="1"/>
  <c r="C2891" i="1"/>
  <c r="B2891" i="1"/>
  <c r="T2890" i="1"/>
  <c r="R2890" i="1"/>
  <c r="S2890" i="1" s="1"/>
  <c r="Q2890" i="1"/>
  <c r="O2890" i="1"/>
  <c r="C2890" i="1"/>
  <c r="B2890" i="1"/>
  <c r="T2889" i="1"/>
  <c r="Q2889" i="1"/>
  <c r="O2889" i="1"/>
  <c r="C2889" i="1"/>
  <c r="B2889" i="1"/>
  <c r="T2888" i="1"/>
  <c r="Q2888" i="1"/>
  <c r="O2888" i="1"/>
  <c r="C2888" i="1"/>
  <c r="B2888" i="1"/>
  <c r="T2887" i="1"/>
  <c r="R2887" i="1"/>
  <c r="S2887" i="1" s="1"/>
  <c r="Q2887" i="1"/>
  <c r="O2887" i="1"/>
  <c r="C2887" i="1"/>
  <c r="B2887" i="1"/>
  <c r="T2886" i="1"/>
  <c r="O2886" i="1"/>
  <c r="C2886" i="1"/>
  <c r="B2886" i="1"/>
  <c r="T2885" i="1"/>
  <c r="S2885" i="1"/>
  <c r="R2885" i="1"/>
  <c r="Q2885" i="1"/>
  <c r="O2885" i="1"/>
  <c r="C2885" i="1"/>
  <c r="B2885" i="1"/>
  <c r="T2884" i="1"/>
  <c r="O2884" i="1"/>
  <c r="C2884" i="1"/>
  <c r="B2884" i="1"/>
  <c r="T2883" i="1"/>
  <c r="S2883" i="1"/>
  <c r="R2883" i="1"/>
  <c r="Q2883" i="1"/>
  <c r="O2883" i="1"/>
  <c r="C2883" i="1"/>
  <c r="B2883" i="1"/>
  <c r="T2882" i="1"/>
  <c r="R2882" i="1"/>
  <c r="S2882" i="1" s="1"/>
  <c r="O2882" i="1"/>
  <c r="Q2882" i="1" s="1"/>
  <c r="C2882" i="1"/>
  <c r="B2882" i="1"/>
  <c r="T2881" i="1"/>
  <c r="Q2881" i="1"/>
  <c r="R2881" i="1" s="1"/>
  <c r="S2881" i="1" s="1"/>
  <c r="O2881" i="1"/>
  <c r="C2881" i="1"/>
  <c r="B2881" i="1"/>
  <c r="T2880" i="1"/>
  <c r="O2880" i="1"/>
  <c r="C2880" i="1"/>
  <c r="B2880" i="1"/>
  <c r="T2879" i="1"/>
  <c r="R2879" i="1"/>
  <c r="S2879" i="1" s="1"/>
  <c r="Q2879" i="1"/>
  <c r="O2879" i="1"/>
  <c r="C2879" i="1"/>
  <c r="B2879" i="1"/>
  <c r="T2878" i="1"/>
  <c r="R2878" i="1"/>
  <c r="S2878" i="1" s="1"/>
  <c r="Q2878" i="1"/>
  <c r="O2878" i="1"/>
  <c r="C2878" i="1"/>
  <c r="B2878" i="1"/>
  <c r="T2877" i="1"/>
  <c r="R2877" i="1"/>
  <c r="S2877" i="1" s="1"/>
  <c r="Q2877" i="1"/>
  <c r="O2877" i="1"/>
  <c r="C2877" i="1"/>
  <c r="B2877" i="1"/>
  <c r="T2876" i="1"/>
  <c r="O2876" i="1"/>
  <c r="C2876" i="1"/>
  <c r="B2876" i="1"/>
  <c r="T2875" i="1"/>
  <c r="Q2875" i="1"/>
  <c r="R2875" i="1" s="1"/>
  <c r="S2875" i="1" s="1"/>
  <c r="O2875" i="1"/>
  <c r="C2875" i="1"/>
  <c r="B2875" i="1"/>
  <c r="T2874" i="1"/>
  <c r="R2874" i="1"/>
  <c r="S2874" i="1" s="1"/>
  <c r="Q2874" i="1"/>
  <c r="O2874" i="1"/>
  <c r="C2874" i="1"/>
  <c r="B2874" i="1"/>
  <c r="T2873" i="1"/>
  <c r="Q2873" i="1"/>
  <c r="R2873" i="1" s="1"/>
  <c r="S2873" i="1" s="1"/>
  <c r="O2873" i="1"/>
  <c r="C2873" i="1"/>
  <c r="B2873" i="1"/>
  <c r="T2872" i="1"/>
  <c r="S2872" i="1"/>
  <c r="R2872" i="1"/>
  <c r="Q2872" i="1"/>
  <c r="O2872" i="1"/>
  <c r="C2872" i="1"/>
  <c r="B2872" i="1"/>
  <c r="T2871" i="1"/>
  <c r="R2871" i="1"/>
  <c r="S2871" i="1" s="1"/>
  <c r="O2871" i="1"/>
  <c r="Q2871" i="1" s="1"/>
  <c r="C2871" i="1"/>
  <c r="B2871" i="1"/>
  <c r="T2870" i="1"/>
  <c r="O2870" i="1"/>
  <c r="C2870" i="1"/>
  <c r="B2870" i="1"/>
  <c r="T2869" i="1"/>
  <c r="Q2869" i="1"/>
  <c r="O2869" i="1"/>
  <c r="C2869" i="1"/>
  <c r="B2869" i="1"/>
  <c r="T2868" i="1"/>
  <c r="O2868" i="1"/>
  <c r="C2868" i="1"/>
  <c r="B2868" i="1"/>
  <c r="T2867" i="1"/>
  <c r="O2867" i="1"/>
  <c r="C2867" i="1"/>
  <c r="B2867" i="1"/>
  <c r="T2866" i="1"/>
  <c r="R2866" i="1"/>
  <c r="S2866" i="1" s="1"/>
  <c r="Q2866" i="1"/>
  <c r="O2866" i="1"/>
  <c r="C2866" i="1"/>
  <c r="B2866" i="1"/>
  <c r="T2865" i="1"/>
  <c r="O2865" i="1"/>
  <c r="C2865" i="1"/>
  <c r="B2865" i="1"/>
  <c r="T2864" i="1"/>
  <c r="S2864" i="1"/>
  <c r="R2864" i="1"/>
  <c r="Q2864" i="1"/>
  <c r="O2864" i="1"/>
  <c r="C2864" i="1"/>
  <c r="B2864" i="1"/>
  <c r="T2863" i="1"/>
  <c r="S2863" i="1"/>
  <c r="R2863" i="1"/>
  <c r="Q2863" i="1"/>
  <c r="O2863" i="1"/>
  <c r="C2863" i="1"/>
  <c r="B2863" i="1"/>
  <c r="T2862" i="1"/>
  <c r="R2862" i="1"/>
  <c r="S2862" i="1" s="1"/>
  <c r="Q2862" i="1"/>
  <c r="O2862" i="1"/>
  <c r="C2862" i="1"/>
  <c r="B2862" i="1"/>
  <c r="T2861" i="1"/>
  <c r="O2861" i="1"/>
  <c r="C2861" i="1"/>
  <c r="B2861" i="1"/>
  <c r="T2860" i="1"/>
  <c r="O2860" i="1"/>
  <c r="C2860" i="1"/>
  <c r="B2860" i="1"/>
  <c r="T2859" i="1"/>
  <c r="S2859" i="1"/>
  <c r="R2859" i="1"/>
  <c r="Q2859" i="1"/>
  <c r="O2859" i="1"/>
  <c r="C2859" i="1"/>
  <c r="B2859" i="1"/>
  <c r="T2858" i="1"/>
  <c r="S2858" i="1"/>
  <c r="R2858" i="1"/>
  <c r="Q2858" i="1"/>
  <c r="O2858" i="1"/>
  <c r="C2858" i="1"/>
  <c r="B2858" i="1"/>
  <c r="T2857" i="1"/>
  <c r="R2857" i="1"/>
  <c r="S2857" i="1" s="1"/>
  <c r="Q2857" i="1"/>
  <c r="O2857" i="1"/>
  <c r="C2857" i="1"/>
  <c r="B2857" i="1"/>
  <c r="T2856" i="1"/>
  <c r="Q2856" i="1"/>
  <c r="R2856" i="1" s="1"/>
  <c r="S2856" i="1" s="1"/>
  <c r="O2856" i="1"/>
  <c r="C2856" i="1"/>
  <c r="B2856" i="1"/>
  <c r="T2855" i="1"/>
  <c r="S2855" i="1"/>
  <c r="R2855" i="1"/>
  <c r="Q2855" i="1"/>
  <c r="O2855" i="1"/>
  <c r="C2855" i="1"/>
  <c r="B2855" i="1"/>
  <c r="T2854" i="1"/>
  <c r="O2854" i="1"/>
  <c r="C2854" i="1"/>
  <c r="B2854" i="1"/>
  <c r="T2853" i="1"/>
  <c r="O2853" i="1"/>
  <c r="C2853" i="1"/>
  <c r="B2853" i="1"/>
  <c r="T2852" i="1"/>
  <c r="O2852" i="1"/>
  <c r="C2852" i="1"/>
  <c r="B2852" i="1"/>
  <c r="T2851" i="1"/>
  <c r="R2851" i="1"/>
  <c r="S2851" i="1" s="1"/>
  <c r="Q2851" i="1"/>
  <c r="O2851" i="1"/>
  <c r="C2851" i="1"/>
  <c r="B2851" i="1"/>
  <c r="T2850" i="1"/>
  <c r="S2850" i="1"/>
  <c r="R2850" i="1"/>
  <c r="Q2850" i="1"/>
  <c r="O2850" i="1"/>
  <c r="C2850" i="1"/>
  <c r="B2850" i="1"/>
  <c r="T2849" i="1"/>
  <c r="Q2849" i="1"/>
  <c r="R2849" i="1" s="1"/>
  <c r="S2849" i="1" s="1"/>
  <c r="O2849" i="1"/>
  <c r="C2849" i="1"/>
  <c r="B2849" i="1"/>
  <c r="T2848" i="1"/>
  <c r="O2848" i="1"/>
  <c r="C2848" i="1"/>
  <c r="B2848" i="1"/>
  <c r="T2847" i="1"/>
  <c r="O2847" i="1"/>
  <c r="C2847" i="1"/>
  <c r="B2847" i="1"/>
  <c r="T2846" i="1"/>
  <c r="Q2846" i="1"/>
  <c r="R2846" i="1" s="1"/>
  <c r="S2846" i="1" s="1"/>
  <c r="O2846" i="1"/>
  <c r="C2846" i="1"/>
  <c r="B2846" i="1"/>
  <c r="T2845" i="1"/>
  <c r="Q2845" i="1"/>
  <c r="O2845" i="1"/>
  <c r="C2845" i="1"/>
  <c r="B2845" i="1"/>
  <c r="T2844" i="1"/>
  <c r="R2844" i="1"/>
  <c r="S2844" i="1" s="1"/>
  <c r="Q2844" i="1"/>
  <c r="O2844" i="1"/>
  <c r="C2844" i="1"/>
  <c r="B2844" i="1"/>
  <c r="T2843" i="1"/>
  <c r="O2843" i="1"/>
  <c r="C2843" i="1"/>
  <c r="B2843" i="1"/>
  <c r="T2842" i="1"/>
  <c r="S2842" i="1"/>
  <c r="R2842" i="1"/>
  <c r="Q2842" i="1"/>
  <c r="O2842" i="1"/>
  <c r="C2842" i="1"/>
  <c r="B2842" i="1"/>
  <c r="T2841" i="1"/>
  <c r="S2841" i="1"/>
  <c r="R2841" i="1"/>
  <c r="Q2841" i="1"/>
  <c r="O2841" i="1"/>
  <c r="C2841" i="1"/>
  <c r="B2841" i="1"/>
  <c r="T2840" i="1"/>
  <c r="S2840" i="1"/>
  <c r="R2840" i="1"/>
  <c r="Q2840" i="1"/>
  <c r="O2840" i="1"/>
  <c r="C2840" i="1"/>
  <c r="B2840" i="1"/>
  <c r="T2839" i="1"/>
  <c r="O2839" i="1"/>
  <c r="C2839" i="1"/>
  <c r="B2839" i="1"/>
  <c r="T2838" i="1"/>
  <c r="R2838" i="1"/>
  <c r="S2838" i="1" s="1"/>
  <c r="Q2838" i="1"/>
  <c r="O2838" i="1"/>
  <c r="C2838" i="1"/>
  <c r="B2838" i="1"/>
  <c r="T2837" i="1"/>
  <c r="O2837" i="1"/>
  <c r="C2837" i="1"/>
  <c r="B2837" i="1"/>
  <c r="T2836" i="1"/>
  <c r="Q2836" i="1"/>
  <c r="O2836" i="1"/>
  <c r="C2836" i="1"/>
  <c r="B2836" i="1"/>
  <c r="T2835" i="1"/>
  <c r="S2835" i="1"/>
  <c r="R2835" i="1"/>
  <c r="Q2835" i="1"/>
  <c r="O2835" i="1"/>
  <c r="C2835" i="1"/>
  <c r="B2835" i="1"/>
  <c r="T2834" i="1"/>
  <c r="S2834" i="1"/>
  <c r="R2834" i="1"/>
  <c r="Q2834" i="1"/>
  <c r="O2834" i="1"/>
  <c r="C2834" i="1"/>
  <c r="B2834" i="1"/>
  <c r="T2833" i="1"/>
  <c r="Q2833" i="1"/>
  <c r="R2833" i="1" s="1"/>
  <c r="S2833" i="1" s="1"/>
  <c r="O2833" i="1"/>
  <c r="C2833" i="1"/>
  <c r="B2833" i="1"/>
  <c r="T2832" i="1"/>
  <c r="O2832" i="1"/>
  <c r="C2832" i="1"/>
  <c r="B2832" i="1"/>
  <c r="T2831" i="1"/>
  <c r="Q2831" i="1"/>
  <c r="O2831" i="1"/>
  <c r="C2831" i="1"/>
  <c r="B2831" i="1"/>
  <c r="T2830" i="1"/>
  <c r="O2830" i="1"/>
  <c r="C2830" i="1"/>
  <c r="B2830" i="1"/>
  <c r="T2829" i="1"/>
  <c r="R2829" i="1"/>
  <c r="S2829" i="1" s="1"/>
  <c r="Q2829" i="1"/>
  <c r="O2829" i="1"/>
  <c r="C2829" i="1"/>
  <c r="B2829" i="1"/>
  <c r="T2828" i="1"/>
  <c r="O2828" i="1"/>
  <c r="C2828" i="1"/>
  <c r="B2828" i="1"/>
  <c r="T2827" i="1"/>
  <c r="O2827" i="1"/>
  <c r="C2827" i="1"/>
  <c r="B2827" i="1"/>
  <c r="T2826" i="1"/>
  <c r="S2826" i="1"/>
  <c r="R2826" i="1"/>
  <c r="Q2826" i="1"/>
  <c r="O2826" i="1"/>
  <c r="C2826" i="1"/>
  <c r="B2826" i="1"/>
  <c r="T2825" i="1"/>
  <c r="S2825" i="1"/>
  <c r="R2825" i="1"/>
  <c r="Q2825" i="1"/>
  <c r="O2825" i="1"/>
  <c r="C2825" i="1"/>
  <c r="B2825" i="1"/>
  <c r="T2824" i="1"/>
  <c r="O2824" i="1"/>
  <c r="C2824" i="1"/>
  <c r="B2824" i="1"/>
  <c r="T2823" i="1"/>
  <c r="Q2823" i="1"/>
  <c r="R2823" i="1" s="1"/>
  <c r="S2823" i="1" s="1"/>
  <c r="O2823" i="1"/>
  <c r="C2823" i="1"/>
  <c r="B2823" i="1"/>
  <c r="T2822" i="1"/>
  <c r="S2822" i="1"/>
  <c r="R2822" i="1"/>
  <c r="Q2822" i="1"/>
  <c r="O2822" i="1"/>
  <c r="C2822" i="1"/>
  <c r="B2822" i="1"/>
  <c r="T2821" i="1"/>
  <c r="O2821" i="1"/>
  <c r="C2821" i="1"/>
  <c r="B2821" i="1"/>
  <c r="T2820" i="1"/>
  <c r="S2820" i="1"/>
  <c r="R2820" i="1"/>
  <c r="Q2820" i="1"/>
  <c r="O2820" i="1"/>
  <c r="C2820" i="1"/>
  <c r="B2820" i="1"/>
  <c r="T2819" i="1"/>
  <c r="O2819" i="1"/>
  <c r="C2819" i="1"/>
  <c r="B2819" i="1"/>
  <c r="T2818" i="1"/>
  <c r="S2818" i="1"/>
  <c r="R2818" i="1"/>
  <c r="Q2818" i="1"/>
  <c r="O2818" i="1"/>
  <c r="C2818" i="1"/>
  <c r="B2818" i="1"/>
  <c r="T2817" i="1"/>
  <c r="O2817" i="1"/>
  <c r="Q2817" i="1" s="1"/>
  <c r="R2817" i="1" s="1"/>
  <c r="S2817" i="1" s="1"/>
  <c r="C2817" i="1"/>
  <c r="B2817" i="1"/>
  <c r="T2816" i="1"/>
  <c r="O2816" i="1"/>
  <c r="C2816" i="1"/>
  <c r="B2816" i="1"/>
  <c r="T2815" i="1"/>
  <c r="Q2815" i="1"/>
  <c r="O2815" i="1"/>
  <c r="C2815" i="1"/>
  <c r="B2815" i="1"/>
  <c r="T2814" i="1"/>
  <c r="R2814" i="1"/>
  <c r="S2814" i="1" s="1"/>
  <c r="Q2814" i="1"/>
  <c r="O2814" i="1"/>
  <c r="C2814" i="1"/>
  <c r="B2814" i="1"/>
  <c r="T2813" i="1"/>
  <c r="O2813" i="1"/>
  <c r="C2813" i="1"/>
  <c r="B2813" i="1"/>
  <c r="T2812" i="1"/>
  <c r="Q2812" i="1"/>
  <c r="O2812" i="1"/>
  <c r="C2812" i="1"/>
  <c r="B2812" i="1"/>
  <c r="T2811" i="1"/>
  <c r="S2811" i="1"/>
  <c r="R2811" i="1"/>
  <c r="Q2811" i="1"/>
  <c r="O2811" i="1"/>
  <c r="C2811" i="1"/>
  <c r="B2811" i="1"/>
  <c r="T2810" i="1"/>
  <c r="O2810" i="1"/>
  <c r="C2810" i="1"/>
  <c r="B2810" i="1"/>
  <c r="T2809" i="1"/>
  <c r="Q2809" i="1"/>
  <c r="R2809" i="1" s="1"/>
  <c r="S2809" i="1" s="1"/>
  <c r="O2809" i="1"/>
  <c r="C2809" i="1"/>
  <c r="B2809" i="1"/>
  <c r="T2808" i="1"/>
  <c r="S2808" i="1"/>
  <c r="R2808" i="1"/>
  <c r="Q2808" i="1"/>
  <c r="O2808" i="1"/>
  <c r="C2808" i="1"/>
  <c r="B2808" i="1"/>
  <c r="T2807" i="1"/>
  <c r="S2807" i="1"/>
  <c r="R2807" i="1"/>
  <c r="Q2807" i="1"/>
  <c r="O2807" i="1"/>
  <c r="C2807" i="1"/>
  <c r="B2807" i="1"/>
  <c r="T2806" i="1"/>
  <c r="O2806" i="1"/>
  <c r="C2806" i="1"/>
  <c r="B2806" i="1"/>
  <c r="T2805" i="1"/>
  <c r="O2805" i="1"/>
  <c r="C2805" i="1"/>
  <c r="B2805" i="1"/>
  <c r="T2804" i="1"/>
  <c r="O2804" i="1"/>
  <c r="C2804" i="1"/>
  <c r="B2804" i="1"/>
  <c r="T2803" i="1"/>
  <c r="R2803" i="1"/>
  <c r="S2803" i="1" s="1"/>
  <c r="Q2803" i="1"/>
  <c r="O2803" i="1"/>
  <c r="C2803" i="1"/>
  <c r="B2803" i="1"/>
  <c r="T2802" i="1"/>
  <c r="S2802" i="1"/>
  <c r="R2802" i="1"/>
  <c r="Q2802" i="1"/>
  <c r="O2802" i="1"/>
  <c r="C2802" i="1"/>
  <c r="B2802" i="1"/>
  <c r="T2801" i="1"/>
  <c r="Q2801" i="1"/>
  <c r="R2801" i="1" s="1"/>
  <c r="S2801" i="1" s="1"/>
  <c r="O2801" i="1"/>
  <c r="C2801" i="1"/>
  <c r="B2801" i="1"/>
  <c r="T2800" i="1"/>
  <c r="O2800" i="1"/>
  <c r="C2800" i="1"/>
  <c r="B2800" i="1"/>
  <c r="T2799" i="1"/>
  <c r="O2799" i="1"/>
  <c r="C2799" i="1"/>
  <c r="B2799" i="1"/>
  <c r="T2798" i="1"/>
  <c r="O2798" i="1"/>
  <c r="C2798" i="1"/>
  <c r="B2798" i="1"/>
  <c r="T2797" i="1"/>
  <c r="Q2797" i="1"/>
  <c r="O2797" i="1"/>
  <c r="C2797" i="1"/>
  <c r="B2797" i="1"/>
  <c r="T2796" i="1"/>
  <c r="Q2796" i="1"/>
  <c r="R2796" i="1" s="1"/>
  <c r="S2796" i="1" s="1"/>
  <c r="O2796" i="1"/>
  <c r="C2796" i="1"/>
  <c r="B2796" i="1"/>
  <c r="T2795" i="1"/>
  <c r="O2795" i="1"/>
  <c r="C2795" i="1"/>
  <c r="B2795" i="1"/>
  <c r="T2794" i="1"/>
  <c r="S2794" i="1"/>
  <c r="O2794" i="1"/>
  <c r="Q2794" i="1" s="1"/>
  <c r="R2794" i="1" s="1"/>
  <c r="C2794" i="1"/>
  <c r="B2794" i="1"/>
  <c r="T2793" i="1"/>
  <c r="S2793" i="1"/>
  <c r="R2793" i="1"/>
  <c r="Q2793" i="1"/>
  <c r="O2793" i="1"/>
  <c r="C2793" i="1"/>
  <c r="B2793" i="1"/>
  <c r="T2792" i="1"/>
  <c r="R2792" i="1"/>
  <c r="S2792" i="1" s="1"/>
  <c r="Q2792" i="1"/>
  <c r="O2792" i="1"/>
  <c r="C2792" i="1"/>
  <c r="B2792" i="1"/>
  <c r="T2791" i="1"/>
  <c r="O2791" i="1"/>
  <c r="C2791" i="1"/>
  <c r="B2791" i="1"/>
  <c r="T2790" i="1"/>
  <c r="Q2790" i="1"/>
  <c r="O2790" i="1"/>
  <c r="C2790" i="1"/>
  <c r="B2790" i="1"/>
  <c r="T2789" i="1"/>
  <c r="Q2789" i="1"/>
  <c r="O2789" i="1"/>
  <c r="C2789" i="1"/>
  <c r="B2789" i="1"/>
  <c r="T2788" i="1"/>
  <c r="Q2788" i="1"/>
  <c r="O2788" i="1"/>
  <c r="C2788" i="1"/>
  <c r="B2788" i="1"/>
  <c r="T2787" i="1"/>
  <c r="S2787" i="1"/>
  <c r="R2787" i="1"/>
  <c r="Q2787" i="1"/>
  <c r="O2787" i="1"/>
  <c r="C2787" i="1"/>
  <c r="B2787" i="1"/>
  <c r="T2786" i="1"/>
  <c r="R2786" i="1"/>
  <c r="S2786" i="1" s="1"/>
  <c r="Q2786" i="1"/>
  <c r="O2786" i="1"/>
  <c r="C2786" i="1"/>
  <c r="B2786" i="1"/>
  <c r="T2785" i="1"/>
  <c r="Q2785" i="1"/>
  <c r="R2785" i="1" s="1"/>
  <c r="S2785" i="1" s="1"/>
  <c r="O2785" i="1"/>
  <c r="C2785" i="1"/>
  <c r="B2785" i="1"/>
  <c r="T2784" i="1"/>
  <c r="O2784" i="1"/>
  <c r="C2784" i="1"/>
  <c r="B2784" i="1"/>
  <c r="T2783" i="1"/>
  <c r="O2783" i="1"/>
  <c r="C2783" i="1"/>
  <c r="B2783" i="1"/>
  <c r="T2782" i="1"/>
  <c r="Q2782" i="1"/>
  <c r="O2782" i="1"/>
  <c r="C2782" i="1"/>
  <c r="B2782" i="1"/>
  <c r="T2781" i="1"/>
  <c r="R2781" i="1"/>
  <c r="S2781" i="1" s="1"/>
  <c r="Q2781" i="1"/>
  <c r="O2781" i="1"/>
  <c r="C2781" i="1"/>
  <c r="B2781" i="1"/>
  <c r="T2780" i="1"/>
  <c r="O2780" i="1"/>
  <c r="C2780" i="1"/>
  <c r="B2780" i="1"/>
  <c r="T2779" i="1"/>
  <c r="R2779" i="1"/>
  <c r="S2779" i="1" s="1"/>
  <c r="Q2779" i="1"/>
  <c r="O2779" i="1"/>
  <c r="C2779" i="1"/>
  <c r="B2779" i="1"/>
  <c r="T2778" i="1"/>
  <c r="S2778" i="1"/>
  <c r="R2778" i="1"/>
  <c r="Q2778" i="1"/>
  <c r="O2778" i="1"/>
  <c r="C2778" i="1"/>
  <c r="B2778" i="1"/>
  <c r="T2777" i="1"/>
  <c r="S2777" i="1"/>
  <c r="R2777" i="1"/>
  <c r="Q2777" i="1"/>
  <c r="O2777" i="1"/>
  <c r="C2777" i="1"/>
  <c r="B2777" i="1"/>
  <c r="T2776" i="1"/>
  <c r="Q2776" i="1"/>
  <c r="R2776" i="1" s="1"/>
  <c r="S2776" i="1" s="1"/>
  <c r="O2776" i="1"/>
  <c r="C2776" i="1"/>
  <c r="B2776" i="1"/>
  <c r="T2775" i="1"/>
  <c r="R2775" i="1"/>
  <c r="S2775" i="1" s="1"/>
  <c r="Q2775" i="1"/>
  <c r="O2775" i="1"/>
  <c r="C2775" i="1"/>
  <c r="B2775" i="1"/>
  <c r="T2774" i="1"/>
  <c r="R2774" i="1"/>
  <c r="S2774" i="1" s="1"/>
  <c r="Q2774" i="1"/>
  <c r="O2774" i="1"/>
  <c r="C2774" i="1"/>
  <c r="B2774" i="1"/>
  <c r="T2773" i="1"/>
  <c r="Q2773" i="1"/>
  <c r="O2773" i="1"/>
  <c r="C2773" i="1"/>
  <c r="B2773" i="1"/>
  <c r="T2772" i="1"/>
  <c r="O2772" i="1"/>
  <c r="C2772" i="1"/>
  <c r="B2772" i="1"/>
  <c r="T2771" i="1"/>
  <c r="O2771" i="1"/>
  <c r="C2771" i="1"/>
  <c r="B2771" i="1"/>
  <c r="T2770" i="1"/>
  <c r="O2770" i="1"/>
  <c r="Q2770" i="1" s="1"/>
  <c r="R2770" i="1" s="1"/>
  <c r="S2770" i="1" s="1"/>
  <c r="C2770" i="1"/>
  <c r="B2770" i="1"/>
  <c r="T2769" i="1"/>
  <c r="S2769" i="1"/>
  <c r="R2769" i="1"/>
  <c r="Q2769" i="1"/>
  <c r="O2769" i="1"/>
  <c r="C2769" i="1"/>
  <c r="B2769" i="1"/>
  <c r="T2768" i="1"/>
  <c r="O2768" i="1"/>
  <c r="C2768" i="1"/>
  <c r="B2768" i="1"/>
  <c r="T2767" i="1"/>
  <c r="O2767" i="1"/>
  <c r="C2767" i="1"/>
  <c r="B2767" i="1"/>
  <c r="T2766" i="1"/>
  <c r="R2766" i="1"/>
  <c r="S2766" i="1" s="1"/>
  <c r="Q2766" i="1"/>
  <c r="O2766" i="1"/>
  <c r="C2766" i="1"/>
  <c r="B2766" i="1"/>
  <c r="T2765" i="1"/>
  <c r="R2765" i="1"/>
  <c r="S2765" i="1" s="1"/>
  <c r="Q2765" i="1"/>
  <c r="O2765" i="1"/>
  <c r="C2765" i="1"/>
  <c r="B2765" i="1"/>
  <c r="T2764" i="1"/>
  <c r="O2764" i="1"/>
  <c r="C2764" i="1"/>
  <c r="B2764" i="1"/>
  <c r="T2763" i="1"/>
  <c r="S2763" i="1"/>
  <c r="R2763" i="1"/>
  <c r="Q2763" i="1"/>
  <c r="O2763" i="1"/>
  <c r="C2763" i="1"/>
  <c r="B2763" i="1"/>
  <c r="T2762" i="1"/>
  <c r="O2762" i="1"/>
  <c r="C2762" i="1"/>
  <c r="B2762" i="1"/>
  <c r="T2761" i="1"/>
  <c r="R2761" i="1"/>
  <c r="S2761" i="1" s="1"/>
  <c r="Q2761" i="1"/>
  <c r="O2761" i="1"/>
  <c r="C2761" i="1"/>
  <c r="B2761" i="1"/>
  <c r="T2760" i="1"/>
  <c r="S2760" i="1"/>
  <c r="R2760" i="1"/>
  <c r="Q2760" i="1"/>
  <c r="O2760" i="1"/>
  <c r="C2760" i="1"/>
  <c r="B2760" i="1"/>
  <c r="T2759" i="1"/>
  <c r="R2759" i="1"/>
  <c r="S2759" i="1" s="1"/>
  <c r="Q2759" i="1"/>
  <c r="O2759" i="1"/>
  <c r="C2759" i="1"/>
  <c r="B2759" i="1"/>
  <c r="T2758" i="1"/>
  <c r="R2758" i="1"/>
  <c r="S2758" i="1" s="1"/>
  <c r="Q2758" i="1"/>
  <c r="O2758" i="1"/>
  <c r="C2758" i="1"/>
  <c r="B2758" i="1"/>
  <c r="T2757" i="1"/>
  <c r="O2757" i="1"/>
  <c r="C2757" i="1"/>
  <c r="B2757" i="1"/>
  <c r="T2756" i="1"/>
  <c r="O2756" i="1"/>
  <c r="C2756" i="1"/>
  <c r="B2756" i="1"/>
  <c r="T2755" i="1"/>
  <c r="S2755" i="1"/>
  <c r="R2755" i="1"/>
  <c r="Q2755" i="1"/>
  <c r="O2755" i="1"/>
  <c r="C2755" i="1"/>
  <c r="B2755" i="1"/>
  <c r="T2754" i="1"/>
  <c r="S2754" i="1"/>
  <c r="R2754" i="1"/>
  <c r="Q2754" i="1"/>
  <c r="O2754" i="1"/>
  <c r="C2754" i="1"/>
  <c r="B2754" i="1"/>
  <c r="T2753" i="1"/>
  <c r="Q2753" i="1"/>
  <c r="R2753" i="1" s="1"/>
  <c r="S2753" i="1" s="1"/>
  <c r="O2753" i="1"/>
  <c r="C2753" i="1"/>
  <c r="B2753" i="1"/>
  <c r="T2752" i="1"/>
  <c r="O2752" i="1"/>
  <c r="C2752" i="1"/>
  <c r="B2752" i="1"/>
  <c r="T2751" i="1"/>
  <c r="Q2751" i="1"/>
  <c r="R2751" i="1" s="1"/>
  <c r="S2751" i="1" s="1"/>
  <c r="O2751" i="1"/>
  <c r="C2751" i="1"/>
  <c r="B2751" i="1"/>
  <c r="T2750" i="1"/>
  <c r="R2750" i="1"/>
  <c r="S2750" i="1" s="1"/>
  <c r="Q2750" i="1"/>
  <c r="O2750" i="1"/>
  <c r="C2750" i="1"/>
  <c r="B2750" i="1"/>
  <c r="T2749" i="1"/>
  <c r="Q2749" i="1"/>
  <c r="O2749" i="1"/>
  <c r="C2749" i="1"/>
  <c r="B2749" i="1"/>
  <c r="T2748" i="1"/>
  <c r="Q2748" i="1"/>
  <c r="R2748" i="1" s="1"/>
  <c r="S2748" i="1" s="1"/>
  <c r="O2748" i="1"/>
  <c r="C2748" i="1"/>
  <c r="B2748" i="1"/>
  <c r="T2747" i="1"/>
  <c r="O2747" i="1"/>
  <c r="C2747" i="1"/>
  <c r="B2747" i="1"/>
  <c r="T2746" i="1"/>
  <c r="S2746" i="1"/>
  <c r="R2746" i="1"/>
  <c r="Q2746" i="1"/>
  <c r="O2746" i="1"/>
  <c r="C2746" i="1"/>
  <c r="B2746" i="1"/>
  <c r="T2745" i="1"/>
  <c r="O2745" i="1"/>
  <c r="C2745" i="1"/>
  <c r="B2745" i="1"/>
  <c r="T2744" i="1"/>
  <c r="S2744" i="1"/>
  <c r="R2744" i="1"/>
  <c r="Q2744" i="1"/>
  <c r="O2744" i="1"/>
  <c r="C2744" i="1"/>
  <c r="B2744" i="1"/>
  <c r="T2743" i="1"/>
  <c r="S2743" i="1"/>
  <c r="R2743" i="1"/>
  <c r="Q2743" i="1"/>
  <c r="O2743" i="1"/>
  <c r="C2743" i="1"/>
  <c r="B2743" i="1"/>
  <c r="T2742" i="1"/>
  <c r="R2742" i="1"/>
  <c r="S2742" i="1" s="1"/>
  <c r="Q2742" i="1"/>
  <c r="O2742" i="1"/>
  <c r="C2742" i="1"/>
  <c r="B2742" i="1"/>
  <c r="T2741" i="1"/>
  <c r="R2741" i="1"/>
  <c r="S2741" i="1" s="1"/>
  <c r="Q2741" i="1"/>
  <c r="O2741" i="1"/>
  <c r="C2741" i="1"/>
  <c r="B2741" i="1"/>
  <c r="T2740" i="1"/>
  <c r="O2740" i="1"/>
  <c r="C2740" i="1"/>
  <c r="B2740" i="1"/>
  <c r="T2739" i="1"/>
  <c r="S2739" i="1"/>
  <c r="R2739" i="1"/>
  <c r="Q2739" i="1"/>
  <c r="O2739" i="1"/>
  <c r="C2739" i="1"/>
  <c r="B2739" i="1"/>
  <c r="T2738" i="1"/>
  <c r="S2738" i="1"/>
  <c r="R2738" i="1"/>
  <c r="Q2738" i="1"/>
  <c r="O2738" i="1"/>
  <c r="C2738" i="1"/>
  <c r="B2738" i="1"/>
  <c r="T2737" i="1"/>
  <c r="S2737" i="1"/>
  <c r="R2737" i="1"/>
  <c r="Q2737" i="1"/>
  <c r="O2737" i="1"/>
  <c r="C2737" i="1"/>
  <c r="B2737" i="1"/>
  <c r="T2736" i="1"/>
  <c r="Q2736" i="1"/>
  <c r="R2736" i="1" s="1"/>
  <c r="S2736" i="1" s="1"/>
  <c r="O2736" i="1"/>
  <c r="C2736" i="1"/>
  <c r="B2736" i="1"/>
  <c r="T2735" i="1"/>
  <c r="O2735" i="1"/>
  <c r="C2735" i="1"/>
  <c r="B2735" i="1"/>
  <c r="T2734" i="1"/>
  <c r="R2734" i="1"/>
  <c r="S2734" i="1" s="1"/>
  <c r="Q2734" i="1"/>
  <c r="O2734" i="1"/>
  <c r="C2734" i="1"/>
  <c r="B2734" i="1"/>
  <c r="T2733" i="1"/>
  <c r="O2733" i="1"/>
  <c r="C2733" i="1"/>
  <c r="B2733" i="1"/>
  <c r="T2732" i="1"/>
  <c r="O2732" i="1"/>
  <c r="C2732" i="1"/>
  <c r="B2732" i="1"/>
  <c r="T2731" i="1"/>
  <c r="R2731" i="1"/>
  <c r="S2731" i="1" s="1"/>
  <c r="Q2731" i="1"/>
  <c r="O2731" i="1"/>
  <c r="C2731" i="1"/>
  <c r="B2731" i="1"/>
  <c r="T2730" i="1"/>
  <c r="R2730" i="1"/>
  <c r="S2730" i="1" s="1"/>
  <c r="Q2730" i="1"/>
  <c r="O2730" i="1"/>
  <c r="C2730" i="1"/>
  <c r="B2730" i="1"/>
  <c r="T2729" i="1"/>
  <c r="Q2729" i="1"/>
  <c r="R2729" i="1" s="1"/>
  <c r="S2729" i="1" s="1"/>
  <c r="O2729" i="1"/>
  <c r="C2729" i="1"/>
  <c r="B2729" i="1"/>
  <c r="T2728" i="1"/>
  <c r="O2728" i="1"/>
  <c r="C2728" i="1"/>
  <c r="B2728" i="1"/>
  <c r="T2727" i="1"/>
  <c r="S2727" i="1"/>
  <c r="R2727" i="1"/>
  <c r="Q2727" i="1"/>
  <c r="O2727" i="1"/>
  <c r="C2727" i="1"/>
  <c r="B2727" i="1"/>
  <c r="T2726" i="1"/>
  <c r="R2726" i="1"/>
  <c r="S2726" i="1" s="1"/>
  <c r="Q2726" i="1"/>
  <c r="O2726" i="1"/>
  <c r="C2726" i="1"/>
  <c r="B2726" i="1"/>
  <c r="T2725" i="1"/>
  <c r="O2725" i="1"/>
  <c r="C2725" i="1"/>
  <c r="B2725" i="1"/>
  <c r="T2724" i="1"/>
  <c r="O2724" i="1"/>
  <c r="C2724" i="1"/>
  <c r="B2724" i="1"/>
  <c r="T2723" i="1"/>
  <c r="O2723" i="1"/>
  <c r="C2723" i="1"/>
  <c r="B2723" i="1"/>
  <c r="T2722" i="1"/>
  <c r="S2722" i="1"/>
  <c r="R2722" i="1"/>
  <c r="Q2722" i="1"/>
  <c r="O2722" i="1"/>
  <c r="C2722" i="1"/>
  <c r="B2722" i="1"/>
  <c r="T2721" i="1"/>
  <c r="O2721" i="1"/>
  <c r="C2721" i="1"/>
  <c r="B2721" i="1"/>
  <c r="T2720" i="1"/>
  <c r="O2720" i="1"/>
  <c r="C2720" i="1"/>
  <c r="B2720" i="1"/>
  <c r="T2719" i="1"/>
  <c r="S2719" i="1"/>
  <c r="R2719" i="1"/>
  <c r="Q2719" i="1"/>
  <c r="O2719" i="1"/>
  <c r="C2719" i="1"/>
  <c r="B2719" i="1"/>
  <c r="T2718" i="1"/>
  <c r="Q2718" i="1"/>
  <c r="O2718" i="1"/>
  <c r="C2718" i="1"/>
  <c r="B2718" i="1"/>
  <c r="T2717" i="1"/>
  <c r="O2717" i="1"/>
  <c r="C2717" i="1"/>
  <c r="B2717" i="1"/>
  <c r="T2716" i="1"/>
  <c r="Q2716" i="1"/>
  <c r="O2716" i="1"/>
  <c r="C2716" i="1"/>
  <c r="B2716" i="1"/>
  <c r="T2715" i="1"/>
  <c r="S2715" i="1"/>
  <c r="R2715" i="1"/>
  <c r="Q2715" i="1"/>
  <c r="O2715" i="1"/>
  <c r="C2715" i="1"/>
  <c r="B2715" i="1"/>
  <c r="T2714" i="1"/>
  <c r="Q2714" i="1"/>
  <c r="O2714" i="1"/>
  <c r="C2714" i="1"/>
  <c r="B2714" i="1"/>
  <c r="T2713" i="1"/>
  <c r="Q2713" i="1"/>
  <c r="R2713" i="1" s="1"/>
  <c r="S2713" i="1" s="1"/>
  <c r="O2713" i="1"/>
  <c r="C2713" i="1"/>
  <c r="B2713" i="1"/>
  <c r="T2712" i="1"/>
  <c r="O2712" i="1"/>
  <c r="C2712" i="1"/>
  <c r="B2712" i="1"/>
  <c r="T2711" i="1"/>
  <c r="O2711" i="1"/>
  <c r="C2711" i="1"/>
  <c r="B2711" i="1"/>
  <c r="T2710" i="1"/>
  <c r="O2710" i="1"/>
  <c r="Q2710" i="1" s="1"/>
  <c r="C2710" i="1"/>
  <c r="B2710" i="1"/>
  <c r="T2709" i="1"/>
  <c r="R2709" i="1"/>
  <c r="S2709" i="1" s="1"/>
  <c r="Q2709" i="1"/>
  <c r="O2709" i="1"/>
  <c r="C2709" i="1"/>
  <c r="B2709" i="1"/>
  <c r="T2708" i="1"/>
  <c r="O2708" i="1"/>
  <c r="C2708" i="1"/>
  <c r="B2708" i="1"/>
  <c r="T2707" i="1"/>
  <c r="O2707" i="1"/>
  <c r="C2707" i="1"/>
  <c r="B2707" i="1"/>
  <c r="T2706" i="1"/>
  <c r="S2706" i="1"/>
  <c r="R2706" i="1"/>
  <c r="Q2706" i="1"/>
  <c r="O2706" i="1"/>
  <c r="C2706" i="1"/>
  <c r="B2706" i="1"/>
  <c r="T2705" i="1"/>
  <c r="S2705" i="1"/>
  <c r="R2705" i="1"/>
  <c r="Q2705" i="1"/>
  <c r="O2705" i="1"/>
  <c r="C2705" i="1"/>
  <c r="B2705" i="1"/>
  <c r="T2704" i="1"/>
  <c r="Q2704" i="1"/>
  <c r="R2704" i="1" s="1"/>
  <c r="S2704" i="1" s="1"/>
  <c r="O2704" i="1"/>
  <c r="C2704" i="1"/>
  <c r="B2704" i="1"/>
  <c r="T2703" i="1"/>
  <c r="R2703" i="1"/>
  <c r="S2703" i="1" s="1"/>
  <c r="Q2703" i="1"/>
  <c r="O2703" i="1"/>
  <c r="C2703" i="1"/>
  <c r="B2703" i="1"/>
  <c r="T2702" i="1"/>
  <c r="Q2702" i="1"/>
  <c r="R2702" i="1" s="1"/>
  <c r="S2702" i="1" s="1"/>
  <c r="O2702" i="1"/>
  <c r="C2702" i="1"/>
  <c r="B2702" i="1"/>
  <c r="T2701" i="1"/>
  <c r="O2701" i="1"/>
  <c r="C2701" i="1"/>
  <c r="B2701" i="1"/>
  <c r="T2700" i="1"/>
  <c r="S2700" i="1"/>
  <c r="R2700" i="1"/>
  <c r="Q2700" i="1"/>
  <c r="O2700" i="1"/>
  <c r="C2700" i="1"/>
  <c r="B2700" i="1"/>
  <c r="T2699" i="1"/>
  <c r="S2699" i="1"/>
  <c r="R2699" i="1"/>
  <c r="O2699" i="1"/>
  <c r="Q2699" i="1" s="1"/>
  <c r="C2699" i="1"/>
  <c r="B2699" i="1"/>
  <c r="T2698" i="1"/>
  <c r="R2698" i="1"/>
  <c r="S2698" i="1" s="1"/>
  <c r="Q2698" i="1"/>
  <c r="O2698" i="1"/>
  <c r="C2698" i="1"/>
  <c r="B2698" i="1"/>
  <c r="T2697" i="1"/>
  <c r="S2697" i="1"/>
  <c r="Q2697" i="1"/>
  <c r="R2697" i="1" s="1"/>
  <c r="O2697" i="1"/>
  <c r="C2697" i="1"/>
  <c r="B2697" i="1"/>
  <c r="T2696" i="1"/>
  <c r="O2696" i="1"/>
  <c r="C2696" i="1"/>
  <c r="B2696" i="1"/>
  <c r="T2695" i="1"/>
  <c r="O2695" i="1"/>
  <c r="C2695" i="1"/>
  <c r="B2695" i="1"/>
  <c r="T2694" i="1"/>
  <c r="R2694" i="1"/>
  <c r="S2694" i="1" s="1"/>
  <c r="Q2694" i="1"/>
  <c r="O2694" i="1"/>
  <c r="C2694" i="1"/>
  <c r="B2694" i="1"/>
  <c r="T2693" i="1"/>
  <c r="S2693" i="1"/>
  <c r="R2693" i="1"/>
  <c r="Q2693" i="1"/>
  <c r="O2693" i="1"/>
  <c r="C2693" i="1"/>
  <c r="B2693" i="1"/>
  <c r="T2692" i="1"/>
  <c r="Q2692" i="1"/>
  <c r="O2692" i="1"/>
  <c r="C2692" i="1"/>
  <c r="B2692" i="1"/>
  <c r="T2691" i="1"/>
  <c r="S2691" i="1"/>
  <c r="R2691" i="1"/>
  <c r="Q2691" i="1"/>
  <c r="O2691" i="1"/>
  <c r="C2691" i="1"/>
  <c r="B2691" i="1"/>
  <c r="T2690" i="1"/>
  <c r="O2690" i="1"/>
  <c r="C2690" i="1"/>
  <c r="B2690" i="1"/>
  <c r="T2689" i="1"/>
  <c r="Q2689" i="1"/>
  <c r="O2689" i="1"/>
  <c r="C2689" i="1"/>
  <c r="B2689" i="1"/>
  <c r="T2688" i="1"/>
  <c r="S2688" i="1"/>
  <c r="R2688" i="1"/>
  <c r="Q2688" i="1"/>
  <c r="O2688" i="1"/>
  <c r="C2688" i="1"/>
  <c r="B2688" i="1"/>
  <c r="T2687" i="1"/>
  <c r="S2687" i="1"/>
  <c r="R2687" i="1"/>
  <c r="Q2687" i="1"/>
  <c r="O2687" i="1"/>
  <c r="C2687" i="1"/>
  <c r="B2687" i="1"/>
  <c r="T2686" i="1"/>
  <c r="R2686" i="1"/>
  <c r="S2686" i="1" s="1"/>
  <c r="Q2686" i="1"/>
  <c r="O2686" i="1"/>
  <c r="C2686" i="1"/>
  <c r="B2686" i="1"/>
  <c r="T2685" i="1"/>
  <c r="R2685" i="1"/>
  <c r="S2685" i="1" s="1"/>
  <c r="Q2685" i="1"/>
  <c r="O2685" i="1"/>
  <c r="C2685" i="1"/>
  <c r="B2685" i="1"/>
  <c r="T2684" i="1"/>
  <c r="O2684" i="1"/>
  <c r="C2684" i="1"/>
  <c r="B2684" i="1"/>
  <c r="T2683" i="1"/>
  <c r="S2683" i="1"/>
  <c r="R2683" i="1"/>
  <c r="Q2683" i="1"/>
  <c r="O2683" i="1"/>
  <c r="C2683" i="1"/>
  <c r="B2683" i="1"/>
  <c r="T2682" i="1"/>
  <c r="R2682" i="1"/>
  <c r="S2682" i="1" s="1"/>
  <c r="Q2682" i="1"/>
  <c r="O2682" i="1"/>
  <c r="C2682" i="1"/>
  <c r="B2682" i="1"/>
  <c r="T2681" i="1"/>
  <c r="S2681" i="1"/>
  <c r="R2681" i="1"/>
  <c r="Q2681" i="1"/>
  <c r="O2681" i="1"/>
  <c r="C2681" i="1"/>
  <c r="B2681" i="1"/>
  <c r="T2680" i="1"/>
  <c r="O2680" i="1"/>
  <c r="C2680" i="1"/>
  <c r="B2680" i="1"/>
  <c r="T2679" i="1"/>
  <c r="O2679" i="1"/>
  <c r="C2679" i="1"/>
  <c r="B2679" i="1"/>
  <c r="T2678" i="1"/>
  <c r="O2678" i="1"/>
  <c r="C2678" i="1"/>
  <c r="B2678" i="1"/>
  <c r="T2677" i="1"/>
  <c r="O2677" i="1"/>
  <c r="C2677" i="1"/>
  <c r="B2677" i="1"/>
  <c r="T2676" i="1"/>
  <c r="R2676" i="1"/>
  <c r="S2676" i="1" s="1"/>
  <c r="Q2676" i="1"/>
  <c r="O2676" i="1"/>
  <c r="C2676" i="1"/>
  <c r="B2676" i="1"/>
  <c r="T2675" i="1"/>
  <c r="O2675" i="1"/>
  <c r="C2675" i="1"/>
  <c r="B2675" i="1"/>
  <c r="T2674" i="1"/>
  <c r="S2674" i="1"/>
  <c r="R2674" i="1"/>
  <c r="Q2674" i="1"/>
  <c r="O2674" i="1"/>
  <c r="C2674" i="1"/>
  <c r="B2674" i="1"/>
  <c r="T2673" i="1"/>
  <c r="R2673" i="1"/>
  <c r="S2673" i="1" s="1"/>
  <c r="Q2673" i="1"/>
  <c r="O2673" i="1"/>
  <c r="C2673" i="1"/>
  <c r="B2673" i="1"/>
  <c r="T2672" i="1"/>
  <c r="Q2672" i="1"/>
  <c r="O2672" i="1"/>
  <c r="C2672" i="1"/>
  <c r="B2672" i="1"/>
  <c r="T2671" i="1"/>
  <c r="O2671" i="1"/>
  <c r="C2671" i="1"/>
  <c r="B2671" i="1"/>
  <c r="T2670" i="1"/>
  <c r="R2670" i="1"/>
  <c r="S2670" i="1" s="1"/>
  <c r="Q2670" i="1"/>
  <c r="O2670" i="1"/>
  <c r="C2670" i="1"/>
  <c r="B2670" i="1"/>
  <c r="T2669" i="1"/>
  <c r="Q2669" i="1"/>
  <c r="R2669" i="1" s="1"/>
  <c r="S2669" i="1" s="1"/>
  <c r="O2669" i="1"/>
  <c r="C2669" i="1"/>
  <c r="B2669" i="1"/>
  <c r="T2668" i="1"/>
  <c r="Q2668" i="1"/>
  <c r="O2668" i="1"/>
  <c r="C2668" i="1"/>
  <c r="B2668" i="1"/>
  <c r="T2667" i="1"/>
  <c r="S2667" i="1"/>
  <c r="R2667" i="1"/>
  <c r="Q2667" i="1"/>
  <c r="O2667" i="1"/>
  <c r="C2667" i="1"/>
  <c r="B2667" i="1"/>
  <c r="T2666" i="1"/>
  <c r="O2666" i="1"/>
  <c r="C2666" i="1"/>
  <c r="B2666" i="1"/>
  <c r="T2665" i="1"/>
  <c r="O2665" i="1"/>
  <c r="C2665" i="1"/>
  <c r="B2665" i="1"/>
  <c r="T2664" i="1"/>
  <c r="S2664" i="1"/>
  <c r="R2664" i="1"/>
  <c r="Q2664" i="1"/>
  <c r="O2664" i="1"/>
  <c r="C2664" i="1"/>
  <c r="B2664" i="1"/>
  <c r="T2663" i="1"/>
  <c r="Q2663" i="1"/>
  <c r="O2663" i="1"/>
  <c r="C2663" i="1"/>
  <c r="B2663" i="1"/>
  <c r="T2662" i="1"/>
  <c r="Q2662" i="1"/>
  <c r="R2662" i="1" s="1"/>
  <c r="S2662" i="1" s="1"/>
  <c r="O2662" i="1"/>
  <c r="C2662" i="1"/>
  <c r="B2662" i="1"/>
  <c r="T2661" i="1"/>
  <c r="R2661" i="1"/>
  <c r="S2661" i="1" s="1"/>
  <c r="Q2661" i="1"/>
  <c r="O2661" i="1"/>
  <c r="C2661" i="1"/>
  <c r="B2661" i="1"/>
  <c r="T2660" i="1"/>
  <c r="O2660" i="1"/>
  <c r="C2660" i="1"/>
  <c r="B2660" i="1"/>
  <c r="T2659" i="1"/>
  <c r="O2659" i="1"/>
  <c r="C2659" i="1"/>
  <c r="B2659" i="1"/>
  <c r="T2658" i="1"/>
  <c r="S2658" i="1"/>
  <c r="R2658" i="1"/>
  <c r="Q2658" i="1"/>
  <c r="O2658" i="1"/>
  <c r="C2658" i="1"/>
  <c r="B2658" i="1"/>
  <c r="T2657" i="1"/>
  <c r="S2657" i="1"/>
  <c r="R2657" i="1"/>
  <c r="Q2657" i="1"/>
  <c r="O2657" i="1"/>
  <c r="C2657" i="1"/>
  <c r="B2657" i="1"/>
  <c r="T2656" i="1"/>
  <c r="O2656" i="1"/>
  <c r="Q2656" i="1" s="1"/>
  <c r="R2656" i="1" s="1"/>
  <c r="S2656" i="1" s="1"/>
  <c r="C2656" i="1"/>
  <c r="B2656" i="1"/>
  <c r="T2655" i="1"/>
  <c r="S2655" i="1"/>
  <c r="R2655" i="1"/>
  <c r="Q2655" i="1"/>
  <c r="O2655" i="1"/>
  <c r="C2655" i="1"/>
  <c r="B2655" i="1"/>
  <c r="T2654" i="1"/>
  <c r="O2654" i="1"/>
  <c r="C2654" i="1"/>
  <c r="B2654" i="1"/>
  <c r="T2653" i="1"/>
  <c r="Q2653" i="1"/>
  <c r="O2653" i="1"/>
  <c r="C2653" i="1"/>
  <c r="B2653" i="1"/>
  <c r="T2652" i="1"/>
  <c r="O2652" i="1"/>
  <c r="Q2652" i="1" s="1"/>
  <c r="R2652" i="1" s="1"/>
  <c r="S2652" i="1" s="1"/>
  <c r="C2652" i="1"/>
  <c r="B2652" i="1"/>
  <c r="T2651" i="1"/>
  <c r="O2651" i="1"/>
  <c r="Q2651" i="1" s="1"/>
  <c r="C2651" i="1"/>
  <c r="B2651" i="1"/>
  <c r="T2650" i="1"/>
  <c r="R2650" i="1"/>
  <c r="S2650" i="1" s="1"/>
  <c r="Q2650" i="1"/>
  <c r="O2650" i="1"/>
  <c r="C2650" i="1"/>
  <c r="B2650" i="1"/>
  <c r="T2649" i="1"/>
  <c r="O2649" i="1"/>
  <c r="C2649" i="1"/>
  <c r="B2649" i="1"/>
  <c r="T2648" i="1"/>
  <c r="R2648" i="1"/>
  <c r="S2648" i="1" s="1"/>
  <c r="O2648" i="1"/>
  <c r="Q2648" i="1" s="1"/>
  <c r="C2648" i="1"/>
  <c r="B2648" i="1"/>
  <c r="T2647" i="1"/>
  <c r="S2647" i="1"/>
  <c r="O2647" i="1"/>
  <c r="Q2647" i="1" s="1"/>
  <c r="R2647" i="1" s="1"/>
  <c r="C2647" i="1"/>
  <c r="B2647" i="1"/>
  <c r="T2646" i="1"/>
  <c r="R2646" i="1"/>
  <c r="S2646" i="1" s="1"/>
  <c r="Q2646" i="1"/>
  <c r="O2646" i="1"/>
  <c r="C2646" i="1"/>
  <c r="B2646" i="1"/>
  <c r="T2645" i="1"/>
  <c r="O2645" i="1"/>
  <c r="C2645" i="1"/>
  <c r="B2645" i="1"/>
  <c r="T2644" i="1"/>
  <c r="O2644" i="1"/>
  <c r="C2644" i="1"/>
  <c r="B2644" i="1"/>
  <c r="T2643" i="1"/>
  <c r="S2643" i="1"/>
  <c r="R2643" i="1"/>
  <c r="Q2643" i="1"/>
  <c r="O2643" i="1"/>
  <c r="C2643" i="1"/>
  <c r="B2643" i="1"/>
  <c r="T2642" i="1"/>
  <c r="O2642" i="1"/>
  <c r="C2642" i="1"/>
  <c r="B2642" i="1"/>
  <c r="T2641" i="1"/>
  <c r="O2641" i="1"/>
  <c r="C2641" i="1"/>
  <c r="B2641" i="1"/>
  <c r="T2640" i="1"/>
  <c r="S2640" i="1"/>
  <c r="R2640" i="1"/>
  <c r="Q2640" i="1"/>
  <c r="O2640" i="1"/>
  <c r="C2640" i="1"/>
  <c r="B2640" i="1"/>
  <c r="T2639" i="1"/>
  <c r="R2639" i="1"/>
  <c r="S2639" i="1" s="1"/>
  <c r="Q2639" i="1"/>
  <c r="O2639" i="1"/>
  <c r="C2639" i="1"/>
  <c r="B2639" i="1"/>
  <c r="T2638" i="1"/>
  <c r="Q2638" i="1"/>
  <c r="R2638" i="1" s="1"/>
  <c r="S2638" i="1" s="1"/>
  <c r="O2638" i="1"/>
  <c r="C2638" i="1"/>
  <c r="B2638" i="1"/>
  <c r="T2637" i="1"/>
  <c r="O2637" i="1"/>
  <c r="C2637" i="1"/>
  <c r="B2637" i="1"/>
  <c r="T2636" i="1"/>
  <c r="O2636" i="1"/>
  <c r="C2636" i="1"/>
  <c r="B2636" i="1"/>
  <c r="T2635" i="1"/>
  <c r="S2635" i="1"/>
  <c r="R2635" i="1"/>
  <c r="Q2635" i="1"/>
  <c r="O2635" i="1"/>
  <c r="C2635" i="1"/>
  <c r="B2635" i="1"/>
  <c r="T2634" i="1"/>
  <c r="Q2634" i="1"/>
  <c r="R2634" i="1" s="1"/>
  <c r="S2634" i="1" s="1"/>
  <c r="O2634" i="1"/>
  <c r="C2634" i="1"/>
  <c r="B2634" i="1"/>
  <c r="T2633" i="1"/>
  <c r="Q2633" i="1"/>
  <c r="R2633" i="1" s="1"/>
  <c r="S2633" i="1" s="1"/>
  <c r="O2633" i="1"/>
  <c r="C2633" i="1"/>
  <c r="B2633" i="1"/>
  <c r="T2632" i="1"/>
  <c r="R2632" i="1"/>
  <c r="S2632" i="1" s="1"/>
  <c r="Q2632" i="1"/>
  <c r="O2632" i="1"/>
  <c r="C2632" i="1"/>
  <c r="B2632" i="1"/>
  <c r="T2631" i="1"/>
  <c r="O2631" i="1"/>
  <c r="C2631" i="1"/>
  <c r="B2631" i="1"/>
  <c r="T2630" i="1"/>
  <c r="R2630" i="1"/>
  <c r="S2630" i="1" s="1"/>
  <c r="Q2630" i="1"/>
  <c r="O2630" i="1"/>
  <c r="C2630" i="1"/>
  <c r="B2630" i="1"/>
  <c r="T2629" i="1"/>
  <c r="Q2629" i="1"/>
  <c r="O2629" i="1"/>
  <c r="C2629" i="1"/>
  <c r="B2629" i="1"/>
  <c r="T2628" i="1"/>
  <c r="R2628" i="1"/>
  <c r="S2628" i="1" s="1"/>
  <c r="Q2628" i="1"/>
  <c r="O2628" i="1"/>
  <c r="C2628" i="1"/>
  <c r="B2628" i="1"/>
  <c r="T2627" i="1"/>
  <c r="O2627" i="1"/>
  <c r="Q2627" i="1" s="1"/>
  <c r="C2627" i="1"/>
  <c r="B2627" i="1"/>
  <c r="T2626" i="1"/>
  <c r="S2626" i="1"/>
  <c r="R2626" i="1"/>
  <c r="Q2626" i="1"/>
  <c r="O2626" i="1"/>
  <c r="C2626" i="1"/>
  <c r="B2626" i="1"/>
  <c r="T2625" i="1"/>
  <c r="O2625" i="1"/>
  <c r="C2625" i="1"/>
  <c r="B2625" i="1"/>
  <c r="T2624" i="1"/>
  <c r="S2624" i="1"/>
  <c r="R2624" i="1"/>
  <c r="Q2624" i="1"/>
  <c r="O2624" i="1"/>
  <c r="C2624" i="1"/>
  <c r="B2624" i="1"/>
  <c r="T2623" i="1"/>
  <c r="Q2623" i="1"/>
  <c r="R2623" i="1" s="1"/>
  <c r="S2623" i="1" s="1"/>
  <c r="O2623" i="1"/>
  <c r="C2623" i="1"/>
  <c r="B2623" i="1"/>
  <c r="T2622" i="1"/>
  <c r="O2622" i="1"/>
  <c r="Q2622" i="1" s="1"/>
  <c r="R2622" i="1" s="1"/>
  <c r="S2622" i="1" s="1"/>
  <c r="C2622" i="1"/>
  <c r="B2622" i="1"/>
  <c r="T2621" i="1"/>
  <c r="O2621" i="1"/>
  <c r="Q2621" i="1" s="1"/>
  <c r="R2621" i="1" s="1"/>
  <c r="S2621" i="1" s="1"/>
  <c r="C2621" i="1"/>
  <c r="B2621" i="1"/>
  <c r="T2620" i="1"/>
  <c r="Q2620" i="1"/>
  <c r="O2620" i="1"/>
  <c r="C2620" i="1"/>
  <c r="B2620" i="1"/>
  <c r="T2619" i="1"/>
  <c r="S2619" i="1"/>
  <c r="R2619" i="1"/>
  <c r="Q2619" i="1"/>
  <c r="O2619" i="1"/>
  <c r="C2619" i="1"/>
  <c r="B2619" i="1"/>
  <c r="T2618" i="1"/>
  <c r="O2618" i="1"/>
  <c r="Q2618" i="1" s="1"/>
  <c r="R2618" i="1" s="1"/>
  <c r="S2618" i="1" s="1"/>
  <c r="C2618" i="1"/>
  <c r="B2618" i="1"/>
  <c r="T2617" i="1"/>
  <c r="S2617" i="1"/>
  <c r="R2617" i="1"/>
  <c r="Q2617" i="1"/>
  <c r="O2617" i="1"/>
  <c r="C2617" i="1"/>
  <c r="B2617" i="1"/>
  <c r="T2616" i="1"/>
  <c r="O2616" i="1"/>
  <c r="Q2616" i="1" s="1"/>
  <c r="R2616" i="1" s="1"/>
  <c r="S2616" i="1" s="1"/>
  <c r="C2616" i="1"/>
  <c r="B2616" i="1"/>
  <c r="T2615" i="1"/>
  <c r="O2615" i="1"/>
  <c r="C2615" i="1"/>
  <c r="B2615" i="1"/>
  <c r="T2614" i="1"/>
  <c r="O2614" i="1"/>
  <c r="C2614" i="1"/>
  <c r="B2614" i="1"/>
  <c r="T2613" i="1"/>
  <c r="O2613" i="1"/>
  <c r="C2613" i="1"/>
  <c r="B2613" i="1"/>
  <c r="T2612" i="1"/>
  <c r="O2612" i="1"/>
  <c r="C2612" i="1"/>
  <c r="B2612" i="1"/>
  <c r="T2611" i="1"/>
  <c r="S2611" i="1"/>
  <c r="R2611" i="1"/>
  <c r="Q2611" i="1"/>
  <c r="O2611" i="1"/>
  <c r="C2611" i="1"/>
  <c r="B2611" i="1"/>
  <c r="T2610" i="1"/>
  <c r="Q2610" i="1"/>
  <c r="R2610" i="1" s="1"/>
  <c r="S2610" i="1" s="1"/>
  <c r="O2610" i="1"/>
  <c r="C2610" i="1"/>
  <c r="B2610" i="1"/>
  <c r="T2609" i="1"/>
  <c r="Q2609" i="1"/>
  <c r="R2609" i="1" s="1"/>
  <c r="S2609" i="1" s="1"/>
  <c r="O2609" i="1"/>
  <c r="C2609" i="1"/>
  <c r="B2609" i="1"/>
  <c r="T2608" i="1"/>
  <c r="O2608" i="1"/>
  <c r="C2608" i="1"/>
  <c r="B2608" i="1"/>
  <c r="T2607" i="1"/>
  <c r="O2607" i="1"/>
  <c r="C2607" i="1"/>
  <c r="B2607" i="1"/>
  <c r="T2606" i="1"/>
  <c r="S2606" i="1"/>
  <c r="R2606" i="1"/>
  <c r="Q2606" i="1"/>
  <c r="O2606" i="1"/>
  <c r="C2606" i="1"/>
  <c r="B2606" i="1"/>
  <c r="T2605" i="1"/>
  <c r="O2605" i="1"/>
  <c r="C2605" i="1"/>
  <c r="B2605" i="1"/>
  <c r="T2604" i="1"/>
  <c r="R2604" i="1"/>
  <c r="S2604" i="1" s="1"/>
  <c r="Q2604" i="1"/>
  <c r="O2604" i="1"/>
  <c r="C2604" i="1"/>
  <c r="B2604" i="1"/>
  <c r="T2603" i="1"/>
  <c r="R2603" i="1"/>
  <c r="S2603" i="1" s="1"/>
  <c r="O2603" i="1"/>
  <c r="Q2603" i="1" s="1"/>
  <c r="C2603" i="1"/>
  <c r="B2603" i="1"/>
  <c r="T2602" i="1"/>
  <c r="S2602" i="1"/>
  <c r="R2602" i="1"/>
  <c r="Q2602" i="1"/>
  <c r="O2602" i="1"/>
  <c r="C2602" i="1"/>
  <c r="B2602" i="1"/>
  <c r="T2601" i="1"/>
  <c r="Q2601" i="1"/>
  <c r="R2601" i="1" s="1"/>
  <c r="S2601" i="1" s="1"/>
  <c r="O2601" i="1"/>
  <c r="C2601" i="1"/>
  <c r="B2601" i="1"/>
  <c r="T2600" i="1"/>
  <c r="R2600" i="1"/>
  <c r="S2600" i="1" s="1"/>
  <c r="Q2600" i="1"/>
  <c r="O2600" i="1"/>
  <c r="C2600" i="1"/>
  <c r="B2600" i="1"/>
  <c r="T2599" i="1"/>
  <c r="S2599" i="1"/>
  <c r="R2599" i="1"/>
  <c r="Q2599" i="1"/>
  <c r="O2599" i="1"/>
  <c r="C2599" i="1"/>
  <c r="B2599" i="1"/>
  <c r="T2598" i="1"/>
  <c r="Q2598" i="1"/>
  <c r="R2598" i="1" s="1"/>
  <c r="S2598" i="1" s="1"/>
  <c r="O2598" i="1"/>
  <c r="C2598" i="1"/>
  <c r="B2598" i="1"/>
  <c r="T2597" i="1"/>
  <c r="O2597" i="1"/>
  <c r="C2597" i="1"/>
  <c r="B2597" i="1"/>
  <c r="T2596" i="1"/>
  <c r="O2596" i="1"/>
  <c r="C2596" i="1"/>
  <c r="B2596" i="1"/>
  <c r="T2595" i="1"/>
  <c r="S2595" i="1"/>
  <c r="R2595" i="1"/>
  <c r="Q2595" i="1"/>
  <c r="O2595" i="1"/>
  <c r="C2595" i="1"/>
  <c r="B2595" i="1"/>
  <c r="T2594" i="1"/>
  <c r="R2594" i="1"/>
  <c r="S2594" i="1" s="1"/>
  <c r="O2594" i="1"/>
  <c r="Q2594" i="1" s="1"/>
  <c r="C2594" i="1"/>
  <c r="B2594" i="1"/>
  <c r="T2593" i="1"/>
  <c r="Q2593" i="1"/>
  <c r="R2593" i="1" s="1"/>
  <c r="S2593" i="1" s="1"/>
  <c r="O2593" i="1"/>
  <c r="C2593" i="1"/>
  <c r="B2593" i="1"/>
  <c r="T2592" i="1"/>
  <c r="O2592" i="1"/>
  <c r="Q2592" i="1" s="1"/>
  <c r="R2592" i="1" s="1"/>
  <c r="S2592" i="1" s="1"/>
  <c r="C2592" i="1"/>
  <c r="B2592" i="1"/>
  <c r="T2591" i="1"/>
  <c r="R2591" i="1"/>
  <c r="S2591" i="1" s="1"/>
  <c r="Q2591" i="1"/>
  <c r="O2591" i="1"/>
  <c r="C2591" i="1"/>
  <c r="B2591" i="1"/>
  <c r="T2590" i="1"/>
  <c r="Q2590" i="1"/>
  <c r="R2590" i="1" s="1"/>
  <c r="S2590" i="1" s="1"/>
  <c r="O2590" i="1"/>
  <c r="C2590" i="1"/>
  <c r="B2590" i="1"/>
  <c r="T2589" i="1"/>
  <c r="O2589" i="1"/>
  <c r="C2589" i="1"/>
  <c r="B2589" i="1"/>
  <c r="T2588" i="1"/>
  <c r="O2588" i="1"/>
  <c r="C2588" i="1"/>
  <c r="B2588" i="1"/>
  <c r="T2587" i="1"/>
  <c r="O2587" i="1"/>
  <c r="C2587" i="1"/>
  <c r="B2587" i="1"/>
  <c r="T2586" i="1"/>
  <c r="Q2586" i="1"/>
  <c r="R2586" i="1" s="1"/>
  <c r="S2586" i="1" s="1"/>
  <c r="O2586" i="1"/>
  <c r="C2586" i="1"/>
  <c r="B2586" i="1"/>
  <c r="T2585" i="1"/>
  <c r="Q2585" i="1"/>
  <c r="R2585" i="1" s="1"/>
  <c r="S2585" i="1" s="1"/>
  <c r="O2585" i="1"/>
  <c r="C2585" i="1"/>
  <c r="B2585" i="1"/>
  <c r="T2584" i="1"/>
  <c r="O2584" i="1"/>
  <c r="C2584" i="1"/>
  <c r="B2584" i="1"/>
  <c r="T2583" i="1"/>
  <c r="O2583" i="1"/>
  <c r="C2583" i="1"/>
  <c r="B2583" i="1"/>
  <c r="T2582" i="1"/>
  <c r="S2582" i="1"/>
  <c r="R2582" i="1"/>
  <c r="Q2582" i="1"/>
  <c r="O2582" i="1"/>
  <c r="C2582" i="1"/>
  <c r="B2582" i="1"/>
  <c r="T2581" i="1"/>
  <c r="O2581" i="1"/>
  <c r="C2581" i="1"/>
  <c r="B2581" i="1"/>
  <c r="T2580" i="1"/>
  <c r="R2580" i="1"/>
  <c r="S2580" i="1" s="1"/>
  <c r="Q2580" i="1"/>
  <c r="O2580" i="1"/>
  <c r="C2580" i="1"/>
  <c r="B2580" i="1"/>
  <c r="T2579" i="1"/>
  <c r="O2579" i="1"/>
  <c r="C2579" i="1"/>
  <c r="B2579" i="1"/>
  <c r="T2578" i="1"/>
  <c r="S2578" i="1"/>
  <c r="R2578" i="1"/>
  <c r="Q2578" i="1"/>
  <c r="O2578" i="1"/>
  <c r="C2578" i="1"/>
  <c r="B2578" i="1"/>
  <c r="T2577" i="1"/>
  <c r="S2577" i="1"/>
  <c r="R2577" i="1"/>
  <c r="Q2577" i="1"/>
  <c r="O2577" i="1"/>
  <c r="C2577" i="1"/>
  <c r="B2577" i="1"/>
  <c r="T2576" i="1"/>
  <c r="S2576" i="1"/>
  <c r="R2576" i="1"/>
  <c r="Q2576" i="1"/>
  <c r="O2576" i="1"/>
  <c r="C2576" i="1"/>
  <c r="B2576" i="1"/>
  <c r="T2575" i="1"/>
  <c r="O2575" i="1"/>
  <c r="C2575" i="1"/>
  <c r="B2575" i="1"/>
  <c r="T2574" i="1"/>
  <c r="O2574" i="1"/>
  <c r="C2574" i="1"/>
  <c r="B2574" i="1"/>
  <c r="T2573" i="1"/>
  <c r="O2573" i="1"/>
  <c r="C2573" i="1"/>
  <c r="B2573" i="1"/>
  <c r="T2572" i="1"/>
  <c r="Q2572" i="1"/>
  <c r="O2572" i="1"/>
  <c r="C2572" i="1"/>
  <c r="B2572" i="1"/>
  <c r="T2571" i="1"/>
  <c r="S2571" i="1"/>
  <c r="R2571" i="1"/>
  <c r="Q2571" i="1"/>
  <c r="O2571" i="1"/>
  <c r="C2571" i="1"/>
  <c r="B2571" i="1"/>
  <c r="T2570" i="1"/>
  <c r="Q2570" i="1"/>
  <c r="R2570" i="1" s="1"/>
  <c r="S2570" i="1" s="1"/>
  <c r="O2570" i="1"/>
  <c r="C2570" i="1"/>
  <c r="B2570" i="1"/>
  <c r="T2569" i="1"/>
  <c r="R2569" i="1"/>
  <c r="S2569" i="1" s="1"/>
  <c r="Q2569" i="1"/>
  <c r="O2569" i="1"/>
  <c r="C2569" i="1"/>
  <c r="B2569" i="1"/>
  <c r="T2568" i="1"/>
  <c r="Q2568" i="1"/>
  <c r="O2568" i="1"/>
  <c r="C2568" i="1"/>
  <c r="B2568" i="1"/>
  <c r="T2567" i="1"/>
  <c r="O2567" i="1"/>
  <c r="C2567" i="1"/>
  <c r="B2567" i="1"/>
  <c r="T2566" i="1"/>
  <c r="O2566" i="1"/>
  <c r="C2566" i="1"/>
  <c r="B2566" i="1"/>
  <c r="T2565" i="1"/>
  <c r="O2565" i="1"/>
  <c r="C2565" i="1"/>
  <c r="B2565" i="1"/>
  <c r="T2564" i="1"/>
  <c r="O2564" i="1"/>
  <c r="C2564" i="1"/>
  <c r="B2564" i="1"/>
  <c r="T2563" i="1"/>
  <c r="O2563" i="1"/>
  <c r="Q2563" i="1" s="1"/>
  <c r="C2563" i="1"/>
  <c r="B2563" i="1"/>
  <c r="T2562" i="1"/>
  <c r="Q2562" i="1"/>
  <c r="R2562" i="1" s="1"/>
  <c r="S2562" i="1" s="1"/>
  <c r="O2562" i="1"/>
  <c r="C2562" i="1"/>
  <c r="B2562" i="1"/>
  <c r="T2561" i="1"/>
  <c r="S2561" i="1"/>
  <c r="R2561" i="1"/>
  <c r="Q2561" i="1"/>
  <c r="O2561" i="1"/>
  <c r="C2561" i="1"/>
  <c r="B2561" i="1"/>
  <c r="T2560" i="1"/>
  <c r="S2560" i="1"/>
  <c r="O2560" i="1"/>
  <c r="Q2560" i="1" s="1"/>
  <c r="R2560" i="1" s="1"/>
  <c r="C2560" i="1"/>
  <c r="B2560" i="1"/>
  <c r="T2559" i="1"/>
  <c r="R2559" i="1"/>
  <c r="S2559" i="1" s="1"/>
  <c r="Q2559" i="1"/>
  <c r="O2559" i="1"/>
  <c r="C2559" i="1"/>
  <c r="B2559" i="1"/>
  <c r="T2558" i="1"/>
  <c r="O2558" i="1"/>
  <c r="C2558" i="1"/>
  <c r="B2558" i="1"/>
  <c r="T2557" i="1"/>
  <c r="Q2557" i="1"/>
  <c r="O2557" i="1"/>
  <c r="C2557" i="1"/>
  <c r="B2557" i="1"/>
  <c r="T2556" i="1"/>
  <c r="Q2556" i="1"/>
  <c r="O2556" i="1"/>
  <c r="C2556" i="1"/>
  <c r="B2556" i="1"/>
  <c r="T2555" i="1"/>
  <c r="S2555" i="1"/>
  <c r="R2555" i="1"/>
  <c r="O2555" i="1"/>
  <c r="Q2555" i="1" s="1"/>
  <c r="C2555" i="1"/>
  <c r="B2555" i="1"/>
  <c r="T2554" i="1"/>
  <c r="S2554" i="1"/>
  <c r="R2554" i="1"/>
  <c r="Q2554" i="1"/>
  <c r="O2554" i="1"/>
  <c r="C2554" i="1"/>
  <c r="B2554" i="1"/>
  <c r="T2553" i="1"/>
  <c r="S2553" i="1"/>
  <c r="R2553" i="1"/>
  <c r="Q2553" i="1"/>
  <c r="O2553" i="1"/>
  <c r="C2553" i="1"/>
  <c r="B2553" i="1"/>
  <c r="T2552" i="1"/>
  <c r="O2552" i="1"/>
  <c r="C2552" i="1"/>
  <c r="B2552" i="1"/>
  <c r="T2551" i="1"/>
  <c r="O2551" i="1"/>
  <c r="C2551" i="1"/>
  <c r="B2551" i="1"/>
  <c r="T2550" i="1"/>
  <c r="O2550" i="1"/>
  <c r="C2550" i="1"/>
  <c r="B2550" i="1"/>
  <c r="T2549" i="1"/>
  <c r="O2549" i="1"/>
  <c r="C2549" i="1"/>
  <c r="B2549" i="1"/>
  <c r="T2548" i="1"/>
  <c r="Q2548" i="1"/>
  <c r="O2548" i="1"/>
  <c r="C2548" i="1"/>
  <c r="B2548" i="1"/>
  <c r="T2547" i="1"/>
  <c r="S2547" i="1"/>
  <c r="R2547" i="1"/>
  <c r="Q2547" i="1"/>
  <c r="O2547" i="1"/>
  <c r="C2547" i="1"/>
  <c r="B2547" i="1"/>
  <c r="T2546" i="1"/>
  <c r="Q2546" i="1"/>
  <c r="O2546" i="1"/>
  <c r="R2546" i="1" s="1"/>
  <c r="S2546" i="1" s="1"/>
  <c r="C2546" i="1"/>
  <c r="B2546" i="1"/>
  <c r="T2545" i="1"/>
  <c r="Q2545" i="1"/>
  <c r="O2545" i="1"/>
  <c r="R2545" i="1" s="1"/>
  <c r="S2545" i="1" s="1"/>
  <c r="C2545" i="1"/>
  <c r="B2545" i="1"/>
  <c r="T2544" i="1"/>
  <c r="O2544" i="1"/>
  <c r="C2544" i="1"/>
  <c r="B2544" i="1"/>
  <c r="T2543" i="1"/>
  <c r="O2543" i="1"/>
  <c r="C2543" i="1"/>
  <c r="B2543" i="1"/>
  <c r="T2542" i="1"/>
  <c r="O2542" i="1"/>
  <c r="C2542" i="1"/>
  <c r="B2542" i="1"/>
  <c r="T2541" i="1"/>
  <c r="R2541" i="1"/>
  <c r="S2541" i="1" s="1"/>
  <c r="Q2541" i="1"/>
  <c r="O2541" i="1"/>
  <c r="C2541" i="1"/>
  <c r="B2541" i="1"/>
  <c r="T2540" i="1"/>
  <c r="O2540" i="1"/>
  <c r="C2540" i="1"/>
  <c r="B2540" i="1"/>
  <c r="T2539" i="1"/>
  <c r="O2539" i="1"/>
  <c r="Q2539" i="1" s="1"/>
  <c r="R2539" i="1" s="1"/>
  <c r="S2539" i="1" s="1"/>
  <c r="C2539" i="1"/>
  <c r="B2539" i="1"/>
  <c r="T2538" i="1"/>
  <c r="Q2538" i="1"/>
  <c r="R2538" i="1" s="1"/>
  <c r="S2538" i="1" s="1"/>
  <c r="O2538" i="1"/>
  <c r="C2538" i="1"/>
  <c r="B2538" i="1"/>
  <c r="T2537" i="1"/>
  <c r="S2537" i="1"/>
  <c r="R2537" i="1"/>
  <c r="Q2537" i="1"/>
  <c r="O2537" i="1"/>
  <c r="C2537" i="1"/>
  <c r="B2537" i="1"/>
  <c r="T2536" i="1"/>
  <c r="Q2536" i="1"/>
  <c r="O2536" i="1"/>
  <c r="C2536" i="1"/>
  <c r="B2536" i="1"/>
  <c r="T2535" i="1"/>
  <c r="Q2535" i="1"/>
  <c r="R2535" i="1" s="1"/>
  <c r="S2535" i="1" s="1"/>
  <c r="O2535" i="1"/>
  <c r="C2535" i="1"/>
  <c r="B2535" i="1"/>
  <c r="T2534" i="1"/>
  <c r="O2534" i="1"/>
  <c r="C2534" i="1"/>
  <c r="B2534" i="1"/>
  <c r="T2533" i="1"/>
  <c r="O2533" i="1"/>
  <c r="C2533" i="1"/>
  <c r="B2533" i="1"/>
  <c r="T2532" i="1"/>
  <c r="S2532" i="1"/>
  <c r="R2532" i="1"/>
  <c r="Q2532" i="1"/>
  <c r="O2532" i="1"/>
  <c r="C2532" i="1"/>
  <c r="B2532" i="1"/>
  <c r="T2531" i="1"/>
  <c r="S2531" i="1"/>
  <c r="R2531" i="1"/>
  <c r="O2531" i="1"/>
  <c r="Q2531" i="1" s="1"/>
  <c r="C2531" i="1"/>
  <c r="B2531" i="1"/>
  <c r="T2530" i="1"/>
  <c r="R2530" i="1"/>
  <c r="S2530" i="1" s="1"/>
  <c r="Q2530" i="1"/>
  <c r="O2530" i="1"/>
  <c r="C2530" i="1"/>
  <c r="B2530" i="1"/>
  <c r="T2529" i="1"/>
  <c r="O2529" i="1"/>
  <c r="Q2529" i="1" s="1"/>
  <c r="R2529" i="1" s="1"/>
  <c r="S2529" i="1" s="1"/>
  <c r="C2529" i="1"/>
  <c r="B2529" i="1"/>
  <c r="T2528" i="1"/>
  <c r="S2528" i="1"/>
  <c r="R2528" i="1"/>
  <c r="O2528" i="1"/>
  <c r="Q2528" i="1" s="1"/>
  <c r="C2528" i="1"/>
  <c r="B2528" i="1"/>
  <c r="T2527" i="1"/>
  <c r="Q2527" i="1"/>
  <c r="O2527" i="1"/>
  <c r="R2527" i="1" s="1"/>
  <c r="S2527" i="1" s="1"/>
  <c r="C2527" i="1"/>
  <c r="B2527" i="1"/>
  <c r="T2526" i="1"/>
  <c r="O2526" i="1"/>
  <c r="C2526" i="1"/>
  <c r="B2526" i="1"/>
  <c r="T2525" i="1"/>
  <c r="S2525" i="1"/>
  <c r="O2525" i="1"/>
  <c r="Q2525" i="1" s="1"/>
  <c r="R2525" i="1" s="1"/>
  <c r="C2525" i="1"/>
  <c r="B2525" i="1"/>
  <c r="T2524" i="1"/>
  <c r="Q2524" i="1"/>
  <c r="O2524" i="1"/>
  <c r="C2524" i="1"/>
  <c r="B2524" i="1"/>
  <c r="T2523" i="1"/>
  <c r="S2523" i="1"/>
  <c r="R2523" i="1"/>
  <c r="Q2523" i="1"/>
  <c r="O2523" i="1"/>
  <c r="C2523" i="1"/>
  <c r="B2523" i="1"/>
  <c r="T2522" i="1"/>
  <c r="O2522" i="1"/>
  <c r="C2522" i="1"/>
  <c r="B2522" i="1"/>
  <c r="T2521" i="1"/>
  <c r="O2521" i="1"/>
  <c r="Q2521" i="1" s="1"/>
  <c r="R2521" i="1" s="1"/>
  <c r="S2521" i="1" s="1"/>
  <c r="C2521" i="1"/>
  <c r="B2521" i="1"/>
  <c r="T2520" i="1"/>
  <c r="O2520" i="1"/>
  <c r="C2520" i="1"/>
  <c r="B2520" i="1"/>
  <c r="T2519" i="1"/>
  <c r="O2519" i="1"/>
  <c r="C2519" i="1"/>
  <c r="B2519" i="1"/>
  <c r="T2518" i="1"/>
  <c r="R2518" i="1"/>
  <c r="S2518" i="1" s="1"/>
  <c r="Q2518" i="1"/>
  <c r="O2518" i="1"/>
  <c r="C2518" i="1"/>
  <c r="B2518" i="1"/>
  <c r="T2517" i="1"/>
  <c r="Q2517" i="1"/>
  <c r="R2517" i="1" s="1"/>
  <c r="S2517" i="1" s="1"/>
  <c r="O2517" i="1"/>
  <c r="C2517" i="1"/>
  <c r="B2517" i="1"/>
  <c r="T2516" i="1"/>
  <c r="O2516" i="1"/>
  <c r="C2516" i="1"/>
  <c r="B2516" i="1"/>
  <c r="T2515" i="1"/>
  <c r="O2515" i="1"/>
  <c r="C2515" i="1"/>
  <c r="B2515" i="1"/>
  <c r="T2514" i="1"/>
  <c r="Q2514" i="1"/>
  <c r="R2514" i="1" s="1"/>
  <c r="S2514" i="1" s="1"/>
  <c r="O2514" i="1"/>
  <c r="C2514" i="1"/>
  <c r="B2514" i="1"/>
  <c r="T2513" i="1"/>
  <c r="S2513" i="1"/>
  <c r="R2513" i="1"/>
  <c r="Q2513" i="1"/>
  <c r="O2513" i="1"/>
  <c r="C2513" i="1"/>
  <c r="B2513" i="1"/>
  <c r="T2512" i="1"/>
  <c r="Q2512" i="1"/>
  <c r="R2512" i="1" s="1"/>
  <c r="S2512" i="1" s="1"/>
  <c r="O2512" i="1"/>
  <c r="C2512" i="1"/>
  <c r="B2512" i="1"/>
  <c r="T2511" i="1"/>
  <c r="R2511" i="1"/>
  <c r="S2511" i="1" s="1"/>
  <c r="Q2511" i="1"/>
  <c r="O2511" i="1"/>
  <c r="C2511" i="1"/>
  <c r="B2511" i="1"/>
  <c r="T2510" i="1"/>
  <c r="R2510" i="1"/>
  <c r="S2510" i="1" s="1"/>
  <c r="Q2510" i="1"/>
  <c r="O2510" i="1"/>
  <c r="C2510" i="1"/>
  <c r="B2510" i="1"/>
  <c r="T2509" i="1"/>
  <c r="O2509" i="1"/>
  <c r="C2509" i="1"/>
  <c r="B2509" i="1"/>
  <c r="T2508" i="1"/>
  <c r="S2508" i="1"/>
  <c r="R2508" i="1"/>
  <c r="Q2508" i="1"/>
  <c r="O2508" i="1"/>
  <c r="C2508" i="1"/>
  <c r="B2508" i="1"/>
  <c r="T2507" i="1"/>
  <c r="S2507" i="1"/>
  <c r="R2507" i="1"/>
  <c r="O2507" i="1"/>
  <c r="Q2507" i="1" s="1"/>
  <c r="C2507" i="1"/>
  <c r="B2507" i="1"/>
  <c r="T2506" i="1"/>
  <c r="R2506" i="1"/>
  <c r="S2506" i="1" s="1"/>
  <c r="Q2506" i="1"/>
  <c r="O2506" i="1"/>
  <c r="C2506" i="1"/>
  <c r="B2506" i="1"/>
  <c r="T2505" i="1"/>
  <c r="Q2505" i="1"/>
  <c r="R2505" i="1" s="1"/>
  <c r="S2505" i="1" s="1"/>
  <c r="O2505" i="1"/>
  <c r="C2505" i="1"/>
  <c r="B2505" i="1"/>
  <c r="T2504" i="1"/>
  <c r="Q2504" i="1"/>
  <c r="O2504" i="1"/>
  <c r="C2504" i="1"/>
  <c r="B2504" i="1"/>
  <c r="T2503" i="1"/>
  <c r="O2503" i="1"/>
  <c r="C2503" i="1"/>
  <c r="B2503" i="1"/>
  <c r="T2502" i="1"/>
  <c r="O2502" i="1"/>
  <c r="Q2502" i="1" s="1"/>
  <c r="R2502" i="1" s="1"/>
  <c r="S2502" i="1" s="1"/>
  <c r="C2502" i="1"/>
  <c r="B2502" i="1"/>
  <c r="T2501" i="1"/>
  <c r="R2501" i="1"/>
  <c r="S2501" i="1" s="1"/>
  <c r="Q2501" i="1"/>
  <c r="O2501" i="1"/>
  <c r="C2501" i="1"/>
  <c r="B2501" i="1"/>
  <c r="T2500" i="1"/>
  <c r="Q2500" i="1"/>
  <c r="O2500" i="1"/>
  <c r="C2500" i="1"/>
  <c r="B2500" i="1"/>
  <c r="T2499" i="1"/>
  <c r="S2499" i="1"/>
  <c r="R2499" i="1"/>
  <c r="Q2499" i="1"/>
  <c r="O2499" i="1"/>
  <c r="C2499" i="1"/>
  <c r="B2499" i="1"/>
  <c r="T2498" i="1"/>
  <c r="R2498" i="1"/>
  <c r="S2498" i="1" s="1"/>
  <c r="Q2498" i="1"/>
  <c r="O2498" i="1"/>
  <c r="C2498" i="1"/>
  <c r="B2498" i="1"/>
  <c r="T2497" i="1"/>
  <c r="O2497" i="1"/>
  <c r="C2497" i="1"/>
  <c r="B2497" i="1"/>
  <c r="T2496" i="1"/>
  <c r="O2496" i="1"/>
  <c r="C2496" i="1"/>
  <c r="B2496" i="1"/>
  <c r="T2495" i="1"/>
  <c r="S2495" i="1"/>
  <c r="O2495" i="1"/>
  <c r="Q2495" i="1" s="1"/>
  <c r="R2495" i="1" s="1"/>
  <c r="C2495" i="1"/>
  <c r="B2495" i="1"/>
  <c r="T2494" i="1"/>
  <c r="R2494" i="1"/>
  <c r="S2494" i="1" s="1"/>
  <c r="Q2494" i="1"/>
  <c r="O2494" i="1"/>
  <c r="C2494" i="1"/>
  <c r="B2494" i="1"/>
  <c r="T2493" i="1"/>
  <c r="O2493" i="1"/>
  <c r="C2493" i="1"/>
  <c r="B2493" i="1"/>
  <c r="T2492" i="1"/>
  <c r="O2492" i="1"/>
  <c r="Q2492" i="1" s="1"/>
  <c r="C2492" i="1"/>
  <c r="B2492" i="1"/>
  <c r="T2491" i="1"/>
  <c r="O2491" i="1"/>
  <c r="C2491" i="1"/>
  <c r="B2491" i="1"/>
  <c r="T2490" i="1"/>
  <c r="S2490" i="1"/>
  <c r="R2490" i="1"/>
  <c r="Q2490" i="1"/>
  <c r="O2490" i="1"/>
  <c r="C2490" i="1"/>
  <c r="B2490" i="1"/>
  <c r="T2489" i="1"/>
  <c r="Q2489" i="1"/>
  <c r="O2489" i="1"/>
  <c r="C2489" i="1"/>
  <c r="B2489" i="1"/>
  <c r="T2488" i="1"/>
  <c r="R2488" i="1"/>
  <c r="S2488" i="1" s="1"/>
  <c r="Q2488" i="1"/>
  <c r="O2488" i="1"/>
  <c r="C2488" i="1"/>
  <c r="B2488" i="1"/>
  <c r="T2487" i="1"/>
  <c r="S2487" i="1"/>
  <c r="R2487" i="1"/>
  <c r="Q2487" i="1"/>
  <c r="O2487" i="1"/>
  <c r="C2487" i="1"/>
  <c r="B2487" i="1"/>
  <c r="T2486" i="1"/>
  <c r="O2486" i="1"/>
  <c r="C2486" i="1"/>
  <c r="B2486" i="1"/>
  <c r="T2485" i="1"/>
  <c r="Q2485" i="1"/>
  <c r="O2485" i="1"/>
  <c r="C2485" i="1"/>
  <c r="B2485" i="1"/>
  <c r="T2484" i="1"/>
  <c r="Q2484" i="1"/>
  <c r="O2484" i="1"/>
  <c r="C2484" i="1"/>
  <c r="B2484" i="1"/>
  <c r="T2483" i="1"/>
  <c r="O2483" i="1"/>
  <c r="C2483" i="1"/>
  <c r="B2483" i="1"/>
  <c r="T2482" i="1"/>
  <c r="O2482" i="1"/>
  <c r="C2482" i="1"/>
  <c r="B2482" i="1"/>
  <c r="T2481" i="1"/>
  <c r="S2481" i="1"/>
  <c r="R2481" i="1"/>
  <c r="Q2481" i="1"/>
  <c r="O2481" i="1"/>
  <c r="C2481" i="1"/>
  <c r="B2481" i="1"/>
  <c r="T2480" i="1"/>
  <c r="Q2480" i="1"/>
  <c r="R2480" i="1" s="1"/>
  <c r="S2480" i="1" s="1"/>
  <c r="O2480" i="1"/>
  <c r="C2480" i="1"/>
  <c r="B2480" i="1"/>
  <c r="T2479" i="1"/>
  <c r="S2479" i="1"/>
  <c r="R2479" i="1"/>
  <c r="Q2479" i="1"/>
  <c r="O2479" i="1"/>
  <c r="C2479" i="1"/>
  <c r="B2479" i="1"/>
  <c r="T2478" i="1"/>
  <c r="S2478" i="1"/>
  <c r="R2478" i="1"/>
  <c r="Q2478" i="1"/>
  <c r="O2478" i="1"/>
  <c r="C2478" i="1"/>
  <c r="B2478" i="1"/>
  <c r="T2477" i="1"/>
  <c r="Q2477" i="1"/>
  <c r="R2477" i="1" s="1"/>
  <c r="S2477" i="1" s="1"/>
  <c r="O2477" i="1"/>
  <c r="C2477" i="1"/>
  <c r="B2477" i="1"/>
  <c r="T2476" i="1"/>
  <c r="O2476" i="1"/>
  <c r="C2476" i="1"/>
  <c r="B2476" i="1"/>
  <c r="T2475" i="1"/>
  <c r="S2475" i="1"/>
  <c r="O2475" i="1"/>
  <c r="Q2475" i="1" s="1"/>
  <c r="R2475" i="1" s="1"/>
  <c r="C2475" i="1"/>
  <c r="B2475" i="1"/>
  <c r="T2474" i="1"/>
  <c r="S2474" i="1"/>
  <c r="O2474" i="1"/>
  <c r="Q2474" i="1" s="1"/>
  <c r="R2474" i="1" s="1"/>
  <c r="C2474" i="1"/>
  <c r="B2474" i="1"/>
  <c r="T2473" i="1"/>
  <c r="R2473" i="1"/>
  <c r="S2473" i="1" s="1"/>
  <c r="Q2473" i="1"/>
  <c r="O2473" i="1"/>
  <c r="C2473" i="1"/>
  <c r="B2473" i="1"/>
  <c r="T2472" i="1"/>
  <c r="O2472" i="1"/>
  <c r="C2472" i="1"/>
  <c r="B2472" i="1"/>
  <c r="T2471" i="1"/>
  <c r="O2471" i="1"/>
  <c r="C2471" i="1"/>
  <c r="B2471" i="1"/>
  <c r="T2470" i="1"/>
  <c r="O2470" i="1"/>
  <c r="C2470" i="1"/>
  <c r="B2470" i="1"/>
  <c r="T2469" i="1"/>
  <c r="O2469" i="1"/>
  <c r="C2469" i="1"/>
  <c r="B2469" i="1"/>
  <c r="T2468" i="1"/>
  <c r="R2468" i="1"/>
  <c r="S2468" i="1" s="1"/>
  <c r="Q2468" i="1"/>
  <c r="O2468" i="1"/>
  <c r="C2468" i="1"/>
  <c r="B2468" i="1"/>
  <c r="T2467" i="1"/>
  <c r="O2467" i="1"/>
  <c r="C2467" i="1"/>
  <c r="B2467" i="1"/>
  <c r="T2466" i="1"/>
  <c r="S2466" i="1"/>
  <c r="R2466" i="1"/>
  <c r="Q2466" i="1"/>
  <c r="O2466" i="1"/>
  <c r="C2466" i="1"/>
  <c r="B2466" i="1"/>
  <c r="T2465" i="1"/>
  <c r="O2465" i="1"/>
  <c r="C2465" i="1"/>
  <c r="B2465" i="1"/>
  <c r="T2464" i="1"/>
  <c r="S2464" i="1"/>
  <c r="R2464" i="1"/>
  <c r="Q2464" i="1"/>
  <c r="O2464" i="1"/>
  <c r="C2464" i="1"/>
  <c r="B2464" i="1"/>
  <c r="T2463" i="1"/>
  <c r="S2463" i="1"/>
  <c r="R2463" i="1"/>
  <c r="Q2463" i="1"/>
  <c r="O2463" i="1"/>
  <c r="C2463" i="1"/>
  <c r="B2463" i="1"/>
  <c r="T2462" i="1"/>
  <c r="Q2462" i="1"/>
  <c r="R2462" i="1" s="1"/>
  <c r="S2462" i="1" s="1"/>
  <c r="O2462" i="1"/>
  <c r="C2462" i="1"/>
  <c r="B2462" i="1"/>
  <c r="T2461" i="1"/>
  <c r="O2461" i="1"/>
  <c r="C2461" i="1"/>
  <c r="B2461" i="1"/>
  <c r="T2460" i="1"/>
  <c r="O2460" i="1"/>
  <c r="C2460" i="1"/>
  <c r="B2460" i="1"/>
  <c r="T2459" i="1"/>
  <c r="O2459" i="1"/>
  <c r="C2459" i="1"/>
  <c r="B2459" i="1"/>
  <c r="T2458" i="1"/>
  <c r="O2458" i="1"/>
  <c r="C2458" i="1"/>
  <c r="B2458" i="1"/>
  <c r="T2457" i="1"/>
  <c r="R2457" i="1"/>
  <c r="S2457" i="1" s="1"/>
  <c r="Q2457" i="1"/>
  <c r="O2457" i="1"/>
  <c r="C2457" i="1"/>
  <c r="B2457" i="1"/>
  <c r="T2456" i="1"/>
  <c r="Q2456" i="1"/>
  <c r="R2456" i="1" s="1"/>
  <c r="S2456" i="1" s="1"/>
  <c r="O2456" i="1"/>
  <c r="C2456" i="1"/>
  <c r="B2456" i="1"/>
  <c r="T2455" i="1"/>
  <c r="O2455" i="1"/>
  <c r="C2455" i="1"/>
  <c r="B2455" i="1"/>
  <c r="T2454" i="1"/>
  <c r="Q2454" i="1"/>
  <c r="R2454" i="1" s="1"/>
  <c r="S2454" i="1" s="1"/>
  <c r="O2454" i="1"/>
  <c r="C2454" i="1"/>
  <c r="B2454" i="1"/>
  <c r="T2453" i="1"/>
  <c r="Q2453" i="1"/>
  <c r="R2453" i="1" s="1"/>
  <c r="S2453" i="1" s="1"/>
  <c r="O2453" i="1"/>
  <c r="C2453" i="1"/>
  <c r="B2453" i="1"/>
  <c r="T2452" i="1"/>
  <c r="O2452" i="1"/>
  <c r="C2452" i="1"/>
  <c r="B2452" i="1"/>
  <c r="T2451" i="1"/>
  <c r="O2451" i="1"/>
  <c r="C2451" i="1"/>
  <c r="B2451" i="1"/>
  <c r="T2450" i="1"/>
  <c r="S2450" i="1"/>
  <c r="O2450" i="1"/>
  <c r="Q2450" i="1" s="1"/>
  <c r="R2450" i="1" s="1"/>
  <c r="C2450" i="1"/>
  <c r="B2450" i="1"/>
  <c r="T2449" i="1"/>
  <c r="S2449" i="1"/>
  <c r="R2449" i="1"/>
  <c r="Q2449" i="1"/>
  <c r="O2449" i="1"/>
  <c r="C2449" i="1"/>
  <c r="B2449" i="1"/>
  <c r="T2448" i="1"/>
  <c r="O2448" i="1"/>
  <c r="C2448" i="1"/>
  <c r="B2448" i="1"/>
  <c r="T2447" i="1"/>
  <c r="R2447" i="1"/>
  <c r="S2447" i="1" s="1"/>
  <c r="Q2447" i="1"/>
  <c r="O2447" i="1"/>
  <c r="C2447" i="1"/>
  <c r="B2447" i="1"/>
  <c r="T2446" i="1"/>
  <c r="Q2446" i="1"/>
  <c r="R2446" i="1" s="1"/>
  <c r="S2446" i="1" s="1"/>
  <c r="O2446" i="1"/>
  <c r="C2446" i="1"/>
  <c r="B2446" i="1"/>
  <c r="T2445" i="1"/>
  <c r="O2445" i="1"/>
  <c r="C2445" i="1"/>
  <c r="B2445" i="1"/>
  <c r="T2444" i="1"/>
  <c r="O2444" i="1"/>
  <c r="C2444" i="1"/>
  <c r="B2444" i="1"/>
  <c r="T2443" i="1"/>
  <c r="O2443" i="1"/>
  <c r="C2443" i="1"/>
  <c r="B2443" i="1"/>
  <c r="T2442" i="1"/>
  <c r="S2442" i="1"/>
  <c r="R2442" i="1"/>
  <c r="Q2442" i="1"/>
  <c r="O2442" i="1"/>
  <c r="C2442" i="1"/>
  <c r="B2442" i="1"/>
  <c r="T2441" i="1"/>
  <c r="Q2441" i="1"/>
  <c r="O2441" i="1"/>
  <c r="C2441" i="1"/>
  <c r="B2441" i="1"/>
  <c r="T2440" i="1"/>
  <c r="Q2440" i="1"/>
  <c r="R2440" i="1" s="1"/>
  <c r="S2440" i="1" s="1"/>
  <c r="O2440" i="1"/>
  <c r="C2440" i="1"/>
  <c r="B2440" i="1"/>
  <c r="T2439" i="1"/>
  <c r="R2439" i="1"/>
  <c r="S2439" i="1" s="1"/>
  <c r="Q2439" i="1"/>
  <c r="O2439" i="1"/>
  <c r="C2439" i="1"/>
  <c r="B2439" i="1"/>
  <c r="T2438" i="1"/>
  <c r="R2438" i="1"/>
  <c r="S2438" i="1" s="1"/>
  <c r="Q2438" i="1"/>
  <c r="O2438" i="1"/>
  <c r="C2438" i="1"/>
  <c r="B2438" i="1"/>
  <c r="T2437" i="1"/>
  <c r="Q2437" i="1"/>
  <c r="R2437" i="1" s="1"/>
  <c r="S2437" i="1" s="1"/>
  <c r="O2437" i="1"/>
  <c r="C2437" i="1"/>
  <c r="B2437" i="1"/>
  <c r="T2436" i="1"/>
  <c r="Q2436" i="1"/>
  <c r="O2436" i="1"/>
  <c r="C2436" i="1"/>
  <c r="B2436" i="1"/>
  <c r="T2435" i="1"/>
  <c r="O2435" i="1"/>
  <c r="C2435" i="1"/>
  <c r="B2435" i="1"/>
  <c r="T2434" i="1"/>
  <c r="Q2434" i="1"/>
  <c r="R2434" i="1" s="1"/>
  <c r="S2434" i="1" s="1"/>
  <c r="O2434" i="1"/>
  <c r="C2434" i="1"/>
  <c r="B2434" i="1"/>
  <c r="T2433" i="1"/>
  <c r="S2433" i="1"/>
  <c r="R2433" i="1"/>
  <c r="Q2433" i="1"/>
  <c r="O2433" i="1"/>
  <c r="C2433" i="1"/>
  <c r="B2433" i="1"/>
  <c r="T2432" i="1"/>
  <c r="Q2432" i="1"/>
  <c r="R2432" i="1" s="1"/>
  <c r="S2432" i="1" s="1"/>
  <c r="O2432" i="1"/>
  <c r="C2432" i="1"/>
  <c r="B2432" i="1"/>
  <c r="T2431" i="1"/>
  <c r="Q2431" i="1"/>
  <c r="R2431" i="1" s="1"/>
  <c r="S2431" i="1" s="1"/>
  <c r="O2431" i="1"/>
  <c r="C2431" i="1"/>
  <c r="B2431" i="1"/>
  <c r="T2430" i="1"/>
  <c r="Q2430" i="1"/>
  <c r="O2430" i="1"/>
  <c r="C2430" i="1"/>
  <c r="B2430" i="1"/>
  <c r="T2429" i="1"/>
  <c r="O2429" i="1"/>
  <c r="C2429" i="1"/>
  <c r="B2429" i="1"/>
  <c r="T2428" i="1"/>
  <c r="Q2428" i="1"/>
  <c r="O2428" i="1"/>
  <c r="C2428" i="1"/>
  <c r="B2428" i="1"/>
  <c r="T2427" i="1"/>
  <c r="O2427" i="1"/>
  <c r="Q2427" i="1" s="1"/>
  <c r="R2427" i="1" s="1"/>
  <c r="S2427" i="1" s="1"/>
  <c r="C2427" i="1"/>
  <c r="B2427" i="1"/>
  <c r="T2426" i="1"/>
  <c r="O2426" i="1"/>
  <c r="Q2426" i="1" s="1"/>
  <c r="R2426" i="1" s="1"/>
  <c r="S2426" i="1" s="1"/>
  <c r="C2426" i="1"/>
  <c r="B2426" i="1"/>
  <c r="T2425" i="1"/>
  <c r="S2425" i="1"/>
  <c r="R2425" i="1"/>
  <c r="Q2425" i="1"/>
  <c r="O2425" i="1"/>
  <c r="C2425" i="1"/>
  <c r="B2425" i="1"/>
  <c r="T2424" i="1"/>
  <c r="O2424" i="1"/>
  <c r="C2424" i="1"/>
  <c r="B2424" i="1"/>
  <c r="T2423" i="1"/>
  <c r="Q2423" i="1"/>
  <c r="R2423" i="1" s="1"/>
  <c r="S2423" i="1" s="1"/>
  <c r="O2423" i="1"/>
  <c r="C2423" i="1"/>
  <c r="B2423" i="1"/>
  <c r="T2422" i="1"/>
  <c r="O2422" i="1"/>
  <c r="C2422" i="1"/>
  <c r="B2422" i="1"/>
  <c r="T2421" i="1"/>
  <c r="O2421" i="1"/>
  <c r="C2421" i="1"/>
  <c r="B2421" i="1"/>
  <c r="T2420" i="1"/>
  <c r="S2420" i="1"/>
  <c r="R2420" i="1"/>
  <c r="Q2420" i="1"/>
  <c r="O2420" i="1"/>
  <c r="C2420" i="1"/>
  <c r="B2420" i="1"/>
  <c r="T2419" i="1"/>
  <c r="O2419" i="1"/>
  <c r="C2419" i="1"/>
  <c r="B2419" i="1"/>
  <c r="T2418" i="1"/>
  <c r="S2418" i="1"/>
  <c r="R2418" i="1"/>
  <c r="Q2418" i="1"/>
  <c r="O2418" i="1"/>
  <c r="C2418" i="1"/>
  <c r="B2418" i="1"/>
  <c r="T2417" i="1"/>
  <c r="Q2417" i="1"/>
  <c r="O2417" i="1"/>
  <c r="C2417" i="1"/>
  <c r="B2417" i="1"/>
  <c r="T2416" i="1"/>
  <c r="R2416" i="1"/>
  <c r="S2416" i="1" s="1"/>
  <c r="Q2416" i="1"/>
  <c r="O2416" i="1"/>
  <c r="C2416" i="1"/>
  <c r="B2416" i="1"/>
  <c r="T2415" i="1"/>
  <c r="Q2415" i="1"/>
  <c r="O2415" i="1"/>
  <c r="C2415" i="1"/>
  <c r="B2415" i="1"/>
  <c r="T2414" i="1"/>
  <c r="Q2414" i="1"/>
  <c r="O2414" i="1"/>
  <c r="C2414" i="1"/>
  <c r="B2414" i="1"/>
  <c r="T2413" i="1"/>
  <c r="O2413" i="1"/>
  <c r="C2413" i="1"/>
  <c r="B2413" i="1"/>
  <c r="T2412" i="1"/>
  <c r="O2412" i="1"/>
  <c r="C2412" i="1"/>
  <c r="B2412" i="1"/>
  <c r="T2411" i="1"/>
  <c r="O2411" i="1"/>
  <c r="C2411" i="1"/>
  <c r="B2411" i="1"/>
  <c r="T2410" i="1"/>
  <c r="O2410" i="1"/>
  <c r="C2410" i="1"/>
  <c r="B2410" i="1"/>
  <c r="T2409" i="1"/>
  <c r="R2409" i="1"/>
  <c r="S2409" i="1" s="1"/>
  <c r="Q2409" i="1"/>
  <c r="O2409" i="1"/>
  <c r="C2409" i="1"/>
  <c r="B2409" i="1"/>
  <c r="T2408" i="1"/>
  <c r="Q2408" i="1"/>
  <c r="R2408" i="1" s="1"/>
  <c r="S2408" i="1" s="1"/>
  <c r="O2408" i="1"/>
  <c r="C2408" i="1"/>
  <c r="B2408" i="1"/>
  <c r="T2407" i="1"/>
  <c r="R2407" i="1"/>
  <c r="S2407" i="1" s="1"/>
  <c r="Q2407" i="1"/>
  <c r="O2407" i="1"/>
  <c r="C2407" i="1"/>
  <c r="B2407" i="1"/>
  <c r="T2406" i="1"/>
  <c r="O2406" i="1"/>
  <c r="C2406" i="1"/>
  <c r="B2406" i="1"/>
  <c r="T2405" i="1"/>
  <c r="Q2405" i="1"/>
  <c r="O2405" i="1"/>
  <c r="C2405" i="1"/>
  <c r="B2405" i="1"/>
  <c r="T2404" i="1"/>
  <c r="Q2404" i="1"/>
  <c r="O2404" i="1"/>
  <c r="C2404" i="1"/>
  <c r="B2404" i="1"/>
  <c r="T2403" i="1"/>
  <c r="Q2403" i="1"/>
  <c r="R2403" i="1" s="1"/>
  <c r="S2403" i="1" s="1"/>
  <c r="O2403" i="1"/>
  <c r="C2403" i="1"/>
  <c r="B2403" i="1"/>
  <c r="T2402" i="1"/>
  <c r="S2402" i="1"/>
  <c r="O2402" i="1"/>
  <c r="Q2402" i="1" s="1"/>
  <c r="R2402" i="1" s="1"/>
  <c r="C2402" i="1"/>
  <c r="B2402" i="1"/>
  <c r="T2401" i="1"/>
  <c r="R2401" i="1"/>
  <c r="S2401" i="1" s="1"/>
  <c r="Q2401" i="1"/>
  <c r="O2401" i="1"/>
  <c r="C2401" i="1"/>
  <c r="B2401" i="1"/>
  <c r="T2400" i="1"/>
  <c r="O2400" i="1"/>
  <c r="C2400" i="1"/>
  <c r="B2400" i="1"/>
  <c r="T2399" i="1"/>
  <c r="O2399" i="1"/>
  <c r="C2399" i="1"/>
  <c r="B2399" i="1"/>
  <c r="T2398" i="1"/>
  <c r="Q2398" i="1"/>
  <c r="O2398" i="1"/>
  <c r="C2398" i="1"/>
  <c r="B2398" i="1"/>
  <c r="T2397" i="1"/>
  <c r="O2397" i="1"/>
  <c r="C2397" i="1"/>
  <c r="B2397" i="1"/>
  <c r="T2396" i="1"/>
  <c r="S2396" i="1"/>
  <c r="R2396" i="1"/>
  <c r="Q2396" i="1"/>
  <c r="O2396" i="1"/>
  <c r="C2396" i="1"/>
  <c r="B2396" i="1"/>
  <c r="T2395" i="1"/>
  <c r="O2395" i="1"/>
  <c r="C2395" i="1"/>
  <c r="B2395" i="1"/>
  <c r="T2394" i="1"/>
  <c r="S2394" i="1"/>
  <c r="R2394" i="1"/>
  <c r="Q2394" i="1"/>
  <c r="O2394" i="1"/>
  <c r="C2394" i="1"/>
  <c r="B2394" i="1"/>
  <c r="T2393" i="1"/>
  <c r="Q2393" i="1"/>
  <c r="R2393" i="1" s="1"/>
  <c r="S2393" i="1" s="1"/>
  <c r="O2393" i="1"/>
  <c r="C2393" i="1"/>
  <c r="B2393" i="1"/>
  <c r="T2392" i="1"/>
  <c r="S2392" i="1"/>
  <c r="R2392" i="1"/>
  <c r="Q2392" i="1"/>
  <c r="O2392" i="1"/>
  <c r="C2392" i="1"/>
  <c r="B2392" i="1"/>
  <c r="T2391" i="1"/>
  <c r="R2391" i="1"/>
  <c r="S2391" i="1" s="1"/>
  <c r="Q2391" i="1"/>
  <c r="O2391" i="1"/>
  <c r="C2391" i="1"/>
  <c r="B2391" i="1"/>
  <c r="T2390" i="1"/>
  <c r="Q2390" i="1"/>
  <c r="R2390" i="1" s="1"/>
  <c r="S2390" i="1" s="1"/>
  <c r="O2390" i="1"/>
  <c r="C2390" i="1"/>
  <c r="B2390" i="1"/>
  <c r="T2389" i="1"/>
  <c r="O2389" i="1"/>
  <c r="C2389" i="1"/>
  <c r="B2389" i="1"/>
  <c r="T2388" i="1"/>
  <c r="O2388" i="1"/>
  <c r="C2388" i="1"/>
  <c r="B2388" i="1"/>
  <c r="T2387" i="1"/>
  <c r="O2387" i="1"/>
  <c r="C2387" i="1"/>
  <c r="B2387" i="1"/>
  <c r="T2386" i="1"/>
  <c r="O2386" i="1"/>
  <c r="C2386" i="1"/>
  <c r="B2386" i="1"/>
  <c r="T2385" i="1"/>
  <c r="S2385" i="1"/>
  <c r="R2385" i="1"/>
  <c r="Q2385" i="1"/>
  <c r="O2385" i="1"/>
  <c r="C2385" i="1"/>
  <c r="B2385" i="1"/>
  <c r="T2384" i="1"/>
  <c r="Q2384" i="1"/>
  <c r="R2384" i="1" s="1"/>
  <c r="S2384" i="1" s="1"/>
  <c r="O2384" i="1"/>
  <c r="C2384" i="1"/>
  <c r="B2384" i="1"/>
  <c r="T2383" i="1"/>
  <c r="Q2383" i="1"/>
  <c r="R2383" i="1" s="1"/>
  <c r="S2383" i="1" s="1"/>
  <c r="O2383" i="1"/>
  <c r="C2383" i="1"/>
  <c r="B2383" i="1"/>
  <c r="T2382" i="1"/>
  <c r="Q2382" i="1"/>
  <c r="R2382" i="1" s="1"/>
  <c r="S2382" i="1" s="1"/>
  <c r="O2382" i="1"/>
  <c r="C2382" i="1"/>
  <c r="B2382" i="1"/>
  <c r="T2381" i="1"/>
  <c r="O2381" i="1"/>
  <c r="Q2381" i="1" s="1"/>
  <c r="R2381" i="1" s="1"/>
  <c r="S2381" i="1" s="1"/>
  <c r="C2381" i="1"/>
  <c r="B2381" i="1"/>
  <c r="T2380" i="1"/>
  <c r="Q2380" i="1"/>
  <c r="O2380" i="1"/>
  <c r="C2380" i="1"/>
  <c r="B2380" i="1"/>
  <c r="T2379" i="1"/>
  <c r="S2379" i="1"/>
  <c r="R2379" i="1"/>
  <c r="Q2379" i="1"/>
  <c r="O2379" i="1"/>
  <c r="C2379" i="1"/>
  <c r="B2379" i="1"/>
  <c r="T2378" i="1"/>
  <c r="O2378" i="1"/>
  <c r="Q2378" i="1" s="1"/>
  <c r="R2378" i="1" s="1"/>
  <c r="S2378" i="1" s="1"/>
  <c r="C2378" i="1"/>
  <c r="B2378" i="1"/>
  <c r="T2377" i="1"/>
  <c r="R2377" i="1"/>
  <c r="S2377" i="1" s="1"/>
  <c r="Q2377" i="1"/>
  <c r="O2377" i="1"/>
  <c r="C2377" i="1"/>
  <c r="B2377" i="1"/>
  <c r="T2376" i="1"/>
  <c r="O2376" i="1"/>
  <c r="C2376" i="1"/>
  <c r="B2376" i="1"/>
  <c r="T2375" i="1"/>
  <c r="O2375" i="1"/>
  <c r="C2375" i="1"/>
  <c r="B2375" i="1"/>
  <c r="T2374" i="1"/>
  <c r="O2374" i="1"/>
  <c r="C2374" i="1"/>
  <c r="B2374" i="1"/>
  <c r="T2373" i="1"/>
  <c r="R2373" i="1"/>
  <c r="S2373" i="1" s="1"/>
  <c r="O2373" i="1"/>
  <c r="Q2373" i="1" s="1"/>
  <c r="C2373" i="1"/>
  <c r="B2373" i="1"/>
  <c r="T2372" i="1"/>
  <c r="O2372" i="1"/>
  <c r="Q2372" i="1" s="1"/>
  <c r="R2372" i="1" s="1"/>
  <c r="S2372" i="1" s="1"/>
  <c r="C2372" i="1"/>
  <c r="B2372" i="1"/>
  <c r="T2371" i="1"/>
  <c r="O2371" i="1"/>
  <c r="C2371" i="1"/>
  <c r="B2371" i="1"/>
  <c r="T2370" i="1"/>
  <c r="S2370" i="1"/>
  <c r="R2370" i="1"/>
  <c r="Q2370" i="1"/>
  <c r="O2370" i="1"/>
  <c r="C2370" i="1"/>
  <c r="B2370" i="1"/>
  <c r="T2369" i="1"/>
  <c r="O2369" i="1"/>
  <c r="C2369" i="1"/>
  <c r="B2369" i="1"/>
  <c r="T2368" i="1"/>
  <c r="S2368" i="1"/>
  <c r="R2368" i="1"/>
  <c r="Q2368" i="1"/>
  <c r="O2368" i="1"/>
  <c r="C2368" i="1"/>
  <c r="B2368" i="1"/>
  <c r="T2367" i="1"/>
  <c r="S2367" i="1"/>
  <c r="R2367" i="1"/>
  <c r="Q2367" i="1"/>
  <c r="O2367" i="1"/>
  <c r="C2367" i="1"/>
  <c r="B2367" i="1"/>
  <c r="T2366" i="1"/>
  <c r="R2366" i="1"/>
  <c r="S2366" i="1" s="1"/>
  <c r="Q2366" i="1"/>
  <c r="O2366" i="1"/>
  <c r="C2366" i="1"/>
  <c r="B2366" i="1"/>
  <c r="T2365" i="1"/>
  <c r="S2365" i="1"/>
  <c r="R2365" i="1"/>
  <c r="Q2365" i="1"/>
  <c r="O2365" i="1"/>
  <c r="C2365" i="1"/>
  <c r="B2365" i="1"/>
  <c r="T2364" i="1"/>
  <c r="O2364" i="1"/>
  <c r="C2364" i="1"/>
  <c r="B2364" i="1"/>
  <c r="T2363" i="1"/>
  <c r="O2363" i="1"/>
  <c r="C2363" i="1"/>
  <c r="B2363" i="1"/>
  <c r="T2362" i="1"/>
  <c r="O2362" i="1"/>
  <c r="C2362" i="1"/>
  <c r="B2362" i="1"/>
  <c r="T2361" i="1"/>
  <c r="R2361" i="1"/>
  <c r="S2361" i="1" s="1"/>
  <c r="Q2361" i="1"/>
  <c r="O2361" i="1"/>
  <c r="C2361" i="1"/>
  <c r="B2361" i="1"/>
  <c r="T2360" i="1"/>
  <c r="Q2360" i="1"/>
  <c r="R2360" i="1" s="1"/>
  <c r="S2360" i="1" s="1"/>
  <c r="O2360" i="1"/>
  <c r="C2360" i="1"/>
  <c r="B2360" i="1"/>
  <c r="T2359" i="1"/>
  <c r="O2359" i="1"/>
  <c r="C2359" i="1"/>
  <c r="B2359" i="1"/>
  <c r="T2358" i="1"/>
  <c r="O2358" i="1"/>
  <c r="C2358" i="1"/>
  <c r="B2358" i="1"/>
  <c r="T2357" i="1"/>
  <c r="O2357" i="1"/>
  <c r="C2357" i="1"/>
  <c r="B2357" i="1"/>
  <c r="T2356" i="1"/>
  <c r="O2356" i="1"/>
  <c r="C2356" i="1"/>
  <c r="B2356" i="1"/>
  <c r="T2355" i="1"/>
  <c r="O2355" i="1"/>
  <c r="C2355" i="1"/>
  <c r="B2355" i="1"/>
  <c r="T2354" i="1"/>
  <c r="O2354" i="1"/>
  <c r="Q2354" i="1" s="1"/>
  <c r="R2354" i="1" s="1"/>
  <c r="S2354" i="1" s="1"/>
  <c r="C2354" i="1"/>
  <c r="B2354" i="1"/>
  <c r="T2353" i="1"/>
  <c r="S2353" i="1"/>
  <c r="R2353" i="1"/>
  <c r="Q2353" i="1"/>
  <c r="O2353" i="1"/>
  <c r="C2353" i="1"/>
  <c r="B2353" i="1"/>
  <c r="T2352" i="1"/>
  <c r="O2352" i="1"/>
  <c r="C2352" i="1"/>
  <c r="B2352" i="1"/>
  <c r="T2351" i="1"/>
  <c r="O2351" i="1"/>
  <c r="C2351" i="1"/>
  <c r="B2351" i="1"/>
  <c r="T2350" i="1"/>
  <c r="O2350" i="1"/>
  <c r="C2350" i="1"/>
  <c r="B2350" i="1"/>
  <c r="T2349" i="1"/>
  <c r="O2349" i="1"/>
  <c r="C2349" i="1"/>
  <c r="B2349" i="1"/>
  <c r="T2348" i="1"/>
  <c r="O2348" i="1"/>
  <c r="C2348" i="1"/>
  <c r="B2348" i="1"/>
  <c r="T2347" i="1"/>
  <c r="O2347" i="1"/>
  <c r="C2347" i="1"/>
  <c r="B2347" i="1"/>
  <c r="T2346" i="1"/>
  <c r="S2346" i="1"/>
  <c r="R2346" i="1"/>
  <c r="Q2346" i="1"/>
  <c r="O2346" i="1"/>
  <c r="C2346" i="1"/>
  <c r="B2346" i="1"/>
  <c r="T2345" i="1"/>
  <c r="O2345" i="1"/>
  <c r="C2345" i="1"/>
  <c r="B2345" i="1"/>
  <c r="T2344" i="1"/>
  <c r="Q2344" i="1"/>
  <c r="R2344" i="1" s="1"/>
  <c r="S2344" i="1" s="1"/>
  <c r="O2344" i="1"/>
  <c r="C2344" i="1"/>
  <c r="B2344" i="1"/>
  <c r="T2343" i="1"/>
  <c r="O2343" i="1"/>
  <c r="C2343" i="1"/>
  <c r="B2343" i="1"/>
  <c r="T2342" i="1"/>
  <c r="O2342" i="1"/>
  <c r="C2342" i="1"/>
  <c r="B2342" i="1"/>
  <c r="T2341" i="1"/>
  <c r="Q2341" i="1"/>
  <c r="R2341" i="1" s="1"/>
  <c r="S2341" i="1" s="1"/>
  <c r="O2341" i="1"/>
  <c r="C2341" i="1"/>
  <c r="B2341" i="1"/>
  <c r="T2340" i="1"/>
  <c r="Q2340" i="1"/>
  <c r="O2340" i="1"/>
  <c r="C2340" i="1"/>
  <c r="B2340" i="1"/>
  <c r="T2339" i="1"/>
  <c r="O2339" i="1"/>
  <c r="C2339" i="1"/>
  <c r="B2339" i="1"/>
  <c r="T2338" i="1"/>
  <c r="O2338" i="1"/>
  <c r="C2338" i="1"/>
  <c r="B2338" i="1"/>
  <c r="T2337" i="1"/>
  <c r="S2337" i="1"/>
  <c r="R2337" i="1"/>
  <c r="Q2337" i="1"/>
  <c r="O2337" i="1"/>
  <c r="C2337" i="1"/>
  <c r="B2337" i="1"/>
  <c r="T2336" i="1"/>
  <c r="R2336" i="1"/>
  <c r="S2336" i="1" s="1"/>
  <c r="Q2336" i="1"/>
  <c r="O2336" i="1"/>
  <c r="C2336" i="1"/>
  <c r="B2336" i="1"/>
  <c r="T2335" i="1"/>
  <c r="R2335" i="1"/>
  <c r="S2335" i="1" s="1"/>
  <c r="Q2335" i="1"/>
  <c r="O2335" i="1"/>
  <c r="C2335" i="1"/>
  <c r="B2335" i="1"/>
  <c r="T2334" i="1"/>
  <c r="S2334" i="1"/>
  <c r="R2334" i="1"/>
  <c r="Q2334" i="1"/>
  <c r="O2334" i="1"/>
  <c r="C2334" i="1"/>
  <c r="B2334" i="1"/>
  <c r="T2333" i="1"/>
  <c r="O2333" i="1"/>
  <c r="C2333" i="1"/>
  <c r="B2333" i="1"/>
  <c r="T2332" i="1"/>
  <c r="O2332" i="1"/>
  <c r="C2332" i="1"/>
  <c r="B2332" i="1"/>
  <c r="T2331" i="1"/>
  <c r="Q2331" i="1"/>
  <c r="R2331" i="1" s="1"/>
  <c r="S2331" i="1" s="1"/>
  <c r="O2331" i="1"/>
  <c r="C2331" i="1"/>
  <c r="B2331" i="1"/>
  <c r="T2330" i="1"/>
  <c r="S2330" i="1"/>
  <c r="O2330" i="1"/>
  <c r="Q2330" i="1" s="1"/>
  <c r="R2330" i="1" s="1"/>
  <c r="C2330" i="1"/>
  <c r="B2330" i="1"/>
  <c r="T2329" i="1"/>
  <c r="S2329" i="1"/>
  <c r="R2329" i="1"/>
  <c r="Q2329" i="1"/>
  <c r="O2329" i="1"/>
  <c r="C2329" i="1"/>
  <c r="B2329" i="1"/>
  <c r="T2328" i="1"/>
  <c r="O2328" i="1"/>
  <c r="Q2328" i="1" s="1"/>
  <c r="R2328" i="1" s="1"/>
  <c r="S2328" i="1" s="1"/>
  <c r="C2328" i="1"/>
  <c r="B2328" i="1"/>
  <c r="T2327" i="1"/>
  <c r="R2327" i="1"/>
  <c r="S2327" i="1" s="1"/>
  <c r="Q2327" i="1"/>
  <c r="O2327" i="1"/>
  <c r="C2327" i="1"/>
  <c r="B2327" i="1"/>
  <c r="T2326" i="1"/>
  <c r="Q2326" i="1"/>
  <c r="R2326" i="1" s="1"/>
  <c r="S2326" i="1" s="1"/>
  <c r="O2326" i="1"/>
  <c r="C2326" i="1"/>
  <c r="B2326" i="1"/>
  <c r="T2325" i="1"/>
  <c r="Q2325" i="1"/>
  <c r="O2325" i="1"/>
  <c r="R2325" i="1" s="1"/>
  <c r="S2325" i="1" s="1"/>
  <c r="C2325" i="1"/>
  <c r="B2325" i="1"/>
  <c r="T2324" i="1"/>
  <c r="O2324" i="1"/>
  <c r="C2324" i="1"/>
  <c r="B2324" i="1"/>
  <c r="T2323" i="1"/>
  <c r="O2323" i="1"/>
  <c r="C2323" i="1"/>
  <c r="B2323" i="1"/>
  <c r="T2322" i="1"/>
  <c r="S2322" i="1"/>
  <c r="R2322" i="1"/>
  <c r="Q2322" i="1"/>
  <c r="O2322" i="1"/>
  <c r="C2322" i="1"/>
  <c r="B2322" i="1"/>
  <c r="T2321" i="1"/>
  <c r="O2321" i="1"/>
  <c r="Q2321" i="1" s="1"/>
  <c r="R2321" i="1" s="1"/>
  <c r="S2321" i="1" s="1"/>
  <c r="C2321" i="1"/>
  <c r="B2321" i="1"/>
  <c r="T2320" i="1"/>
  <c r="Q2320" i="1"/>
  <c r="R2320" i="1" s="1"/>
  <c r="S2320" i="1" s="1"/>
  <c r="O2320" i="1"/>
  <c r="C2320" i="1"/>
  <c r="B2320" i="1"/>
  <c r="T2319" i="1"/>
  <c r="O2319" i="1"/>
  <c r="C2319" i="1"/>
  <c r="B2319" i="1"/>
  <c r="T2318" i="1"/>
  <c r="O2318" i="1"/>
  <c r="C2318" i="1"/>
  <c r="B2318" i="1"/>
  <c r="T2317" i="1"/>
  <c r="O2317" i="1"/>
  <c r="C2317" i="1"/>
  <c r="B2317" i="1"/>
  <c r="T2316" i="1"/>
  <c r="O2316" i="1"/>
  <c r="C2316" i="1"/>
  <c r="B2316" i="1"/>
  <c r="T2315" i="1"/>
  <c r="O2315" i="1"/>
  <c r="C2315" i="1"/>
  <c r="B2315" i="1"/>
  <c r="T2314" i="1"/>
  <c r="O2314" i="1"/>
  <c r="C2314" i="1"/>
  <c r="B2314" i="1"/>
  <c r="T2313" i="1"/>
  <c r="S2313" i="1"/>
  <c r="R2313" i="1"/>
  <c r="Q2313" i="1"/>
  <c r="O2313" i="1"/>
  <c r="C2313" i="1"/>
  <c r="B2313" i="1"/>
  <c r="T2312" i="1"/>
  <c r="O2312" i="1"/>
  <c r="C2312" i="1"/>
  <c r="B2312" i="1"/>
  <c r="T2311" i="1"/>
  <c r="Q2311" i="1"/>
  <c r="R2311" i="1" s="1"/>
  <c r="S2311" i="1" s="1"/>
  <c r="O2311" i="1"/>
  <c r="C2311" i="1"/>
  <c r="B2311" i="1"/>
  <c r="T2310" i="1"/>
  <c r="O2310" i="1"/>
  <c r="Q2310" i="1" s="1"/>
  <c r="R2310" i="1" s="1"/>
  <c r="S2310" i="1" s="1"/>
  <c r="C2310" i="1"/>
  <c r="B2310" i="1"/>
  <c r="T2309" i="1"/>
  <c r="Q2309" i="1"/>
  <c r="O2309" i="1"/>
  <c r="C2309" i="1"/>
  <c r="B2309" i="1"/>
  <c r="T2308" i="1"/>
  <c r="O2308" i="1"/>
  <c r="C2308" i="1"/>
  <c r="B2308" i="1"/>
  <c r="T2307" i="1"/>
  <c r="R2307" i="1"/>
  <c r="S2307" i="1" s="1"/>
  <c r="Q2307" i="1"/>
  <c r="O2307" i="1"/>
  <c r="C2307" i="1"/>
  <c r="B2307" i="1"/>
  <c r="T2306" i="1"/>
  <c r="O2306" i="1"/>
  <c r="Q2306" i="1" s="1"/>
  <c r="R2306" i="1" s="1"/>
  <c r="S2306" i="1" s="1"/>
  <c r="C2306" i="1"/>
  <c r="B2306" i="1"/>
  <c r="T2305" i="1"/>
  <c r="Q2305" i="1"/>
  <c r="R2305" i="1" s="1"/>
  <c r="S2305" i="1" s="1"/>
  <c r="O2305" i="1"/>
  <c r="C2305" i="1"/>
  <c r="B2305" i="1"/>
  <c r="T2304" i="1"/>
  <c r="S2304" i="1"/>
  <c r="R2304" i="1"/>
  <c r="Q2304" i="1"/>
  <c r="O2304" i="1"/>
  <c r="C2304" i="1"/>
  <c r="B2304" i="1"/>
  <c r="T2303" i="1"/>
  <c r="Q2303" i="1"/>
  <c r="O2303" i="1"/>
  <c r="C2303" i="1"/>
  <c r="B2303" i="1"/>
  <c r="T2302" i="1"/>
  <c r="O2302" i="1"/>
  <c r="C2302" i="1"/>
  <c r="B2302" i="1"/>
  <c r="T2301" i="1"/>
  <c r="O2301" i="1"/>
  <c r="C2301" i="1"/>
  <c r="B2301" i="1"/>
  <c r="T2300" i="1"/>
  <c r="O2300" i="1"/>
  <c r="C2300" i="1"/>
  <c r="B2300" i="1"/>
  <c r="T2299" i="1"/>
  <c r="O2299" i="1"/>
  <c r="C2299" i="1"/>
  <c r="B2299" i="1"/>
  <c r="T2298" i="1"/>
  <c r="S2298" i="1"/>
  <c r="R2298" i="1"/>
  <c r="Q2298" i="1"/>
  <c r="O2298" i="1"/>
  <c r="C2298" i="1"/>
  <c r="B2298" i="1"/>
  <c r="T2297" i="1"/>
  <c r="Q2297" i="1"/>
  <c r="O2297" i="1"/>
  <c r="C2297" i="1"/>
  <c r="B2297" i="1"/>
  <c r="T2296" i="1"/>
  <c r="R2296" i="1"/>
  <c r="S2296" i="1" s="1"/>
  <c r="Q2296" i="1"/>
  <c r="O2296" i="1"/>
  <c r="C2296" i="1"/>
  <c r="B2296" i="1"/>
  <c r="T2295" i="1"/>
  <c r="O2295" i="1"/>
  <c r="C2295" i="1"/>
  <c r="B2295" i="1"/>
  <c r="T2294" i="1"/>
  <c r="R2294" i="1"/>
  <c r="S2294" i="1" s="1"/>
  <c r="Q2294" i="1"/>
  <c r="O2294" i="1"/>
  <c r="C2294" i="1"/>
  <c r="B2294" i="1"/>
  <c r="T2293" i="1"/>
  <c r="S2293" i="1"/>
  <c r="R2293" i="1"/>
  <c r="Q2293" i="1"/>
  <c r="O2293" i="1"/>
  <c r="C2293" i="1"/>
  <c r="B2293" i="1"/>
  <c r="T2292" i="1"/>
  <c r="O2292" i="1"/>
  <c r="C2292" i="1"/>
  <c r="B2292" i="1"/>
  <c r="T2291" i="1"/>
  <c r="O2291" i="1"/>
  <c r="C2291" i="1"/>
  <c r="B2291" i="1"/>
  <c r="T2290" i="1"/>
  <c r="Q2290" i="1"/>
  <c r="R2290" i="1" s="1"/>
  <c r="S2290" i="1" s="1"/>
  <c r="O2290" i="1"/>
  <c r="C2290" i="1"/>
  <c r="B2290" i="1"/>
  <c r="T2289" i="1"/>
  <c r="R2289" i="1"/>
  <c r="S2289" i="1" s="1"/>
  <c r="Q2289" i="1"/>
  <c r="O2289" i="1"/>
  <c r="C2289" i="1"/>
  <c r="B2289" i="1"/>
  <c r="T2288" i="1"/>
  <c r="R2288" i="1"/>
  <c r="S2288" i="1" s="1"/>
  <c r="Q2288" i="1"/>
  <c r="O2288" i="1"/>
  <c r="C2288" i="1"/>
  <c r="B2288" i="1"/>
  <c r="T2287" i="1"/>
  <c r="O2287" i="1"/>
  <c r="C2287" i="1"/>
  <c r="B2287" i="1"/>
  <c r="T2286" i="1"/>
  <c r="O2286" i="1"/>
  <c r="C2286" i="1"/>
  <c r="B2286" i="1"/>
  <c r="T2285" i="1"/>
  <c r="Q2285" i="1"/>
  <c r="R2285" i="1" s="1"/>
  <c r="S2285" i="1" s="1"/>
  <c r="O2285" i="1"/>
  <c r="C2285" i="1"/>
  <c r="B2285" i="1"/>
  <c r="T2284" i="1"/>
  <c r="Q2284" i="1"/>
  <c r="O2284" i="1"/>
  <c r="C2284" i="1"/>
  <c r="B2284" i="1"/>
  <c r="T2283" i="1"/>
  <c r="Q2283" i="1"/>
  <c r="O2283" i="1"/>
  <c r="C2283" i="1"/>
  <c r="B2283" i="1"/>
  <c r="T2282" i="1"/>
  <c r="S2282" i="1"/>
  <c r="O2282" i="1"/>
  <c r="Q2282" i="1" s="1"/>
  <c r="R2282" i="1" s="1"/>
  <c r="C2282" i="1"/>
  <c r="B2282" i="1"/>
  <c r="T2281" i="1"/>
  <c r="Q2281" i="1"/>
  <c r="R2281" i="1" s="1"/>
  <c r="S2281" i="1" s="1"/>
  <c r="O2281" i="1"/>
  <c r="C2281" i="1"/>
  <c r="B2281" i="1"/>
  <c r="T2280" i="1"/>
  <c r="R2280" i="1"/>
  <c r="S2280" i="1" s="1"/>
  <c r="Q2280" i="1"/>
  <c r="O2280" i="1"/>
  <c r="C2280" i="1"/>
  <c r="B2280" i="1"/>
  <c r="T2279" i="1"/>
  <c r="O2279" i="1"/>
  <c r="C2279" i="1"/>
  <c r="B2279" i="1"/>
  <c r="T2278" i="1"/>
  <c r="O2278" i="1"/>
  <c r="C2278" i="1"/>
  <c r="B2278" i="1"/>
  <c r="T2277" i="1"/>
  <c r="O2277" i="1"/>
  <c r="C2277" i="1"/>
  <c r="B2277" i="1"/>
  <c r="T2276" i="1"/>
  <c r="Q2276" i="1"/>
  <c r="O2276" i="1"/>
  <c r="C2276" i="1"/>
  <c r="B2276" i="1"/>
  <c r="T2275" i="1"/>
  <c r="O2275" i="1"/>
  <c r="C2275" i="1"/>
  <c r="B2275" i="1"/>
  <c r="T2274" i="1"/>
  <c r="S2274" i="1"/>
  <c r="R2274" i="1"/>
  <c r="Q2274" i="1"/>
  <c r="O2274" i="1"/>
  <c r="C2274" i="1"/>
  <c r="B2274" i="1"/>
  <c r="T2273" i="1"/>
  <c r="O2273" i="1"/>
  <c r="Q2273" i="1" s="1"/>
  <c r="R2273" i="1" s="1"/>
  <c r="S2273" i="1" s="1"/>
  <c r="C2273" i="1"/>
  <c r="B2273" i="1"/>
  <c r="T2272" i="1"/>
  <c r="Q2272" i="1"/>
  <c r="R2272" i="1" s="1"/>
  <c r="S2272" i="1" s="1"/>
  <c r="O2272" i="1"/>
  <c r="C2272" i="1"/>
  <c r="B2272" i="1"/>
  <c r="T2271" i="1"/>
  <c r="O2271" i="1"/>
  <c r="C2271" i="1"/>
  <c r="B2271" i="1"/>
  <c r="T2270" i="1"/>
  <c r="R2270" i="1"/>
  <c r="S2270" i="1" s="1"/>
  <c r="Q2270" i="1"/>
  <c r="O2270" i="1"/>
  <c r="C2270" i="1"/>
  <c r="B2270" i="1"/>
  <c r="T2269" i="1"/>
  <c r="Q2269" i="1"/>
  <c r="R2269" i="1" s="1"/>
  <c r="S2269" i="1" s="1"/>
  <c r="O2269" i="1"/>
  <c r="C2269" i="1"/>
  <c r="B2269" i="1"/>
  <c r="T2268" i="1"/>
  <c r="Q2268" i="1"/>
  <c r="O2268" i="1"/>
  <c r="C2268" i="1"/>
  <c r="B2268" i="1"/>
  <c r="T2267" i="1"/>
  <c r="O2267" i="1"/>
  <c r="C2267" i="1"/>
  <c r="B2267" i="1"/>
  <c r="T2266" i="1"/>
  <c r="R2266" i="1"/>
  <c r="S2266" i="1" s="1"/>
  <c r="Q2266" i="1"/>
  <c r="O2266" i="1"/>
  <c r="C2266" i="1"/>
  <c r="B2266" i="1"/>
  <c r="T2265" i="1"/>
  <c r="R2265" i="1"/>
  <c r="S2265" i="1" s="1"/>
  <c r="Q2265" i="1"/>
  <c r="O2265" i="1"/>
  <c r="C2265" i="1"/>
  <c r="B2265" i="1"/>
  <c r="T2264" i="1"/>
  <c r="O2264" i="1"/>
  <c r="C2264" i="1"/>
  <c r="B2264" i="1"/>
  <c r="T2263" i="1"/>
  <c r="O2263" i="1"/>
  <c r="C2263" i="1"/>
  <c r="B2263" i="1"/>
  <c r="T2262" i="1"/>
  <c r="O2262" i="1"/>
  <c r="C2262" i="1"/>
  <c r="B2262" i="1"/>
  <c r="T2261" i="1"/>
  <c r="R2261" i="1"/>
  <c r="S2261" i="1" s="1"/>
  <c r="O2261" i="1"/>
  <c r="Q2261" i="1" s="1"/>
  <c r="C2261" i="1"/>
  <c r="B2261" i="1"/>
  <c r="T2260" i="1"/>
  <c r="O2260" i="1"/>
  <c r="C2260" i="1"/>
  <c r="B2260" i="1"/>
  <c r="T2259" i="1"/>
  <c r="O2259" i="1"/>
  <c r="C2259" i="1"/>
  <c r="B2259" i="1"/>
  <c r="T2258" i="1"/>
  <c r="O2258" i="1"/>
  <c r="Q2258" i="1" s="1"/>
  <c r="R2258" i="1" s="1"/>
  <c r="S2258" i="1" s="1"/>
  <c r="C2258" i="1"/>
  <c r="B2258" i="1"/>
  <c r="T2257" i="1"/>
  <c r="Q2257" i="1"/>
  <c r="R2257" i="1" s="1"/>
  <c r="S2257" i="1" s="1"/>
  <c r="O2257" i="1"/>
  <c r="C2257" i="1"/>
  <c r="B2257" i="1"/>
  <c r="T2256" i="1"/>
  <c r="O2256" i="1"/>
  <c r="Q2256" i="1" s="1"/>
  <c r="R2256" i="1" s="1"/>
  <c r="S2256" i="1" s="1"/>
  <c r="C2256" i="1"/>
  <c r="B2256" i="1"/>
  <c r="T2255" i="1"/>
  <c r="R2255" i="1"/>
  <c r="S2255" i="1" s="1"/>
  <c r="Q2255" i="1"/>
  <c r="O2255" i="1"/>
  <c r="C2255" i="1"/>
  <c r="B2255" i="1"/>
  <c r="T2254" i="1"/>
  <c r="Q2254" i="1"/>
  <c r="R2254" i="1" s="1"/>
  <c r="S2254" i="1" s="1"/>
  <c r="O2254" i="1"/>
  <c r="C2254" i="1"/>
  <c r="B2254" i="1"/>
  <c r="T2253" i="1"/>
  <c r="R2253" i="1"/>
  <c r="S2253" i="1" s="1"/>
  <c r="Q2253" i="1"/>
  <c r="O2253" i="1"/>
  <c r="C2253" i="1"/>
  <c r="B2253" i="1"/>
  <c r="T2252" i="1"/>
  <c r="R2252" i="1"/>
  <c r="S2252" i="1" s="1"/>
  <c r="Q2252" i="1"/>
  <c r="O2252" i="1"/>
  <c r="C2252" i="1"/>
  <c r="B2252" i="1"/>
  <c r="T2251" i="1"/>
  <c r="O2251" i="1"/>
  <c r="C2251" i="1"/>
  <c r="B2251" i="1"/>
  <c r="T2250" i="1"/>
  <c r="S2250" i="1"/>
  <c r="R2250" i="1"/>
  <c r="Q2250" i="1"/>
  <c r="O2250" i="1"/>
  <c r="C2250" i="1"/>
  <c r="B2250" i="1"/>
  <c r="T2249" i="1"/>
  <c r="O2249" i="1"/>
  <c r="C2249" i="1"/>
  <c r="B2249" i="1"/>
  <c r="T2248" i="1"/>
  <c r="R2248" i="1"/>
  <c r="S2248" i="1" s="1"/>
  <c r="Q2248" i="1"/>
  <c r="O2248" i="1"/>
  <c r="C2248" i="1"/>
  <c r="B2248" i="1"/>
  <c r="T2247" i="1"/>
  <c r="O2247" i="1"/>
  <c r="C2247" i="1"/>
  <c r="B2247" i="1"/>
  <c r="T2246" i="1"/>
  <c r="R2246" i="1"/>
  <c r="S2246" i="1" s="1"/>
  <c r="Q2246" i="1"/>
  <c r="O2246" i="1"/>
  <c r="C2246" i="1"/>
  <c r="B2246" i="1"/>
  <c r="T2245" i="1"/>
  <c r="Q2245" i="1"/>
  <c r="R2245" i="1" s="1"/>
  <c r="S2245" i="1" s="1"/>
  <c r="O2245" i="1"/>
  <c r="C2245" i="1"/>
  <c r="B2245" i="1"/>
  <c r="T2244" i="1"/>
  <c r="Q2244" i="1"/>
  <c r="O2244" i="1"/>
  <c r="C2244" i="1"/>
  <c r="B2244" i="1"/>
  <c r="T2243" i="1"/>
  <c r="O2243" i="1"/>
  <c r="C2243" i="1"/>
  <c r="B2243" i="1"/>
  <c r="T2242" i="1"/>
  <c r="R2242" i="1"/>
  <c r="S2242" i="1" s="1"/>
  <c r="Q2242" i="1"/>
  <c r="O2242" i="1"/>
  <c r="C2242" i="1"/>
  <c r="B2242" i="1"/>
  <c r="T2241" i="1"/>
  <c r="Q2241" i="1"/>
  <c r="R2241" i="1" s="1"/>
  <c r="S2241" i="1" s="1"/>
  <c r="O2241" i="1"/>
  <c r="C2241" i="1"/>
  <c r="B2241" i="1"/>
  <c r="T2240" i="1"/>
  <c r="O2240" i="1"/>
  <c r="C2240" i="1"/>
  <c r="B2240" i="1"/>
  <c r="T2239" i="1"/>
  <c r="O2239" i="1"/>
  <c r="C2239" i="1"/>
  <c r="B2239" i="1"/>
  <c r="T2238" i="1"/>
  <c r="S2238" i="1"/>
  <c r="R2238" i="1"/>
  <c r="Q2238" i="1"/>
  <c r="O2238" i="1"/>
  <c r="C2238" i="1"/>
  <c r="B2238" i="1"/>
  <c r="T2237" i="1"/>
  <c r="O2237" i="1"/>
  <c r="Q2237" i="1" s="1"/>
  <c r="C2237" i="1"/>
  <c r="B2237" i="1"/>
  <c r="T2236" i="1"/>
  <c r="O2236" i="1"/>
  <c r="C2236" i="1"/>
  <c r="B2236" i="1"/>
  <c r="T2235" i="1"/>
  <c r="R2235" i="1"/>
  <c r="S2235" i="1" s="1"/>
  <c r="O2235" i="1"/>
  <c r="Q2235" i="1" s="1"/>
  <c r="C2235" i="1"/>
  <c r="B2235" i="1"/>
  <c r="T2234" i="1"/>
  <c r="R2234" i="1"/>
  <c r="S2234" i="1" s="1"/>
  <c r="O2234" i="1"/>
  <c r="Q2234" i="1" s="1"/>
  <c r="C2234" i="1"/>
  <c r="B2234" i="1"/>
  <c r="T2233" i="1"/>
  <c r="Q2233" i="1"/>
  <c r="R2233" i="1" s="1"/>
  <c r="S2233" i="1" s="1"/>
  <c r="O2233" i="1"/>
  <c r="C2233" i="1"/>
  <c r="B2233" i="1"/>
  <c r="T2232" i="1"/>
  <c r="O2232" i="1"/>
  <c r="Q2232" i="1" s="1"/>
  <c r="C2232" i="1"/>
  <c r="B2232" i="1"/>
  <c r="T2231" i="1"/>
  <c r="Q2231" i="1"/>
  <c r="R2231" i="1" s="1"/>
  <c r="S2231" i="1" s="1"/>
  <c r="O2231" i="1"/>
  <c r="C2231" i="1"/>
  <c r="B2231" i="1"/>
  <c r="T2230" i="1"/>
  <c r="O2230" i="1"/>
  <c r="C2230" i="1"/>
  <c r="B2230" i="1"/>
  <c r="T2229" i="1"/>
  <c r="Q2229" i="1"/>
  <c r="O2229" i="1"/>
  <c r="C2229" i="1"/>
  <c r="B2229" i="1"/>
  <c r="T2228" i="1"/>
  <c r="O2228" i="1"/>
  <c r="C2228" i="1"/>
  <c r="B2228" i="1"/>
  <c r="T2227" i="1"/>
  <c r="O2227" i="1"/>
  <c r="C2227" i="1"/>
  <c r="B2227" i="1"/>
  <c r="T2226" i="1"/>
  <c r="S2226" i="1"/>
  <c r="R2226" i="1"/>
  <c r="Q2226" i="1"/>
  <c r="O2226" i="1"/>
  <c r="C2226" i="1"/>
  <c r="B2226" i="1"/>
  <c r="T2225" i="1"/>
  <c r="R2225" i="1"/>
  <c r="S2225" i="1" s="1"/>
  <c r="Q2225" i="1"/>
  <c r="O2225" i="1"/>
  <c r="C2225" i="1"/>
  <c r="B2225" i="1"/>
  <c r="T2224" i="1"/>
  <c r="Q2224" i="1"/>
  <c r="O2224" i="1"/>
  <c r="R2224" i="1" s="1"/>
  <c r="S2224" i="1" s="1"/>
  <c r="C2224" i="1"/>
  <c r="B2224" i="1"/>
  <c r="T2223" i="1"/>
  <c r="Q2223" i="1"/>
  <c r="R2223" i="1" s="1"/>
  <c r="S2223" i="1" s="1"/>
  <c r="O2223" i="1"/>
  <c r="C2223" i="1"/>
  <c r="B2223" i="1"/>
  <c r="T2222" i="1"/>
  <c r="O2222" i="1"/>
  <c r="C2222" i="1"/>
  <c r="B2222" i="1"/>
  <c r="T2221" i="1"/>
  <c r="O2221" i="1"/>
  <c r="Q2221" i="1" s="1"/>
  <c r="C2221" i="1"/>
  <c r="B2221" i="1"/>
  <c r="T2220" i="1"/>
  <c r="Q2220" i="1"/>
  <c r="O2220" i="1"/>
  <c r="C2220" i="1"/>
  <c r="B2220" i="1"/>
  <c r="T2219" i="1"/>
  <c r="O2219" i="1"/>
  <c r="C2219" i="1"/>
  <c r="B2219" i="1"/>
  <c r="T2218" i="1"/>
  <c r="O2218" i="1"/>
  <c r="C2218" i="1"/>
  <c r="B2218" i="1"/>
  <c r="T2217" i="1"/>
  <c r="R2217" i="1"/>
  <c r="S2217" i="1" s="1"/>
  <c r="Q2217" i="1"/>
  <c r="O2217" i="1"/>
  <c r="C2217" i="1"/>
  <c r="B2217" i="1"/>
  <c r="T2216" i="1"/>
  <c r="Q2216" i="1"/>
  <c r="O2216" i="1"/>
  <c r="C2216" i="1"/>
  <c r="B2216" i="1"/>
  <c r="T2215" i="1"/>
  <c r="O2215" i="1"/>
  <c r="Q2215" i="1" s="1"/>
  <c r="R2215" i="1" s="1"/>
  <c r="S2215" i="1" s="1"/>
  <c r="C2215" i="1"/>
  <c r="B2215" i="1"/>
  <c r="T2214" i="1"/>
  <c r="R2214" i="1"/>
  <c r="S2214" i="1" s="1"/>
  <c r="Q2214" i="1"/>
  <c r="O2214" i="1"/>
  <c r="C2214" i="1"/>
  <c r="B2214" i="1"/>
  <c r="T2213" i="1"/>
  <c r="O2213" i="1"/>
  <c r="C2213" i="1"/>
  <c r="B2213" i="1"/>
  <c r="T2212" i="1"/>
  <c r="O2212" i="1"/>
  <c r="C2212" i="1"/>
  <c r="B2212" i="1"/>
  <c r="T2211" i="1"/>
  <c r="Q2211" i="1"/>
  <c r="R2211" i="1" s="1"/>
  <c r="S2211" i="1" s="1"/>
  <c r="O2211" i="1"/>
  <c r="C2211" i="1"/>
  <c r="B2211" i="1"/>
  <c r="T2210" i="1"/>
  <c r="R2210" i="1"/>
  <c r="S2210" i="1" s="1"/>
  <c r="O2210" i="1"/>
  <c r="Q2210" i="1" s="1"/>
  <c r="C2210" i="1"/>
  <c r="B2210" i="1"/>
  <c r="T2209" i="1"/>
  <c r="Q2209" i="1"/>
  <c r="R2209" i="1" s="1"/>
  <c r="S2209" i="1" s="1"/>
  <c r="O2209" i="1"/>
  <c r="C2209" i="1"/>
  <c r="B2209" i="1"/>
  <c r="T2208" i="1"/>
  <c r="O2208" i="1"/>
  <c r="C2208" i="1"/>
  <c r="B2208" i="1"/>
  <c r="T2207" i="1"/>
  <c r="Q2207" i="1"/>
  <c r="O2207" i="1"/>
  <c r="C2207" i="1"/>
  <c r="B2207" i="1"/>
  <c r="T2206" i="1"/>
  <c r="O2206" i="1"/>
  <c r="C2206" i="1"/>
  <c r="B2206" i="1"/>
  <c r="T2205" i="1"/>
  <c r="O2205" i="1"/>
  <c r="C2205" i="1"/>
  <c r="B2205" i="1"/>
  <c r="T2204" i="1"/>
  <c r="O2204" i="1"/>
  <c r="C2204" i="1"/>
  <c r="B2204" i="1"/>
  <c r="T2203" i="1"/>
  <c r="O2203" i="1"/>
  <c r="C2203" i="1"/>
  <c r="B2203" i="1"/>
  <c r="T2202" i="1"/>
  <c r="R2202" i="1"/>
  <c r="S2202" i="1" s="1"/>
  <c r="Q2202" i="1"/>
  <c r="O2202" i="1"/>
  <c r="C2202" i="1"/>
  <c r="B2202" i="1"/>
  <c r="T2201" i="1"/>
  <c r="R2201" i="1"/>
  <c r="S2201" i="1" s="1"/>
  <c r="Q2201" i="1"/>
  <c r="O2201" i="1"/>
  <c r="C2201" i="1"/>
  <c r="B2201" i="1"/>
  <c r="T2200" i="1"/>
  <c r="R2200" i="1"/>
  <c r="S2200" i="1" s="1"/>
  <c r="Q2200" i="1"/>
  <c r="O2200" i="1"/>
  <c r="C2200" i="1"/>
  <c r="B2200" i="1"/>
  <c r="T2199" i="1"/>
  <c r="O2199" i="1"/>
  <c r="C2199" i="1"/>
  <c r="B2199" i="1"/>
  <c r="T2198" i="1"/>
  <c r="O2198" i="1"/>
  <c r="C2198" i="1"/>
  <c r="B2198" i="1"/>
  <c r="T2197" i="1"/>
  <c r="O2197" i="1"/>
  <c r="C2197" i="1"/>
  <c r="B2197" i="1"/>
  <c r="T2196" i="1"/>
  <c r="Q2196" i="1"/>
  <c r="O2196" i="1"/>
  <c r="C2196" i="1"/>
  <c r="B2196" i="1"/>
  <c r="T2195" i="1"/>
  <c r="O2195" i="1"/>
  <c r="C2195" i="1"/>
  <c r="B2195" i="1"/>
  <c r="T2194" i="1"/>
  <c r="O2194" i="1"/>
  <c r="C2194" i="1"/>
  <c r="B2194" i="1"/>
  <c r="T2193" i="1"/>
  <c r="R2193" i="1"/>
  <c r="S2193" i="1" s="1"/>
  <c r="Q2193" i="1"/>
  <c r="O2193" i="1"/>
  <c r="C2193" i="1"/>
  <c r="B2193" i="1"/>
  <c r="T2192" i="1"/>
  <c r="R2192" i="1"/>
  <c r="S2192" i="1" s="1"/>
  <c r="O2192" i="1"/>
  <c r="Q2192" i="1" s="1"/>
  <c r="C2192" i="1"/>
  <c r="B2192" i="1"/>
  <c r="T2191" i="1"/>
  <c r="R2191" i="1"/>
  <c r="S2191" i="1" s="1"/>
  <c r="Q2191" i="1"/>
  <c r="O2191" i="1"/>
  <c r="C2191" i="1"/>
  <c r="B2191" i="1"/>
  <c r="T2190" i="1"/>
  <c r="O2190" i="1"/>
  <c r="Q2190" i="1" s="1"/>
  <c r="R2190" i="1" s="1"/>
  <c r="S2190" i="1" s="1"/>
  <c r="C2190" i="1"/>
  <c r="B2190" i="1"/>
  <c r="T2189" i="1"/>
  <c r="Q2189" i="1"/>
  <c r="R2189" i="1" s="1"/>
  <c r="S2189" i="1" s="1"/>
  <c r="O2189" i="1"/>
  <c r="C2189" i="1"/>
  <c r="B2189" i="1"/>
  <c r="T2188" i="1"/>
  <c r="Q2188" i="1"/>
  <c r="O2188" i="1"/>
  <c r="C2188" i="1"/>
  <c r="B2188" i="1"/>
  <c r="T2187" i="1"/>
  <c r="R2187" i="1"/>
  <c r="S2187" i="1" s="1"/>
  <c r="Q2187" i="1"/>
  <c r="O2187" i="1"/>
  <c r="C2187" i="1"/>
  <c r="B2187" i="1"/>
  <c r="T2186" i="1"/>
  <c r="O2186" i="1"/>
  <c r="Q2186" i="1" s="1"/>
  <c r="R2186" i="1" s="1"/>
  <c r="S2186" i="1" s="1"/>
  <c r="C2186" i="1"/>
  <c r="B2186" i="1"/>
  <c r="T2185" i="1"/>
  <c r="R2185" i="1"/>
  <c r="S2185" i="1" s="1"/>
  <c r="Q2185" i="1"/>
  <c r="O2185" i="1"/>
  <c r="C2185" i="1"/>
  <c r="B2185" i="1"/>
  <c r="T2184" i="1"/>
  <c r="R2184" i="1"/>
  <c r="S2184" i="1" s="1"/>
  <c r="O2184" i="1"/>
  <c r="Q2184" i="1" s="1"/>
  <c r="C2184" i="1"/>
  <c r="B2184" i="1"/>
  <c r="T2183" i="1"/>
  <c r="O2183" i="1"/>
  <c r="C2183" i="1"/>
  <c r="B2183" i="1"/>
  <c r="T2182" i="1"/>
  <c r="Q2182" i="1"/>
  <c r="O2182" i="1"/>
  <c r="R2182" i="1" s="1"/>
  <c r="S2182" i="1" s="1"/>
  <c r="C2182" i="1"/>
  <c r="B2182" i="1"/>
  <c r="T2181" i="1"/>
  <c r="O2181" i="1"/>
  <c r="Q2181" i="1" s="1"/>
  <c r="R2181" i="1" s="1"/>
  <c r="S2181" i="1" s="1"/>
  <c r="C2181" i="1"/>
  <c r="B2181" i="1"/>
  <c r="T2180" i="1"/>
  <c r="S2180" i="1"/>
  <c r="R2180" i="1"/>
  <c r="Q2180" i="1"/>
  <c r="O2180" i="1"/>
  <c r="C2180" i="1"/>
  <c r="B2180" i="1"/>
  <c r="T2179" i="1"/>
  <c r="O2179" i="1"/>
  <c r="C2179" i="1"/>
  <c r="B2179" i="1"/>
  <c r="T2178" i="1"/>
  <c r="S2178" i="1"/>
  <c r="R2178" i="1"/>
  <c r="Q2178" i="1"/>
  <c r="O2178" i="1"/>
  <c r="C2178" i="1"/>
  <c r="B2178" i="1"/>
  <c r="T2177" i="1"/>
  <c r="O2177" i="1"/>
  <c r="C2177" i="1"/>
  <c r="B2177" i="1"/>
  <c r="T2176" i="1"/>
  <c r="O2176" i="1"/>
  <c r="C2176" i="1"/>
  <c r="B2176" i="1"/>
  <c r="T2175" i="1"/>
  <c r="O2175" i="1"/>
  <c r="C2175" i="1"/>
  <c r="B2175" i="1"/>
  <c r="T2174" i="1"/>
  <c r="O2174" i="1"/>
  <c r="C2174" i="1"/>
  <c r="B2174" i="1"/>
  <c r="T2173" i="1"/>
  <c r="Q2173" i="1"/>
  <c r="O2173" i="1"/>
  <c r="C2173" i="1"/>
  <c r="B2173" i="1"/>
  <c r="T2172" i="1"/>
  <c r="O2172" i="1"/>
  <c r="C2172" i="1"/>
  <c r="B2172" i="1"/>
  <c r="T2171" i="1"/>
  <c r="O2171" i="1"/>
  <c r="C2171" i="1"/>
  <c r="B2171" i="1"/>
  <c r="T2170" i="1"/>
  <c r="R2170" i="1"/>
  <c r="S2170" i="1" s="1"/>
  <c r="Q2170" i="1"/>
  <c r="O2170" i="1"/>
  <c r="C2170" i="1"/>
  <c r="B2170" i="1"/>
  <c r="T2169" i="1"/>
  <c r="Q2169" i="1"/>
  <c r="R2169" i="1" s="1"/>
  <c r="S2169" i="1" s="1"/>
  <c r="O2169" i="1"/>
  <c r="C2169" i="1"/>
  <c r="B2169" i="1"/>
  <c r="T2168" i="1"/>
  <c r="O2168" i="1"/>
  <c r="C2168" i="1"/>
  <c r="B2168" i="1"/>
  <c r="T2167" i="1"/>
  <c r="R2167" i="1"/>
  <c r="S2167" i="1" s="1"/>
  <c r="Q2167" i="1"/>
  <c r="O2167" i="1"/>
  <c r="C2167" i="1"/>
  <c r="B2167" i="1"/>
  <c r="T2166" i="1"/>
  <c r="S2166" i="1"/>
  <c r="Q2166" i="1"/>
  <c r="O2166" i="1"/>
  <c r="R2166" i="1" s="1"/>
  <c r="C2166" i="1"/>
  <c r="B2166" i="1"/>
  <c r="T2165" i="1"/>
  <c r="R2165" i="1"/>
  <c r="S2165" i="1" s="1"/>
  <c r="Q2165" i="1"/>
  <c r="O2165" i="1"/>
  <c r="C2165" i="1"/>
  <c r="B2165" i="1"/>
  <c r="T2164" i="1"/>
  <c r="O2164" i="1"/>
  <c r="C2164" i="1"/>
  <c r="B2164" i="1"/>
  <c r="T2163" i="1"/>
  <c r="R2163" i="1"/>
  <c r="S2163" i="1" s="1"/>
  <c r="O2163" i="1"/>
  <c r="Q2163" i="1" s="1"/>
  <c r="C2163" i="1"/>
  <c r="B2163" i="1"/>
  <c r="T2162" i="1"/>
  <c r="O2162" i="1"/>
  <c r="Q2162" i="1" s="1"/>
  <c r="R2162" i="1" s="1"/>
  <c r="S2162" i="1" s="1"/>
  <c r="C2162" i="1"/>
  <c r="B2162" i="1"/>
  <c r="T2161" i="1"/>
  <c r="Q2161" i="1"/>
  <c r="R2161" i="1" s="1"/>
  <c r="S2161" i="1" s="1"/>
  <c r="O2161" i="1"/>
  <c r="C2161" i="1"/>
  <c r="B2161" i="1"/>
  <c r="T2160" i="1"/>
  <c r="O2160" i="1"/>
  <c r="C2160" i="1"/>
  <c r="B2160" i="1"/>
  <c r="T2159" i="1"/>
  <c r="Q2159" i="1"/>
  <c r="R2159" i="1" s="1"/>
  <c r="S2159" i="1" s="1"/>
  <c r="O2159" i="1"/>
  <c r="C2159" i="1"/>
  <c r="B2159" i="1"/>
  <c r="T2158" i="1"/>
  <c r="O2158" i="1"/>
  <c r="Q2158" i="1" s="1"/>
  <c r="C2158" i="1"/>
  <c r="B2158" i="1"/>
  <c r="T2157" i="1"/>
  <c r="O2157" i="1"/>
  <c r="C2157" i="1"/>
  <c r="B2157" i="1"/>
  <c r="T2156" i="1"/>
  <c r="R2156" i="1"/>
  <c r="S2156" i="1" s="1"/>
  <c r="Q2156" i="1"/>
  <c r="O2156" i="1"/>
  <c r="C2156" i="1"/>
  <c r="B2156" i="1"/>
  <c r="T2155" i="1"/>
  <c r="O2155" i="1"/>
  <c r="C2155" i="1"/>
  <c r="B2155" i="1"/>
  <c r="T2154" i="1"/>
  <c r="R2154" i="1"/>
  <c r="S2154" i="1" s="1"/>
  <c r="Q2154" i="1"/>
  <c r="O2154" i="1"/>
  <c r="C2154" i="1"/>
  <c r="B2154" i="1"/>
  <c r="T2153" i="1"/>
  <c r="R2153" i="1"/>
  <c r="S2153" i="1" s="1"/>
  <c r="Q2153" i="1"/>
  <c r="O2153" i="1"/>
  <c r="C2153" i="1"/>
  <c r="B2153" i="1"/>
  <c r="T2152" i="1"/>
  <c r="Q2152" i="1"/>
  <c r="O2152" i="1"/>
  <c r="C2152" i="1"/>
  <c r="B2152" i="1"/>
  <c r="T2151" i="1"/>
  <c r="S2151" i="1"/>
  <c r="Q2151" i="1"/>
  <c r="O2151" i="1"/>
  <c r="R2151" i="1" s="1"/>
  <c r="C2151" i="1"/>
  <c r="B2151" i="1"/>
  <c r="T2150" i="1"/>
  <c r="S2150" i="1"/>
  <c r="R2150" i="1"/>
  <c r="Q2150" i="1"/>
  <c r="O2150" i="1"/>
  <c r="C2150" i="1"/>
  <c r="B2150" i="1"/>
  <c r="T2149" i="1"/>
  <c r="O2149" i="1"/>
  <c r="C2149" i="1"/>
  <c r="B2149" i="1"/>
  <c r="T2148" i="1"/>
  <c r="O2148" i="1"/>
  <c r="C2148" i="1"/>
  <c r="B2148" i="1"/>
  <c r="T2147" i="1"/>
  <c r="O2147" i="1"/>
  <c r="C2147" i="1"/>
  <c r="B2147" i="1"/>
  <c r="T2146" i="1"/>
  <c r="O2146" i="1"/>
  <c r="C2146" i="1"/>
  <c r="B2146" i="1"/>
  <c r="T2145" i="1"/>
  <c r="R2145" i="1"/>
  <c r="S2145" i="1" s="1"/>
  <c r="Q2145" i="1"/>
  <c r="O2145" i="1"/>
  <c r="C2145" i="1"/>
  <c r="B2145" i="1"/>
  <c r="T2144" i="1"/>
  <c r="R2144" i="1"/>
  <c r="S2144" i="1" s="1"/>
  <c r="Q2144" i="1"/>
  <c r="O2144" i="1"/>
  <c r="C2144" i="1"/>
  <c r="B2144" i="1"/>
  <c r="T2143" i="1"/>
  <c r="R2143" i="1"/>
  <c r="S2143" i="1" s="1"/>
  <c r="Q2143" i="1"/>
  <c r="O2143" i="1"/>
  <c r="C2143" i="1"/>
  <c r="B2143" i="1"/>
  <c r="T2142" i="1"/>
  <c r="Q2142" i="1"/>
  <c r="R2142" i="1" s="1"/>
  <c r="S2142" i="1" s="1"/>
  <c r="O2142" i="1"/>
  <c r="C2142" i="1"/>
  <c r="B2142" i="1"/>
  <c r="T2141" i="1"/>
  <c r="O2141" i="1"/>
  <c r="C2141" i="1"/>
  <c r="B2141" i="1"/>
  <c r="T2140" i="1"/>
  <c r="Q2140" i="1"/>
  <c r="O2140" i="1"/>
  <c r="C2140" i="1"/>
  <c r="B2140" i="1"/>
  <c r="T2139" i="1"/>
  <c r="R2139" i="1"/>
  <c r="S2139" i="1" s="1"/>
  <c r="Q2139" i="1"/>
  <c r="O2139" i="1"/>
  <c r="C2139" i="1"/>
  <c r="B2139" i="1"/>
  <c r="T2138" i="1"/>
  <c r="O2138" i="1"/>
  <c r="Q2138" i="1" s="1"/>
  <c r="R2138" i="1" s="1"/>
  <c r="S2138" i="1" s="1"/>
  <c r="C2138" i="1"/>
  <c r="B2138" i="1"/>
  <c r="T2137" i="1"/>
  <c r="Q2137" i="1"/>
  <c r="O2137" i="1"/>
  <c r="C2137" i="1"/>
  <c r="B2137" i="1"/>
  <c r="T2136" i="1"/>
  <c r="O2136" i="1"/>
  <c r="Q2136" i="1" s="1"/>
  <c r="R2136" i="1" s="1"/>
  <c r="S2136" i="1" s="1"/>
  <c r="C2136" i="1"/>
  <c r="B2136" i="1"/>
  <c r="T2135" i="1"/>
  <c r="O2135" i="1"/>
  <c r="C2135" i="1"/>
  <c r="B2135" i="1"/>
  <c r="T2134" i="1"/>
  <c r="O2134" i="1"/>
  <c r="C2134" i="1"/>
  <c r="B2134" i="1"/>
  <c r="T2133" i="1"/>
  <c r="R2133" i="1"/>
  <c r="S2133" i="1" s="1"/>
  <c r="Q2133" i="1"/>
  <c r="O2133" i="1"/>
  <c r="C2133" i="1"/>
  <c r="B2133" i="1"/>
  <c r="T2132" i="1"/>
  <c r="O2132" i="1"/>
  <c r="C2132" i="1"/>
  <c r="B2132" i="1"/>
  <c r="T2131" i="1"/>
  <c r="O2131" i="1"/>
  <c r="C2131" i="1"/>
  <c r="B2131" i="1"/>
  <c r="T2130" i="1"/>
  <c r="R2130" i="1"/>
  <c r="S2130" i="1" s="1"/>
  <c r="Q2130" i="1"/>
  <c r="O2130" i="1"/>
  <c r="C2130" i="1"/>
  <c r="B2130" i="1"/>
  <c r="T2129" i="1"/>
  <c r="O2129" i="1"/>
  <c r="Q2129" i="1" s="1"/>
  <c r="R2129" i="1" s="1"/>
  <c r="S2129" i="1" s="1"/>
  <c r="C2129" i="1"/>
  <c r="B2129" i="1"/>
  <c r="T2128" i="1"/>
  <c r="Q2128" i="1"/>
  <c r="R2128" i="1" s="1"/>
  <c r="S2128" i="1" s="1"/>
  <c r="O2128" i="1"/>
  <c r="C2128" i="1"/>
  <c r="B2128" i="1"/>
  <c r="T2127" i="1"/>
  <c r="Q2127" i="1"/>
  <c r="R2127" i="1" s="1"/>
  <c r="S2127" i="1" s="1"/>
  <c r="O2127" i="1"/>
  <c r="C2127" i="1"/>
  <c r="B2127" i="1"/>
  <c r="T2126" i="1"/>
  <c r="O2126" i="1"/>
  <c r="C2126" i="1"/>
  <c r="B2126" i="1"/>
  <c r="T2125" i="1"/>
  <c r="R2125" i="1"/>
  <c r="S2125" i="1" s="1"/>
  <c r="Q2125" i="1"/>
  <c r="O2125" i="1"/>
  <c r="C2125" i="1"/>
  <c r="B2125" i="1"/>
  <c r="T2124" i="1"/>
  <c r="O2124" i="1"/>
  <c r="C2124" i="1"/>
  <c r="B2124" i="1"/>
  <c r="T2123" i="1"/>
  <c r="O2123" i="1"/>
  <c r="C2123" i="1"/>
  <c r="B2123" i="1"/>
  <c r="T2122" i="1"/>
  <c r="S2122" i="1"/>
  <c r="Q2122" i="1"/>
  <c r="R2122" i="1" s="1"/>
  <c r="O2122" i="1"/>
  <c r="C2122" i="1"/>
  <c r="B2122" i="1"/>
  <c r="T2121" i="1"/>
  <c r="Q2121" i="1"/>
  <c r="R2121" i="1" s="1"/>
  <c r="S2121" i="1" s="1"/>
  <c r="O2121" i="1"/>
  <c r="C2121" i="1"/>
  <c r="B2121" i="1"/>
  <c r="T2120" i="1"/>
  <c r="Q2120" i="1"/>
  <c r="O2120" i="1"/>
  <c r="C2120" i="1"/>
  <c r="B2120" i="1"/>
  <c r="T2119" i="1"/>
  <c r="O2119" i="1"/>
  <c r="C2119" i="1"/>
  <c r="B2119" i="1"/>
  <c r="T2118" i="1"/>
  <c r="S2118" i="1"/>
  <c r="Q2118" i="1"/>
  <c r="R2118" i="1" s="1"/>
  <c r="O2118" i="1"/>
  <c r="C2118" i="1"/>
  <c r="B2118" i="1"/>
  <c r="T2117" i="1"/>
  <c r="Q2117" i="1"/>
  <c r="R2117" i="1" s="1"/>
  <c r="S2117" i="1" s="1"/>
  <c r="O2117" i="1"/>
  <c r="C2117" i="1"/>
  <c r="B2117" i="1"/>
  <c r="T2116" i="1"/>
  <c r="Q2116" i="1"/>
  <c r="O2116" i="1"/>
  <c r="C2116" i="1"/>
  <c r="B2116" i="1"/>
  <c r="T2115" i="1"/>
  <c r="O2115" i="1"/>
  <c r="C2115" i="1"/>
  <c r="B2115" i="1"/>
  <c r="T2114" i="1"/>
  <c r="O2114" i="1"/>
  <c r="Q2114" i="1" s="1"/>
  <c r="R2114" i="1" s="1"/>
  <c r="S2114" i="1" s="1"/>
  <c r="C2114" i="1"/>
  <c r="B2114" i="1"/>
  <c r="T2113" i="1"/>
  <c r="O2113" i="1"/>
  <c r="C2113" i="1"/>
  <c r="B2113" i="1"/>
  <c r="T2112" i="1"/>
  <c r="Q2112" i="1"/>
  <c r="O2112" i="1"/>
  <c r="C2112" i="1"/>
  <c r="B2112" i="1"/>
  <c r="T2111" i="1"/>
  <c r="O2111" i="1"/>
  <c r="C2111" i="1"/>
  <c r="B2111" i="1"/>
  <c r="T2110" i="1"/>
  <c r="O2110" i="1"/>
  <c r="C2110" i="1"/>
  <c r="B2110" i="1"/>
  <c r="T2109" i="1"/>
  <c r="O2109" i="1"/>
  <c r="C2109" i="1"/>
  <c r="B2109" i="1"/>
  <c r="T2108" i="1"/>
  <c r="Q2108" i="1"/>
  <c r="O2108" i="1"/>
  <c r="R2108" i="1" s="1"/>
  <c r="S2108" i="1" s="1"/>
  <c r="C2108" i="1"/>
  <c r="B2108" i="1"/>
  <c r="T2107" i="1"/>
  <c r="O2107" i="1"/>
  <c r="C2107" i="1"/>
  <c r="B2107" i="1"/>
  <c r="T2106" i="1"/>
  <c r="Q2106" i="1"/>
  <c r="R2106" i="1" s="1"/>
  <c r="S2106" i="1" s="1"/>
  <c r="O2106" i="1"/>
  <c r="C2106" i="1"/>
  <c r="B2106" i="1"/>
  <c r="T2105" i="1"/>
  <c r="O2105" i="1"/>
  <c r="Q2105" i="1" s="1"/>
  <c r="C2105" i="1"/>
  <c r="B2105" i="1"/>
  <c r="T2104" i="1"/>
  <c r="Q2104" i="1"/>
  <c r="R2104" i="1" s="1"/>
  <c r="S2104" i="1" s="1"/>
  <c r="O2104" i="1"/>
  <c r="C2104" i="1"/>
  <c r="B2104" i="1"/>
  <c r="T2103" i="1"/>
  <c r="O2103" i="1"/>
  <c r="C2103" i="1"/>
  <c r="B2103" i="1"/>
  <c r="T2102" i="1"/>
  <c r="O2102" i="1"/>
  <c r="C2102" i="1"/>
  <c r="B2102" i="1"/>
  <c r="T2101" i="1"/>
  <c r="O2101" i="1"/>
  <c r="C2101" i="1"/>
  <c r="B2101" i="1"/>
  <c r="T2100" i="1"/>
  <c r="O2100" i="1"/>
  <c r="C2100" i="1"/>
  <c r="B2100" i="1"/>
  <c r="T2099" i="1"/>
  <c r="O2099" i="1"/>
  <c r="Q2099" i="1" s="1"/>
  <c r="C2099" i="1"/>
  <c r="B2099" i="1"/>
  <c r="T2098" i="1"/>
  <c r="O2098" i="1"/>
  <c r="C2098" i="1"/>
  <c r="B2098" i="1"/>
  <c r="T2097" i="1"/>
  <c r="Q2097" i="1"/>
  <c r="R2097" i="1" s="1"/>
  <c r="S2097" i="1" s="1"/>
  <c r="O2097" i="1"/>
  <c r="C2097" i="1"/>
  <c r="B2097" i="1"/>
  <c r="T2096" i="1"/>
  <c r="O2096" i="1"/>
  <c r="Q2096" i="1" s="1"/>
  <c r="R2096" i="1" s="1"/>
  <c r="S2096" i="1" s="1"/>
  <c r="C2096" i="1"/>
  <c r="B2096" i="1"/>
  <c r="T2095" i="1"/>
  <c r="R2095" i="1"/>
  <c r="S2095" i="1" s="1"/>
  <c r="Q2095" i="1"/>
  <c r="O2095" i="1"/>
  <c r="C2095" i="1"/>
  <c r="B2095" i="1"/>
  <c r="T2094" i="1"/>
  <c r="Q2094" i="1"/>
  <c r="O2094" i="1"/>
  <c r="R2094" i="1" s="1"/>
  <c r="S2094" i="1" s="1"/>
  <c r="C2094" i="1"/>
  <c r="B2094" i="1"/>
  <c r="T2093" i="1"/>
  <c r="Q2093" i="1"/>
  <c r="R2093" i="1" s="1"/>
  <c r="S2093" i="1" s="1"/>
  <c r="O2093" i="1"/>
  <c r="C2093" i="1"/>
  <c r="B2093" i="1"/>
  <c r="T2092" i="1"/>
  <c r="Q2092" i="1"/>
  <c r="O2092" i="1"/>
  <c r="C2092" i="1"/>
  <c r="B2092" i="1"/>
  <c r="T2091" i="1"/>
  <c r="R2091" i="1"/>
  <c r="S2091" i="1" s="1"/>
  <c r="Q2091" i="1"/>
  <c r="O2091" i="1"/>
  <c r="C2091" i="1"/>
  <c r="B2091" i="1"/>
  <c r="T2090" i="1"/>
  <c r="O2090" i="1"/>
  <c r="Q2090" i="1" s="1"/>
  <c r="R2090" i="1" s="1"/>
  <c r="S2090" i="1" s="1"/>
  <c r="C2090" i="1"/>
  <c r="B2090" i="1"/>
  <c r="T2089" i="1"/>
  <c r="S2089" i="1"/>
  <c r="R2089" i="1"/>
  <c r="Q2089" i="1"/>
  <c r="O2089" i="1"/>
  <c r="C2089" i="1"/>
  <c r="B2089" i="1"/>
  <c r="T2088" i="1"/>
  <c r="O2088" i="1"/>
  <c r="C2088" i="1"/>
  <c r="B2088" i="1"/>
  <c r="T2087" i="1"/>
  <c r="Q2087" i="1"/>
  <c r="O2087" i="1"/>
  <c r="C2087" i="1"/>
  <c r="B2087" i="1"/>
  <c r="T2086" i="1"/>
  <c r="Q2086" i="1"/>
  <c r="R2086" i="1" s="1"/>
  <c r="S2086" i="1" s="1"/>
  <c r="O2086" i="1"/>
  <c r="C2086" i="1"/>
  <c r="B2086" i="1"/>
  <c r="T2085" i="1"/>
  <c r="R2085" i="1"/>
  <c r="S2085" i="1" s="1"/>
  <c r="Q2085" i="1"/>
  <c r="O2085" i="1"/>
  <c r="C2085" i="1"/>
  <c r="B2085" i="1"/>
  <c r="T2084" i="1"/>
  <c r="Q2084" i="1"/>
  <c r="R2084" i="1" s="1"/>
  <c r="S2084" i="1" s="1"/>
  <c r="O2084" i="1"/>
  <c r="C2084" i="1"/>
  <c r="B2084" i="1"/>
  <c r="T2083" i="1"/>
  <c r="O2083" i="1"/>
  <c r="C2083" i="1"/>
  <c r="B2083" i="1"/>
  <c r="T2082" i="1"/>
  <c r="S2082" i="1"/>
  <c r="R2082" i="1"/>
  <c r="Q2082" i="1"/>
  <c r="O2082" i="1"/>
  <c r="C2082" i="1"/>
  <c r="B2082" i="1"/>
  <c r="T2081" i="1"/>
  <c r="O2081" i="1"/>
  <c r="C2081" i="1"/>
  <c r="B2081" i="1"/>
  <c r="T2080" i="1"/>
  <c r="O2080" i="1"/>
  <c r="C2080" i="1"/>
  <c r="B2080" i="1"/>
  <c r="T2079" i="1"/>
  <c r="O2079" i="1"/>
  <c r="C2079" i="1"/>
  <c r="B2079" i="1"/>
  <c r="T2078" i="1"/>
  <c r="Q2078" i="1"/>
  <c r="R2078" i="1" s="1"/>
  <c r="S2078" i="1" s="1"/>
  <c r="O2078" i="1"/>
  <c r="C2078" i="1"/>
  <c r="B2078" i="1"/>
  <c r="T2077" i="1"/>
  <c r="O2077" i="1"/>
  <c r="C2077" i="1"/>
  <c r="B2077" i="1"/>
  <c r="T2076" i="1"/>
  <c r="O2076" i="1"/>
  <c r="C2076" i="1"/>
  <c r="B2076" i="1"/>
  <c r="T2075" i="1"/>
  <c r="O2075" i="1"/>
  <c r="Q2075" i="1" s="1"/>
  <c r="C2075" i="1"/>
  <c r="B2075" i="1"/>
  <c r="T2074" i="1"/>
  <c r="O2074" i="1"/>
  <c r="Q2074" i="1" s="1"/>
  <c r="R2074" i="1" s="1"/>
  <c r="S2074" i="1" s="1"/>
  <c r="C2074" i="1"/>
  <c r="B2074" i="1"/>
  <c r="T2073" i="1"/>
  <c r="S2073" i="1"/>
  <c r="R2073" i="1"/>
  <c r="Q2073" i="1"/>
  <c r="O2073" i="1"/>
  <c r="C2073" i="1"/>
  <c r="B2073" i="1"/>
  <c r="T2072" i="1"/>
  <c r="O2072" i="1"/>
  <c r="C2072" i="1"/>
  <c r="B2072" i="1"/>
  <c r="T2071" i="1"/>
  <c r="O2071" i="1"/>
  <c r="C2071" i="1"/>
  <c r="B2071" i="1"/>
  <c r="T2070" i="1"/>
  <c r="O2070" i="1"/>
  <c r="C2070" i="1"/>
  <c r="B2070" i="1"/>
  <c r="T2069" i="1"/>
  <c r="R2069" i="1"/>
  <c r="S2069" i="1" s="1"/>
  <c r="O2069" i="1"/>
  <c r="Q2069" i="1" s="1"/>
  <c r="C2069" i="1"/>
  <c r="B2069" i="1"/>
  <c r="T2068" i="1"/>
  <c r="Q2068" i="1"/>
  <c r="O2068" i="1"/>
  <c r="C2068" i="1"/>
  <c r="B2068" i="1"/>
  <c r="T2067" i="1"/>
  <c r="Q2067" i="1"/>
  <c r="R2067" i="1" s="1"/>
  <c r="S2067" i="1" s="1"/>
  <c r="O2067" i="1"/>
  <c r="C2067" i="1"/>
  <c r="B2067" i="1"/>
  <c r="T2066" i="1"/>
  <c r="R2066" i="1"/>
  <c r="S2066" i="1" s="1"/>
  <c r="O2066" i="1"/>
  <c r="Q2066" i="1" s="1"/>
  <c r="C2066" i="1"/>
  <c r="B2066" i="1"/>
  <c r="T2065" i="1"/>
  <c r="Q2065" i="1"/>
  <c r="R2065" i="1" s="1"/>
  <c r="S2065" i="1" s="1"/>
  <c r="O2065" i="1"/>
  <c r="C2065" i="1"/>
  <c r="B2065" i="1"/>
  <c r="T2064" i="1"/>
  <c r="Q2064" i="1"/>
  <c r="O2064" i="1"/>
  <c r="C2064" i="1"/>
  <c r="B2064" i="1"/>
  <c r="T2063" i="1"/>
  <c r="O2063" i="1"/>
  <c r="C2063" i="1"/>
  <c r="B2063" i="1"/>
  <c r="T2062" i="1"/>
  <c r="Q2062" i="1"/>
  <c r="O2062" i="1"/>
  <c r="C2062" i="1"/>
  <c r="B2062" i="1"/>
  <c r="T2061" i="1"/>
  <c r="Q2061" i="1"/>
  <c r="R2061" i="1" s="1"/>
  <c r="S2061" i="1" s="1"/>
  <c r="O2061" i="1"/>
  <c r="C2061" i="1"/>
  <c r="B2061" i="1"/>
  <c r="T2060" i="1"/>
  <c r="S2060" i="1"/>
  <c r="R2060" i="1"/>
  <c r="Q2060" i="1"/>
  <c r="O2060" i="1"/>
  <c r="C2060" i="1"/>
  <c r="B2060" i="1"/>
  <c r="T2059" i="1"/>
  <c r="O2059" i="1"/>
  <c r="C2059" i="1"/>
  <c r="B2059" i="1"/>
  <c r="T2058" i="1"/>
  <c r="S2058" i="1"/>
  <c r="R2058" i="1"/>
  <c r="Q2058" i="1"/>
  <c r="O2058" i="1"/>
  <c r="C2058" i="1"/>
  <c r="B2058" i="1"/>
  <c r="T2057" i="1"/>
  <c r="O2057" i="1"/>
  <c r="C2057" i="1"/>
  <c r="B2057" i="1"/>
  <c r="T2056" i="1"/>
  <c r="O2056" i="1"/>
  <c r="C2056" i="1"/>
  <c r="B2056" i="1"/>
  <c r="T2055" i="1"/>
  <c r="O2055" i="1"/>
  <c r="C2055" i="1"/>
  <c r="B2055" i="1"/>
  <c r="T2054" i="1"/>
  <c r="S2054" i="1"/>
  <c r="R2054" i="1"/>
  <c r="Q2054" i="1"/>
  <c r="O2054" i="1"/>
  <c r="C2054" i="1"/>
  <c r="B2054" i="1"/>
  <c r="T2053" i="1"/>
  <c r="S2053" i="1"/>
  <c r="R2053" i="1"/>
  <c r="Q2053" i="1"/>
  <c r="O2053" i="1"/>
  <c r="C2053" i="1"/>
  <c r="B2053" i="1"/>
  <c r="T2052" i="1"/>
  <c r="O2052" i="1"/>
  <c r="C2052" i="1"/>
  <c r="B2052" i="1"/>
  <c r="T2051" i="1"/>
  <c r="O2051" i="1"/>
  <c r="Q2051" i="1" s="1"/>
  <c r="C2051" i="1"/>
  <c r="B2051" i="1"/>
  <c r="T2050" i="1"/>
  <c r="O2050" i="1"/>
  <c r="C2050" i="1"/>
  <c r="B2050" i="1"/>
  <c r="T2049" i="1"/>
  <c r="S2049" i="1"/>
  <c r="R2049" i="1"/>
  <c r="Q2049" i="1"/>
  <c r="O2049" i="1"/>
  <c r="C2049" i="1"/>
  <c r="B2049" i="1"/>
  <c r="T2048" i="1"/>
  <c r="O2048" i="1"/>
  <c r="C2048" i="1"/>
  <c r="B2048" i="1"/>
  <c r="T2047" i="1"/>
  <c r="O2047" i="1"/>
  <c r="Q2047" i="1" s="1"/>
  <c r="R2047" i="1" s="1"/>
  <c r="S2047" i="1" s="1"/>
  <c r="C2047" i="1"/>
  <c r="B2047" i="1"/>
  <c r="T2046" i="1"/>
  <c r="S2046" i="1"/>
  <c r="R2046" i="1"/>
  <c r="Q2046" i="1"/>
  <c r="O2046" i="1"/>
  <c r="C2046" i="1"/>
  <c r="B2046" i="1"/>
  <c r="T2045" i="1"/>
  <c r="O2045" i="1"/>
  <c r="C2045" i="1"/>
  <c r="B2045" i="1"/>
  <c r="T2044" i="1"/>
  <c r="Q2044" i="1"/>
  <c r="O2044" i="1"/>
  <c r="R2044" i="1" s="1"/>
  <c r="S2044" i="1" s="1"/>
  <c r="C2044" i="1"/>
  <c r="B2044" i="1"/>
  <c r="T2043" i="1"/>
  <c r="O2043" i="1"/>
  <c r="C2043" i="1"/>
  <c r="B2043" i="1"/>
  <c r="T2042" i="1"/>
  <c r="O2042" i="1"/>
  <c r="C2042" i="1"/>
  <c r="B2042" i="1"/>
  <c r="T2041" i="1"/>
  <c r="O2041" i="1"/>
  <c r="C2041" i="1"/>
  <c r="B2041" i="1"/>
  <c r="T2040" i="1"/>
  <c r="Q2040" i="1"/>
  <c r="R2040" i="1" s="1"/>
  <c r="S2040" i="1" s="1"/>
  <c r="O2040" i="1"/>
  <c r="C2040" i="1"/>
  <c r="B2040" i="1"/>
  <c r="T2039" i="1"/>
  <c r="R2039" i="1"/>
  <c r="S2039" i="1" s="1"/>
  <c r="Q2039" i="1"/>
  <c r="O2039" i="1"/>
  <c r="C2039" i="1"/>
  <c r="B2039" i="1"/>
  <c r="T2038" i="1"/>
  <c r="Q2038" i="1"/>
  <c r="R2038" i="1" s="1"/>
  <c r="S2038" i="1" s="1"/>
  <c r="O2038" i="1"/>
  <c r="C2038" i="1"/>
  <c r="B2038" i="1"/>
  <c r="T2037" i="1"/>
  <c r="R2037" i="1"/>
  <c r="S2037" i="1" s="1"/>
  <c r="Q2037" i="1"/>
  <c r="O2037" i="1"/>
  <c r="C2037" i="1"/>
  <c r="B2037" i="1"/>
  <c r="T2036" i="1"/>
  <c r="O2036" i="1"/>
  <c r="C2036" i="1"/>
  <c r="B2036" i="1"/>
  <c r="T2035" i="1"/>
  <c r="R2035" i="1"/>
  <c r="S2035" i="1" s="1"/>
  <c r="O2035" i="1"/>
  <c r="Q2035" i="1" s="1"/>
  <c r="C2035" i="1"/>
  <c r="B2035" i="1"/>
  <c r="T2034" i="1"/>
  <c r="Q2034" i="1"/>
  <c r="R2034" i="1" s="1"/>
  <c r="S2034" i="1" s="1"/>
  <c r="O2034" i="1"/>
  <c r="C2034" i="1"/>
  <c r="B2034" i="1"/>
  <c r="T2033" i="1"/>
  <c r="O2033" i="1"/>
  <c r="C2033" i="1"/>
  <c r="B2033" i="1"/>
  <c r="T2032" i="1"/>
  <c r="O2032" i="1"/>
  <c r="Q2032" i="1" s="1"/>
  <c r="R2032" i="1" s="1"/>
  <c r="S2032" i="1" s="1"/>
  <c r="C2032" i="1"/>
  <c r="B2032" i="1"/>
  <c r="T2031" i="1"/>
  <c r="R2031" i="1"/>
  <c r="S2031" i="1" s="1"/>
  <c r="Q2031" i="1"/>
  <c r="O2031" i="1"/>
  <c r="C2031" i="1"/>
  <c r="B2031" i="1"/>
  <c r="T2030" i="1"/>
  <c r="O2030" i="1"/>
  <c r="C2030" i="1"/>
  <c r="B2030" i="1"/>
  <c r="T2029" i="1"/>
  <c r="O2029" i="1"/>
  <c r="C2029" i="1"/>
  <c r="B2029" i="1"/>
  <c r="T2028" i="1"/>
  <c r="O2028" i="1"/>
  <c r="C2028" i="1"/>
  <c r="B2028" i="1"/>
  <c r="T2027" i="1"/>
  <c r="O2027" i="1"/>
  <c r="C2027" i="1"/>
  <c r="B2027" i="1"/>
  <c r="T2026" i="1"/>
  <c r="O2026" i="1"/>
  <c r="C2026" i="1"/>
  <c r="B2026" i="1"/>
  <c r="T2025" i="1"/>
  <c r="O2025" i="1"/>
  <c r="C2025" i="1"/>
  <c r="B2025" i="1"/>
  <c r="T2024" i="1"/>
  <c r="O2024" i="1"/>
  <c r="C2024" i="1"/>
  <c r="B2024" i="1"/>
  <c r="T2023" i="1"/>
  <c r="O2023" i="1"/>
  <c r="C2023" i="1"/>
  <c r="B2023" i="1"/>
  <c r="T2022" i="1"/>
  <c r="Q2022" i="1"/>
  <c r="R2022" i="1" s="1"/>
  <c r="S2022" i="1" s="1"/>
  <c r="O2022" i="1"/>
  <c r="C2022" i="1"/>
  <c r="B2022" i="1"/>
  <c r="T2021" i="1"/>
  <c r="O2021" i="1"/>
  <c r="C2021" i="1"/>
  <c r="B2021" i="1"/>
  <c r="T2020" i="1"/>
  <c r="O2020" i="1"/>
  <c r="Q2020" i="1" s="1"/>
  <c r="C2020" i="1"/>
  <c r="B2020" i="1"/>
  <c r="T2019" i="1"/>
  <c r="R2019" i="1"/>
  <c r="S2019" i="1" s="1"/>
  <c r="O2019" i="1"/>
  <c r="Q2019" i="1" s="1"/>
  <c r="C2019" i="1"/>
  <c r="B2019" i="1"/>
  <c r="T2018" i="1"/>
  <c r="O2018" i="1"/>
  <c r="C2018" i="1"/>
  <c r="B2018" i="1"/>
  <c r="T2017" i="1"/>
  <c r="Q2017" i="1"/>
  <c r="O2017" i="1"/>
  <c r="C2017" i="1"/>
  <c r="B2017" i="1"/>
  <c r="T2016" i="1"/>
  <c r="Q2016" i="1"/>
  <c r="O2016" i="1"/>
  <c r="C2016" i="1"/>
  <c r="B2016" i="1"/>
  <c r="T2015" i="1"/>
  <c r="S2015" i="1"/>
  <c r="R2015" i="1"/>
  <c r="Q2015" i="1"/>
  <c r="O2015" i="1"/>
  <c r="C2015" i="1"/>
  <c r="B2015" i="1"/>
  <c r="T2014" i="1"/>
  <c r="R2014" i="1"/>
  <c r="S2014" i="1" s="1"/>
  <c r="Q2014" i="1"/>
  <c r="O2014" i="1"/>
  <c r="C2014" i="1"/>
  <c r="B2014" i="1"/>
  <c r="T2013" i="1"/>
  <c r="O2013" i="1"/>
  <c r="C2013" i="1"/>
  <c r="B2013" i="1"/>
  <c r="T2012" i="1"/>
  <c r="O2012" i="1"/>
  <c r="Q2012" i="1" s="1"/>
  <c r="C2012" i="1"/>
  <c r="B2012" i="1"/>
  <c r="T2011" i="1"/>
  <c r="Q2011" i="1"/>
  <c r="R2011" i="1" s="1"/>
  <c r="S2011" i="1" s="1"/>
  <c r="O2011" i="1"/>
  <c r="C2011" i="1"/>
  <c r="B2011" i="1"/>
  <c r="T2010" i="1"/>
  <c r="O2010" i="1"/>
  <c r="Q2010" i="1" s="1"/>
  <c r="C2010" i="1"/>
  <c r="B2010" i="1"/>
  <c r="T2009" i="1"/>
  <c r="O2009" i="1"/>
  <c r="C2009" i="1"/>
  <c r="B2009" i="1"/>
  <c r="T2008" i="1"/>
  <c r="O2008" i="1"/>
  <c r="Q2008" i="1" s="1"/>
  <c r="R2008" i="1" s="1"/>
  <c r="S2008" i="1" s="1"/>
  <c r="C2008" i="1"/>
  <c r="B2008" i="1"/>
  <c r="T2007" i="1"/>
  <c r="S2007" i="1"/>
  <c r="R2007" i="1"/>
  <c r="Q2007" i="1"/>
  <c r="O2007" i="1"/>
  <c r="C2007" i="1"/>
  <c r="B2007" i="1"/>
  <c r="T2006" i="1"/>
  <c r="O2006" i="1"/>
  <c r="C2006" i="1"/>
  <c r="B2006" i="1"/>
  <c r="T2005" i="1"/>
  <c r="O2005" i="1"/>
  <c r="C2005" i="1"/>
  <c r="B2005" i="1"/>
  <c r="T2004" i="1"/>
  <c r="O2004" i="1"/>
  <c r="Q2004" i="1" s="1"/>
  <c r="C2004" i="1"/>
  <c r="B2004" i="1"/>
  <c r="T2003" i="1"/>
  <c r="Q2003" i="1"/>
  <c r="O2003" i="1"/>
  <c r="C2003" i="1"/>
  <c r="B2003" i="1"/>
  <c r="T2002" i="1"/>
  <c r="O2002" i="1"/>
  <c r="C2002" i="1"/>
  <c r="B2002" i="1"/>
  <c r="T2001" i="1"/>
  <c r="O2001" i="1"/>
  <c r="C2001" i="1"/>
  <c r="B2001" i="1"/>
  <c r="T2000" i="1"/>
  <c r="O2000" i="1"/>
  <c r="C2000" i="1"/>
  <c r="B2000" i="1"/>
  <c r="T1999" i="1"/>
  <c r="O1999" i="1"/>
  <c r="C1999" i="1"/>
  <c r="B1999" i="1"/>
  <c r="T1998" i="1"/>
  <c r="S1998" i="1"/>
  <c r="R1998" i="1"/>
  <c r="Q1998" i="1"/>
  <c r="O1998" i="1"/>
  <c r="C1998" i="1"/>
  <c r="B1998" i="1"/>
  <c r="T1997" i="1"/>
  <c r="Q1997" i="1"/>
  <c r="O1997" i="1"/>
  <c r="C1997" i="1"/>
  <c r="B1997" i="1"/>
  <c r="T1996" i="1"/>
  <c r="Q1996" i="1"/>
  <c r="R1996" i="1" s="1"/>
  <c r="S1996" i="1" s="1"/>
  <c r="O1996" i="1"/>
  <c r="C1996" i="1"/>
  <c r="B1996" i="1"/>
  <c r="T1995" i="1"/>
  <c r="R1995" i="1"/>
  <c r="S1995" i="1" s="1"/>
  <c r="Q1995" i="1"/>
  <c r="O1995" i="1"/>
  <c r="C1995" i="1"/>
  <c r="B1995" i="1"/>
  <c r="T1994" i="1"/>
  <c r="O1994" i="1"/>
  <c r="Q1994" i="1" s="1"/>
  <c r="C1994" i="1"/>
  <c r="B1994" i="1"/>
  <c r="T1993" i="1"/>
  <c r="O1993" i="1"/>
  <c r="C1993" i="1"/>
  <c r="B1993" i="1"/>
  <c r="T1992" i="1"/>
  <c r="Q1992" i="1"/>
  <c r="R1992" i="1" s="1"/>
  <c r="S1992" i="1" s="1"/>
  <c r="O1992" i="1"/>
  <c r="C1992" i="1"/>
  <c r="B1992" i="1"/>
  <c r="T1991" i="1"/>
  <c r="R1991" i="1"/>
  <c r="S1991" i="1" s="1"/>
  <c r="Q1991" i="1"/>
  <c r="O1991" i="1"/>
  <c r="C1991" i="1"/>
  <c r="B1991" i="1"/>
  <c r="T1990" i="1"/>
  <c r="R1990" i="1"/>
  <c r="S1990" i="1" s="1"/>
  <c r="Q1990" i="1"/>
  <c r="O1990" i="1"/>
  <c r="C1990" i="1"/>
  <c r="B1990" i="1"/>
  <c r="T1989" i="1"/>
  <c r="R1989" i="1"/>
  <c r="S1989" i="1" s="1"/>
  <c r="Q1989" i="1"/>
  <c r="O1989" i="1"/>
  <c r="C1989" i="1"/>
  <c r="B1989" i="1"/>
  <c r="T1988" i="1"/>
  <c r="O1988" i="1"/>
  <c r="C1988" i="1"/>
  <c r="B1988" i="1"/>
  <c r="T1987" i="1"/>
  <c r="O1987" i="1"/>
  <c r="C1987" i="1"/>
  <c r="B1987" i="1"/>
  <c r="T1986" i="1"/>
  <c r="Q1986" i="1"/>
  <c r="O1986" i="1"/>
  <c r="R1986" i="1" s="1"/>
  <c r="S1986" i="1" s="1"/>
  <c r="C1986" i="1"/>
  <c r="B1986" i="1"/>
  <c r="T1985" i="1"/>
  <c r="O1985" i="1"/>
  <c r="C1985" i="1"/>
  <c r="B1985" i="1"/>
  <c r="T1984" i="1"/>
  <c r="S1984" i="1"/>
  <c r="O1984" i="1"/>
  <c r="Q1984" i="1" s="1"/>
  <c r="R1984" i="1" s="1"/>
  <c r="C1984" i="1"/>
  <c r="B1984" i="1"/>
  <c r="T1983" i="1"/>
  <c r="S1983" i="1"/>
  <c r="R1983" i="1"/>
  <c r="Q1983" i="1"/>
  <c r="O1983" i="1"/>
  <c r="C1983" i="1"/>
  <c r="B1983" i="1"/>
  <c r="T1982" i="1"/>
  <c r="Q1982" i="1"/>
  <c r="O1982" i="1"/>
  <c r="C1982" i="1"/>
  <c r="B1982" i="1"/>
  <c r="T1981" i="1"/>
  <c r="R1981" i="1"/>
  <c r="S1981" i="1" s="1"/>
  <c r="Q1981" i="1"/>
  <c r="O1981" i="1"/>
  <c r="C1981" i="1"/>
  <c r="B1981" i="1"/>
  <c r="T1980" i="1"/>
  <c r="Q1980" i="1"/>
  <c r="R1980" i="1" s="1"/>
  <c r="S1980" i="1" s="1"/>
  <c r="O1980" i="1"/>
  <c r="C1980" i="1"/>
  <c r="B1980" i="1"/>
  <c r="T1979" i="1"/>
  <c r="O1979" i="1"/>
  <c r="Q1979" i="1" s="1"/>
  <c r="R1979" i="1" s="1"/>
  <c r="S1979" i="1" s="1"/>
  <c r="C1979" i="1"/>
  <c r="B1979" i="1"/>
  <c r="T1978" i="1"/>
  <c r="S1978" i="1"/>
  <c r="Q1978" i="1"/>
  <c r="R1978" i="1" s="1"/>
  <c r="O1978" i="1"/>
  <c r="C1978" i="1"/>
  <c r="B1978" i="1"/>
  <c r="T1977" i="1"/>
  <c r="O1977" i="1"/>
  <c r="C1977" i="1"/>
  <c r="B1977" i="1"/>
  <c r="T1976" i="1"/>
  <c r="O1976" i="1"/>
  <c r="C1976" i="1"/>
  <c r="B1976" i="1"/>
  <c r="T1975" i="1"/>
  <c r="O1975" i="1"/>
  <c r="Q1975" i="1" s="1"/>
  <c r="R1975" i="1" s="1"/>
  <c r="S1975" i="1" s="1"/>
  <c r="C1975" i="1"/>
  <c r="B1975" i="1"/>
  <c r="T1974" i="1"/>
  <c r="Q1974" i="1"/>
  <c r="R1974" i="1" s="1"/>
  <c r="S1974" i="1" s="1"/>
  <c r="O1974" i="1"/>
  <c r="C1974" i="1"/>
  <c r="B1974" i="1"/>
  <c r="T1973" i="1"/>
  <c r="Q1973" i="1"/>
  <c r="R1973" i="1" s="1"/>
  <c r="S1973" i="1" s="1"/>
  <c r="O1973" i="1"/>
  <c r="C1973" i="1"/>
  <c r="B1973" i="1"/>
  <c r="T1972" i="1"/>
  <c r="Q1972" i="1"/>
  <c r="O1972" i="1"/>
  <c r="C1972" i="1"/>
  <c r="B1972" i="1"/>
  <c r="T1971" i="1"/>
  <c r="Q1971" i="1"/>
  <c r="R1971" i="1" s="1"/>
  <c r="S1971" i="1" s="1"/>
  <c r="O1971" i="1"/>
  <c r="C1971" i="1"/>
  <c r="B1971" i="1"/>
  <c r="T1970" i="1"/>
  <c r="O1970" i="1"/>
  <c r="C1970" i="1"/>
  <c r="B1970" i="1"/>
  <c r="T1969" i="1"/>
  <c r="Q1969" i="1"/>
  <c r="O1969" i="1"/>
  <c r="C1969" i="1"/>
  <c r="B1969" i="1"/>
  <c r="T1968" i="1"/>
  <c r="O1968" i="1"/>
  <c r="C1968" i="1"/>
  <c r="B1968" i="1"/>
  <c r="T1967" i="1"/>
  <c r="R1967" i="1"/>
  <c r="S1967" i="1" s="1"/>
  <c r="Q1967" i="1"/>
  <c r="O1967" i="1"/>
  <c r="C1967" i="1"/>
  <c r="B1967" i="1"/>
  <c r="T1966" i="1"/>
  <c r="Q1966" i="1"/>
  <c r="R1966" i="1" s="1"/>
  <c r="S1966" i="1" s="1"/>
  <c r="O1966" i="1"/>
  <c r="C1966" i="1"/>
  <c r="B1966" i="1"/>
  <c r="T1965" i="1"/>
  <c r="Q1965" i="1"/>
  <c r="R1965" i="1" s="1"/>
  <c r="S1965" i="1" s="1"/>
  <c r="O1965" i="1"/>
  <c r="C1965" i="1"/>
  <c r="B1965" i="1"/>
  <c r="T1964" i="1"/>
  <c r="O1964" i="1"/>
  <c r="C1964" i="1"/>
  <c r="B1964" i="1"/>
  <c r="T1963" i="1"/>
  <c r="O1963" i="1"/>
  <c r="C1963" i="1"/>
  <c r="B1963" i="1"/>
  <c r="T1962" i="1"/>
  <c r="Q1962" i="1"/>
  <c r="O1962" i="1"/>
  <c r="R1962" i="1" s="1"/>
  <c r="S1962" i="1" s="1"/>
  <c r="C1962" i="1"/>
  <c r="B1962" i="1"/>
  <c r="T1961" i="1"/>
  <c r="O1961" i="1"/>
  <c r="C1961" i="1"/>
  <c r="B1961" i="1"/>
  <c r="T1960" i="1"/>
  <c r="S1960" i="1"/>
  <c r="O1960" i="1"/>
  <c r="Q1960" i="1" s="1"/>
  <c r="R1960" i="1" s="1"/>
  <c r="C1960" i="1"/>
  <c r="B1960" i="1"/>
  <c r="T1959" i="1"/>
  <c r="S1959" i="1"/>
  <c r="R1959" i="1"/>
  <c r="Q1959" i="1"/>
  <c r="O1959" i="1"/>
  <c r="C1959" i="1"/>
  <c r="B1959" i="1"/>
  <c r="T1958" i="1"/>
  <c r="O1958" i="1"/>
  <c r="C1958" i="1"/>
  <c r="B1958" i="1"/>
  <c r="T1957" i="1"/>
  <c r="O1957" i="1"/>
  <c r="C1957" i="1"/>
  <c r="B1957" i="1"/>
  <c r="T1956" i="1"/>
  <c r="O1956" i="1"/>
  <c r="C1956" i="1"/>
  <c r="B1956" i="1"/>
  <c r="T1955" i="1"/>
  <c r="O1955" i="1"/>
  <c r="C1955" i="1"/>
  <c r="B1955" i="1"/>
  <c r="T1954" i="1"/>
  <c r="S1954" i="1"/>
  <c r="R1954" i="1"/>
  <c r="Q1954" i="1"/>
  <c r="O1954" i="1"/>
  <c r="C1954" i="1"/>
  <c r="B1954" i="1"/>
  <c r="T1953" i="1"/>
  <c r="O1953" i="1"/>
  <c r="C1953" i="1"/>
  <c r="B1953" i="1"/>
  <c r="T1952" i="1"/>
  <c r="O1952" i="1"/>
  <c r="C1952" i="1"/>
  <c r="B1952" i="1"/>
  <c r="T1951" i="1"/>
  <c r="S1951" i="1"/>
  <c r="Q1951" i="1"/>
  <c r="O1951" i="1"/>
  <c r="R1951" i="1" s="1"/>
  <c r="C1951" i="1"/>
  <c r="B1951" i="1"/>
  <c r="T1950" i="1"/>
  <c r="S1950" i="1"/>
  <c r="R1950" i="1"/>
  <c r="Q1950" i="1"/>
  <c r="O1950" i="1"/>
  <c r="C1950" i="1"/>
  <c r="B1950" i="1"/>
  <c r="T1949" i="1"/>
  <c r="Q1949" i="1"/>
  <c r="O1949" i="1"/>
  <c r="C1949" i="1"/>
  <c r="B1949" i="1"/>
  <c r="T1948" i="1"/>
  <c r="Q1948" i="1"/>
  <c r="O1948" i="1"/>
  <c r="R1948" i="1" s="1"/>
  <c r="S1948" i="1" s="1"/>
  <c r="C1948" i="1"/>
  <c r="B1948" i="1"/>
  <c r="T1947" i="1"/>
  <c r="Q1947" i="1"/>
  <c r="O1947" i="1"/>
  <c r="C1947" i="1"/>
  <c r="B1947" i="1"/>
  <c r="T1946" i="1"/>
  <c r="O1946" i="1"/>
  <c r="C1946" i="1"/>
  <c r="B1946" i="1"/>
  <c r="T1945" i="1"/>
  <c r="O1945" i="1"/>
  <c r="C1945" i="1"/>
  <c r="B1945" i="1"/>
  <c r="T1944" i="1"/>
  <c r="O1944" i="1"/>
  <c r="C1944" i="1"/>
  <c r="B1944" i="1"/>
  <c r="T1943" i="1"/>
  <c r="R1943" i="1"/>
  <c r="S1943" i="1" s="1"/>
  <c r="Q1943" i="1"/>
  <c r="O1943" i="1"/>
  <c r="C1943" i="1"/>
  <c r="B1943" i="1"/>
  <c r="T1942" i="1"/>
  <c r="R1942" i="1"/>
  <c r="S1942" i="1" s="1"/>
  <c r="Q1942" i="1"/>
  <c r="O1942" i="1"/>
  <c r="C1942" i="1"/>
  <c r="B1942" i="1"/>
  <c r="T1941" i="1"/>
  <c r="O1941" i="1"/>
  <c r="Q1941" i="1" s="1"/>
  <c r="C1941" i="1"/>
  <c r="B1941" i="1"/>
  <c r="T1940" i="1"/>
  <c r="O1940" i="1"/>
  <c r="Q1940" i="1" s="1"/>
  <c r="R1940" i="1" s="1"/>
  <c r="S1940" i="1" s="1"/>
  <c r="C1940" i="1"/>
  <c r="B1940" i="1"/>
  <c r="T1939" i="1"/>
  <c r="R1939" i="1"/>
  <c r="S1939" i="1" s="1"/>
  <c r="Q1939" i="1"/>
  <c r="O1939" i="1"/>
  <c r="C1939" i="1"/>
  <c r="B1939" i="1"/>
  <c r="T1938" i="1"/>
  <c r="O1938" i="1"/>
  <c r="C1938" i="1"/>
  <c r="B1938" i="1"/>
  <c r="T1937" i="1"/>
  <c r="O1937" i="1"/>
  <c r="C1937" i="1"/>
  <c r="B1937" i="1"/>
  <c r="T1936" i="1"/>
  <c r="O1936" i="1"/>
  <c r="Q1936" i="1" s="1"/>
  <c r="R1936" i="1" s="1"/>
  <c r="S1936" i="1" s="1"/>
  <c r="C1936" i="1"/>
  <c r="B1936" i="1"/>
  <c r="T1935" i="1"/>
  <c r="R1935" i="1"/>
  <c r="S1935" i="1" s="1"/>
  <c r="Q1935" i="1"/>
  <c r="O1935" i="1"/>
  <c r="C1935" i="1"/>
  <c r="B1935" i="1"/>
  <c r="T1934" i="1"/>
  <c r="O1934" i="1"/>
  <c r="C1934" i="1"/>
  <c r="B1934" i="1"/>
  <c r="T1933" i="1"/>
  <c r="O1933" i="1"/>
  <c r="C1933" i="1"/>
  <c r="B1933" i="1"/>
  <c r="T1932" i="1"/>
  <c r="Q1932" i="1"/>
  <c r="O1932" i="1"/>
  <c r="C1932" i="1"/>
  <c r="B1932" i="1"/>
  <c r="T1931" i="1"/>
  <c r="Q1931" i="1"/>
  <c r="R1931" i="1" s="1"/>
  <c r="S1931" i="1" s="1"/>
  <c r="O1931" i="1"/>
  <c r="C1931" i="1"/>
  <c r="B1931" i="1"/>
  <c r="T1930" i="1"/>
  <c r="Q1930" i="1"/>
  <c r="O1930" i="1"/>
  <c r="C1930" i="1"/>
  <c r="B1930" i="1"/>
  <c r="T1929" i="1"/>
  <c r="O1929" i="1"/>
  <c r="C1929" i="1"/>
  <c r="B1929" i="1"/>
  <c r="T1928" i="1"/>
  <c r="O1928" i="1"/>
  <c r="C1928" i="1"/>
  <c r="B1928" i="1"/>
  <c r="T1927" i="1"/>
  <c r="R1927" i="1"/>
  <c r="S1927" i="1" s="1"/>
  <c r="Q1927" i="1"/>
  <c r="O1927" i="1"/>
  <c r="C1927" i="1"/>
  <c r="B1927" i="1"/>
  <c r="T1926" i="1"/>
  <c r="R1926" i="1"/>
  <c r="S1926" i="1" s="1"/>
  <c r="Q1926" i="1"/>
  <c r="O1926" i="1"/>
  <c r="C1926" i="1"/>
  <c r="B1926" i="1"/>
  <c r="T1925" i="1"/>
  <c r="O1925" i="1"/>
  <c r="C1925" i="1"/>
  <c r="B1925" i="1"/>
  <c r="T1924" i="1"/>
  <c r="R1924" i="1"/>
  <c r="S1924" i="1" s="1"/>
  <c r="Q1924" i="1"/>
  <c r="O1924" i="1"/>
  <c r="C1924" i="1"/>
  <c r="B1924" i="1"/>
  <c r="T1923" i="1"/>
  <c r="O1923" i="1"/>
  <c r="C1923" i="1"/>
  <c r="B1923" i="1"/>
  <c r="T1922" i="1"/>
  <c r="Q1922" i="1"/>
  <c r="O1922" i="1"/>
  <c r="C1922" i="1"/>
  <c r="B1922" i="1"/>
  <c r="T1921" i="1"/>
  <c r="Q1921" i="1"/>
  <c r="O1921" i="1"/>
  <c r="C1921" i="1"/>
  <c r="B1921" i="1"/>
  <c r="T1920" i="1"/>
  <c r="S1920" i="1"/>
  <c r="R1920" i="1"/>
  <c r="Q1920" i="1"/>
  <c r="O1920" i="1"/>
  <c r="C1920" i="1"/>
  <c r="B1920" i="1"/>
  <c r="T1919" i="1"/>
  <c r="S1919" i="1"/>
  <c r="R1919" i="1"/>
  <c r="Q1919" i="1"/>
  <c r="O1919" i="1"/>
  <c r="C1919" i="1"/>
  <c r="B1919" i="1"/>
  <c r="T1918" i="1"/>
  <c r="Q1918" i="1"/>
  <c r="R1918" i="1" s="1"/>
  <c r="S1918" i="1" s="1"/>
  <c r="O1918" i="1"/>
  <c r="C1918" i="1"/>
  <c r="B1918" i="1"/>
  <c r="T1917" i="1"/>
  <c r="Q1917" i="1"/>
  <c r="O1917" i="1"/>
  <c r="C1917" i="1"/>
  <c r="B1917" i="1"/>
  <c r="T1916" i="1"/>
  <c r="R1916" i="1"/>
  <c r="S1916" i="1" s="1"/>
  <c r="O1916" i="1"/>
  <c r="Q1916" i="1" s="1"/>
  <c r="C1916" i="1"/>
  <c r="B1916" i="1"/>
  <c r="T1915" i="1"/>
  <c r="Q1915" i="1"/>
  <c r="R1915" i="1" s="1"/>
  <c r="S1915" i="1" s="1"/>
  <c r="O1915" i="1"/>
  <c r="C1915" i="1"/>
  <c r="B1915" i="1"/>
  <c r="T1914" i="1"/>
  <c r="Q1914" i="1"/>
  <c r="R1914" i="1" s="1"/>
  <c r="S1914" i="1" s="1"/>
  <c r="O1914" i="1"/>
  <c r="C1914" i="1"/>
  <c r="B1914" i="1"/>
  <c r="T1913" i="1"/>
  <c r="O1913" i="1"/>
  <c r="C1913" i="1"/>
  <c r="B1913" i="1"/>
  <c r="T1912" i="1"/>
  <c r="O1912" i="1"/>
  <c r="Q1912" i="1" s="1"/>
  <c r="R1912" i="1" s="1"/>
  <c r="S1912" i="1" s="1"/>
  <c r="C1912" i="1"/>
  <c r="B1912" i="1"/>
  <c r="T1911" i="1"/>
  <c r="S1911" i="1"/>
  <c r="R1911" i="1"/>
  <c r="Q1911" i="1"/>
  <c r="O1911" i="1"/>
  <c r="C1911" i="1"/>
  <c r="B1911" i="1"/>
  <c r="T1910" i="1"/>
  <c r="R1910" i="1"/>
  <c r="S1910" i="1" s="1"/>
  <c r="O1910" i="1"/>
  <c r="Q1910" i="1" s="1"/>
  <c r="C1910" i="1"/>
  <c r="B1910" i="1"/>
  <c r="T1909" i="1"/>
  <c r="O1909" i="1"/>
  <c r="Q1909" i="1" s="1"/>
  <c r="C1909" i="1"/>
  <c r="B1909" i="1"/>
  <c r="T1908" i="1"/>
  <c r="O1908" i="1"/>
  <c r="C1908" i="1"/>
  <c r="B1908" i="1"/>
  <c r="T1907" i="1"/>
  <c r="Q1907" i="1"/>
  <c r="O1907" i="1"/>
  <c r="R1907" i="1" s="1"/>
  <c r="S1907" i="1" s="1"/>
  <c r="C1907" i="1"/>
  <c r="B1907" i="1"/>
  <c r="T1906" i="1"/>
  <c r="S1906" i="1"/>
  <c r="R1906" i="1"/>
  <c r="O1906" i="1"/>
  <c r="Q1906" i="1" s="1"/>
  <c r="C1906" i="1"/>
  <c r="B1906" i="1"/>
  <c r="T1905" i="1"/>
  <c r="O1905" i="1"/>
  <c r="C1905" i="1"/>
  <c r="B1905" i="1"/>
  <c r="T1904" i="1"/>
  <c r="O1904" i="1"/>
  <c r="C1904" i="1"/>
  <c r="B1904" i="1"/>
  <c r="T1903" i="1"/>
  <c r="Q1903" i="1"/>
  <c r="O1903" i="1"/>
  <c r="R1903" i="1" s="1"/>
  <c r="S1903" i="1" s="1"/>
  <c r="C1903" i="1"/>
  <c r="B1903" i="1"/>
  <c r="T1902" i="1"/>
  <c r="S1902" i="1"/>
  <c r="R1902" i="1"/>
  <c r="Q1902" i="1"/>
  <c r="O1902" i="1"/>
  <c r="C1902" i="1"/>
  <c r="B1902" i="1"/>
  <c r="T1901" i="1"/>
  <c r="R1901" i="1"/>
  <c r="S1901" i="1" s="1"/>
  <c r="Q1901" i="1"/>
  <c r="O1901" i="1"/>
  <c r="C1901" i="1"/>
  <c r="B1901" i="1"/>
  <c r="T1900" i="1"/>
  <c r="Q1900" i="1"/>
  <c r="R1900" i="1" s="1"/>
  <c r="S1900" i="1" s="1"/>
  <c r="O1900" i="1"/>
  <c r="C1900" i="1"/>
  <c r="B1900" i="1"/>
  <c r="T1899" i="1"/>
  <c r="O1899" i="1"/>
  <c r="C1899" i="1"/>
  <c r="B1899" i="1"/>
  <c r="T1898" i="1"/>
  <c r="Q1898" i="1"/>
  <c r="O1898" i="1"/>
  <c r="C1898" i="1"/>
  <c r="B1898" i="1"/>
  <c r="T1897" i="1"/>
  <c r="Q1897" i="1"/>
  <c r="O1897" i="1"/>
  <c r="C1897" i="1"/>
  <c r="B1897" i="1"/>
  <c r="T1896" i="1"/>
  <c r="Q1896" i="1"/>
  <c r="R1896" i="1" s="1"/>
  <c r="S1896" i="1" s="1"/>
  <c r="O1896" i="1"/>
  <c r="C1896" i="1"/>
  <c r="B1896" i="1"/>
  <c r="T1895" i="1"/>
  <c r="S1895" i="1"/>
  <c r="R1895" i="1"/>
  <c r="Q1895" i="1"/>
  <c r="O1895" i="1"/>
  <c r="C1895" i="1"/>
  <c r="B1895" i="1"/>
  <c r="T1894" i="1"/>
  <c r="S1894" i="1"/>
  <c r="Q1894" i="1"/>
  <c r="R1894" i="1" s="1"/>
  <c r="O1894" i="1"/>
  <c r="C1894" i="1"/>
  <c r="B1894" i="1"/>
  <c r="T1893" i="1"/>
  <c r="O1893" i="1"/>
  <c r="C1893" i="1"/>
  <c r="B1893" i="1"/>
  <c r="T1892" i="1"/>
  <c r="R1892" i="1"/>
  <c r="S1892" i="1" s="1"/>
  <c r="O1892" i="1"/>
  <c r="Q1892" i="1" s="1"/>
  <c r="C1892" i="1"/>
  <c r="B1892" i="1"/>
  <c r="T1891" i="1"/>
  <c r="Q1891" i="1"/>
  <c r="O1891" i="1"/>
  <c r="C1891" i="1"/>
  <c r="B1891" i="1"/>
  <c r="T1890" i="1"/>
  <c r="O1890" i="1"/>
  <c r="Q1890" i="1" s="1"/>
  <c r="R1890" i="1" s="1"/>
  <c r="S1890" i="1" s="1"/>
  <c r="C1890" i="1"/>
  <c r="B1890" i="1"/>
  <c r="T1889" i="1"/>
  <c r="R1889" i="1"/>
  <c r="S1889" i="1" s="1"/>
  <c r="Q1889" i="1"/>
  <c r="O1889" i="1"/>
  <c r="C1889" i="1"/>
  <c r="B1889" i="1"/>
  <c r="T1888" i="1"/>
  <c r="O1888" i="1"/>
  <c r="Q1888" i="1" s="1"/>
  <c r="R1888" i="1" s="1"/>
  <c r="S1888" i="1" s="1"/>
  <c r="C1888" i="1"/>
  <c r="B1888" i="1"/>
  <c r="T1887" i="1"/>
  <c r="R1887" i="1"/>
  <c r="S1887" i="1" s="1"/>
  <c r="Q1887" i="1"/>
  <c r="O1887" i="1"/>
  <c r="C1887" i="1"/>
  <c r="B1887" i="1"/>
  <c r="T1886" i="1"/>
  <c r="O1886" i="1"/>
  <c r="Q1886" i="1" s="1"/>
  <c r="R1886" i="1" s="1"/>
  <c r="S1886" i="1" s="1"/>
  <c r="C1886" i="1"/>
  <c r="B1886" i="1"/>
  <c r="T1885" i="1"/>
  <c r="O1885" i="1"/>
  <c r="C1885" i="1"/>
  <c r="B1885" i="1"/>
  <c r="T1884" i="1"/>
  <c r="S1884" i="1"/>
  <c r="R1884" i="1"/>
  <c r="Q1884" i="1"/>
  <c r="O1884" i="1"/>
  <c r="C1884" i="1"/>
  <c r="B1884" i="1"/>
  <c r="T1883" i="1"/>
  <c r="Q1883" i="1"/>
  <c r="O1883" i="1"/>
  <c r="C1883" i="1"/>
  <c r="B1883" i="1"/>
  <c r="T1882" i="1"/>
  <c r="Q1882" i="1"/>
  <c r="O1882" i="1"/>
  <c r="C1882" i="1"/>
  <c r="B1882" i="1"/>
  <c r="T1881" i="1"/>
  <c r="O1881" i="1"/>
  <c r="C1881" i="1"/>
  <c r="B1881" i="1"/>
  <c r="T1880" i="1"/>
  <c r="O1880" i="1"/>
  <c r="C1880" i="1"/>
  <c r="B1880" i="1"/>
  <c r="T1879" i="1"/>
  <c r="O1879" i="1"/>
  <c r="Q1879" i="1" s="1"/>
  <c r="R1879" i="1" s="1"/>
  <c r="S1879" i="1" s="1"/>
  <c r="C1879" i="1"/>
  <c r="B1879" i="1"/>
  <c r="T1878" i="1"/>
  <c r="Q1878" i="1"/>
  <c r="R1878" i="1" s="1"/>
  <c r="S1878" i="1" s="1"/>
  <c r="O1878" i="1"/>
  <c r="C1878" i="1"/>
  <c r="B1878" i="1"/>
  <c r="T1877" i="1"/>
  <c r="O1877" i="1"/>
  <c r="Q1877" i="1" s="1"/>
  <c r="C1877" i="1"/>
  <c r="B1877" i="1"/>
  <c r="T1876" i="1"/>
  <c r="Q1876" i="1"/>
  <c r="O1876" i="1"/>
  <c r="R1876" i="1" s="1"/>
  <c r="S1876" i="1" s="1"/>
  <c r="C1876" i="1"/>
  <c r="B1876" i="1"/>
  <c r="T1875" i="1"/>
  <c r="S1875" i="1"/>
  <c r="O1875" i="1"/>
  <c r="Q1875" i="1" s="1"/>
  <c r="R1875" i="1" s="1"/>
  <c r="C1875" i="1"/>
  <c r="B1875" i="1"/>
  <c r="T1874" i="1"/>
  <c r="Q1874" i="1"/>
  <c r="O1874" i="1"/>
  <c r="C1874" i="1"/>
  <c r="B1874" i="1"/>
  <c r="T1873" i="1"/>
  <c r="O1873" i="1"/>
  <c r="C1873" i="1"/>
  <c r="B1873" i="1"/>
  <c r="T1872" i="1"/>
  <c r="O1872" i="1"/>
  <c r="Q1872" i="1" s="1"/>
  <c r="C1872" i="1"/>
  <c r="B1872" i="1"/>
  <c r="T1871" i="1"/>
  <c r="S1871" i="1"/>
  <c r="R1871" i="1"/>
  <c r="Q1871" i="1"/>
  <c r="O1871" i="1"/>
  <c r="C1871" i="1"/>
  <c r="B1871" i="1"/>
  <c r="T1870" i="1"/>
  <c r="S1870" i="1"/>
  <c r="R1870" i="1"/>
  <c r="Q1870" i="1"/>
  <c r="O1870" i="1"/>
  <c r="C1870" i="1"/>
  <c r="B1870" i="1"/>
  <c r="T1869" i="1"/>
  <c r="O1869" i="1"/>
  <c r="Q1869" i="1" s="1"/>
  <c r="R1869" i="1" s="1"/>
  <c r="S1869" i="1" s="1"/>
  <c r="C1869" i="1"/>
  <c r="B1869" i="1"/>
  <c r="T1868" i="1"/>
  <c r="Q1868" i="1"/>
  <c r="R1868" i="1" s="1"/>
  <c r="S1868" i="1" s="1"/>
  <c r="O1868" i="1"/>
  <c r="C1868" i="1"/>
  <c r="B1868" i="1"/>
  <c r="T1867" i="1"/>
  <c r="O1867" i="1"/>
  <c r="C1867" i="1"/>
  <c r="B1867" i="1"/>
  <c r="T1866" i="1"/>
  <c r="Q1866" i="1"/>
  <c r="R1866" i="1" s="1"/>
  <c r="S1866" i="1" s="1"/>
  <c r="O1866" i="1"/>
  <c r="C1866" i="1"/>
  <c r="B1866" i="1"/>
  <c r="T1865" i="1"/>
  <c r="O1865" i="1"/>
  <c r="Q1865" i="1" s="1"/>
  <c r="R1865" i="1" s="1"/>
  <c r="S1865" i="1" s="1"/>
  <c r="C1865" i="1"/>
  <c r="B1865" i="1"/>
  <c r="T1864" i="1"/>
  <c r="S1864" i="1"/>
  <c r="O1864" i="1"/>
  <c r="Q1864" i="1" s="1"/>
  <c r="R1864" i="1" s="1"/>
  <c r="C1864" i="1"/>
  <c r="B1864" i="1"/>
  <c r="T1863" i="1"/>
  <c r="R1863" i="1"/>
  <c r="S1863" i="1" s="1"/>
  <c r="Q1863" i="1"/>
  <c r="O1863" i="1"/>
  <c r="C1863" i="1"/>
  <c r="B1863" i="1"/>
  <c r="T1862" i="1"/>
  <c r="O1862" i="1"/>
  <c r="C1862" i="1"/>
  <c r="B1862" i="1"/>
  <c r="T1861" i="1"/>
  <c r="O1861" i="1"/>
  <c r="C1861" i="1"/>
  <c r="B1861" i="1"/>
  <c r="T1860" i="1"/>
  <c r="S1860" i="1"/>
  <c r="Q1860" i="1"/>
  <c r="R1860" i="1" s="1"/>
  <c r="O1860" i="1"/>
  <c r="C1860" i="1"/>
  <c r="B1860" i="1"/>
  <c r="T1859" i="1"/>
  <c r="O1859" i="1"/>
  <c r="C1859" i="1"/>
  <c r="B1859" i="1"/>
  <c r="T1858" i="1"/>
  <c r="O1858" i="1"/>
  <c r="C1858" i="1"/>
  <c r="B1858" i="1"/>
  <c r="T1857" i="1"/>
  <c r="O1857" i="1"/>
  <c r="C1857" i="1"/>
  <c r="B1857" i="1"/>
  <c r="T1856" i="1"/>
  <c r="O1856" i="1"/>
  <c r="C1856" i="1"/>
  <c r="B1856" i="1"/>
  <c r="T1855" i="1"/>
  <c r="O1855" i="1"/>
  <c r="C1855" i="1"/>
  <c r="B1855" i="1"/>
  <c r="T1854" i="1"/>
  <c r="S1854" i="1"/>
  <c r="Q1854" i="1"/>
  <c r="R1854" i="1" s="1"/>
  <c r="O1854" i="1"/>
  <c r="C1854" i="1"/>
  <c r="B1854" i="1"/>
  <c r="T1853" i="1"/>
  <c r="O1853" i="1"/>
  <c r="Q1853" i="1" s="1"/>
  <c r="R1853" i="1" s="1"/>
  <c r="S1853" i="1" s="1"/>
  <c r="C1853" i="1"/>
  <c r="B1853" i="1"/>
  <c r="T1852" i="1"/>
  <c r="O1852" i="1"/>
  <c r="Q1852" i="1" s="1"/>
  <c r="C1852" i="1"/>
  <c r="B1852" i="1"/>
  <c r="T1851" i="1"/>
  <c r="O1851" i="1"/>
  <c r="C1851" i="1"/>
  <c r="B1851" i="1"/>
  <c r="T1850" i="1"/>
  <c r="O1850" i="1"/>
  <c r="C1850" i="1"/>
  <c r="B1850" i="1"/>
  <c r="T1849" i="1"/>
  <c r="Q1849" i="1"/>
  <c r="O1849" i="1"/>
  <c r="C1849" i="1"/>
  <c r="B1849" i="1"/>
  <c r="T1848" i="1"/>
  <c r="Q1848" i="1"/>
  <c r="R1848" i="1" s="1"/>
  <c r="S1848" i="1" s="1"/>
  <c r="O1848" i="1"/>
  <c r="C1848" i="1"/>
  <c r="B1848" i="1"/>
  <c r="T1847" i="1"/>
  <c r="S1847" i="1"/>
  <c r="R1847" i="1"/>
  <c r="Q1847" i="1"/>
  <c r="O1847" i="1"/>
  <c r="C1847" i="1"/>
  <c r="B1847" i="1"/>
  <c r="T1846" i="1"/>
  <c r="Q1846" i="1"/>
  <c r="R1846" i="1" s="1"/>
  <c r="S1846" i="1" s="1"/>
  <c r="O1846" i="1"/>
  <c r="C1846" i="1"/>
  <c r="B1846" i="1"/>
  <c r="T1845" i="1"/>
  <c r="O1845" i="1"/>
  <c r="C1845" i="1"/>
  <c r="B1845" i="1"/>
  <c r="T1844" i="1"/>
  <c r="Q1844" i="1"/>
  <c r="R1844" i="1" s="1"/>
  <c r="S1844" i="1" s="1"/>
  <c r="O1844" i="1"/>
  <c r="C1844" i="1"/>
  <c r="B1844" i="1"/>
  <c r="T1843" i="1"/>
  <c r="O1843" i="1"/>
  <c r="Q1843" i="1" s="1"/>
  <c r="C1843" i="1"/>
  <c r="B1843" i="1"/>
  <c r="T1842" i="1"/>
  <c r="O1842" i="1"/>
  <c r="C1842" i="1"/>
  <c r="B1842" i="1"/>
  <c r="T1841" i="1"/>
  <c r="O1841" i="1"/>
  <c r="Q1841" i="1" s="1"/>
  <c r="R1841" i="1" s="1"/>
  <c r="S1841" i="1" s="1"/>
  <c r="C1841" i="1"/>
  <c r="B1841" i="1"/>
  <c r="T1840" i="1"/>
  <c r="O1840" i="1"/>
  <c r="Q1840" i="1" s="1"/>
  <c r="C1840" i="1"/>
  <c r="B1840" i="1"/>
  <c r="T1839" i="1"/>
  <c r="S1839" i="1"/>
  <c r="R1839" i="1"/>
  <c r="Q1839" i="1"/>
  <c r="O1839" i="1"/>
  <c r="C1839" i="1"/>
  <c r="B1839" i="1"/>
  <c r="T1838" i="1"/>
  <c r="Q1838" i="1"/>
  <c r="R1838" i="1" s="1"/>
  <c r="S1838" i="1" s="1"/>
  <c r="O1838" i="1"/>
  <c r="C1838" i="1"/>
  <c r="B1838" i="1"/>
  <c r="T1837" i="1"/>
  <c r="O1837" i="1"/>
  <c r="C1837" i="1"/>
  <c r="B1837" i="1"/>
  <c r="T1836" i="1"/>
  <c r="O1836" i="1"/>
  <c r="C1836" i="1"/>
  <c r="B1836" i="1"/>
  <c r="T1835" i="1"/>
  <c r="S1835" i="1"/>
  <c r="R1835" i="1"/>
  <c r="Q1835" i="1"/>
  <c r="O1835" i="1"/>
  <c r="C1835" i="1"/>
  <c r="B1835" i="1"/>
  <c r="T1834" i="1"/>
  <c r="O1834" i="1"/>
  <c r="C1834" i="1"/>
  <c r="B1834" i="1"/>
  <c r="T1833" i="1"/>
  <c r="R1833" i="1"/>
  <c r="S1833" i="1" s="1"/>
  <c r="Q1833" i="1"/>
  <c r="O1833" i="1"/>
  <c r="C1833" i="1"/>
  <c r="B1833" i="1"/>
  <c r="T1832" i="1"/>
  <c r="O1832" i="1"/>
  <c r="C1832" i="1"/>
  <c r="B1832" i="1"/>
  <c r="T1831" i="1"/>
  <c r="S1831" i="1"/>
  <c r="Q1831" i="1"/>
  <c r="R1831" i="1" s="1"/>
  <c r="O1831" i="1"/>
  <c r="C1831" i="1"/>
  <c r="B1831" i="1"/>
  <c r="T1830" i="1"/>
  <c r="O1830" i="1"/>
  <c r="C1830" i="1"/>
  <c r="B1830" i="1"/>
  <c r="T1829" i="1"/>
  <c r="S1829" i="1"/>
  <c r="R1829" i="1"/>
  <c r="Q1829" i="1"/>
  <c r="O1829" i="1"/>
  <c r="C1829" i="1"/>
  <c r="B1829" i="1"/>
  <c r="T1828" i="1"/>
  <c r="O1828" i="1"/>
  <c r="Q1828" i="1" s="1"/>
  <c r="C1828" i="1"/>
  <c r="B1828" i="1"/>
  <c r="T1827" i="1"/>
  <c r="O1827" i="1"/>
  <c r="C1827" i="1"/>
  <c r="B1827" i="1"/>
  <c r="T1826" i="1"/>
  <c r="O1826" i="1"/>
  <c r="C1826" i="1"/>
  <c r="B1826" i="1"/>
  <c r="T1825" i="1"/>
  <c r="Q1825" i="1"/>
  <c r="O1825" i="1"/>
  <c r="C1825" i="1"/>
  <c r="B1825" i="1"/>
  <c r="T1824" i="1"/>
  <c r="S1824" i="1"/>
  <c r="Q1824" i="1"/>
  <c r="R1824" i="1" s="1"/>
  <c r="O1824" i="1"/>
  <c r="C1824" i="1"/>
  <c r="B1824" i="1"/>
  <c r="T1823" i="1"/>
  <c r="Q1823" i="1"/>
  <c r="O1823" i="1"/>
  <c r="C1823" i="1"/>
  <c r="B1823" i="1"/>
  <c r="T1822" i="1"/>
  <c r="O1822" i="1"/>
  <c r="C1822" i="1"/>
  <c r="B1822" i="1"/>
  <c r="T1821" i="1"/>
  <c r="O1821" i="1"/>
  <c r="C1821" i="1"/>
  <c r="B1821" i="1"/>
  <c r="T1820" i="1"/>
  <c r="Q1820" i="1"/>
  <c r="R1820" i="1" s="1"/>
  <c r="S1820" i="1" s="1"/>
  <c r="O1820" i="1"/>
  <c r="C1820" i="1"/>
  <c r="B1820" i="1"/>
  <c r="T1819" i="1"/>
  <c r="Q1819" i="1"/>
  <c r="R1819" i="1" s="1"/>
  <c r="S1819" i="1" s="1"/>
  <c r="O1819" i="1"/>
  <c r="C1819" i="1"/>
  <c r="B1819" i="1"/>
  <c r="T1818" i="1"/>
  <c r="O1818" i="1"/>
  <c r="C1818" i="1"/>
  <c r="B1818" i="1"/>
  <c r="T1817" i="1"/>
  <c r="O1817" i="1"/>
  <c r="C1817" i="1"/>
  <c r="B1817" i="1"/>
  <c r="T1816" i="1"/>
  <c r="Q1816" i="1"/>
  <c r="R1816" i="1" s="1"/>
  <c r="S1816" i="1" s="1"/>
  <c r="O1816" i="1"/>
  <c r="C1816" i="1"/>
  <c r="B1816" i="1"/>
  <c r="T1815" i="1"/>
  <c r="Q1815" i="1"/>
  <c r="O1815" i="1"/>
  <c r="R1815" i="1" s="1"/>
  <c r="S1815" i="1" s="1"/>
  <c r="C1815" i="1"/>
  <c r="B1815" i="1"/>
  <c r="T1814" i="1"/>
  <c r="R1814" i="1"/>
  <c r="S1814" i="1" s="1"/>
  <c r="Q1814" i="1"/>
  <c r="O1814" i="1"/>
  <c r="C1814" i="1"/>
  <c r="B1814" i="1"/>
  <c r="T1813" i="1"/>
  <c r="R1813" i="1"/>
  <c r="S1813" i="1" s="1"/>
  <c r="Q1813" i="1"/>
  <c r="O1813" i="1"/>
  <c r="C1813" i="1"/>
  <c r="B1813" i="1"/>
  <c r="T1812" i="1"/>
  <c r="Q1812" i="1"/>
  <c r="O1812" i="1"/>
  <c r="R1812" i="1" s="1"/>
  <c r="S1812" i="1" s="1"/>
  <c r="C1812" i="1"/>
  <c r="B1812" i="1"/>
  <c r="T1811" i="1"/>
  <c r="O1811" i="1"/>
  <c r="C1811" i="1"/>
  <c r="B1811" i="1"/>
  <c r="T1810" i="1"/>
  <c r="O1810" i="1"/>
  <c r="C1810" i="1"/>
  <c r="B1810" i="1"/>
  <c r="T1809" i="1"/>
  <c r="S1809" i="1"/>
  <c r="R1809" i="1"/>
  <c r="O1809" i="1"/>
  <c r="Q1809" i="1" s="1"/>
  <c r="C1809" i="1"/>
  <c r="B1809" i="1"/>
  <c r="T1808" i="1"/>
  <c r="O1808" i="1"/>
  <c r="C1808" i="1"/>
  <c r="B1808" i="1"/>
  <c r="T1807" i="1"/>
  <c r="O1807" i="1"/>
  <c r="Q1807" i="1" s="1"/>
  <c r="R1807" i="1" s="1"/>
  <c r="S1807" i="1" s="1"/>
  <c r="C1807" i="1"/>
  <c r="B1807" i="1"/>
  <c r="T1806" i="1"/>
  <c r="R1806" i="1"/>
  <c r="S1806" i="1" s="1"/>
  <c r="O1806" i="1"/>
  <c r="Q1806" i="1" s="1"/>
  <c r="C1806" i="1"/>
  <c r="B1806" i="1"/>
  <c r="T1805" i="1"/>
  <c r="R1805" i="1"/>
  <c r="S1805" i="1" s="1"/>
  <c r="Q1805" i="1"/>
  <c r="O1805" i="1"/>
  <c r="C1805" i="1"/>
  <c r="B1805" i="1"/>
  <c r="T1804" i="1"/>
  <c r="O1804" i="1"/>
  <c r="C1804" i="1"/>
  <c r="B1804" i="1"/>
  <c r="T1803" i="1"/>
  <c r="O1803" i="1"/>
  <c r="C1803" i="1"/>
  <c r="B1803" i="1"/>
  <c r="T1802" i="1"/>
  <c r="Q1802" i="1"/>
  <c r="R1802" i="1" s="1"/>
  <c r="S1802" i="1" s="1"/>
  <c r="O1802" i="1"/>
  <c r="C1802" i="1"/>
  <c r="B1802" i="1"/>
  <c r="T1801" i="1"/>
  <c r="S1801" i="1"/>
  <c r="O1801" i="1"/>
  <c r="Q1801" i="1" s="1"/>
  <c r="R1801" i="1" s="1"/>
  <c r="C1801" i="1"/>
  <c r="B1801" i="1"/>
  <c r="T1800" i="1"/>
  <c r="S1800" i="1"/>
  <c r="Q1800" i="1"/>
  <c r="R1800" i="1" s="1"/>
  <c r="O1800" i="1"/>
  <c r="C1800" i="1"/>
  <c r="B1800" i="1"/>
  <c r="T1799" i="1"/>
  <c r="O1799" i="1"/>
  <c r="Q1799" i="1" s="1"/>
  <c r="C1799" i="1"/>
  <c r="B1799" i="1"/>
  <c r="T1798" i="1"/>
  <c r="Q1798" i="1"/>
  <c r="R1798" i="1" s="1"/>
  <c r="S1798" i="1" s="1"/>
  <c r="O1798" i="1"/>
  <c r="C1798" i="1"/>
  <c r="B1798" i="1"/>
  <c r="T1797" i="1"/>
  <c r="Q1797" i="1"/>
  <c r="O1797" i="1"/>
  <c r="R1797" i="1" s="1"/>
  <c r="S1797" i="1" s="1"/>
  <c r="C1797" i="1"/>
  <c r="B1797" i="1"/>
  <c r="T1796" i="1"/>
  <c r="O1796" i="1"/>
  <c r="C1796" i="1"/>
  <c r="B1796" i="1"/>
  <c r="T1795" i="1"/>
  <c r="R1795" i="1"/>
  <c r="S1795" i="1" s="1"/>
  <c r="Q1795" i="1"/>
  <c r="O1795" i="1"/>
  <c r="C1795" i="1"/>
  <c r="B1795" i="1"/>
  <c r="T1794" i="1"/>
  <c r="Q1794" i="1"/>
  <c r="R1794" i="1" s="1"/>
  <c r="S1794" i="1" s="1"/>
  <c r="O1794" i="1"/>
  <c r="C1794" i="1"/>
  <c r="B1794" i="1"/>
  <c r="T1793" i="1"/>
  <c r="O1793" i="1"/>
  <c r="C1793" i="1"/>
  <c r="B1793" i="1"/>
  <c r="T1792" i="1"/>
  <c r="O1792" i="1"/>
  <c r="C1792" i="1"/>
  <c r="B1792" i="1"/>
  <c r="T1791" i="1"/>
  <c r="O1791" i="1"/>
  <c r="C1791" i="1"/>
  <c r="B1791" i="1"/>
  <c r="T1790" i="1"/>
  <c r="Q1790" i="1"/>
  <c r="R1790" i="1" s="1"/>
  <c r="S1790" i="1" s="1"/>
  <c r="O1790" i="1"/>
  <c r="C1790" i="1"/>
  <c r="B1790" i="1"/>
  <c r="T1789" i="1"/>
  <c r="R1789" i="1"/>
  <c r="S1789" i="1" s="1"/>
  <c r="Q1789" i="1"/>
  <c r="O1789" i="1"/>
  <c r="C1789" i="1"/>
  <c r="B1789" i="1"/>
  <c r="T1788" i="1"/>
  <c r="S1788" i="1"/>
  <c r="Q1788" i="1"/>
  <c r="O1788" i="1"/>
  <c r="R1788" i="1" s="1"/>
  <c r="C1788" i="1"/>
  <c r="B1788" i="1"/>
  <c r="T1787" i="1"/>
  <c r="R1787" i="1"/>
  <c r="S1787" i="1" s="1"/>
  <c r="Q1787" i="1"/>
  <c r="O1787" i="1"/>
  <c r="C1787" i="1"/>
  <c r="B1787" i="1"/>
  <c r="T1786" i="1"/>
  <c r="O1786" i="1"/>
  <c r="C1786" i="1"/>
  <c r="B1786" i="1"/>
  <c r="T1785" i="1"/>
  <c r="S1785" i="1"/>
  <c r="R1785" i="1"/>
  <c r="Q1785" i="1"/>
  <c r="O1785" i="1"/>
  <c r="C1785" i="1"/>
  <c r="B1785" i="1"/>
  <c r="T1784" i="1"/>
  <c r="O1784" i="1"/>
  <c r="C1784" i="1"/>
  <c r="B1784" i="1"/>
  <c r="T1783" i="1"/>
  <c r="O1783" i="1"/>
  <c r="Q1783" i="1" s="1"/>
  <c r="R1783" i="1" s="1"/>
  <c r="S1783" i="1" s="1"/>
  <c r="C1783" i="1"/>
  <c r="B1783" i="1"/>
  <c r="T1782" i="1"/>
  <c r="O1782" i="1"/>
  <c r="Q1782" i="1" s="1"/>
  <c r="C1782" i="1"/>
  <c r="B1782" i="1"/>
  <c r="T1781" i="1"/>
  <c r="O1781" i="1"/>
  <c r="C1781" i="1"/>
  <c r="B1781" i="1"/>
  <c r="T1780" i="1"/>
  <c r="O1780" i="1"/>
  <c r="Q1780" i="1" s="1"/>
  <c r="R1780" i="1" s="1"/>
  <c r="S1780" i="1" s="1"/>
  <c r="C1780" i="1"/>
  <c r="B1780" i="1"/>
  <c r="T1779" i="1"/>
  <c r="O1779" i="1"/>
  <c r="C1779" i="1"/>
  <c r="B1779" i="1"/>
  <c r="T1778" i="1"/>
  <c r="O1778" i="1"/>
  <c r="C1778" i="1"/>
  <c r="B1778" i="1"/>
  <c r="T1777" i="1"/>
  <c r="O1777" i="1"/>
  <c r="C1777" i="1"/>
  <c r="B1777" i="1"/>
  <c r="T1776" i="1"/>
  <c r="Q1776" i="1"/>
  <c r="R1776" i="1" s="1"/>
  <c r="S1776" i="1" s="1"/>
  <c r="O1776" i="1"/>
  <c r="C1776" i="1"/>
  <c r="B1776" i="1"/>
  <c r="T1775" i="1"/>
  <c r="Q1775" i="1"/>
  <c r="O1775" i="1"/>
  <c r="C1775" i="1"/>
  <c r="B1775" i="1"/>
  <c r="T1774" i="1"/>
  <c r="O1774" i="1"/>
  <c r="C1774" i="1"/>
  <c r="B1774" i="1"/>
  <c r="T1773" i="1"/>
  <c r="Q1773" i="1"/>
  <c r="R1773" i="1" s="1"/>
  <c r="S1773" i="1" s="1"/>
  <c r="O1773" i="1"/>
  <c r="C1773" i="1"/>
  <c r="B1773" i="1"/>
  <c r="T1772" i="1"/>
  <c r="O1772" i="1"/>
  <c r="C1772" i="1"/>
  <c r="B1772" i="1"/>
  <c r="T1771" i="1"/>
  <c r="O1771" i="1"/>
  <c r="C1771" i="1"/>
  <c r="B1771" i="1"/>
  <c r="T1770" i="1"/>
  <c r="O1770" i="1"/>
  <c r="C1770" i="1"/>
  <c r="B1770" i="1"/>
  <c r="T1769" i="1"/>
  <c r="O1769" i="1"/>
  <c r="C1769" i="1"/>
  <c r="B1769" i="1"/>
  <c r="T1768" i="1"/>
  <c r="O1768" i="1"/>
  <c r="Q1768" i="1" s="1"/>
  <c r="R1768" i="1" s="1"/>
  <c r="S1768" i="1" s="1"/>
  <c r="C1768" i="1"/>
  <c r="B1768" i="1"/>
  <c r="T1767" i="1"/>
  <c r="O1767" i="1"/>
  <c r="C1767" i="1"/>
  <c r="B1767" i="1"/>
  <c r="T1766" i="1"/>
  <c r="S1766" i="1"/>
  <c r="Q1766" i="1"/>
  <c r="R1766" i="1" s="1"/>
  <c r="O1766" i="1"/>
  <c r="C1766" i="1"/>
  <c r="B1766" i="1"/>
  <c r="T1765" i="1"/>
  <c r="Q1765" i="1"/>
  <c r="R1765" i="1" s="1"/>
  <c r="S1765" i="1" s="1"/>
  <c r="O1765" i="1"/>
  <c r="C1765" i="1"/>
  <c r="B1765" i="1"/>
  <c r="T1764" i="1"/>
  <c r="R1764" i="1"/>
  <c r="S1764" i="1" s="1"/>
  <c r="Q1764" i="1"/>
  <c r="O1764" i="1"/>
  <c r="C1764" i="1"/>
  <c r="B1764" i="1"/>
  <c r="T1763" i="1"/>
  <c r="O1763" i="1"/>
  <c r="Q1763" i="1" s="1"/>
  <c r="C1763" i="1"/>
  <c r="B1763" i="1"/>
  <c r="T1762" i="1"/>
  <c r="O1762" i="1"/>
  <c r="C1762" i="1"/>
  <c r="B1762" i="1"/>
  <c r="T1761" i="1"/>
  <c r="O1761" i="1"/>
  <c r="C1761" i="1"/>
  <c r="B1761" i="1"/>
  <c r="T1760" i="1"/>
  <c r="R1760" i="1"/>
  <c r="S1760" i="1" s="1"/>
  <c r="Q1760" i="1"/>
  <c r="O1760" i="1"/>
  <c r="C1760" i="1"/>
  <c r="B1760" i="1"/>
  <c r="T1759" i="1"/>
  <c r="R1759" i="1"/>
  <c r="S1759" i="1" s="1"/>
  <c r="O1759" i="1"/>
  <c r="Q1759" i="1" s="1"/>
  <c r="C1759" i="1"/>
  <c r="B1759" i="1"/>
  <c r="T1758" i="1"/>
  <c r="O1758" i="1"/>
  <c r="Q1758" i="1" s="1"/>
  <c r="C1758" i="1"/>
  <c r="B1758" i="1"/>
  <c r="T1757" i="1"/>
  <c r="O1757" i="1"/>
  <c r="C1757" i="1"/>
  <c r="B1757" i="1"/>
  <c r="T1756" i="1"/>
  <c r="O1756" i="1"/>
  <c r="C1756" i="1"/>
  <c r="B1756" i="1"/>
  <c r="T1755" i="1"/>
  <c r="Q1755" i="1"/>
  <c r="O1755" i="1"/>
  <c r="C1755" i="1"/>
  <c r="B1755" i="1"/>
  <c r="T1754" i="1"/>
  <c r="Q1754" i="1"/>
  <c r="O1754" i="1"/>
  <c r="C1754" i="1"/>
  <c r="B1754" i="1"/>
  <c r="T1753" i="1"/>
  <c r="Q1753" i="1"/>
  <c r="O1753" i="1"/>
  <c r="R1753" i="1" s="1"/>
  <c r="S1753" i="1" s="1"/>
  <c r="C1753" i="1"/>
  <c r="B1753" i="1"/>
  <c r="T1752" i="1"/>
  <c r="Q1752" i="1"/>
  <c r="R1752" i="1" s="1"/>
  <c r="S1752" i="1" s="1"/>
  <c r="O1752" i="1"/>
  <c r="C1752" i="1"/>
  <c r="B1752" i="1"/>
  <c r="T1751" i="1"/>
  <c r="O1751" i="1"/>
  <c r="C1751" i="1"/>
  <c r="B1751" i="1"/>
  <c r="T1750" i="1"/>
  <c r="O1750" i="1"/>
  <c r="C1750" i="1"/>
  <c r="B1750" i="1"/>
  <c r="T1749" i="1"/>
  <c r="S1749" i="1"/>
  <c r="R1749" i="1"/>
  <c r="Q1749" i="1"/>
  <c r="O1749" i="1"/>
  <c r="C1749" i="1"/>
  <c r="B1749" i="1"/>
  <c r="T1748" i="1"/>
  <c r="Q1748" i="1"/>
  <c r="O1748" i="1"/>
  <c r="C1748" i="1"/>
  <c r="B1748" i="1"/>
  <c r="T1747" i="1"/>
  <c r="Q1747" i="1"/>
  <c r="O1747" i="1"/>
  <c r="R1747" i="1" s="1"/>
  <c r="S1747" i="1" s="1"/>
  <c r="C1747" i="1"/>
  <c r="B1747" i="1"/>
  <c r="T1746" i="1"/>
  <c r="O1746" i="1"/>
  <c r="C1746" i="1"/>
  <c r="B1746" i="1"/>
  <c r="T1745" i="1"/>
  <c r="O1745" i="1"/>
  <c r="C1745" i="1"/>
  <c r="B1745" i="1"/>
  <c r="T1744" i="1"/>
  <c r="O1744" i="1"/>
  <c r="C1744" i="1"/>
  <c r="B1744" i="1"/>
  <c r="T1743" i="1"/>
  <c r="R1743" i="1"/>
  <c r="S1743" i="1" s="1"/>
  <c r="Q1743" i="1"/>
  <c r="O1743" i="1"/>
  <c r="C1743" i="1"/>
  <c r="B1743" i="1"/>
  <c r="T1742" i="1"/>
  <c r="Q1742" i="1"/>
  <c r="R1742" i="1" s="1"/>
  <c r="S1742" i="1" s="1"/>
  <c r="O1742" i="1"/>
  <c r="C1742" i="1"/>
  <c r="B1742" i="1"/>
  <c r="T1741" i="1"/>
  <c r="Q1741" i="1"/>
  <c r="R1741" i="1" s="1"/>
  <c r="S1741" i="1" s="1"/>
  <c r="O1741" i="1"/>
  <c r="C1741" i="1"/>
  <c r="B1741" i="1"/>
  <c r="T1740" i="1"/>
  <c r="O1740" i="1"/>
  <c r="C1740" i="1"/>
  <c r="B1740" i="1"/>
  <c r="T1739" i="1"/>
  <c r="R1739" i="1"/>
  <c r="S1739" i="1" s="1"/>
  <c r="Q1739" i="1"/>
  <c r="O1739" i="1"/>
  <c r="C1739" i="1"/>
  <c r="B1739" i="1"/>
  <c r="T1738" i="1"/>
  <c r="O1738" i="1"/>
  <c r="C1738" i="1"/>
  <c r="B1738" i="1"/>
  <c r="T1737" i="1"/>
  <c r="Q1737" i="1"/>
  <c r="O1737" i="1"/>
  <c r="R1737" i="1" s="1"/>
  <c r="S1737" i="1" s="1"/>
  <c r="C1737" i="1"/>
  <c r="B1737" i="1"/>
  <c r="T1736" i="1"/>
  <c r="O1736" i="1"/>
  <c r="C1736" i="1"/>
  <c r="B1736" i="1"/>
  <c r="T1735" i="1"/>
  <c r="O1735" i="1"/>
  <c r="Q1735" i="1" s="1"/>
  <c r="R1735" i="1" s="1"/>
  <c r="S1735" i="1" s="1"/>
  <c r="C1735" i="1"/>
  <c r="B1735" i="1"/>
  <c r="T1734" i="1"/>
  <c r="O1734" i="1"/>
  <c r="Q1734" i="1" s="1"/>
  <c r="C1734" i="1"/>
  <c r="B1734" i="1"/>
  <c r="T1733" i="1"/>
  <c r="O1733" i="1"/>
  <c r="C1733" i="1"/>
  <c r="B1733" i="1"/>
  <c r="T1732" i="1"/>
  <c r="O1732" i="1"/>
  <c r="C1732" i="1"/>
  <c r="B1732" i="1"/>
  <c r="T1731" i="1"/>
  <c r="Q1731" i="1"/>
  <c r="O1731" i="1"/>
  <c r="C1731" i="1"/>
  <c r="B1731" i="1"/>
  <c r="T1730" i="1"/>
  <c r="R1730" i="1"/>
  <c r="S1730" i="1" s="1"/>
  <c r="Q1730" i="1"/>
  <c r="O1730" i="1"/>
  <c r="C1730" i="1"/>
  <c r="B1730" i="1"/>
  <c r="T1729" i="1"/>
  <c r="S1729" i="1"/>
  <c r="Q1729" i="1"/>
  <c r="R1729" i="1" s="1"/>
  <c r="O1729" i="1"/>
  <c r="C1729" i="1"/>
  <c r="B1729" i="1"/>
  <c r="T1728" i="1"/>
  <c r="Q1728" i="1"/>
  <c r="R1728" i="1" s="1"/>
  <c r="S1728" i="1" s="1"/>
  <c r="O1728" i="1"/>
  <c r="C1728" i="1"/>
  <c r="B1728" i="1"/>
  <c r="T1727" i="1"/>
  <c r="Q1727" i="1"/>
  <c r="O1727" i="1"/>
  <c r="C1727" i="1"/>
  <c r="B1727" i="1"/>
  <c r="T1726" i="1"/>
  <c r="O1726" i="1"/>
  <c r="C1726" i="1"/>
  <c r="B1726" i="1"/>
  <c r="T1725" i="1"/>
  <c r="O1725" i="1"/>
  <c r="C1725" i="1"/>
  <c r="B1725" i="1"/>
  <c r="T1724" i="1"/>
  <c r="O1724" i="1"/>
  <c r="Q1724" i="1" s="1"/>
  <c r="C1724" i="1"/>
  <c r="B1724" i="1"/>
  <c r="T1723" i="1"/>
  <c r="Q1723" i="1"/>
  <c r="O1723" i="1"/>
  <c r="C1723" i="1"/>
  <c r="B1723" i="1"/>
  <c r="T1722" i="1"/>
  <c r="O1722" i="1"/>
  <c r="C1722" i="1"/>
  <c r="B1722" i="1"/>
  <c r="T1721" i="1"/>
  <c r="O1721" i="1"/>
  <c r="C1721" i="1"/>
  <c r="B1721" i="1"/>
  <c r="T1720" i="1"/>
  <c r="O1720" i="1"/>
  <c r="C1720" i="1"/>
  <c r="B1720" i="1"/>
  <c r="T1719" i="1"/>
  <c r="O1719" i="1"/>
  <c r="Q1719" i="1" s="1"/>
  <c r="R1719" i="1" s="1"/>
  <c r="S1719" i="1" s="1"/>
  <c r="C1719" i="1"/>
  <c r="B1719" i="1"/>
  <c r="T1718" i="1"/>
  <c r="Q1718" i="1"/>
  <c r="R1718" i="1" s="1"/>
  <c r="S1718" i="1" s="1"/>
  <c r="O1718" i="1"/>
  <c r="C1718" i="1"/>
  <c r="B1718" i="1"/>
  <c r="T1717" i="1"/>
  <c r="Q1717" i="1"/>
  <c r="R1717" i="1" s="1"/>
  <c r="S1717" i="1" s="1"/>
  <c r="O1717" i="1"/>
  <c r="C1717" i="1"/>
  <c r="B1717" i="1"/>
  <c r="T1716" i="1"/>
  <c r="O1716" i="1"/>
  <c r="C1716" i="1"/>
  <c r="B1716" i="1"/>
  <c r="T1715" i="1"/>
  <c r="O1715" i="1"/>
  <c r="C1715" i="1"/>
  <c r="B1715" i="1"/>
  <c r="T1714" i="1"/>
  <c r="O1714" i="1"/>
  <c r="C1714" i="1"/>
  <c r="B1714" i="1"/>
  <c r="T1713" i="1"/>
  <c r="R1713" i="1"/>
  <c r="S1713" i="1" s="1"/>
  <c r="Q1713" i="1"/>
  <c r="O1713" i="1"/>
  <c r="C1713" i="1"/>
  <c r="B1713" i="1"/>
  <c r="T1712" i="1"/>
  <c r="Q1712" i="1"/>
  <c r="O1712" i="1"/>
  <c r="R1712" i="1" s="1"/>
  <c r="S1712" i="1" s="1"/>
  <c r="C1712" i="1"/>
  <c r="B1712" i="1"/>
  <c r="T1711" i="1"/>
  <c r="O1711" i="1"/>
  <c r="Q1711" i="1" s="1"/>
  <c r="R1711" i="1" s="1"/>
  <c r="S1711" i="1" s="1"/>
  <c r="C1711" i="1"/>
  <c r="B1711" i="1"/>
  <c r="T1710" i="1"/>
  <c r="O1710" i="1"/>
  <c r="Q1710" i="1" s="1"/>
  <c r="C1710" i="1"/>
  <c r="B1710" i="1"/>
  <c r="T1709" i="1"/>
  <c r="Q1709" i="1"/>
  <c r="R1709" i="1" s="1"/>
  <c r="S1709" i="1" s="1"/>
  <c r="O1709" i="1"/>
  <c r="C1709" i="1"/>
  <c r="B1709" i="1"/>
  <c r="T1708" i="1"/>
  <c r="O1708" i="1"/>
  <c r="Q1708" i="1" s="1"/>
  <c r="R1708" i="1" s="1"/>
  <c r="S1708" i="1" s="1"/>
  <c r="C1708" i="1"/>
  <c r="B1708" i="1"/>
  <c r="T1707" i="1"/>
  <c r="Q1707" i="1"/>
  <c r="O1707" i="1"/>
  <c r="C1707" i="1"/>
  <c r="B1707" i="1"/>
  <c r="T1706" i="1"/>
  <c r="O1706" i="1"/>
  <c r="C1706" i="1"/>
  <c r="B1706" i="1"/>
  <c r="T1705" i="1"/>
  <c r="S1705" i="1"/>
  <c r="R1705" i="1"/>
  <c r="O1705" i="1"/>
  <c r="Q1705" i="1" s="1"/>
  <c r="C1705" i="1"/>
  <c r="B1705" i="1"/>
  <c r="T1704" i="1"/>
  <c r="Q1704" i="1"/>
  <c r="R1704" i="1" s="1"/>
  <c r="S1704" i="1" s="1"/>
  <c r="O1704" i="1"/>
  <c r="C1704" i="1"/>
  <c r="B1704" i="1"/>
  <c r="T1703" i="1"/>
  <c r="O1703" i="1"/>
  <c r="C1703" i="1"/>
  <c r="B1703" i="1"/>
  <c r="T1702" i="1"/>
  <c r="R1702" i="1"/>
  <c r="S1702" i="1" s="1"/>
  <c r="O1702" i="1"/>
  <c r="Q1702" i="1" s="1"/>
  <c r="C1702" i="1"/>
  <c r="B1702" i="1"/>
  <c r="T1701" i="1"/>
  <c r="O1701" i="1"/>
  <c r="Q1701" i="1" s="1"/>
  <c r="R1701" i="1" s="1"/>
  <c r="S1701" i="1" s="1"/>
  <c r="C1701" i="1"/>
  <c r="B1701" i="1"/>
  <c r="T1700" i="1"/>
  <c r="O1700" i="1"/>
  <c r="C1700" i="1"/>
  <c r="B1700" i="1"/>
  <c r="T1699" i="1"/>
  <c r="O1699" i="1"/>
  <c r="Q1699" i="1" s="1"/>
  <c r="R1699" i="1" s="1"/>
  <c r="S1699" i="1" s="1"/>
  <c r="C1699" i="1"/>
  <c r="B1699" i="1"/>
  <c r="T1698" i="1"/>
  <c r="O1698" i="1"/>
  <c r="C1698" i="1"/>
  <c r="B1698" i="1"/>
  <c r="T1697" i="1"/>
  <c r="O1697" i="1"/>
  <c r="C1697" i="1"/>
  <c r="B1697" i="1"/>
  <c r="T1696" i="1"/>
  <c r="O1696" i="1"/>
  <c r="C1696" i="1"/>
  <c r="B1696" i="1"/>
  <c r="T1695" i="1"/>
  <c r="R1695" i="1"/>
  <c r="S1695" i="1" s="1"/>
  <c r="O1695" i="1"/>
  <c r="Q1695" i="1" s="1"/>
  <c r="C1695" i="1"/>
  <c r="B1695" i="1"/>
  <c r="T1694" i="1"/>
  <c r="S1694" i="1"/>
  <c r="R1694" i="1"/>
  <c r="Q1694" i="1"/>
  <c r="O1694" i="1"/>
  <c r="C1694" i="1"/>
  <c r="B1694" i="1"/>
  <c r="T1693" i="1"/>
  <c r="Q1693" i="1"/>
  <c r="R1693" i="1" s="1"/>
  <c r="S1693" i="1" s="1"/>
  <c r="O1693" i="1"/>
  <c r="C1693" i="1"/>
  <c r="B1693" i="1"/>
  <c r="T1692" i="1"/>
  <c r="Q1692" i="1"/>
  <c r="O1692" i="1"/>
  <c r="C1692" i="1"/>
  <c r="B1692" i="1"/>
  <c r="T1691" i="1"/>
  <c r="R1691" i="1"/>
  <c r="S1691" i="1" s="1"/>
  <c r="O1691" i="1"/>
  <c r="Q1691" i="1" s="1"/>
  <c r="C1691" i="1"/>
  <c r="B1691" i="1"/>
  <c r="T1690" i="1"/>
  <c r="O1690" i="1"/>
  <c r="C1690" i="1"/>
  <c r="B1690" i="1"/>
  <c r="T1689" i="1"/>
  <c r="Q1689" i="1"/>
  <c r="R1689" i="1" s="1"/>
  <c r="S1689" i="1" s="1"/>
  <c r="O1689" i="1"/>
  <c r="C1689" i="1"/>
  <c r="B1689" i="1"/>
  <c r="T1688" i="1"/>
  <c r="Q1688" i="1"/>
  <c r="R1688" i="1" s="1"/>
  <c r="S1688" i="1" s="1"/>
  <c r="O1688" i="1"/>
  <c r="C1688" i="1"/>
  <c r="B1688" i="1"/>
  <c r="T1687" i="1"/>
  <c r="S1687" i="1"/>
  <c r="R1687" i="1"/>
  <c r="O1687" i="1"/>
  <c r="Q1687" i="1" s="1"/>
  <c r="C1687" i="1"/>
  <c r="B1687" i="1"/>
  <c r="T1686" i="1"/>
  <c r="O1686" i="1"/>
  <c r="Q1686" i="1" s="1"/>
  <c r="C1686" i="1"/>
  <c r="B1686" i="1"/>
  <c r="T1685" i="1"/>
  <c r="O1685" i="1"/>
  <c r="C1685" i="1"/>
  <c r="B1685" i="1"/>
  <c r="T1684" i="1"/>
  <c r="O1684" i="1"/>
  <c r="Q1684" i="1" s="1"/>
  <c r="R1684" i="1" s="1"/>
  <c r="S1684" i="1" s="1"/>
  <c r="C1684" i="1"/>
  <c r="B1684" i="1"/>
  <c r="T1683" i="1"/>
  <c r="O1683" i="1"/>
  <c r="C1683" i="1"/>
  <c r="B1683" i="1"/>
  <c r="T1682" i="1"/>
  <c r="Q1682" i="1"/>
  <c r="O1682" i="1"/>
  <c r="C1682" i="1"/>
  <c r="B1682" i="1"/>
  <c r="T1681" i="1"/>
  <c r="O1681" i="1"/>
  <c r="C1681" i="1"/>
  <c r="B1681" i="1"/>
  <c r="T1680" i="1"/>
  <c r="Q1680" i="1"/>
  <c r="R1680" i="1" s="1"/>
  <c r="S1680" i="1" s="1"/>
  <c r="O1680" i="1"/>
  <c r="C1680" i="1"/>
  <c r="B1680" i="1"/>
  <c r="T1679" i="1"/>
  <c r="O1679" i="1"/>
  <c r="Q1679" i="1" s="1"/>
  <c r="C1679" i="1"/>
  <c r="B1679" i="1"/>
  <c r="T1678" i="1"/>
  <c r="O1678" i="1"/>
  <c r="C1678" i="1"/>
  <c r="B1678" i="1"/>
  <c r="T1677" i="1"/>
  <c r="O1677" i="1"/>
  <c r="C1677" i="1"/>
  <c r="B1677" i="1"/>
  <c r="T1676" i="1"/>
  <c r="O1676" i="1"/>
  <c r="Q1676" i="1" s="1"/>
  <c r="R1676" i="1" s="1"/>
  <c r="S1676" i="1" s="1"/>
  <c r="C1676" i="1"/>
  <c r="B1676" i="1"/>
  <c r="T1675" i="1"/>
  <c r="O1675" i="1"/>
  <c r="C1675" i="1"/>
  <c r="B1675" i="1"/>
  <c r="T1674" i="1"/>
  <c r="O1674" i="1"/>
  <c r="C1674" i="1"/>
  <c r="B1674" i="1"/>
  <c r="T1673" i="1"/>
  <c r="O1673" i="1"/>
  <c r="C1673" i="1"/>
  <c r="B1673" i="1"/>
  <c r="T1672" i="1"/>
  <c r="O1672" i="1"/>
  <c r="C1672" i="1"/>
  <c r="B1672" i="1"/>
  <c r="T1671" i="1"/>
  <c r="R1671" i="1"/>
  <c r="S1671" i="1" s="1"/>
  <c r="Q1671" i="1"/>
  <c r="O1671" i="1"/>
  <c r="C1671" i="1"/>
  <c r="B1671" i="1"/>
  <c r="T1670" i="1"/>
  <c r="Q1670" i="1"/>
  <c r="R1670" i="1" s="1"/>
  <c r="S1670" i="1" s="1"/>
  <c r="O1670" i="1"/>
  <c r="C1670" i="1"/>
  <c r="B1670" i="1"/>
  <c r="T1669" i="1"/>
  <c r="Q1669" i="1"/>
  <c r="R1669" i="1" s="1"/>
  <c r="S1669" i="1" s="1"/>
  <c r="O1669" i="1"/>
  <c r="C1669" i="1"/>
  <c r="B1669" i="1"/>
  <c r="T1668" i="1"/>
  <c r="O1668" i="1"/>
  <c r="C1668" i="1"/>
  <c r="B1668" i="1"/>
  <c r="T1667" i="1"/>
  <c r="S1667" i="1"/>
  <c r="R1667" i="1"/>
  <c r="Q1667" i="1"/>
  <c r="O1667" i="1"/>
  <c r="C1667" i="1"/>
  <c r="B1667" i="1"/>
  <c r="T1666" i="1"/>
  <c r="O1666" i="1"/>
  <c r="C1666" i="1"/>
  <c r="B1666" i="1"/>
  <c r="T1665" i="1"/>
  <c r="O1665" i="1"/>
  <c r="C1665" i="1"/>
  <c r="B1665" i="1"/>
  <c r="T1664" i="1"/>
  <c r="O1664" i="1"/>
  <c r="Q1664" i="1" s="1"/>
  <c r="R1664" i="1" s="1"/>
  <c r="S1664" i="1" s="1"/>
  <c r="C1664" i="1"/>
  <c r="B1664" i="1"/>
  <c r="T1663" i="1"/>
  <c r="S1663" i="1"/>
  <c r="O1663" i="1"/>
  <c r="Q1663" i="1" s="1"/>
  <c r="R1663" i="1" s="1"/>
  <c r="C1663" i="1"/>
  <c r="B1663" i="1"/>
  <c r="T1662" i="1"/>
  <c r="R1662" i="1"/>
  <c r="S1662" i="1" s="1"/>
  <c r="O1662" i="1"/>
  <c r="Q1662" i="1" s="1"/>
  <c r="C1662" i="1"/>
  <c r="B1662" i="1"/>
  <c r="T1661" i="1"/>
  <c r="Q1661" i="1"/>
  <c r="R1661" i="1" s="1"/>
  <c r="S1661" i="1" s="1"/>
  <c r="O1661" i="1"/>
  <c r="C1661" i="1"/>
  <c r="B1661" i="1"/>
  <c r="T1660" i="1"/>
  <c r="O1660" i="1"/>
  <c r="C1660" i="1"/>
  <c r="B1660" i="1"/>
  <c r="T1659" i="1"/>
  <c r="O1659" i="1"/>
  <c r="C1659" i="1"/>
  <c r="B1659" i="1"/>
  <c r="T1658" i="1"/>
  <c r="O1658" i="1"/>
  <c r="C1658" i="1"/>
  <c r="B1658" i="1"/>
  <c r="T1657" i="1"/>
  <c r="O1657" i="1"/>
  <c r="C1657" i="1"/>
  <c r="B1657" i="1"/>
  <c r="T1656" i="1"/>
  <c r="S1656" i="1"/>
  <c r="Q1656" i="1"/>
  <c r="R1656" i="1" s="1"/>
  <c r="O1656" i="1"/>
  <c r="C1656" i="1"/>
  <c r="B1656" i="1"/>
  <c r="T1655" i="1"/>
  <c r="O1655" i="1"/>
  <c r="C1655" i="1"/>
  <c r="B1655" i="1"/>
  <c r="T1654" i="1"/>
  <c r="O1654" i="1"/>
  <c r="C1654" i="1"/>
  <c r="B1654" i="1"/>
  <c r="T1653" i="1"/>
  <c r="Q1653" i="1"/>
  <c r="O1653" i="1"/>
  <c r="R1653" i="1" s="1"/>
  <c r="S1653" i="1" s="1"/>
  <c r="C1653" i="1"/>
  <c r="B1653" i="1"/>
  <c r="T1652" i="1"/>
  <c r="O1652" i="1"/>
  <c r="C1652" i="1"/>
  <c r="B1652" i="1"/>
  <c r="T1651" i="1"/>
  <c r="S1651" i="1"/>
  <c r="R1651" i="1"/>
  <c r="O1651" i="1"/>
  <c r="Q1651" i="1" s="1"/>
  <c r="C1651" i="1"/>
  <c r="B1651" i="1"/>
  <c r="T1650" i="1"/>
  <c r="Q1650" i="1"/>
  <c r="O1650" i="1"/>
  <c r="C1650" i="1"/>
  <c r="B1650" i="1"/>
  <c r="T1649" i="1"/>
  <c r="O1649" i="1"/>
  <c r="C1649" i="1"/>
  <c r="B1649" i="1"/>
  <c r="T1648" i="1"/>
  <c r="O1648" i="1"/>
  <c r="C1648" i="1"/>
  <c r="B1648" i="1"/>
  <c r="T1647" i="1"/>
  <c r="O1647" i="1"/>
  <c r="Q1647" i="1" s="1"/>
  <c r="R1647" i="1" s="1"/>
  <c r="S1647" i="1" s="1"/>
  <c r="C1647" i="1"/>
  <c r="B1647" i="1"/>
  <c r="T1646" i="1"/>
  <c r="S1646" i="1"/>
  <c r="R1646" i="1"/>
  <c r="Q1646" i="1"/>
  <c r="O1646" i="1"/>
  <c r="C1646" i="1"/>
  <c r="B1646" i="1"/>
  <c r="T1645" i="1"/>
  <c r="R1645" i="1"/>
  <c r="S1645" i="1" s="1"/>
  <c r="Q1645" i="1"/>
  <c r="O1645" i="1"/>
  <c r="C1645" i="1"/>
  <c r="B1645" i="1"/>
  <c r="T1644" i="1"/>
  <c r="Q1644" i="1"/>
  <c r="R1644" i="1" s="1"/>
  <c r="S1644" i="1" s="1"/>
  <c r="O1644" i="1"/>
  <c r="C1644" i="1"/>
  <c r="B1644" i="1"/>
  <c r="T1643" i="1"/>
  <c r="O1643" i="1"/>
  <c r="C1643" i="1"/>
  <c r="B1643" i="1"/>
  <c r="T1642" i="1"/>
  <c r="O1642" i="1"/>
  <c r="Q1642" i="1" s="1"/>
  <c r="C1642" i="1"/>
  <c r="B1642" i="1"/>
  <c r="T1641" i="1"/>
  <c r="R1641" i="1"/>
  <c r="S1641" i="1" s="1"/>
  <c r="O1641" i="1"/>
  <c r="Q1641" i="1" s="1"/>
  <c r="C1641" i="1"/>
  <c r="B1641" i="1"/>
  <c r="T1640" i="1"/>
  <c r="Q1640" i="1"/>
  <c r="R1640" i="1" s="1"/>
  <c r="S1640" i="1" s="1"/>
  <c r="O1640" i="1"/>
  <c r="C1640" i="1"/>
  <c r="B1640" i="1"/>
  <c r="T1639" i="1"/>
  <c r="R1639" i="1"/>
  <c r="S1639" i="1" s="1"/>
  <c r="O1639" i="1"/>
  <c r="Q1639" i="1" s="1"/>
  <c r="C1639" i="1"/>
  <c r="B1639" i="1"/>
  <c r="T1638" i="1"/>
  <c r="R1638" i="1"/>
  <c r="S1638" i="1" s="1"/>
  <c r="O1638" i="1"/>
  <c r="Q1638" i="1" s="1"/>
  <c r="C1638" i="1"/>
  <c r="B1638" i="1"/>
  <c r="T1637" i="1"/>
  <c r="O1637" i="1"/>
  <c r="C1637" i="1"/>
  <c r="B1637" i="1"/>
  <c r="T1636" i="1"/>
  <c r="O1636" i="1"/>
  <c r="C1636" i="1"/>
  <c r="B1636" i="1"/>
  <c r="T1635" i="1"/>
  <c r="R1635" i="1"/>
  <c r="S1635" i="1" s="1"/>
  <c r="Q1635" i="1"/>
  <c r="O1635" i="1"/>
  <c r="C1635" i="1"/>
  <c r="B1635" i="1"/>
  <c r="T1634" i="1"/>
  <c r="R1634" i="1"/>
  <c r="S1634" i="1" s="1"/>
  <c r="Q1634" i="1"/>
  <c r="O1634" i="1"/>
  <c r="C1634" i="1"/>
  <c r="B1634" i="1"/>
  <c r="T1633" i="1"/>
  <c r="O1633" i="1"/>
  <c r="Q1633" i="1" s="1"/>
  <c r="R1633" i="1" s="1"/>
  <c r="S1633" i="1" s="1"/>
  <c r="C1633" i="1"/>
  <c r="B1633" i="1"/>
  <c r="T1632" i="1"/>
  <c r="Q1632" i="1"/>
  <c r="R1632" i="1" s="1"/>
  <c r="S1632" i="1" s="1"/>
  <c r="O1632" i="1"/>
  <c r="C1632" i="1"/>
  <c r="B1632" i="1"/>
  <c r="T1631" i="1"/>
  <c r="O1631" i="1"/>
  <c r="Q1631" i="1" s="1"/>
  <c r="C1631" i="1"/>
  <c r="B1631" i="1"/>
  <c r="T1630" i="1"/>
  <c r="R1630" i="1"/>
  <c r="S1630" i="1" s="1"/>
  <c r="O1630" i="1"/>
  <c r="Q1630" i="1" s="1"/>
  <c r="C1630" i="1"/>
  <c r="B1630" i="1"/>
  <c r="T1629" i="1"/>
  <c r="S1629" i="1"/>
  <c r="R1629" i="1"/>
  <c r="Q1629" i="1"/>
  <c r="O1629" i="1"/>
  <c r="C1629" i="1"/>
  <c r="B1629" i="1"/>
  <c r="T1628" i="1"/>
  <c r="O1628" i="1"/>
  <c r="C1628" i="1"/>
  <c r="B1628" i="1"/>
  <c r="T1627" i="1"/>
  <c r="Q1627" i="1"/>
  <c r="R1627" i="1" s="1"/>
  <c r="S1627" i="1" s="1"/>
  <c r="O1627" i="1"/>
  <c r="C1627" i="1"/>
  <c r="B1627" i="1"/>
  <c r="T1626" i="1"/>
  <c r="O1626" i="1"/>
  <c r="Q1626" i="1" s="1"/>
  <c r="C1626" i="1"/>
  <c r="B1626" i="1"/>
  <c r="T1625" i="1"/>
  <c r="O1625" i="1"/>
  <c r="C1625" i="1"/>
  <c r="B1625" i="1"/>
  <c r="T1624" i="1"/>
  <c r="O1624" i="1"/>
  <c r="Q1624" i="1" s="1"/>
  <c r="R1624" i="1" s="1"/>
  <c r="S1624" i="1" s="1"/>
  <c r="C1624" i="1"/>
  <c r="B1624" i="1"/>
  <c r="T1623" i="1"/>
  <c r="R1623" i="1"/>
  <c r="S1623" i="1" s="1"/>
  <c r="Q1623" i="1"/>
  <c r="O1623" i="1"/>
  <c r="C1623" i="1"/>
  <c r="B1623" i="1"/>
  <c r="T1622" i="1"/>
  <c r="Q1622" i="1"/>
  <c r="R1622" i="1" s="1"/>
  <c r="S1622" i="1" s="1"/>
  <c r="O1622" i="1"/>
  <c r="C1622" i="1"/>
  <c r="B1622" i="1"/>
  <c r="T1621" i="1"/>
  <c r="Q1621" i="1"/>
  <c r="R1621" i="1" s="1"/>
  <c r="S1621" i="1" s="1"/>
  <c r="O1621" i="1"/>
  <c r="C1621" i="1"/>
  <c r="B1621" i="1"/>
  <c r="T1620" i="1"/>
  <c r="O1620" i="1"/>
  <c r="Q1620" i="1" s="1"/>
  <c r="R1620" i="1" s="1"/>
  <c r="S1620" i="1" s="1"/>
  <c r="C1620" i="1"/>
  <c r="B1620" i="1"/>
  <c r="T1619" i="1"/>
  <c r="S1619" i="1"/>
  <c r="Q1619" i="1"/>
  <c r="O1619" i="1"/>
  <c r="R1619" i="1" s="1"/>
  <c r="C1619" i="1"/>
  <c r="B1619" i="1"/>
  <c r="T1618" i="1"/>
  <c r="O1618" i="1"/>
  <c r="C1618" i="1"/>
  <c r="B1618" i="1"/>
  <c r="T1617" i="1"/>
  <c r="Q1617" i="1"/>
  <c r="R1617" i="1" s="1"/>
  <c r="S1617" i="1" s="1"/>
  <c r="O1617" i="1"/>
  <c r="C1617" i="1"/>
  <c r="B1617" i="1"/>
  <c r="T1616" i="1"/>
  <c r="Q1616" i="1"/>
  <c r="R1616" i="1" s="1"/>
  <c r="S1616" i="1" s="1"/>
  <c r="O1616" i="1"/>
  <c r="C1616" i="1"/>
  <c r="B1616" i="1"/>
  <c r="T1615" i="1"/>
  <c r="O1615" i="1"/>
  <c r="Q1615" i="1" s="1"/>
  <c r="R1615" i="1" s="1"/>
  <c r="S1615" i="1" s="1"/>
  <c r="C1615" i="1"/>
  <c r="B1615" i="1"/>
  <c r="T1614" i="1"/>
  <c r="O1614" i="1"/>
  <c r="Q1614" i="1" s="1"/>
  <c r="C1614" i="1"/>
  <c r="B1614" i="1"/>
  <c r="T1613" i="1"/>
  <c r="O1613" i="1"/>
  <c r="C1613" i="1"/>
  <c r="B1613" i="1"/>
  <c r="T1612" i="1"/>
  <c r="R1612" i="1"/>
  <c r="S1612" i="1" s="1"/>
  <c r="O1612" i="1"/>
  <c r="Q1612" i="1" s="1"/>
  <c r="C1612" i="1"/>
  <c r="B1612" i="1"/>
  <c r="T1611" i="1"/>
  <c r="Q1611" i="1"/>
  <c r="O1611" i="1"/>
  <c r="C1611" i="1"/>
  <c r="B1611" i="1"/>
  <c r="T1610" i="1"/>
  <c r="Q1610" i="1"/>
  <c r="O1610" i="1"/>
  <c r="C1610" i="1"/>
  <c r="B1610" i="1"/>
  <c r="T1609" i="1"/>
  <c r="Q1609" i="1"/>
  <c r="O1609" i="1"/>
  <c r="C1609" i="1"/>
  <c r="B1609" i="1"/>
  <c r="T1608" i="1"/>
  <c r="S1608" i="1"/>
  <c r="Q1608" i="1"/>
  <c r="O1608" i="1"/>
  <c r="R1608" i="1" s="1"/>
  <c r="C1608" i="1"/>
  <c r="B1608" i="1"/>
  <c r="T1607" i="1"/>
  <c r="Q1607" i="1"/>
  <c r="O1607" i="1"/>
  <c r="C1607" i="1"/>
  <c r="B1607" i="1"/>
  <c r="T1606" i="1"/>
  <c r="Q1606" i="1"/>
  <c r="R1606" i="1" s="1"/>
  <c r="S1606" i="1" s="1"/>
  <c r="O1606" i="1"/>
  <c r="C1606" i="1"/>
  <c r="B1606" i="1"/>
  <c r="T1605" i="1"/>
  <c r="S1605" i="1"/>
  <c r="R1605" i="1"/>
  <c r="O1605" i="1"/>
  <c r="Q1605" i="1" s="1"/>
  <c r="C1605" i="1"/>
  <c r="B1605" i="1"/>
  <c r="T1604" i="1"/>
  <c r="O1604" i="1"/>
  <c r="C1604" i="1"/>
  <c r="B1604" i="1"/>
  <c r="T1603" i="1"/>
  <c r="O1603" i="1"/>
  <c r="C1603" i="1"/>
  <c r="B1603" i="1"/>
  <c r="T1602" i="1"/>
  <c r="S1602" i="1"/>
  <c r="R1602" i="1"/>
  <c r="Q1602" i="1"/>
  <c r="O1602" i="1"/>
  <c r="C1602" i="1"/>
  <c r="B1602" i="1"/>
  <c r="T1601" i="1"/>
  <c r="O1601" i="1"/>
  <c r="C1601" i="1"/>
  <c r="B1601" i="1"/>
  <c r="T1600" i="1"/>
  <c r="O1600" i="1"/>
  <c r="C1600" i="1"/>
  <c r="B1600" i="1"/>
  <c r="T1599" i="1"/>
  <c r="O1599" i="1"/>
  <c r="C1599" i="1"/>
  <c r="B1599" i="1"/>
  <c r="T1598" i="1"/>
  <c r="S1598" i="1"/>
  <c r="Q1598" i="1"/>
  <c r="R1598" i="1" s="1"/>
  <c r="O1598" i="1"/>
  <c r="C1598" i="1"/>
  <c r="B1598" i="1"/>
  <c r="T1597" i="1"/>
  <c r="S1597" i="1"/>
  <c r="R1597" i="1"/>
  <c r="Q1597" i="1"/>
  <c r="O1597" i="1"/>
  <c r="C1597" i="1"/>
  <c r="B1597" i="1"/>
  <c r="T1596" i="1"/>
  <c r="R1596" i="1"/>
  <c r="S1596" i="1" s="1"/>
  <c r="Q1596" i="1"/>
  <c r="O1596" i="1"/>
  <c r="C1596" i="1"/>
  <c r="B1596" i="1"/>
  <c r="T1595" i="1"/>
  <c r="O1595" i="1"/>
  <c r="Q1595" i="1" s="1"/>
  <c r="C1595" i="1"/>
  <c r="B1595" i="1"/>
  <c r="T1594" i="1"/>
  <c r="Q1594" i="1"/>
  <c r="O1594" i="1"/>
  <c r="C1594" i="1"/>
  <c r="B1594" i="1"/>
  <c r="T1593" i="1"/>
  <c r="O1593" i="1"/>
  <c r="C1593" i="1"/>
  <c r="B1593" i="1"/>
  <c r="T1592" i="1"/>
  <c r="O1592" i="1"/>
  <c r="C1592" i="1"/>
  <c r="B1592" i="1"/>
  <c r="T1591" i="1"/>
  <c r="O1591" i="1"/>
  <c r="Q1591" i="1" s="1"/>
  <c r="R1591" i="1" s="1"/>
  <c r="S1591" i="1" s="1"/>
  <c r="C1591" i="1"/>
  <c r="B1591" i="1"/>
  <c r="T1590" i="1"/>
  <c r="O1590" i="1"/>
  <c r="C1590" i="1"/>
  <c r="B1590" i="1"/>
  <c r="T1589" i="1"/>
  <c r="O1589" i="1"/>
  <c r="C1589" i="1"/>
  <c r="B1589" i="1"/>
  <c r="T1588" i="1"/>
  <c r="O1588" i="1"/>
  <c r="Q1588" i="1" s="1"/>
  <c r="C1588" i="1"/>
  <c r="B1588" i="1"/>
  <c r="T1587" i="1"/>
  <c r="Q1587" i="1"/>
  <c r="O1587" i="1"/>
  <c r="R1587" i="1" s="1"/>
  <c r="S1587" i="1" s="1"/>
  <c r="C1587" i="1"/>
  <c r="B1587" i="1"/>
  <c r="T1586" i="1"/>
  <c r="R1586" i="1"/>
  <c r="S1586" i="1" s="1"/>
  <c r="O1586" i="1"/>
  <c r="Q1586" i="1" s="1"/>
  <c r="C1586" i="1"/>
  <c r="B1586" i="1"/>
  <c r="T1585" i="1"/>
  <c r="Q1585" i="1"/>
  <c r="R1585" i="1" s="1"/>
  <c r="S1585" i="1" s="1"/>
  <c r="O1585" i="1"/>
  <c r="C1585" i="1"/>
  <c r="B1585" i="1"/>
  <c r="T1584" i="1"/>
  <c r="Q1584" i="1"/>
  <c r="O1584" i="1"/>
  <c r="R1584" i="1" s="1"/>
  <c r="S1584" i="1" s="1"/>
  <c r="C1584" i="1"/>
  <c r="B1584" i="1"/>
  <c r="T1583" i="1"/>
  <c r="O1583" i="1"/>
  <c r="C1583" i="1"/>
  <c r="B1583" i="1"/>
  <c r="T1582" i="1"/>
  <c r="O1582" i="1"/>
  <c r="C1582" i="1"/>
  <c r="B1582" i="1"/>
  <c r="T1581" i="1"/>
  <c r="O1581" i="1"/>
  <c r="C1581" i="1"/>
  <c r="B1581" i="1"/>
  <c r="T1580" i="1"/>
  <c r="R1580" i="1"/>
  <c r="S1580" i="1" s="1"/>
  <c r="Q1580" i="1"/>
  <c r="O1580" i="1"/>
  <c r="C1580" i="1"/>
  <c r="B1580" i="1"/>
  <c r="T1579" i="1"/>
  <c r="Q1579" i="1"/>
  <c r="R1579" i="1" s="1"/>
  <c r="S1579" i="1" s="1"/>
  <c r="O1579" i="1"/>
  <c r="C1579" i="1"/>
  <c r="B1579" i="1"/>
  <c r="T1578" i="1"/>
  <c r="R1578" i="1"/>
  <c r="S1578" i="1" s="1"/>
  <c r="Q1578" i="1"/>
  <c r="O1578" i="1"/>
  <c r="C1578" i="1"/>
  <c r="B1578" i="1"/>
  <c r="T1577" i="1"/>
  <c r="O1577" i="1"/>
  <c r="C1577" i="1"/>
  <c r="B1577" i="1"/>
  <c r="T1576" i="1"/>
  <c r="R1576" i="1"/>
  <c r="S1576" i="1" s="1"/>
  <c r="Q1576" i="1"/>
  <c r="O1576" i="1"/>
  <c r="C1576" i="1"/>
  <c r="B1576" i="1"/>
  <c r="T1575" i="1"/>
  <c r="Q1575" i="1"/>
  <c r="R1575" i="1" s="1"/>
  <c r="S1575" i="1" s="1"/>
  <c r="O1575" i="1"/>
  <c r="C1575" i="1"/>
  <c r="B1575" i="1"/>
  <c r="T1574" i="1"/>
  <c r="S1574" i="1"/>
  <c r="Q1574" i="1"/>
  <c r="R1574" i="1" s="1"/>
  <c r="O1574" i="1"/>
  <c r="C1574" i="1"/>
  <c r="B1574" i="1"/>
  <c r="T1573" i="1"/>
  <c r="Q1573" i="1"/>
  <c r="R1573" i="1" s="1"/>
  <c r="S1573" i="1" s="1"/>
  <c r="O1573" i="1"/>
  <c r="C1573" i="1"/>
  <c r="B1573" i="1"/>
  <c r="T1572" i="1"/>
  <c r="O1572" i="1"/>
  <c r="C1572" i="1"/>
  <c r="B1572" i="1"/>
  <c r="T1571" i="1"/>
  <c r="O1571" i="1"/>
  <c r="C1571" i="1"/>
  <c r="B1571" i="1"/>
  <c r="T1570" i="1"/>
  <c r="O1570" i="1"/>
  <c r="C1570" i="1"/>
  <c r="B1570" i="1"/>
  <c r="T1569" i="1"/>
  <c r="O1569" i="1"/>
  <c r="C1569" i="1"/>
  <c r="B1569" i="1"/>
  <c r="T1568" i="1"/>
  <c r="Q1568" i="1"/>
  <c r="O1568" i="1"/>
  <c r="R1568" i="1" s="1"/>
  <c r="S1568" i="1" s="1"/>
  <c r="C1568" i="1"/>
  <c r="B1568" i="1"/>
  <c r="T1567" i="1"/>
  <c r="R1567" i="1"/>
  <c r="S1567" i="1" s="1"/>
  <c r="O1567" i="1"/>
  <c r="Q1567" i="1" s="1"/>
  <c r="C1567" i="1"/>
  <c r="B1567" i="1"/>
  <c r="T1566" i="1"/>
  <c r="O1566" i="1"/>
  <c r="C1566" i="1"/>
  <c r="B1566" i="1"/>
  <c r="T1565" i="1"/>
  <c r="O1565" i="1"/>
  <c r="C1565" i="1"/>
  <c r="B1565" i="1"/>
  <c r="T1564" i="1"/>
  <c r="S1564" i="1"/>
  <c r="R1564" i="1"/>
  <c r="O1564" i="1"/>
  <c r="Q1564" i="1" s="1"/>
  <c r="C1564" i="1"/>
  <c r="B1564" i="1"/>
  <c r="T1563" i="1"/>
  <c r="O1563" i="1"/>
  <c r="Q1563" i="1" s="1"/>
  <c r="R1563" i="1" s="1"/>
  <c r="S1563" i="1" s="1"/>
  <c r="C1563" i="1"/>
  <c r="B1563" i="1"/>
  <c r="T1562" i="1"/>
  <c r="Q1562" i="1"/>
  <c r="O1562" i="1"/>
  <c r="R1562" i="1" s="1"/>
  <c r="S1562" i="1" s="1"/>
  <c r="C1562" i="1"/>
  <c r="B1562" i="1"/>
  <c r="T1561" i="1"/>
  <c r="Q1561" i="1"/>
  <c r="R1561" i="1" s="1"/>
  <c r="S1561" i="1" s="1"/>
  <c r="O1561" i="1"/>
  <c r="C1561" i="1"/>
  <c r="B1561" i="1"/>
  <c r="T1560" i="1"/>
  <c r="Q1560" i="1"/>
  <c r="O1560" i="1"/>
  <c r="R1560" i="1" s="1"/>
  <c r="S1560" i="1" s="1"/>
  <c r="C1560" i="1"/>
  <c r="B1560" i="1"/>
  <c r="T1559" i="1"/>
  <c r="O1559" i="1"/>
  <c r="C1559" i="1"/>
  <c r="B1559" i="1"/>
  <c r="T1558" i="1"/>
  <c r="O1558" i="1"/>
  <c r="Q1558" i="1" s="1"/>
  <c r="C1558" i="1"/>
  <c r="B1558" i="1"/>
  <c r="T1557" i="1"/>
  <c r="O1557" i="1"/>
  <c r="C1557" i="1"/>
  <c r="B1557" i="1"/>
  <c r="T1556" i="1"/>
  <c r="Q1556" i="1"/>
  <c r="O1556" i="1"/>
  <c r="R1556" i="1" s="1"/>
  <c r="S1556" i="1" s="1"/>
  <c r="C1556" i="1"/>
  <c r="B1556" i="1"/>
  <c r="T1555" i="1"/>
  <c r="O1555" i="1"/>
  <c r="C1555" i="1"/>
  <c r="B1555" i="1"/>
  <c r="T1554" i="1"/>
  <c r="O1554" i="1"/>
  <c r="C1554" i="1"/>
  <c r="B1554" i="1"/>
  <c r="T1553" i="1"/>
  <c r="O1553" i="1"/>
  <c r="C1553" i="1"/>
  <c r="B1553" i="1"/>
  <c r="T1552" i="1"/>
  <c r="O1552" i="1"/>
  <c r="C1552" i="1"/>
  <c r="B1552" i="1"/>
  <c r="T1551" i="1"/>
  <c r="Q1551" i="1"/>
  <c r="O1551" i="1"/>
  <c r="R1551" i="1" s="1"/>
  <c r="S1551" i="1" s="1"/>
  <c r="C1551" i="1"/>
  <c r="B1551" i="1"/>
  <c r="T1550" i="1"/>
  <c r="Q1550" i="1"/>
  <c r="R1550" i="1" s="1"/>
  <c r="S1550" i="1" s="1"/>
  <c r="O1550" i="1"/>
  <c r="C1550" i="1"/>
  <c r="B1550" i="1"/>
  <c r="T1549" i="1"/>
  <c r="Q1549" i="1"/>
  <c r="R1549" i="1" s="1"/>
  <c r="S1549" i="1" s="1"/>
  <c r="O1549" i="1"/>
  <c r="C1549" i="1"/>
  <c r="B1549" i="1"/>
  <c r="T1548" i="1"/>
  <c r="O1548" i="1"/>
  <c r="C1548" i="1"/>
  <c r="B1548" i="1"/>
  <c r="T1547" i="1"/>
  <c r="Q1547" i="1"/>
  <c r="O1547" i="1"/>
  <c r="R1547" i="1" s="1"/>
  <c r="S1547" i="1" s="1"/>
  <c r="C1547" i="1"/>
  <c r="B1547" i="1"/>
  <c r="T1546" i="1"/>
  <c r="Q1546" i="1"/>
  <c r="O1546" i="1"/>
  <c r="C1546" i="1"/>
  <c r="B1546" i="1"/>
  <c r="T1545" i="1"/>
  <c r="O1545" i="1"/>
  <c r="C1545" i="1"/>
  <c r="B1545" i="1"/>
  <c r="T1544" i="1"/>
  <c r="O1544" i="1"/>
  <c r="C1544" i="1"/>
  <c r="B1544" i="1"/>
  <c r="T1543" i="1"/>
  <c r="O1543" i="1"/>
  <c r="Q1543" i="1" s="1"/>
  <c r="R1543" i="1" s="1"/>
  <c r="S1543" i="1" s="1"/>
  <c r="C1543" i="1"/>
  <c r="B1543" i="1"/>
  <c r="T1542" i="1"/>
  <c r="R1542" i="1"/>
  <c r="S1542" i="1" s="1"/>
  <c r="O1542" i="1"/>
  <c r="Q1542" i="1" s="1"/>
  <c r="C1542" i="1"/>
  <c r="B1542" i="1"/>
  <c r="T1541" i="1"/>
  <c r="O1541" i="1"/>
  <c r="Q1541" i="1" s="1"/>
  <c r="R1541" i="1" s="1"/>
  <c r="S1541" i="1" s="1"/>
  <c r="C1541" i="1"/>
  <c r="B1541" i="1"/>
  <c r="T1540" i="1"/>
  <c r="R1540" i="1"/>
  <c r="S1540" i="1" s="1"/>
  <c r="Q1540" i="1"/>
  <c r="O1540" i="1"/>
  <c r="C1540" i="1"/>
  <c r="B1540" i="1"/>
  <c r="T1539" i="1"/>
  <c r="R1539" i="1"/>
  <c r="S1539" i="1" s="1"/>
  <c r="O1539" i="1"/>
  <c r="Q1539" i="1" s="1"/>
  <c r="C1539" i="1"/>
  <c r="B1539" i="1"/>
  <c r="T1538" i="1"/>
  <c r="O1538" i="1"/>
  <c r="C1538" i="1"/>
  <c r="B1538" i="1"/>
  <c r="T1537" i="1"/>
  <c r="O1537" i="1"/>
  <c r="C1537" i="1"/>
  <c r="B1537" i="1"/>
  <c r="T1536" i="1"/>
  <c r="S1536" i="1"/>
  <c r="Q1536" i="1"/>
  <c r="O1536" i="1"/>
  <c r="R1536" i="1" s="1"/>
  <c r="C1536" i="1"/>
  <c r="B1536" i="1"/>
  <c r="T1535" i="1"/>
  <c r="O1535" i="1"/>
  <c r="C1535" i="1"/>
  <c r="B1535" i="1"/>
  <c r="T1534" i="1"/>
  <c r="O1534" i="1"/>
  <c r="C1534" i="1"/>
  <c r="B1534" i="1"/>
  <c r="T1533" i="1"/>
  <c r="O1533" i="1"/>
  <c r="C1533" i="1"/>
  <c r="B1533" i="1"/>
  <c r="T1532" i="1"/>
  <c r="O1532" i="1"/>
  <c r="Q1532" i="1" s="1"/>
  <c r="R1532" i="1" s="1"/>
  <c r="S1532" i="1" s="1"/>
  <c r="C1532" i="1"/>
  <c r="B1532" i="1"/>
  <c r="T1531" i="1"/>
  <c r="O1531" i="1"/>
  <c r="C1531" i="1"/>
  <c r="B1531" i="1"/>
  <c r="T1530" i="1"/>
  <c r="R1530" i="1"/>
  <c r="S1530" i="1" s="1"/>
  <c r="O1530" i="1"/>
  <c r="Q1530" i="1" s="1"/>
  <c r="C1530" i="1"/>
  <c r="B1530" i="1"/>
  <c r="T1529" i="1"/>
  <c r="O1529" i="1"/>
  <c r="C1529" i="1"/>
  <c r="B1529" i="1"/>
  <c r="T1528" i="1"/>
  <c r="O1528" i="1"/>
  <c r="C1528" i="1"/>
  <c r="B1528" i="1"/>
  <c r="T1527" i="1"/>
  <c r="O1527" i="1"/>
  <c r="C1527" i="1"/>
  <c r="B1527" i="1"/>
  <c r="T1526" i="1"/>
  <c r="R1526" i="1"/>
  <c r="S1526" i="1" s="1"/>
  <c r="Q1526" i="1"/>
  <c r="O1526" i="1"/>
  <c r="C1526" i="1"/>
  <c r="B1526" i="1"/>
  <c r="T1525" i="1"/>
  <c r="Q1525" i="1"/>
  <c r="R1525" i="1" s="1"/>
  <c r="S1525" i="1" s="1"/>
  <c r="O1525" i="1"/>
  <c r="C1525" i="1"/>
  <c r="B1525" i="1"/>
  <c r="T1524" i="1"/>
  <c r="O1524" i="1"/>
  <c r="C1524" i="1"/>
  <c r="B1524" i="1"/>
  <c r="T1523" i="1"/>
  <c r="O1523" i="1"/>
  <c r="C1523" i="1"/>
  <c r="B1523" i="1"/>
  <c r="T1522" i="1"/>
  <c r="O1522" i="1"/>
  <c r="C1522" i="1"/>
  <c r="B1522" i="1"/>
  <c r="T1521" i="1"/>
  <c r="O1521" i="1"/>
  <c r="Q1521" i="1" s="1"/>
  <c r="R1521" i="1" s="1"/>
  <c r="S1521" i="1" s="1"/>
  <c r="C1521" i="1"/>
  <c r="B1521" i="1"/>
  <c r="T1520" i="1"/>
  <c r="S1520" i="1"/>
  <c r="R1520" i="1"/>
  <c r="O1520" i="1"/>
  <c r="Q1520" i="1" s="1"/>
  <c r="C1520" i="1"/>
  <c r="B1520" i="1"/>
  <c r="T1519" i="1"/>
  <c r="S1519" i="1"/>
  <c r="R1519" i="1"/>
  <c r="O1519" i="1"/>
  <c r="Q1519" i="1" s="1"/>
  <c r="C1519" i="1"/>
  <c r="B1519" i="1"/>
  <c r="T1518" i="1"/>
  <c r="O1518" i="1"/>
  <c r="Q1518" i="1" s="1"/>
  <c r="C1518" i="1"/>
  <c r="B1518" i="1"/>
  <c r="T1517" i="1"/>
  <c r="Q1517" i="1"/>
  <c r="O1517" i="1"/>
  <c r="R1517" i="1" s="1"/>
  <c r="S1517" i="1" s="1"/>
  <c r="C1517" i="1"/>
  <c r="B1517" i="1"/>
  <c r="T1516" i="1"/>
  <c r="O1516" i="1"/>
  <c r="C1516" i="1"/>
  <c r="B1516" i="1"/>
  <c r="T1515" i="1"/>
  <c r="O1515" i="1"/>
  <c r="Q1515" i="1" s="1"/>
  <c r="R1515" i="1" s="1"/>
  <c r="S1515" i="1" s="1"/>
  <c r="C1515" i="1"/>
  <c r="B1515" i="1"/>
  <c r="T1514" i="1"/>
  <c r="Q1514" i="1"/>
  <c r="R1514" i="1" s="1"/>
  <c r="S1514" i="1" s="1"/>
  <c r="O1514" i="1"/>
  <c r="C1514" i="1"/>
  <c r="B1514" i="1"/>
  <c r="T1513" i="1"/>
  <c r="O1513" i="1"/>
  <c r="C1513" i="1"/>
  <c r="B1513" i="1"/>
  <c r="T1512" i="1"/>
  <c r="Q1512" i="1"/>
  <c r="O1512" i="1"/>
  <c r="R1512" i="1" s="1"/>
  <c r="S1512" i="1" s="1"/>
  <c r="C1512" i="1"/>
  <c r="B1512" i="1"/>
  <c r="T1511" i="1"/>
  <c r="O1511" i="1"/>
  <c r="C1511" i="1"/>
  <c r="B1511" i="1"/>
  <c r="T1510" i="1"/>
  <c r="O1510" i="1"/>
  <c r="C1510" i="1"/>
  <c r="B1510" i="1"/>
  <c r="T1509" i="1"/>
  <c r="O1509" i="1"/>
  <c r="Q1509" i="1" s="1"/>
  <c r="R1509" i="1" s="1"/>
  <c r="S1509" i="1" s="1"/>
  <c r="C1509" i="1"/>
  <c r="B1509" i="1"/>
  <c r="T1508" i="1"/>
  <c r="Q1508" i="1"/>
  <c r="R1508" i="1" s="1"/>
  <c r="S1508" i="1" s="1"/>
  <c r="O1508" i="1"/>
  <c r="C1508" i="1"/>
  <c r="B1508" i="1"/>
  <c r="T1507" i="1"/>
  <c r="R1507" i="1"/>
  <c r="S1507" i="1" s="1"/>
  <c r="Q1507" i="1"/>
  <c r="O1507" i="1"/>
  <c r="C1507" i="1"/>
  <c r="B1507" i="1"/>
  <c r="T1506" i="1"/>
  <c r="Q1506" i="1"/>
  <c r="O1506" i="1"/>
  <c r="R1506" i="1" s="1"/>
  <c r="S1506" i="1" s="1"/>
  <c r="C1506" i="1"/>
  <c r="B1506" i="1"/>
  <c r="T1505" i="1"/>
  <c r="O1505" i="1"/>
  <c r="C1505" i="1"/>
  <c r="B1505" i="1"/>
  <c r="T1504" i="1"/>
  <c r="Q1504" i="1"/>
  <c r="R1504" i="1" s="1"/>
  <c r="S1504" i="1" s="1"/>
  <c r="O1504" i="1"/>
  <c r="C1504" i="1"/>
  <c r="B1504" i="1"/>
  <c r="T1503" i="1"/>
  <c r="R1503" i="1"/>
  <c r="S1503" i="1" s="1"/>
  <c r="Q1503" i="1"/>
  <c r="O1503" i="1"/>
  <c r="C1503" i="1"/>
  <c r="B1503" i="1"/>
  <c r="T1502" i="1"/>
  <c r="Q1502" i="1"/>
  <c r="R1502" i="1" s="1"/>
  <c r="S1502" i="1" s="1"/>
  <c r="O1502" i="1"/>
  <c r="C1502" i="1"/>
  <c r="B1502" i="1"/>
  <c r="T1501" i="1"/>
  <c r="Q1501" i="1"/>
  <c r="R1501" i="1" s="1"/>
  <c r="S1501" i="1" s="1"/>
  <c r="O1501" i="1"/>
  <c r="C1501" i="1"/>
  <c r="B1501" i="1"/>
  <c r="T1500" i="1"/>
  <c r="Q1500" i="1"/>
  <c r="O1500" i="1"/>
  <c r="C1500" i="1"/>
  <c r="B1500" i="1"/>
  <c r="T1499" i="1"/>
  <c r="R1499" i="1"/>
  <c r="S1499" i="1" s="1"/>
  <c r="Q1499" i="1"/>
  <c r="O1499" i="1"/>
  <c r="C1499" i="1"/>
  <c r="B1499" i="1"/>
  <c r="T1498" i="1"/>
  <c r="Q1498" i="1"/>
  <c r="O1498" i="1"/>
  <c r="C1498" i="1"/>
  <c r="B1498" i="1"/>
  <c r="T1497" i="1"/>
  <c r="R1497" i="1"/>
  <c r="S1497" i="1" s="1"/>
  <c r="Q1497" i="1"/>
  <c r="O1497" i="1"/>
  <c r="C1497" i="1"/>
  <c r="B1497" i="1"/>
  <c r="T1496" i="1"/>
  <c r="R1496" i="1"/>
  <c r="S1496" i="1" s="1"/>
  <c r="Q1496" i="1"/>
  <c r="O1496" i="1"/>
  <c r="C1496" i="1"/>
  <c r="B1496" i="1"/>
  <c r="T1495" i="1"/>
  <c r="O1495" i="1"/>
  <c r="Q1495" i="1" s="1"/>
  <c r="R1495" i="1" s="1"/>
  <c r="S1495" i="1" s="1"/>
  <c r="C1495" i="1"/>
  <c r="B1495" i="1"/>
  <c r="T1494" i="1"/>
  <c r="O1494" i="1"/>
  <c r="Q1494" i="1" s="1"/>
  <c r="C1494" i="1"/>
  <c r="B1494" i="1"/>
  <c r="T1493" i="1"/>
  <c r="O1493" i="1"/>
  <c r="Q1493" i="1" s="1"/>
  <c r="R1493" i="1" s="1"/>
  <c r="S1493" i="1" s="1"/>
  <c r="C1493" i="1"/>
  <c r="B1493" i="1"/>
  <c r="T1492" i="1"/>
  <c r="Q1492" i="1"/>
  <c r="O1492" i="1"/>
  <c r="C1492" i="1"/>
  <c r="B1492" i="1"/>
  <c r="T1491" i="1"/>
  <c r="R1491" i="1"/>
  <c r="S1491" i="1" s="1"/>
  <c r="Q1491" i="1"/>
  <c r="O1491" i="1"/>
  <c r="C1491" i="1"/>
  <c r="B1491" i="1"/>
  <c r="T1490" i="1"/>
  <c r="Q1490" i="1"/>
  <c r="O1490" i="1"/>
  <c r="C1490" i="1"/>
  <c r="B1490" i="1"/>
  <c r="T1489" i="1"/>
  <c r="Q1489" i="1"/>
  <c r="O1489" i="1"/>
  <c r="C1489" i="1"/>
  <c r="B1489" i="1"/>
  <c r="T1488" i="1"/>
  <c r="S1488" i="1"/>
  <c r="Q1488" i="1"/>
  <c r="R1488" i="1" s="1"/>
  <c r="O1488" i="1"/>
  <c r="C1488" i="1"/>
  <c r="B1488" i="1"/>
  <c r="T1487" i="1"/>
  <c r="Q1487" i="1"/>
  <c r="O1487" i="1"/>
  <c r="C1487" i="1"/>
  <c r="B1487" i="1"/>
  <c r="T1486" i="1"/>
  <c r="Q1486" i="1"/>
  <c r="R1486" i="1" s="1"/>
  <c r="S1486" i="1" s="1"/>
  <c r="O1486" i="1"/>
  <c r="C1486" i="1"/>
  <c r="B1486" i="1"/>
  <c r="T1485" i="1"/>
  <c r="O1485" i="1"/>
  <c r="C1485" i="1"/>
  <c r="B1485" i="1"/>
  <c r="T1484" i="1"/>
  <c r="O1484" i="1"/>
  <c r="Q1484" i="1" s="1"/>
  <c r="C1484" i="1"/>
  <c r="B1484" i="1"/>
  <c r="T1483" i="1"/>
  <c r="O1483" i="1"/>
  <c r="C1483" i="1"/>
  <c r="B1483" i="1"/>
  <c r="T1482" i="1"/>
  <c r="O1482" i="1"/>
  <c r="C1482" i="1"/>
  <c r="B1482" i="1"/>
  <c r="T1481" i="1"/>
  <c r="O1481" i="1"/>
  <c r="C1481" i="1"/>
  <c r="B1481" i="1"/>
  <c r="T1480" i="1"/>
  <c r="O1480" i="1"/>
  <c r="C1480" i="1"/>
  <c r="B1480" i="1"/>
  <c r="T1479" i="1"/>
  <c r="O1479" i="1"/>
  <c r="C1479" i="1"/>
  <c r="B1479" i="1"/>
  <c r="T1478" i="1"/>
  <c r="Q1478" i="1"/>
  <c r="R1478" i="1" s="1"/>
  <c r="S1478" i="1" s="1"/>
  <c r="O1478" i="1"/>
  <c r="C1478" i="1"/>
  <c r="B1478" i="1"/>
  <c r="T1477" i="1"/>
  <c r="Q1477" i="1"/>
  <c r="R1477" i="1" s="1"/>
  <c r="S1477" i="1" s="1"/>
  <c r="O1477" i="1"/>
  <c r="C1477" i="1"/>
  <c r="B1477" i="1"/>
  <c r="T1476" i="1"/>
  <c r="O1476" i="1"/>
  <c r="Q1476" i="1" s="1"/>
  <c r="R1476" i="1" s="1"/>
  <c r="S1476" i="1" s="1"/>
  <c r="C1476" i="1"/>
  <c r="B1476" i="1"/>
  <c r="T1475" i="1"/>
  <c r="R1475" i="1"/>
  <c r="S1475" i="1" s="1"/>
  <c r="Q1475" i="1"/>
  <c r="O1475" i="1"/>
  <c r="C1475" i="1"/>
  <c r="B1475" i="1"/>
  <c r="T1474" i="1"/>
  <c r="Q1474" i="1"/>
  <c r="O1474" i="1"/>
  <c r="C1474" i="1"/>
  <c r="B1474" i="1"/>
  <c r="T1473" i="1"/>
  <c r="S1473" i="1"/>
  <c r="R1473" i="1"/>
  <c r="O1473" i="1"/>
  <c r="Q1473" i="1" s="1"/>
  <c r="C1473" i="1"/>
  <c r="B1473" i="1"/>
  <c r="T1472" i="1"/>
  <c r="O1472" i="1"/>
  <c r="C1472" i="1"/>
  <c r="B1472" i="1"/>
  <c r="T1471" i="1"/>
  <c r="O1471" i="1"/>
  <c r="Q1471" i="1" s="1"/>
  <c r="R1471" i="1" s="1"/>
  <c r="S1471" i="1" s="1"/>
  <c r="C1471" i="1"/>
  <c r="B1471" i="1"/>
  <c r="T1470" i="1"/>
  <c r="R1470" i="1"/>
  <c r="S1470" i="1" s="1"/>
  <c r="O1470" i="1"/>
  <c r="Q1470" i="1" s="1"/>
  <c r="C1470" i="1"/>
  <c r="B1470" i="1"/>
  <c r="T1469" i="1"/>
  <c r="O1469" i="1"/>
  <c r="Q1469" i="1" s="1"/>
  <c r="C1469" i="1"/>
  <c r="B1469" i="1"/>
  <c r="T1468" i="1"/>
  <c r="Q1468" i="1"/>
  <c r="O1468" i="1"/>
  <c r="C1468" i="1"/>
  <c r="B1468" i="1"/>
  <c r="T1467" i="1"/>
  <c r="O1467" i="1"/>
  <c r="C1467" i="1"/>
  <c r="B1467" i="1"/>
  <c r="T1466" i="1"/>
  <c r="O1466" i="1"/>
  <c r="Q1466" i="1" s="1"/>
  <c r="R1466" i="1" s="1"/>
  <c r="S1466" i="1" s="1"/>
  <c r="C1466" i="1"/>
  <c r="B1466" i="1"/>
  <c r="T1465" i="1"/>
  <c r="R1465" i="1"/>
  <c r="S1465" i="1" s="1"/>
  <c r="Q1465" i="1"/>
  <c r="O1465" i="1"/>
  <c r="C1465" i="1"/>
  <c r="B1465" i="1"/>
  <c r="T1464" i="1"/>
  <c r="Q1464" i="1"/>
  <c r="R1464" i="1" s="1"/>
  <c r="S1464" i="1" s="1"/>
  <c r="O1464" i="1"/>
  <c r="C1464" i="1"/>
  <c r="B1464" i="1"/>
  <c r="T1463" i="1"/>
  <c r="O1463" i="1"/>
  <c r="C1463" i="1"/>
  <c r="B1463" i="1"/>
  <c r="T1462" i="1"/>
  <c r="R1462" i="1"/>
  <c r="S1462" i="1" s="1"/>
  <c r="O1462" i="1"/>
  <c r="Q1462" i="1" s="1"/>
  <c r="C1462" i="1"/>
  <c r="B1462" i="1"/>
  <c r="T1461" i="1"/>
  <c r="O1461" i="1"/>
  <c r="C1461" i="1"/>
  <c r="B1461" i="1"/>
  <c r="T1460" i="1"/>
  <c r="O1460" i="1"/>
  <c r="C1460" i="1"/>
  <c r="B1460" i="1"/>
  <c r="T1459" i="1"/>
  <c r="Q1459" i="1"/>
  <c r="R1459" i="1" s="1"/>
  <c r="S1459" i="1" s="1"/>
  <c r="O1459" i="1"/>
  <c r="C1459" i="1"/>
  <c r="B1459" i="1"/>
  <c r="T1458" i="1"/>
  <c r="Q1458" i="1"/>
  <c r="R1458" i="1" s="1"/>
  <c r="S1458" i="1" s="1"/>
  <c r="O1458" i="1"/>
  <c r="C1458" i="1"/>
  <c r="B1458" i="1"/>
  <c r="T1457" i="1"/>
  <c r="O1457" i="1"/>
  <c r="C1457" i="1"/>
  <c r="B1457" i="1"/>
  <c r="T1456" i="1"/>
  <c r="O1456" i="1"/>
  <c r="C1456" i="1"/>
  <c r="B1456" i="1"/>
  <c r="T1455" i="1"/>
  <c r="Q1455" i="1"/>
  <c r="O1455" i="1"/>
  <c r="R1455" i="1" s="1"/>
  <c r="S1455" i="1" s="1"/>
  <c r="C1455" i="1"/>
  <c r="B1455" i="1"/>
  <c r="T1454" i="1"/>
  <c r="R1454" i="1"/>
  <c r="S1454" i="1" s="1"/>
  <c r="Q1454" i="1"/>
  <c r="O1454" i="1"/>
  <c r="C1454" i="1"/>
  <c r="B1454" i="1"/>
  <c r="T1453" i="1"/>
  <c r="Q1453" i="1"/>
  <c r="R1453" i="1" s="1"/>
  <c r="S1453" i="1" s="1"/>
  <c r="O1453" i="1"/>
  <c r="C1453" i="1"/>
  <c r="B1453" i="1"/>
  <c r="T1452" i="1"/>
  <c r="O1452" i="1"/>
  <c r="C1452" i="1"/>
  <c r="B1452" i="1"/>
  <c r="T1451" i="1"/>
  <c r="O1451" i="1"/>
  <c r="C1451" i="1"/>
  <c r="B1451" i="1"/>
  <c r="T1450" i="1"/>
  <c r="O1450" i="1"/>
  <c r="C1450" i="1"/>
  <c r="B1450" i="1"/>
  <c r="T1449" i="1"/>
  <c r="R1449" i="1"/>
  <c r="S1449" i="1" s="1"/>
  <c r="O1449" i="1"/>
  <c r="Q1449" i="1" s="1"/>
  <c r="C1449" i="1"/>
  <c r="B1449" i="1"/>
  <c r="T1448" i="1"/>
  <c r="O1448" i="1"/>
  <c r="C1448" i="1"/>
  <c r="B1448" i="1"/>
  <c r="T1447" i="1"/>
  <c r="R1447" i="1"/>
  <c r="S1447" i="1" s="1"/>
  <c r="O1447" i="1"/>
  <c r="Q1447" i="1" s="1"/>
  <c r="C1447" i="1"/>
  <c r="B1447" i="1"/>
  <c r="T1446" i="1"/>
  <c r="O1446" i="1"/>
  <c r="C1446" i="1"/>
  <c r="B1446" i="1"/>
  <c r="T1445" i="1"/>
  <c r="O1445" i="1"/>
  <c r="C1445" i="1"/>
  <c r="B1445" i="1"/>
  <c r="T1444" i="1"/>
  <c r="O1444" i="1"/>
  <c r="Q1444" i="1" s="1"/>
  <c r="R1444" i="1" s="1"/>
  <c r="S1444" i="1" s="1"/>
  <c r="C1444" i="1"/>
  <c r="B1444" i="1"/>
  <c r="T1443" i="1"/>
  <c r="Q1443" i="1"/>
  <c r="R1443" i="1" s="1"/>
  <c r="S1443" i="1" s="1"/>
  <c r="O1443" i="1"/>
  <c r="C1443" i="1"/>
  <c r="B1443" i="1"/>
  <c r="T1442" i="1"/>
  <c r="S1442" i="1"/>
  <c r="Q1442" i="1"/>
  <c r="O1442" i="1"/>
  <c r="R1442" i="1" s="1"/>
  <c r="C1442" i="1"/>
  <c r="B1442" i="1"/>
  <c r="T1441" i="1"/>
  <c r="Q1441" i="1"/>
  <c r="O1441" i="1"/>
  <c r="R1441" i="1" s="1"/>
  <c r="S1441" i="1" s="1"/>
  <c r="C1441" i="1"/>
  <c r="B1441" i="1"/>
  <c r="T1440" i="1"/>
  <c r="S1440" i="1"/>
  <c r="Q1440" i="1"/>
  <c r="R1440" i="1" s="1"/>
  <c r="O1440" i="1"/>
  <c r="C1440" i="1"/>
  <c r="B1440" i="1"/>
  <c r="T1439" i="1"/>
  <c r="O1439" i="1"/>
  <c r="C1439" i="1"/>
  <c r="B1439" i="1"/>
  <c r="T1438" i="1"/>
  <c r="O1438" i="1"/>
  <c r="Q1438" i="1" s="1"/>
  <c r="R1438" i="1" s="1"/>
  <c r="S1438" i="1" s="1"/>
  <c r="C1438" i="1"/>
  <c r="B1438" i="1"/>
  <c r="T1437" i="1"/>
  <c r="O1437" i="1"/>
  <c r="C1437" i="1"/>
  <c r="B1437" i="1"/>
  <c r="T1436" i="1"/>
  <c r="O1436" i="1"/>
  <c r="C1436" i="1"/>
  <c r="B1436" i="1"/>
  <c r="T1435" i="1"/>
  <c r="O1435" i="1"/>
  <c r="Q1435" i="1" s="1"/>
  <c r="C1435" i="1"/>
  <c r="B1435" i="1"/>
  <c r="T1434" i="1"/>
  <c r="Q1434" i="1"/>
  <c r="O1434" i="1"/>
  <c r="R1434" i="1" s="1"/>
  <c r="S1434" i="1" s="1"/>
  <c r="C1434" i="1"/>
  <c r="B1434" i="1"/>
  <c r="T1433" i="1"/>
  <c r="O1433" i="1"/>
  <c r="C1433" i="1"/>
  <c r="B1433" i="1"/>
  <c r="T1432" i="1"/>
  <c r="R1432" i="1"/>
  <c r="S1432" i="1" s="1"/>
  <c r="O1432" i="1"/>
  <c r="Q1432" i="1" s="1"/>
  <c r="C1432" i="1"/>
  <c r="B1432" i="1"/>
  <c r="T1431" i="1"/>
  <c r="O1431" i="1"/>
  <c r="C1431" i="1"/>
  <c r="B1431" i="1"/>
  <c r="T1430" i="1"/>
  <c r="Q1430" i="1"/>
  <c r="R1430" i="1" s="1"/>
  <c r="S1430" i="1" s="1"/>
  <c r="O1430" i="1"/>
  <c r="C1430" i="1"/>
  <c r="B1430" i="1"/>
  <c r="T1429" i="1"/>
  <c r="S1429" i="1"/>
  <c r="R1429" i="1"/>
  <c r="Q1429" i="1"/>
  <c r="O1429" i="1"/>
  <c r="C1429" i="1"/>
  <c r="B1429" i="1"/>
  <c r="T1428" i="1"/>
  <c r="O1428" i="1"/>
  <c r="C1428" i="1"/>
  <c r="B1428" i="1"/>
  <c r="T1427" i="1"/>
  <c r="O1427" i="1"/>
  <c r="C1427" i="1"/>
  <c r="B1427" i="1"/>
  <c r="T1426" i="1"/>
  <c r="Q1426" i="1"/>
  <c r="O1426" i="1"/>
  <c r="C1426" i="1"/>
  <c r="B1426" i="1"/>
  <c r="T1425" i="1"/>
  <c r="O1425" i="1"/>
  <c r="Q1425" i="1" s="1"/>
  <c r="R1425" i="1" s="1"/>
  <c r="S1425" i="1" s="1"/>
  <c r="C1425" i="1"/>
  <c r="B1425" i="1"/>
  <c r="T1424" i="1"/>
  <c r="O1424" i="1"/>
  <c r="C1424" i="1"/>
  <c r="B1424" i="1"/>
  <c r="T1423" i="1"/>
  <c r="O1423" i="1"/>
  <c r="Q1423" i="1" s="1"/>
  <c r="R1423" i="1" s="1"/>
  <c r="S1423" i="1" s="1"/>
  <c r="C1423" i="1"/>
  <c r="B1423" i="1"/>
  <c r="T1422" i="1"/>
  <c r="R1422" i="1"/>
  <c r="S1422" i="1" s="1"/>
  <c r="O1422" i="1"/>
  <c r="Q1422" i="1" s="1"/>
  <c r="C1422" i="1"/>
  <c r="B1422" i="1"/>
  <c r="T1421" i="1"/>
  <c r="S1421" i="1"/>
  <c r="Q1421" i="1"/>
  <c r="R1421" i="1" s="1"/>
  <c r="O1421" i="1"/>
  <c r="C1421" i="1"/>
  <c r="B1421" i="1"/>
  <c r="T1420" i="1"/>
  <c r="O1420" i="1"/>
  <c r="Q1420" i="1" s="1"/>
  <c r="C1420" i="1"/>
  <c r="B1420" i="1"/>
  <c r="T1419" i="1"/>
  <c r="O1419" i="1"/>
  <c r="C1419" i="1"/>
  <c r="B1419" i="1"/>
  <c r="T1418" i="1"/>
  <c r="Q1418" i="1"/>
  <c r="R1418" i="1" s="1"/>
  <c r="S1418" i="1" s="1"/>
  <c r="O1418" i="1"/>
  <c r="C1418" i="1"/>
  <c r="B1418" i="1"/>
  <c r="T1417" i="1"/>
  <c r="O1417" i="1"/>
  <c r="C1417" i="1"/>
  <c r="B1417" i="1"/>
  <c r="T1416" i="1"/>
  <c r="S1416" i="1"/>
  <c r="Q1416" i="1"/>
  <c r="R1416" i="1" s="1"/>
  <c r="O1416" i="1"/>
  <c r="C1416" i="1"/>
  <c r="B1416" i="1"/>
  <c r="T1415" i="1"/>
  <c r="O1415" i="1"/>
  <c r="C1415" i="1"/>
  <c r="B1415" i="1"/>
  <c r="T1414" i="1"/>
  <c r="R1414" i="1"/>
  <c r="S1414" i="1" s="1"/>
  <c r="Q1414" i="1"/>
  <c r="O1414" i="1"/>
  <c r="C1414" i="1"/>
  <c r="B1414" i="1"/>
  <c r="T1413" i="1"/>
  <c r="O1413" i="1"/>
  <c r="C1413" i="1"/>
  <c r="B1413" i="1"/>
  <c r="T1412" i="1"/>
  <c r="O1412" i="1"/>
  <c r="C1412" i="1"/>
  <c r="B1412" i="1"/>
  <c r="T1411" i="1"/>
  <c r="O1411" i="1"/>
  <c r="C1411" i="1"/>
  <c r="B1411" i="1"/>
  <c r="T1410" i="1"/>
  <c r="O1410" i="1"/>
  <c r="C1410" i="1"/>
  <c r="B1410" i="1"/>
  <c r="T1409" i="1"/>
  <c r="O1409" i="1"/>
  <c r="C1409" i="1"/>
  <c r="B1409" i="1"/>
  <c r="T1408" i="1"/>
  <c r="O1408" i="1"/>
  <c r="C1408" i="1"/>
  <c r="B1408" i="1"/>
  <c r="T1407" i="1"/>
  <c r="R1407" i="1"/>
  <c r="S1407" i="1" s="1"/>
  <c r="Q1407" i="1"/>
  <c r="O1407" i="1"/>
  <c r="C1407" i="1"/>
  <c r="B1407" i="1"/>
  <c r="T1406" i="1"/>
  <c r="S1406" i="1"/>
  <c r="R1406" i="1"/>
  <c r="Q1406" i="1"/>
  <c r="O1406" i="1"/>
  <c r="C1406" i="1"/>
  <c r="B1406" i="1"/>
  <c r="T1405" i="1"/>
  <c r="S1405" i="1"/>
  <c r="R1405" i="1"/>
  <c r="Q1405" i="1"/>
  <c r="O1405" i="1"/>
  <c r="C1405" i="1"/>
  <c r="B1405" i="1"/>
  <c r="T1404" i="1"/>
  <c r="Q1404" i="1"/>
  <c r="O1404" i="1"/>
  <c r="C1404" i="1"/>
  <c r="B1404" i="1"/>
  <c r="T1403" i="1"/>
  <c r="Q1403" i="1"/>
  <c r="O1403" i="1"/>
  <c r="C1403" i="1"/>
  <c r="B1403" i="1"/>
  <c r="T1402" i="1"/>
  <c r="O1402" i="1"/>
  <c r="C1402" i="1"/>
  <c r="B1402" i="1"/>
  <c r="T1401" i="1"/>
  <c r="O1401" i="1"/>
  <c r="C1401" i="1"/>
  <c r="B1401" i="1"/>
  <c r="T1400" i="1"/>
  <c r="R1400" i="1"/>
  <c r="S1400" i="1" s="1"/>
  <c r="Q1400" i="1"/>
  <c r="O1400" i="1"/>
  <c r="C1400" i="1"/>
  <c r="B1400" i="1"/>
  <c r="T1399" i="1"/>
  <c r="S1399" i="1"/>
  <c r="R1399" i="1"/>
  <c r="O1399" i="1"/>
  <c r="Q1399" i="1" s="1"/>
  <c r="C1399" i="1"/>
  <c r="B1399" i="1"/>
  <c r="T1398" i="1"/>
  <c r="O1398" i="1"/>
  <c r="C1398" i="1"/>
  <c r="B1398" i="1"/>
  <c r="T1397" i="1"/>
  <c r="O1397" i="1"/>
  <c r="C1397" i="1"/>
  <c r="B1397" i="1"/>
  <c r="T1396" i="1"/>
  <c r="O1396" i="1"/>
  <c r="C1396" i="1"/>
  <c r="B1396" i="1"/>
  <c r="T1395" i="1"/>
  <c r="O1395" i="1"/>
  <c r="C1395" i="1"/>
  <c r="B1395" i="1"/>
  <c r="T1394" i="1"/>
  <c r="R1394" i="1"/>
  <c r="S1394" i="1" s="1"/>
  <c r="O1394" i="1"/>
  <c r="Q1394" i="1" s="1"/>
  <c r="C1394" i="1"/>
  <c r="B1394" i="1"/>
  <c r="T1393" i="1"/>
  <c r="O1393" i="1"/>
  <c r="C1393" i="1"/>
  <c r="B1393" i="1"/>
  <c r="T1392" i="1"/>
  <c r="S1392" i="1"/>
  <c r="Q1392" i="1"/>
  <c r="R1392" i="1" s="1"/>
  <c r="O1392" i="1"/>
  <c r="C1392" i="1"/>
  <c r="B1392" i="1"/>
  <c r="T1391" i="1"/>
  <c r="O1391" i="1"/>
  <c r="C1391" i="1"/>
  <c r="B1391" i="1"/>
  <c r="T1390" i="1"/>
  <c r="O1390" i="1"/>
  <c r="C1390" i="1"/>
  <c r="B1390" i="1"/>
  <c r="T1389" i="1"/>
  <c r="O1389" i="1"/>
  <c r="C1389" i="1"/>
  <c r="B1389" i="1"/>
  <c r="T1388" i="1"/>
  <c r="R1388" i="1"/>
  <c r="S1388" i="1" s="1"/>
  <c r="Q1388" i="1"/>
  <c r="O1388" i="1"/>
  <c r="C1388" i="1"/>
  <c r="B1388" i="1"/>
  <c r="T1387" i="1"/>
  <c r="Q1387" i="1"/>
  <c r="R1387" i="1" s="1"/>
  <c r="S1387" i="1" s="1"/>
  <c r="O1387" i="1"/>
  <c r="C1387" i="1"/>
  <c r="B1387" i="1"/>
  <c r="T1386" i="1"/>
  <c r="O1386" i="1"/>
  <c r="Q1386" i="1" s="1"/>
  <c r="C1386" i="1"/>
  <c r="B1386" i="1"/>
  <c r="T1385" i="1"/>
  <c r="O1385" i="1"/>
  <c r="C1385" i="1"/>
  <c r="B1385" i="1"/>
  <c r="T1384" i="1"/>
  <c r="R1384" i="1"/>
  <c r="S1384" i="1" s="1"/>
  <c r="Q1384" i="1"/>
  <c r="O1384" i="1"/>
  <c r="C1384" i="1"/>
  <c r="B1384" i="1"/>
  <c r="T1383" i="1"/>
  <c r="Q1383" i="1"/>
  <c r="R1383" i="1" s="1"/>
  <c r="S1383" i="1" s="1"/>
  <c r="O1383" i="1"/>
  <c r="C1383" i="1"/>
  <c r="B1383" i="1"/>
  <c r="T1382" i="1"/>
  <c r="Q1382" i="1"/>
  <c r="R1382" i="1" s="1"/>
  <c r="S1382" i="1" s="1"/>
  <c r="O1382" i="1"/>
  <c r="C1382" i="1"/>
  <c r="B1382" i="1"/>
  <c r="T1381" i="1"/>
  <c r="Q1381" i="1"/>
  <c r="R1381" i="1" s="1"/>
  <c r="S1381" i="1" s="1"/>
  <c r="O1381" i="1"/>
  <c r="C1381" i="1"/>
  <c r="B1381" i="1"/>
  <c r="T1380" i="1"/>
  <c r="O1380" i="1"/>
  <c r="C1380" i="1"/>
  <c r="B1380" i="1"/>
  <c r="T1379" i="1"/>
  <c r="O1379" i="1"/>
  <c r="C1379" i="1"/>
  <c r="B1379" i="1"/>
  <c r="T1378" i="1"/>
  <c r="O1378" i="1"/>
  <c r="C1378" i="1"/>
  <c r="B1378" i="1"/>
  <c r="T1377" i="1"/>
  <c r="Q1377" i="1"/>
  <c r="R1377" i="1" s="1"/>
  <c r="S1377" i="1" s="1"/>
  <c r="O1377" i="1"/>
  <c r="C1377" i="1"/>
  <c r="B1377" i="1"/>
  <c r="T1376" i="1"/>
  <c r="O1376" i="1"/>
  <c r="C1376" i="1"/>
  <c r="B1376" i="1"/>
  <c r="T1375" i="1"/>
  <c r="R1375" i="1"/>
  <c r="S1375" i="1" s="1"/>
  <c r="O1375" i="1"/>
  <c r="Q1375" i="1" s="1"/>
  <c r="C1375" i="1"/>
  <c r="B1375" i="1"/>
  <c r="T1374" i="1"/>
  <c r="S1374" i="1"/>
  <c r="R1374" i="1"/>
  <c r="O1374" i="1"/>
  <c r="Q1374" i="1" s="1"/>
  <c r="C1374" i="1"/>
  <c r="B1374" i="1"/>
  <c r="T1373" i="1"/>
  <c r="O1373" i="1"/>
  <c r="C1373" i="1"/>
  <c r="B1373" i="1"/>
  <c r="T1372" i="1"/>
  <c r="S1372" i="1"/>
  <c r="R1372" i="1"/>
  <c r="O1372" i="1"/>
  <c r="Q1372" i="1" s="1"/>
  <c r="C1372" i="1"/>
  <c r="B1372" i="1"/>
  <c r="T1371" i="1"/>
  <c r="R1371" i="1"/>
  <c r="S1371" i="1" s="1"/>
  <c r="O1371" i="1"/>
  <c r="Q1371" i="1" s="1"/>
  <c r="C1371" i="1"/>
  <c r="B1371" i="1"/>
  <c r="T1370" i="1"/>
  <c r="O1370" i="1"/>
  <c r="C1370" i="1"/>
  <c r="B1370" i="1"/>
  <c r="T1369" i="1"/>
  <c r="O1369" i="1"/>
  <c r="C1369" i="1"/>
  <c r="B1369" i="1"/>
  <c r="T1368" i="1"/>
  <c r="Q1368" i="1"/>
  <c r="R1368" i="1" s="1"/>
  <c r="S1368" i="1" s="1"/>
  <c r="O1368" i="1"/>
  <c r="C1368" i="1"/>
  <c r="B1368" i="1"/>
  <c r="T1367" i="1"/>
  <c r="O1367" i="1"/>
  <c r="C1367" i="1"/>
  <c r="B1367" i="1"/>
  <c r="T1366" i="1"/>
  <c r="Q1366" i="1"/>
  <c r="R1366" i="1" s="1"/>
  <c r="S1366" i="1" s="1"/>
  <c r="O1366" i="1"/>
  <c r="C1366" i="1"/>
  <c r="B1366" i="1"/>
  <c r="T1365" i="1"/>
  <c r="O1365" i="1"/>
  <c r="C1365" i="1"/>
  <c r="B1365" i="1"/>
  <c r="T1364" i="1"/>
  <c r="O1364" i="1"/>
  <c r="Q1364" i="1" s="1"/>
  <c r="C1364" i="1"/>
  <c r="B1364" i="1"/>
  <c r="T1363" i="1"/>
  <c r="O1363" i="1"/>
  <c r="Q1363" i="1" s="1"/>
  <c r="C1363" i="1"/>
  <c r="B1363" i="1"/>
  <c r="T1362" i="1"/>
  <c r="Q1362" i="1"/>
  <c r="O1362" i="1"/>
  <c r="C1362" i="1"/>
  <c r="B1362" i="1"/>
  <c r="T1361" i="1"/>
  <c r="O1361" i="1"/>
  <c r="C1361" i="1"/>
  <c r="B1361" i="1"/>
  <c r="T1360" i="1"/>
  <c r="O1360" i="1"/>
  <c r="C1360" i="1"/>
  <c r="B1360" i="1"/>
  <c r="T1359" i="1"/>
  <c r="O1359" i="1"/>
  <c r="C1359" i="1"/>
  <c r="B1359" i="1"/>
  <c r="T1358" i="1"/>
  <c r="Q1358" i="1"/>
  <c r="R1358" i="1" s="1"/>
  <c r="S1358" i="1" s="1"/>
  <c r="O1358" i="1"/>
  <c r="C1358" i="1"/>
  <c r="B1358" i="1"/>
  <c r="T1357" i="1"/>
  <c r="Q1357" i="1"/>
  <c r="R1357" i="1" s="1"/>
  <c r="S1357" i="1" s="1"/>
  <c r="O1357" i="1"/>
  <c r="C1357" i="1"/>
  <c r="B1357" i="1"/>
  <c r="T1356" i="1"/>
  <c r="O1356" i="1"/>
  <c r="C1356" i="1"/>
  <c r="B1356" i="1"/>
  <c r="T1355" i="1"/>
  <c r="R1355" i="1"/>
  <c r="S1355" i="1" s="1"/>
  <c r="Q1355" i="1"/>
  <c r="O1355" i="1"/>
  <c r="C1355" i="1"/>
  <c r="B1355" i="1"/>
  <c r="T1354" i="1"/>
  <c r="O1354" i="1"/>
  <c r="C1354" i="1"/>
  <c r="B1354" i="1"/>
  <c r="T1353" i="1"/>
  <c r="O1353" i="1"/>
  <c r="C1353" i="1"/>
  <c r="B1353" i="1"/>
  <c r="T1352" i="1"/>
  <c r="Q1352" i="1"/>
  <c r="O1352" i="1"/>
  <c r="R1352" i="1" s="1"/>
  <c r="S1352" i="1" s="1"/>
  <c r="C1352" i="1"/>
  <c r="B1352" i="1"/>
  <c r="T1351" i="1"/>
  <c r="O1351" i="1"/>
  <c r="Q1351" i="1" s="1"/>
  <c r="R1351" i="1" s="1"/>
  <c r="S1351" i="1" s="1"/>
  <c r="C1351" i="1"/>
  <c r="B1351" i="1"/>
  <c r="T1350" i="1"/>
  <c r="R1350" i="1"/>
  <c r="S1350" i="1" s="1"/>
  <c r="O1350" i="1"/>
  <c r="Q1350" i="1" s="1"/>
  <c r="C1350" i="1"/>
  <c r="B1350" i="1"/>
  <c r="T1349" i="1"/>
  <c r="R1349" i="1"/>
  <c r="S1349" i="1" s="1"/>
  <c r="Q1349" i="1"/>
  <c r="O1349" i="1"/>
  <c r="C1349" i="1"/>
  <c r="B1349" i="1"/>
  <c r="T1348" i="1"/>
  <c r="Q1348" i="1"/>
  <c r="O1348" i="1"/>
  <c r="R1348" i="1" s="1"/>
  <c r="S1348" i="1" s="1"/>
  <c r="C1348" i="1"/>
  <c r="B1348" i="1"/>
  <c r="T1347" i="1"/>
  <c r="Q1347" i="1"/>
  <c r="O1347" i="1"/>
  <c r="C1347" i="1"/>
  <c r="B1347" i="1"/>
  <c r="T1346" i="1"/>
  <c r="O1346" i="1"/>
  <c r="C1346" i="1"/>
  <c r="B1346" i="1"/>
  <c r="T1345" i="1"/>
  <c r="O1345" i="1"/>
  <c r="C1345" i="1"/>
  <c r="B1345" i="1"/>
  <c r="T1344" i="1"/>
  <c r="S1344" i="1"/>
  <c r="Q1344" i="1"/>
  <c r="R1344" i="1" s="1"/>
  <c r="O1344" i="1"/>
  <c r="C1344" i="1"/>
  <c r="B1344" i="1"/>
  <c r="T1343" i="1"/>
  <c r="O1343" i="1"/>
  <c r="C1343" i="1"/>
  <c r="B1343" i="1"/>
  <c r="T1342" i="1"/>
  <c r="Q1342" i="1"/>
  <c r="R1342" i="1" s="1"/>
  <c r="S1342" i="1" s="1"/>
  <c r="O1342" i="1"/>
  <c r="C1342" i="1"/>
  <c r="B1342" i="1"/>
  <c r="T1341" i="1"/>
  <c r="O1341" i="1"/>
  <c r="C1341" i="1"/>
  <c r="B1341" i="1"/>
  <c r="T1340" i="1"/>
  <c r="O1340" i="1"/>
  <c r="C1340" i="1"/>
  <c r="B1340" i="1"/>
  <c r="T1339" i="1"/>
  <c r="O1339" i="1"/>
  <c r="C1339" i="1"/>
  <c r="B1339" i="1"/>
  <c r="T1338" i="1"/>
  <c r="O1338" i="1"/>
  <c r="C1338" i="1"/>
  <c r="B1338" i="1"/>
  <c r="T1337" i="1"/>
  <c r="O1337" i="1"/>
  <c r="C1337" i="1"/>
  <c r="B1337" i="1"/>
  <c r="T1336" i="1"/>
  <c r="O1336" i="1"/>
  <c r="C1336" i="1"/>
  <c r="B1336" i="1"/>
  <c r="T1335" i="1"/>
  <c r="O1335" i="1"/>
  <c r="C1335" i="1"/>
  <c r="B1335" i="1"/>
  <c r="T1334" i="1"/>
  <c r="Q1334" i="1"/>
  <c r="R1334" i="1" s="1"/>
  <c r="S1334" i="1" s="1"/>
  <c r="O1334" i="1"/>
  <c r="C1334" i="1"/>
  <c r="B1334" i="1"/>
  <c r="T1333" i="1"/>
  <c r="Q1333" i="1"/>
  <c r="R1333" i="1" s="1"/>
  <c r="S1333" i="1" s="1"/>
  <c r="O1333" i="1"/>
  <c r="C1333" i="1"/>
  <c r="B1333" i="1"/>
  <c r="T1332" i="1"/>
  <c r="Q1332" i="1"/>
  <c r="R1332" i="1" s="1"/>
  <c r="S1332" i="1" s="1"/>
  <c r="O1332" i="1"/>
  <c r="C1332" i="1"/>
  <c r="B1332" i="1"/>
  <c r="T1331" i="1"/>
  <c r="O1331" i="1"/>
  <c r="Q1331" i="1" s="1"/>
  <c r="C1331" i="1"/>
  <c r="B1331" i="1"/>
  <c r="T1330" i="1"/>
  <c r="O1330" i="1"/>
  <c r="C1330" i="1"/>
  <c r="B1330" i="1"/>
  <c r="T1329" i="1"/>
  <c r="O1329" i="1"/>
  <c r="C1329" i="1"/>
  <c r="B1329" i="1"/>
  <c r="T1328" i="1"/>
  <c r="S1328" i="1"/>
  <c r="R1328" i="1"/>
  <c r="O1328" i="1"/>
  <c r="Q1328" i="1" s="1"/>
  <c r="C1328" i="1"/>
  <c r="B1328" i="1"/>
  <c r="T1327" i="1"/>
  <c r="R1327" i="1"/>
  <c r="S1327" i="1" s="1"/>
  <c r="O1327" i="1"/>
  <c r="Q1327" i="1" s="1"/>
  <c r="C1327" i="1"/>
  <c r="B1327" i="1"/>
  <c r="T1326" i="1"/>
  <c r="O1326" i="1"/>
  <c r="C1326" i="1"/>
  <c r="B1326" i="1"/>
  <c r="T1325" i="1"/>
  <c r="O1325" i="1"/>
  <c r="C1325" i="1"/>
  <c r="B1325" i="1"/>
  <c r="T1324" i="1"/>
  <c r="O1324" i="1"/>
  <c r="C1324" i="1"/>
  <c r="B1324" i="1"/>
  <c r="T1323" i="1"/>
  <c r="Q1323" i="1"/>
  <c r="R1323" i="1" s="1"/>
  <c r="S1323" i="1" s="1"/>
  <c r="O1323" i="1"/>
  <c r="C1323" i="1"/>
  <c r="B1323" i="1"/>
  <c r="T1322" i="1"/>
  <c r="R1322" i="1"/>
  <c r="S1322" i="1" s="1"/>
  <c r="Q1322" i="1"/>
  <c r="O1322" i="1"/>
  <c r="C1322" i="1"/>
  <c r="B1322" i="1"/>
  <c r="T1321" i="1"/>
  <c r="S1321" i="1"/>
  <c r="R1321" i="1"/>
  <c r="Q1321" i="1"/>
  <c r="O1321" i="1"/>
  <c r="C1321" i="1"/>
  <c r="B1321" i="1"/>
  <c r="T1320" i="1"/>
  <c r="Q1320" i="1"/>
  <c r="R1320" i="1" s="1"/>
  <c r="S1320" i="1" s="1"/>
  <c r="O1320" i="1"/>
  <c r="C1320" i="1"/>
  <c r="B1320" i="1"/>
  <c r="T1319" i="1"/>
  <c r="O1319" i="1"/>
  <c r="C1319" i="1"/>
  <c r="B1319" i="1"/>
  <c r="T1318" i="1"/>
  <c r="O1318" i="1"/>
  <c r="C1318" i="1"/>
  <c r="B1318" i="1"/>
  <c r="T1317" i="1"/>
  <c r="O1317" i="1"/>
  <c r="Q1317" i="1" s="1"/>
  <c r="R1317" i="1" s="1"/>
  <c r="S1317" i="1" s="1"/>
  <c r="C1317" i="1"/>
  <c r="B1317" i="1"/>
  <c r="T1316" i="1"/>
  <c r="S1316" i="1"/>
  <c r="R1316" i="1"/>
  <c r="Q1316" i="1"/>
  <c r="O1316" i="1"/>
  <c r="C1316" i="1"/>
  <c r="B1316" i="1"/>
  <c r="T1315" i="1"/>
  <c r="Q1315" i="1"/>
  <c r="O1315" i="1"/>
  <c r="R1315" i="1" s="1"/>
  <c r="S1315" i="1" s="1"/>
  <c r="C1315" i="1"/>
  <c r="B1315" i="1"/>
  <c r="T1314" i="1"/>
  <c r="O1314" i="1"/>
  <c r="C1314" i="1"/>
  <c r="B1314" i="1"/>
  <c r="T1313" i="1"/>
  <c r="O1313" i="1"/>
  <c r="C1313" i="1"/>
  <c r="B1313" i="1"/>
  <c r="T1312" i="1"/>
  <c r="O1312" i="1"/>
  <c r="C1312" i="1"/>
  <c r="B1312" i="1"/>
  <c r="T1311" i="1"/>
  <c r="Q1311" i="1"/>
  <c r="O1311" i="1"/>
  <c r="R1311" i="1" s="1"/>
  <c r="S1311" i="1" s="1"/>
  <c r="C1311" i="1"/>
  <c r="B1311" i="1"/>
  <c r="T1310" i="1"/>
  <c r="Q1310" i="1"/>
  <c r="R1310" i="1" s="1"/>
  <c r="S1310" i="1" s="1"/>
  <c r="O1310" i="1"/>
  <c r="C1310" i="1"/>
  <c r="B1310" i="1"/>
  <c r="T1309" i="1"/>
  <c r="Q1309" i="1"/>
  <c r="R1309" i="1" s="1"/>
  <c r="S1309" i="1" s="1"/>
  <c r="O1309" i="1"/>
  <c r="C1309" i="1"/>
  <c r="B1309" i="1"/>
  <c r="T1308" i="1"/>
  <c r="S1308" i="1"/>
  <c r="R1308" i="1"/>
  <c r="Q1308" i="1"/>
  <c r="O1308" i="1"/>
  <c r="C1308" i="1"/>
  <c r="B1308" i="1"/>
  <c r="T1307" i="1"/>
  <c r="O1307" i="1"/>
  <c r="C1307" i="1"/>
  <c r="B1307" i="1"/>
  <c r="T1306" i="1"/>
  <c r="Q1306" i="1"/>
  <c r="O1306" i="1"/>
  <c r="C1306" i="1"/>
  <c r="B1306" i="1"/>
  <c r="T1305" i="1"/>
  <c r="Q1305" i="1"/>
  <c r="O1305" i="1"/>
  <c r="C1305" i="1"/>
  <c r="B1305" i="1"/>
  <c r="T1304" i="1"/>
  <c r="R1304" i="1"/>
  <c r="S1304" i="1" s="1"/>
  <c r="Q1304" i="1"/>
  <c r="O1304" i="1"/>
  <c r="C1304" i="1"/>
  <c r="B1304" i="1"/>
  <c r="T1303" i="1"/>
  <c r="R1303" i="1"/>
  <c r="S1303" i="1" s="1"/>
  <c r="O1303" i="1"/>
  <c r="Q1303" i="1" s="1"/>
  <c r="C1303" i="1"/>
  <c r="B1303" i="1"/>
  <c r="T1302" i="1"/>
  <c r="O1302" i="1"/>
  <c r="Q1302" i="1" s="1"/>
  <c r="C1302" i="1"/>
  <c r="B1302" i="1"/>
  <c r="T1301" i="1"/>
  <c r="O1301" i="1"/>
  <c r="C1301" i="1"/>
  <c r="B1301" i="1"/>
  <c r="T1300" i="1"/>
  <c r="Q1300" i="1"/>
  <c r="R1300" i="1" s="1"/>
  <c r="S1300" i="1" s="1"/>
  <c r="O1300" i="1"/>
  <c r="C1300" i="1"/>
  <c r="B1300" i="1"/>
  <c r="T1299" i="1"/>
  <c r="Q1299" i="1"/>
  <c r="O1299" i="1"/>
  <c r="R1299" i="1" s="1"/>
  <c r="S1299" i="1" s="1"/>
  <c r="C1299" i="1"/>
  <c r="B1299" i="1"/>
  <c r="T1298" i="1"/>
  <c r="O1298" i="1"/>
  <c r="C1298" i="1"/>
  <c r="B1298" i="1"/>
  <c r="T1297" i="1"/>
  <c r="O1297" i="1"/>
  <c r="Q1297" i="1" s="1"/>
  <c r="R1297" i="1" s="1"/>
  <c r="S1297" i="1" s="1"/>
  <c r="C1297" i="1"/>
  <c r="B1297" i="1"/>
  <c r="T1296" i="1"/>
  <c r="S1296" i="1"/>
  <c r="Q1296" i="1"/>
  <c r="R1296" i="1" s="1"/>
  <c r="O1296" i="1"/>
  <c r="C1296" i="1"/>
  <c r="B1296" i="1"/>
  <c r="T1295" i="1"/>
  <c r="Q1295" i="1"/>
  <c r="O1295" i="1"/>
  <c r="C1295" i="1"/>
  <c r="B1295" i="1"/>
  <c r="T1294" i="1"/>
  <c r="R1294" i="1"/>
  <c r="S1294" i="1" s="1"/>
  <c r="Q1294" i="1"/>
  <c r="O1294" i="1"/>
  <c r="C1294" i="1"/>
  <c r="B1294" i="1"/>
  <c r="T1293" i="1"/>
  <c r="O1293" i="1"/>
  <c r="C1293" i="1"/>
  <c r="B1293" i="1"/>
  <c r="T1292" i="1"/>
  <c r="R1292" i="1"/>
  <c r="S1292" i="1" s="1"/>
  <c r="Q1292" i="1"/>
  <c r="O1292" i="1"/>
  <c r="C1292" i="1"/>
  <c r="B1292" i="1"/>
  <c r="T1291" i="1"/>
  <c r="O1291" i="1"/>
  <c r="C1291" i="1"/>
  <c r="B1291" i="1"/>
  <c r="T1290" i="1"/>
  <c r="O1290" i="1"/>
  <c r="C1290" i="1"/>
  <c r="B1290" i="1"/>
  <c r="T1289" i="1"/>
  <c r="R1289" i="1"/>
  <c r="S1289" i="1" s="1"/>
  <c r="O1289" i="1"/>
  <c r="Q1289" i="1" s="1"/>
  <c r="C1289" i="1"/>
  <c r="B1289" i="1"/>
  <c r="T1288" i="1"/>
  <c r="R1288" i="1"/>
  <c r="S1288" i="1" s="1"/>
  <c r="Q1288" i="1"/>
  <c r="O1288" i="1"/>
  <c r="C1288" i="1"/>
  <c r="B1288" i="1"/>
  <c r="T1287" i="1"/>
  <c r="Q1287" i="1"/>
  <c r="O1287" i="1"/>
  <c r="C1287" i="1"/>
  <c r="B1287" i="1"/>
  <c r="T1286" i="1"/>
  <c r="R1286" i="1"/>
  <c r="S1286" i="1" s="1"/>
  <c r="Q1286" i="1"/>
  <c r="O1286" i="1"/>
  <c r="C1286" i="1"/>
  <c r="B1286" i="1"/>
  <c r="T1285" i="1"/>
  <c r="Q1285" i="1"/>
  <c r="R1285" i="1" s="1"/>
  <c r="S1285" i="1" s="1"/>
  <c r="O1285" i="1"/>
  <c r="C1285" i="1"/>
  <c r="B1285" i="1"/>
  <c r="T1284" i="1"/>
  <c r="O1284" i="1"/>
  <c r="C1284" i="1"/>
  <c r="B1284" i="1"/>
  <c r="T1283" i="1"/>
  <c r="O1283" i="1"/>
  <c r="C1283" i="1"/>
  <c r="B1283" i="1"/>
  <c r="T1282" i="1"/>
  <c r="O1282" i="1"/>
  <c r="C1282" i="1"/>
  <c r="B1282" i="1"/>
  <c r="T1281" i="1"/>
  <c r="Q1281" i="1"/>
  <c r="R1281" i="1" s="1"/>
  <c r="S1281" i="1" s="1"/>
  <c r="O1281" i="1"/>
  <c r="C1281" i="1"/>
  <c r="B1281" i="1"/>
  <c r="T1280" i="1"/>
  <c r="R1280" i="1"/>
  <c r="S1280" i="1" s="1"/>
  <c r="Q1280" i="1"/>
  <c r="O1280" i="1"/>
  <c r="C1280" i="1"/>
  <c r="B1280" i="1"/>
  <c r="T1279" i="1"/>
  <c r="S1279" i="1"/>
  <c r="R1279" i="1"/>
  <c r="O1279" i="1"/>
  <c r="Q1279" i="1" s="1"/>
  <c r="C1279" i="1"/>
  <c r="B1279" i="1"/>
  <c r="T1278" i="1"/>
  <c r="S1278" i="1"/>
  <c r="R1278" i="1"/>
  <c r="O1278" i="1"/>
  <c r="Q1278" i="1" s="1"/>
  <c r="C1278" i="1"/>
  <c r="B1278" i="1"/>
  <c r="T1277" i="1"/>
  <c r="R1277" i="1"/>
  <c r="S1277" i="1" s="1"/>
  <c r="Q1277" i="1"/>
  <c r="O1277" i="1"/>
  <c r="C1277" i="1"/>
  <c r="B1277" i="1"/>
  <c r="T1276" i="1"/>
  <c r="O1276" i="1"/>
  <c r="C1276" i="1"/>
  <c r="B1276" i="1"/>
  <c r="T1275" i="1"/>
  <c r="Q1275" i="1"/>
  <c r="O1275" i="1"/>
  <c r="R1275" i="1" s="1"/>
  <c r="S1275" i="1" s="1"/>
  <c r="C1275" i="1"/>
  <c r="B1275" i="1"/>
  <c r="T1274" i="1"/>
  <c r="Q1274" i="1"/>
  <c r="O1274" i="1"/>
  <c r="C1274" i="1"/>
  <c r="B1274" i="1"/>
  <c r="T1273" i="1"/>
  <c r="O1273" i="1"/>
  <c r="C1273" i="1"/>
  <c r="B1273" i="1"/>
  <c r="T1272" i="1"/>
  <c r="S1272" i="1"/>
  <c r="Q1272" i="1"/>
  <c r="R1272" i="1" s="1"/>
  <c r="O1272" i="1"/>
  <c r="C1272" i="1"/>
  <c r="B1272" i="1"/>
  <c r="T1271" i="1"/>
  <c r="Q1271" i="1"/>
  <c r="O1271" i="1"/>
  <c r="C1271" i="1"/>
  <c r="B1271" i="1"/>
  <c r="T1270" i="1"/>
  <c r="S1270" i="1"/>
  <c r="R1270" i="1"/>
  <c r="Q1270" i="1"/>
  <c r="O1270" i="1"/>
  <c r="C1270" i="1"/>
  <c r="B1270" i="1"/>
  <c r="T1269" i="1"/>
  <c r="O1269" i="1"/>
  <c r="C1269" i="1"/>
  <c r="B1269" i="1"/>
  <c r="T1268" i="1"/>
  <c r="Q1268" i="1"/>
  <c r="O1268" i="1"/>
  <c r="R1268" i="1" s="1"/>
  <c r="S1268" i="1" s="1"/>
  <c r="C1268" i="1"/>
  <c r="B1268" i="1"/>
  <c r="T1267" i="1"/>
  <c r="O1267" i="1"/>
  <c r="C1267" i="1"/>
  <c r="B1267" i="1"/>
  <c r="T1266" i="1"/>
  <c r="O1266" i="1"/>
  <c r="C1266" i="1"/>
  <c r="B1266" i="1"/>
  <c r="T1265" i="1"/>
  <c r="O1265" i="1"/>
  <c r="Q1265" i="1" s="1"/>
  <c r="C1265" i="1"/>
  <c r="B1265" i="1"/>
  <c r="T1264" i="1"/>
  <c r="R1264" i="1"/>
  <c r="S1264" i="1" s="1"/>
  <c r="Q1264" i="1"/>
  <c r="O1264" i="1"/>
  <c r="C1264" i="1"/>
  <c r="B1264" i="1"/>
  <c r="T1263" i="1"/>
  <c r="O1263" i="1"/>
  <c r="C1263" i="1"/>
  <c r="B1263" i="1"/>
  <c r="T1262" i="1"/>
  <c r="Q1262" i="1"/>
  <c r="R1262" i="1" s="1"/>
  <c r="S1262" i="1" s="1"/>
  <c r="O1262" i="1"/>
  <c r="C1262" i="1"/>
  <c r="B1262" i="1"/>
  <c r="T1261" i="1"/>
  <c r="Q1261" i="1"/>
  <c r="R1261" i="1" s="1"/>
  <c r="S1261" i="1" s="1"/>
  <c r="O1261" i="1"/>
  <c r="C1261" i="1"/>
  <c r="B1261" i="1"/>
  <c r="T1260" i="1"/>
  <c r="R1260" i="1"/>
  <c r="S1260" i="1" s="1"/>
  <c r="Q1260" i="1"/>
  <c r="O1260" i="1"/>
  <c r="C1260" i="1"/>
  <c r="B1260" i="1"/>
  <c r="T1259" i="1"/>
  <c r="R1259" i="1"/>
  <c r="S1259" i="1" s="1"/>
  <c r="Q1259" i="1"/>
  <c r="O1259" i="1"/>
  <c r="C1259" i="1"/>
  <c r="B1259" i="1"/>
  <c r="T1258" i="1"/>
  <c r="O1258" i="1"/>
  <c r="Q1258" i="1" s="1"/>
  <c r="C1258" i="1"/>
  <c r="B1258" i="1"/>
  <c r="T1257" i="1"/>
  <c r="O1257" i="1"/>
  <c r="C1257" i="1"/>
  <c r="B1257" i="1"/>
  <c r="T1256" i="1"/>
  <c r="Q1256" i="1"/>
  <c r="O1256" i="1"/>
  <c r="C1256" i="1"/>
  <c r="B1256" i="1"/>
  <c r="T1255" i="1"/>
  <c r="O1255" i="1"/>
  <c r="C1255" i="1"/>
  <c r="B1255" i="1"/>
  <c r="T1254" i="1"/>
  <c r="O1254" i="1"/>
  <c r="Q1254" i="1" s="1"/>
  <c r="C1254" i="1"/>
  <c r="B1254" i="1"/>
  <c r="T1253" i="1"/>
  <c r="O1253" i="1"/>
  <c r="Q1253" i="1" s="1"/>
  <c r="C1253" i="1"/>
  <c r="B1253" i="1"/>
  <c r="T1252" i="1"/>
  <c r="S1252" i="1"/>
  <c r="R1252" i="1"/>
  <c r="Q1252" i="1"/>
  <c r="O1252" i="1"/>
  <c r="C1252" i="1"/>
  <c r="B1252" i="1"/>
  <c r="T1251" i="1"/>
  <c r="Q1251" i="1"/>
  <c r="R1251" i="1" s="1"/>
  <c r="S1251" i="1" s="1"/>
  <c r="O1251" i="1"/>
  <c r="C1251" i="1"/>
  <c r="B1251" i="1"/>
  <c r="T1250" i="1"/>
  <c r="O1250" i="1"/>
  <c r="C1250" i="1"/>
  <c r="B1250" i="1"/>
  <c r="T1249" i="1"/>
  <c r="O1249" i="1"/>
  <c r="C1249" i="1"/>
  <c r="B1249" i="1"/>
  <c r="T1248" i="1"/>
  <c r="S1248" i="1"/>
  <c r="Q1248" i="1"/>
  <c r="R1248" i="1" s="1"/>
  <c r="O1248" i="1"/>
  <c r="C1248" i="1"/>
  <c r="B1248" i="1"/>
  <c r="T1247" i="1"/>
  <c r="Q1247" i="1"/>
  <c r="O1247" i="1"/>
  <c r="C1247" i="1"/>
  <c r="B1247" i="1"/>
  <c r="T1246" i="1"/>
  <c r="O1246" i="1"/>
  <c r="C1246" i="1"/>
  <c r="B1246" i="1"/>
  <c r="T1245" i="1"/>
  <c r="Q1245" i="1"/>
  <c r="O1245" i="1"/>
  <c r="C1245" i="1"/>
  <c r="B1245" i="1"/>
  <c r="T1244" i="1"/>
  <c r="Q1244" i="1"/>
  <c r="O1244" i="1"/>
  <c r="C1244" i="1"/>
  <c r="B1244" i="1"/>
  <c r="T1243" i="1"/>
  <c r="Q1243" i="1"/>
  <c r="R1243" i="1" s="1"/>
  <c r="S1243" i="1" s="1"/>
  <c r="O1243" i="1"/>
  <c r="C1243" i="1"/>
  <c r="B1243" i="1"/>
  <c r="T1242" i="1"/>
  <c r="R1242" i="1"/>
  <c r="S1242" i="1" s="1"/>
  <c r="O1242" i="1"/>
  <c r="Q1242" i="1" s="1"/>
  <c r="C1242" i="1"/>
  <c r="B1242" i="1"/>
  <c r="T1241" i="1"/>
  <c r="R1241" i="1"/>
  <c r="S1241" i="1" s="1"/>
  <c r="O1241" i="1"/>
  <c r="Q1241" i="1" s="1"/>
  <c r="C1241" i="1"/>
  <c r="B1241" i="1"/>
  <c r="T1240" i="1"/>
  <c r="R1240" i="1"/>
  <c r="S1240" i="1" s="1"/>
  <c r="Q1240" i="1"/>
  <c r="O1240" i="1"/>
  <c r="C1240" i="1"/>
  <c r="B1240" i="1"/>
  <c r="T1239" i="1"/>
  <c r="R1239" i="1"/>
  <c r="S1239" i="1" s="1"/>
  <c r="Q1239" i="1"/>
  <c r="O1239" i="1"/>
  <c r="C1239" i="1"/>
  <c r="B1239" i="1"/>
  <c r="T1238" i="1"/>
  <c r="S1238" i="1"/>
  <c r="Q1238" i="1"/>
  <c r="R1238" i="1" s="1"/>
  <c r="O1238" i="1"/>
  <c r="C1238" i="1"/>
  <c r="B1238" i="1"/>
  <c r="T1237" i="1"/>
  <c r="R1237" i="1"/>
  <c r="S1237" i="1" s="1"/>
  <c r="Q1237" i="1"/>
  <c r="O1237" i="1"/>
  <c r="C1237" i="1"/>
  <c r="B1237" i="1"/>
  <c r="T1236" i="1"/>
  <c r="O1236" i="1"/>
  <c r="C1236" i="1"/>
  <c r="B1236" i="1"/>
  <c r="T1235" i="1"/>
  <c r="O1235" i="1"/>
  <c r="C1235" i="1"/>
  <c r="B1235" i="1"/>
  <c r="T1234" i="1"/>
  <c r="Q1234" i="1"/>
  <c r="O1234" i="1"/>
  <c r="C1234" i="1"/>
  <c r="B1234" i="1"/>
  <c r="T1233" i="1"/>
  <c r="O1233" i="1"/>
  <c r="Q1233" i="1" s="1"/>
  <c r="C1233" i="1"/>
  <c r="B1233" i="1"/>
  <c r="T1232" i="1"/>
  <c r="R1232" i="1"/>
  <c r="S1232" i="1" s="1"/>
  <c r="O1232" i="1"/>
  <c r="Q1232" i="1" s="1"/>
  <c r="C1232" i="1"/>
  <c r="B1232" i="1"/>
  <c r="T1231" i="1"/>
  <c r="O1231" i="1"/>
  <c r="Q1231" i="1" s="1"/>
  <c r="C1231" i="1"/>
  <c r="B1231" i="1"/>
  <c r="T1230" i="1"/>
  <c r="O1230" i="1"/>
  <c r="Q1230" i="1" s="1"/>
  <c r="C1230" i="1"/>
  <c r="B1230" i="1"/>
  <c r="T1229" i="1"/>
  <c r="R1229" i="1"/>
  <c r="S1229" i="1" s="1"/>
  <c r="Q1229" i="1"/>
  <c r="O1229" i="1"/>
  <c r="C1229" i="1"/>
  <c r="B1229" i="1"/>
  <c r="T1228" i="1"/>
  <c r="Q1228" i="1"/>
  <c r="O1228" i="1"/>
  <c r="C1228" i="1"/>
  <c r="B1228" i="1"/>
  <c r="T1227" i="1"/>
  <c r="O1227" i="1"/>
  <c r="C1227" i="1"/>
  <c r="B1227" i="1"/>
  <c r="T1226" i="1"/>
  <c r="O1226" i="1"/>
  <c r="C1226" i="1"/>
  <c r="B1226" i="1"/>
  <c r="T1225" i="1"/>
  <c r="O1225" i="1"/>
  <c r="Q1225" i="1" s="1"/>
  <c r="R1225" i="1" s="1"/>
  <c r="S1225" i="1" s="1"/>
  <c r="C1225" i="1"/>
  <c r="B1225" i="1"/>
  <c r="T1224" i="1"/>
  <c r="Q1224" i="1"/>
  <c r="R1224" i="1" s="1"/>
  <c r="S1224" i="1" s="1"/>
  <c r="O1224" i="1"/>
  <c r="C1224" i="1"/>
  <c r="B1224" i="1"/>
  <c r="T1223" i="1"/>
  <c r="O1223" i="1"/>
  <c r="C1223" i="1"/>
  <c r="B1223" i="1"/>
  <c r="T1222" i="1"/>
  <c r="O1222" i="1"/>
  <c r="C1222" i="1"/>
  <c r="B1222" i="1"/>
  <c r="T1221" i="1"/>
  <c r="R1221" i="1"/>
  <c r="S1221" i="1" s="1"/>
  <c r="Q1221" i="1"/>
  <c r="O1221" i="1"/>
  <c r="C1221" i="1"/>
  <c r="B1221" i="1"/>
  <c r="T1220" i="1"/>
  <c r="O1220" i="1"/>
  <c r="C1220" i="1"/>
  <c r="B1220" i="1"/>
  <c r="T1219" i="1"/>
  <c r="O1219" i="1"/>
  <c r="Q1219" i="1" s="1"/>
  <c r="R1219" i="1" s="1"/>
  <c r="S1219" i="1" s="1"/>
  <c r="C1219" i="1"/>
  <c r="B1219" i="1"/>
  <c r="T1218" i="1"/>
  <c r="O1218" i="1"/>
  <c r="C1218" i="1"/>
  <c r="B1218" i="1"/>
  <c r="T1217" i="1"/>
  <c r="O1217" i="1"/>
  <c r="Q1217" i="1" s="1"/>
  <c r="C1217" i="1"/>
  <c r="B1217" i="1"/>
  <c r="T1216" i="1"/>
  <c r="O1216" i="1"/>
  <c r="C1216" i="1"/>
  <c r="B1216" i="1"/>
  <c r="T1215" i="1"/>
  <c r="O1215" i="1"/>
  <c r="C1215" i="1"/>
  <c r="B1215" i="1"/>
  <c r="T1214" i="1"/>
  <c r="S1214" i="1"/>
  <c r="R1214" i="1"/>
  <c r="Q1214" i="1"/>
  <c r="O1214" i="1"/>
  <c r="C1214" i="1"/>
  <c r="B1214" i="1"/>
  <c r="T1213" i="1"/>
  <c r="Q1213" i="1"/>
  <c r="R1213" i="1" s="1"/>
  <c r="S1213" i="1" s="1"/>
  <c r="O1213" i="1"/>
  <c r="C1213" i="1"/>
  <c r="B1213" i="1"/>
  <c r="T1212" i="1"/>
  <c r="Q1212" i="1"/>
  <c r="O1212" i="1"/>
  <c r="R1212" i="1" s="1"/>
  <c r="S1212" i="1" s="1"/>
  <c r="C1212" i="1"/>
  <c r="B1212" i="1"/>
  <c r="T1211" i="1"/>
  <c r="Q1211" i="1"/>
  <c r="O1211" i="1"/>
  <c r="C1211" i="1"/>
  <c r="B1211" i="1"/>
  <c r="T1210" i="1"/>
  <c r="Q1210" i="1"/>
  <c r="O1210" i="1"/>
  <c r="C1210" i="1"/>
  <c r="B1210" i="1"/>
  <c r="T1209" i="1"/>
  <c r="O1209" i="1"/>
  <c r="C1209" i="1"/>
  <c r="B1209" i="1"/>
  <c r="T1208" i="1"/>
  <c r="O1208" i="1"/>
  <c r="C1208" i="1"/>
  <c r="B1208" i="1"/>
  <c r="T1207" i="1"/>
  <c r="O1207" i="1"/>
  <c r="Q1207" i="1" s="1"/>
  <c r="C1207" i="1"/>
  <c r="B1207" i="1"/>
  <c r="T1206" i="1"/>
  <c r="R1206" i="1"/>
  <c r="S1206" i="1" s="1"/>
  <c r="O1206" i="1"/>
  <c r="Q1206" i="1" s="1"/>
  <c r="C1206" i="1"/>
  <c r="B1206" i="1"/>
  <c r="T1205" i="1"/>
  <c r="O1205" i="1"/>
  <c r="C1205" i="1"/>
  <c r="B1205" i="1"/>
  <c r="T1204" i="1"/>
  <c r="R1204" i="1"/>
  <c r="S1204" i="1" s="1"/>
  <c r="Q1204" i="1"/>
  <c r="O1204" i="1"/>
  <c r="C1204" i="1"/>
  <c r="B1204" i="1"/>
  <c r="T1203" i="1"/>
  <c r="R1203" i="1"/>
  <c r="S1203" i="1" s="1"/>
  <c r="O1203" i="1"/>
  <c r="Q1203" i="1" s="1"/>
  <c r="C1203" i="1"/>
  <c r="B1203" i="1"/>
  <c r="T1202" i="1"/>
  <c r="O1202" i="1"/>
  <c r="Q1202" i="1" s="1"/>
  <c r="R1202" i="1" s="1"/>
  <c r="S1202" i="1" s="1"/>
  <c r="C1202" i="1"/>
  <c r="B1202" i="1"/>
  <c r="T1201" i="1"/>
  <c r="S1201" i="1"/>
  <c r="R1201" i="1"/>
  <c r="Q1201" i="1"/>
  <c r="O1201" i="1"/>
  <c r="C1201" i="1"/>
  <c r="B1201" i="1"/>
  <c r="T1200" i="1"/>
  <c r="S1200" i="1"/>
  <c r="Q1200" i="1"/>
  <c r="R1200" i="1" s="1"/>
  <c r="O1200" i="1"/>
  <c r="C1200" i="1"/>
  <c r="B1200" i="1"/>
  <c r="T1199" i="1"/>
  <c r="O1199" i="1"/>
  <c r="C1199" i="1"/>
  <c r="B1199" i="1"/>
  <c r="T1198" i="1"/>
  <c r="O1198" i="1"/>
  <c r="C1198" i="1"/>
  <c r="B1198" i="1"/>
  <c r="T1197" i="1"/>
  <c r="O1197" i="1"/>
  <c r="C1197" i="1"/>
  <c r="B1197" i="1"/>
  <c r="T1196" i="1"/>
  <c r="S1196" i="1"/>
  <c r="R1196" i="1"/>
  <c r="Q1196" i="1"/>
  <c r="O1196" i="1"/>
  <c r="C1196" i="1"/>
  <c r="B1196" i="1"/>
  <c r="T1195" i="1"/>
  <c r="S1195" i="1"/>
  <c r="R1195" i="1"/>
  <c r="Q1195" i="1"/>
  <c r="O1195" i="1"/>
  <c r="C1195" i="1"/>
  <c r="B1195" i="1"/>
  <c r="T1194" i="1"/>
  <c r="O1194" i="1"/>
  <c r="C1194" i="1"/>
  <c r="B1194" i="1"/>
  <c r="T1193" i="1"/>
  <c r="R1193" i="1"/>
  <c r="S1193" i="1" s="1"/>
  <c r="O1193" i="1"/>
  <c r="Q1193" i="1" s="1"/>
  <c r="C1193" i="1"/>
  <c r="B1193" i="1"/>
  <c r="T1192" i="1"/>
  <c r="R1192" i="1"/>
  <c r="S1192" i="1" s="1"/>
  <c r="Q1192" i="1"/>
  <c r="O1192" i="1"/>
  <c r="C1192" i="1"/>
  <c r="B1192" i="1"/>
  <c r="T1191" i="1"/>
  <c r="O1191" i="1"/>
  <c r="Q1191" i="1" s="1"/>
  <c r="R1191" i="1" s="1"/>
  <c r="S1191" i="1" s="1"/>
  <c r="C1191" i="1"/>
  <c r="B1191" i="1"/>
  <c r="T1190" i="1"/>
  <c r="Q1190" i="1"/>
  <c r="R1190" i="1" s="1"/>
  <c r="S1190" i="1" s="1"/>
  <c r="O1190" i="1"/>
  <c r="C1190" i="1"/>
  <c r="B1190" i="1"/>
  <c r="T1189" i="1"/>
  <c r="R1189" i="1"/>
  <c r="S1189" i="1" s="1"/>
  <c r="Q1189" i="1"/>
  <c r="O1189" i="1"/>
  <c r="C1189" i="1"/>
  <c r="B1189" i="1"/>
  <c r="T1188" i="1"/>
  <c r="O1188" i="1"/>
  <c r="Q1188" i="1" s="1"/>
  <c r="C1188" i="1"/>
  <c r="B1188" i="1"/>
  <c r="T1187" i="1"/>
  <c r="O1187" i="1"/>
  <c r="C1187" i="1"/>
  <c r="B1187" i="1"/>
  <c r="T1186" i="1"/>
  <c r="Q1186" i="1"/>
  <c r="O1186" i="1"/>
  <c r="C1186" i="1"/>
  <c r="B1186" i="1"/>
  <c r="T1185" i="1"/>
  <c r="Q1185" i="1"/>
  <c r="R1185" i="1" s="1"/>
  <c r="S1185" i="1" s="1"/>
  <c r="O1185" i="1"/>
  <c r="C1185" i="1"/>
  <c r="B1185" i="1"/>
  <c r="T1184" i="1"/>
  <c r="S1184" i="1"/>
  <c r="O1184" i="1"/>
  <c r="Q1184" i="1" s="1"/>
  <c r="R1184" i="1" s="1"/>
  <c r="C1184" i="1"/>
  <c r="B1184" i="1"/>
  <c r="T1183" i="1"/>
  <c r="O1183" i="1"/>
  <c r="Q1183" i="1" s="1"/>
  <c r="C1183" i="1"/>
  <c r="B1183" i="1"/>
  <c r="T1182" i="1"/>
  <c r="O1182" i="1"/>
  <c r="C1182" i="1"/>
  <c r="B1182" i="1"/>
  <c r="T1181" i="1"/>
  <c r="S1181" i="1"/>
  <c r="R1181" i="1"/>
  <c r="Q1181" i="1"/>
  <c r="O1181" i="1"/>
  <c r="C1181" i="1"/>
  <c r="B1181" i="1"/>
  <c r="T1180" i="1"/>
  <c r="O1180" i="1"/>
  <c r="C1180" i="1"/>
  <c r="B1180" i="1"/>
  <c r="T1179" i="1"/>
  <c r="O1179" i="1"/>
  <c r="Q1179" i="1" s="1"/>
  <c r="R1179" i="1" s="1"/>
  <c r="S1179" i="1" s="1"/>
  <c r="C1179" i="1"/>
  <c r="B1179" i="1"/>
  <c r="T1178" i="1"/>
  <c r="O1178" i="1"/>
  <c r="Q1178" i="1" s="1"/>
  <c r="C1178" i="1"/>
  <c r="B1178" i="1"/>
  <c r="T1177" i="1"/>
  <c r="S1177" i="1"/>
  <c r="R1177" i="1"/>
  <c r="Q1177" i="1"/>
  <c r="O1177" i="1"/>
  <c r="C1177" i="1"/>
  <c r="B1177" i="1"/>
  <c r="T1176" i="1"/>
  <c r="S1176" i="1"/>
  <c r="Q1176" i="1"/>
  <c r="R1176" i="1" s="1"/>
  <c r="O1176" i="1"/>
  <c r="C1176" i="1"/>
  <c r="B1176" i="1"/>
  <c r="T1175" i="1"/>
  <c r="O1175" i="1"/>
  <c r="C1175" i="1"/>
  <c r="B1175" i="1"/>
  <c r="T1174" i="1"/>
  <c r="O1174" i="1"/>
  <c r="C1174" i="1"/>
  <c r="B1174" i="1"/>
  <c r="T1173" i="1"/>
  <c r="R1173" i="1"/>
  <c r="S1173" i="1" s="1"/>
  <c r="O1173" i="1"/>
  <c r="Q1173" i="1" s="1"/>
  <c r="C1173" i="1"/>
  <c r="B1173" i="1"/>
  <c r="T1172" i="1"/>
  <c r="S1172" i="1"/>
  <c r="Q1172" i="1"/>
  <c r="R1172" i="1" s="1"/>
  <c r="O1172" i="1"/>
  <c r="C1172" i="1"/>
  <c r="B1172" i="1"/>
  <c r="T1171" i="1"/>
  <c r="O1171" i="1"/>
  <c r="C1171" i="1"/>
  <c r="B1171" i="1"/>
  <c r="T1170" i="1"/>
  <c r="O1170" i="1"/>
  <c r="Q1170" i="1" s="1"/>
  <c r="C1170" i="1"/>
  <c r="B1170" i="1"/>
  <c r="T1169" i="1"/>
  <c r="O1169" i="1"/>
  <c r="C1169" i="1"/>
  <c r="B1169" i="1"/>
  <c r="T1168" i="1"/>
  <c r="O1168" i="1"/>
  <c r="Q1168" i="1" s="1"/>
  <c r="R1168" i="1" s="1"/>
  <c r="S1168" i="1" s="1"/>
  <c r="C1168" i="1"/>
  <c r="B1168" i="1"/>
  <c r="T1167" i="1"/>
  <c r="R1167" i="1"/>
  <c r="S1167" i="1" s="1"/>
  <c r="Q1167" i="1"/>
  <c r="O1167" i="1"/>
  <c r="C1167" i="1"/>
  <c r="B1167" i="1"/>
  <c r="T1166" i="1"/>
  <c r="Q1166" i="1"/>
  <c r="R1166" i="1" s="1"/>
  <c r="S1166" i="1" s="1"/>
  <c r="O1166" i="1"/>
  <c r="C1166" i="1"/>
  <c r="B1166" i="1"/>
  <c r="T1165" i="1"/>
  <c r="S1165" i="1"/>
  <c r="R1165" i="1"/>
  <c r="Q1165" i="1"/>
  <c r="O1165" i="1"/>
  <c r="C1165" i="1"/>
  <c r="B1165" i="1"/>
  <c r="T1164" i="1"/>
  <c r="O1164" i="1"/>
  <c r="C1164" i="1"/>
  <c r="B1164" i="1"/>
  <c r="T1163" i="1"/>
  <c r="O1163" i="1"/>
  <c r="C1163" i="1"/>
  <c r="B1163" i="1"/>
  <c r="T1162" i="1"/>
  <c r="O1162" i="1"/>
  <c r="C1162" i="1"/>
  <c r="B1162" i="1"/>
  <c r="T1161" i="1"/>
  <c r="S1161" i="1"/>
  <c r="R1161" i="1"/>
  <c r="O1161" i="1"/>
  <c r="Q1161" i="1" s="1"/>
  <c r="C1161" i="1"/>
  <c r="B1161" i="1"/>
  <c r="T1160" i="1"/>
  <c r="O1160" i="1"/>
  <c r="C1160" i="1"/>
  <c r="B1160" i="1"/>
  <c r="T1159" i="1"/>
  <c r="R1159" i="1"/>
  <c r="S1159" i="1" s="1"/>
  <c r="O1159" i="1"/>
  <c r="Q1159" i="1" s="1"/>
  <c r="C1159" i="1"/>
  <c r="B1159" i="1"/>
  <c r="T1158" i="1"/>
  <c r="O1158" i="1"/>
  <c r="Q1158" i="1" s="1"/>
  <c r="C1158" i="1"/>
  <c r="B1158" i="1"/>
  <c r="T1157" i="1"/>
  <c r="Q1157" i="1"/>
  <c r="O1157" i="1"/>
  <c r="C1157" i="1"/>
  <c r="B1157" i="1"/>
  <c r="T1156" i="1"/>
  <c r="O1156" i="1"/>
  <c r="Q1156" i="1" s="1"/>
  <c r="R1156" i="1" s="1"/>
  <c r="S1156" i="1" s="1"/>
  <c r="C1156" i="1"/>
  <c r="B1156" i="1"/>
  <c r="T1155" i="1"/>
  <c r="R1155" i="1"/>
  <c r="S1155" i="1" s="1"/>
  <c r="Q1155" i="1"/>
  <c r="O1155" i="1"/>
  <c r="C1155" i="1"/>
  <c r="B1155" i="1"/>
  <c r="T1154" i="1"/>
  <c r="O1154" i="1"/>
  <c r="C1154" i="1"/>
  <c r="B1154" i="1"/>
  <c r="T1153" i="1"/>
  <c r="Q1153" i="1"/>
  <c r="O1153" i="1"/>
  <c r="C1153" i="1"/>
  <c r="B1153" i="1"/>
  <c r="T1152" i="1"/>
  <c r="Q1152" i="1"/>
  <c r="R1152" i="1" s="1"/>
  <c r="S1152" i="1" s="1"/>
  <c r="O1152" i="1"/>
  <c r="C1152" i="1"/>
  <c r="B1152" i="1"/>
  <c r="T1151" i="1"/>
  <c r="O1151" i="1"/>
  <c r="C1151" i="1"/>
  <c r="B1151" i="1"/>
  <c r="T1150" i="1"/>
  <c r="S1150" i="1"/>
  <c r="R1150" i="1"/>
  <c r="O1150" i="1"/>
  <c r="Q1150" i="1" s="1"/>
  <c r="C1150" i="1"/>
  <c r="B1150" i="1"/>
  <c r="T1149" i="1"/>
  <c r="O1149" i="1"/>
  <c r="C1149" i="1"/>
  <c r="B1149" i="1"/>
  <c r="T1148" i="1"/>
  <c r="O1148" i="1"/>
  <c r="C1148" i="1"/>
  <c r="B1148" i="1"/>
  <c r="T1147" i="1"/>
  <c r="O1147" i="1"/>
  <c r="C1147" i="1"/>
  <c r="B1147" i="1"/>
  <c r="T1146" i="1"/>
  <c r="S1146" i="1"/>
  <c r="R1146" i="1"/>
  <c r="Q1146" i="1"/>
  <c r="O1146" i="1"/>
  <c r="C1146" i="1"/>
  <c r="B1146" i="1"/>
  <c r="T1145" i="1"/>
  <c r="O1145" i="1"/>
  <c r="C1145" i="1"/>
  <c r="B1145" i="1"/>
  <c r="T1144" i="1"/>
  <c r="Q1144" i="1"/>
  <c r="R1144" i="1" s="1"/>
  <c r="S1144" i="1" s="1"/>
  <c r="O1144" i="1"/>
  <c r="C1144" i="1"/>
  <c r="B1144" i="1"/>
  <c r="T1143" i="1"/>
  <c r="Q1143" i="1"/>
  <c r="R1143" i="1" s="1"/>
  <c r="S1143" i="1" s="1"/>
  <c r="O1143" i="1"/>
  <c r="C1143" i="1"/>
  <c r="B1143" i="1"/>
  <c r="T1142" i="1"/>
  <c r="S1142" i="1"/>
  <c r="R1142" i="1"/>
  <c r="Q1142" i="1"/>
  <c r="O1142" i="1"/>
  <c r="C1142" i="1"/>
  <c r="B1142" i="1"/>
  <c r="T1141" i="1"/>
  <c r="R1141" i="1"/>
  <c r="S1141" i="1" s="1"/>
  <c r="Q1141" i="1"/>
  <c r="O1141" i="1"/>
  <c r="C1141" i="1"/>
  <c r="B1141" i="1"/>
  <c r="T1140" i="1"/>
  <c r="O1140" i="1"/>
  <c r="C1140" i="1"/>
  <c r="B1140" i="1"/>
  <c r="T1139" i="1"/>
  <c r="O1139" i="1"/>
  <c r="C1139" i="1"/>
  <c r="B1139" i="1"/>
  <c r="T1138" i="1"/>
  <c r="Q1138" i="1"/>
  <c r="O1138" i="1"/>
  <c r="C1138" i="1"/>
  <c r="B1138" i="1"/>
  <c r="T1137" i="1"/>
  <c r="Q1137" i="1"/>
  <c r="R1137" i="1" s="1"/>
  <c r="S1137" i="1" s="1"/>
  <c r="O1137" i="1"/>
  <c r="C1137" i="1"/>
  <c r="B1137" i="1"/>
  <c r="T1136" i="1"/>
  <c r="O1136" i="1"/>
  <c r="Q1136" i="1" s="1"/>
  <c r="C1136" i="1"/>
  <c r="B1136" i="1"/>
  <c r="T1135" i="1"/>
  <c r="R1135" i="1"/>
  <c r="S1135" i="1" s="1"/>
  <c r="O1135" i="1"/>
  <c r="Q1135" i="1" s="1"/>
  <c r="C1135" i="1"/>
  <c r="B1135" i="1"/>
  <c r="T1134" i="1"/>
  <c r="S1134" i="1"/>
  <c r="R1134" i="1"/>
  <c r="O1134" i="1"/>
  <c r="Q1134" i="1" s="1"/>
  <c r="C1134" i="1"/>
  <c r="B1134" i="1"/>
  <c r="T1133" i="1"/>
  <c r="O1133" i="1"/>
  <c r="C1133" i="1"/>
  <c r="B1133" i="1"/>
  <c r="T1132" i="1"/>
  <c r="R1132" i="1"/>
  <c r="S1132" i="1" s="1"/>
  <c r="O1132" i="1"/>
  <c r="Q1132" i="1" s="1"/>
  <c r="C1132" i="1"/>
  <c r="B1132" i="1"/>
  <c r="T1131" i="1"/>
  <c r="Q1131" i="1"/>
  <c r="R1131" i="1" s="1"/>
  <c r="S1131" i="1" s="1"/>
  <c r="O1131" i="1"/>
  <c r="C1131" i="1"/>
  <c r="B1131" i="1"/>
  <c r="T1130" i="1"/>
  <c r="S1130" i="1"/>
  <c r="R1130" i="1"/>
  <c r="Q1130" i="1"/>
  <c r="O1130" i="1"/>
  <c r="C1130" i="1"/>
  <c r="B1130" i="1"/>
  <c r="T1129" i="1"/>
  <c r="O1129" i="1"/>
  <c r="Q1129" i="1" s="1"/>
  <c r="R1129" i="1" s="1"/>
  <c r="S1129" i="1" s="1"/>
  <c r="C1129" i="1"/>
  <c r="B1129" i="1"/>
  <c r="T1128" i="1"/>
  <c r="Q1128" i="1"/>
  <c r="R1128" i="1" s="1"/>
  <c r="S1128" i="1" s="1"/>
  <c r="O1128" i="1"/>
  <c r="C1128" i="1"/>
  <c r="B1128" i="1"/>
  <c r="T1127" i="1"/>
  <c r="O1127" i="1"/>
  <c r="Q1127" i="1" s="1"/>
  <c r="C1127" i="1"/>
  <c r="B1127" i="1"/>
  <c r="T1126" i="1"/>
  <c r="S1126" i="1"/>
  <c r="R1126" i="1"/>
  <c r="Q1126" i="1"/>
  <c r="O1126" i="1"/>
  <c r="C1126" i="1"/>
  <c r="B1126" i="1"/>
  <c r="T1125" i="1"/>
  <c r="Q1125" i="1"/>
  <c r="R1125" i="1" s="1"/>
  <c r="S1125" i="1" s="1"/>
  <c r="O1125" i="1"/>
  <c r="C1125" i="1"/>
  <c r="B1125" i="1"/>
  <c r="T1124" i="1"/>
  <c r="O1124" i="1"/>
  <c r="Q1124" i="1" s="1"/>
  <c r="R1124" i="1" s="1"/>
  <c r="S1124" i="1" s="1"/>
  <c r="C1124" i="1"/>
  <c r="B1124" i="1"/>
  <c r="T1123" i="1"/>
  <c r="R1123" i="1"/>
  <c r="S1123" i="1" s="1"/>
  <c r="Q1123" i="1"/>
  <c r="O1123" i="1"/>
  <c r="C1123" i="1"/>
  <c r="B1123" i="1"/>
  <c r="T1122" i="1"/>
  <c r="Q1122" i="1"/>
  <c r="O1122" i="1"/>
  <c r="C1122" i="1"/>
  <c r="B1122" i="1"/>
  <c r="T1121" i="1"/>
  <c r="O1121" i="1"/>
  <c r="C1121" i="1"/>
  <c r="B1121" i="1"/>
  <c r="T1120" i="1"/>
  <c r="O1120" i="1"/>
  <c r="Q1120" i="1" s="1"/>
  <c r="C1120" i="1"/>
  <c r="B1120" i="1"/>
  <c r="T1119" i="1"/>
  <c r="R1119" i="1"/>
  <c r="S1119" i="1" s="1"/>
  <c r="Q1119" i="1"/>
  <c r="O1119" i="1"/>
  <c r="C1119" i="1"/>
  <c r="B1119" i="1"/>
  <c r="T1118" i="1"/>
  <c r="R1118" i="1"/>
  <c r="S1118" i="1" s="1"/>
  <c r="Q1118" i="1"/>
  <c r="O1118" i="1"/>
  <c r="C1118" i="1"/>
  <c r="B1118" i="1"/>
  <c r="T1117" i="1"/>
  <c r="Q1117" i="1"/>
  <c r="O1117" i="1"/>
  <c r="C1117" i="1"/>
  <c r="B1117" i="1"/>
  <c r="T1116" i="1"/>
  <c r="O1116" i="1"/>
  <c r="Q1116" i="1" s="1"/>
  <c r="C1116" i="1"/>
  <c r="B1116" i="1"/>
  <c r="T1115" i="1"/>
  <c r="Q1115" i="1"/>
  <c r="O1115" i="1"/>
  <c r="C1115" i="1"/>
  <c r="B1115" i="1"/>
  <c r="T1114" i="1"/>
  <c r="O1114" i="1"/>
  <c r="C1114" i="1"/>
  <c r="B1114" i="1"/>
  <c r="T1113" i="1"/>
  <c r="O1113" i="1"/>
  <c r="Q1113" i="1" s="1"/>
  <c r="C1113" i="1"/>
  <c r="B1113" i="1"/>
  <c r="T1112" i="1"/>
  <c r="Q1112" i="1"/>
  <c r="R1112" i="1" s="1"/>
  <c r="S1112" i="1" s="1"/>
  <c r="O1112" i="1"/>
  <c r="C1112" i="1"/>
  <c r="B1112" i="1"/>
  <c r="T1111" i="1"/>
  <c r="S1111" i="1"/>
  <c r="R1111" i="1"/>
  <c r="O1111" i="1"/>
  <c r="Q1111" i="1" s="1"/>
  <c r="C1111" i="1"/>
  <c r="B1111" i="1"/>
  <c r="T1110" i="1"/>
  <c r="O1110" i="1"/>
  <c r="C1110" i="1"/>
  <c r="B1110" i="1"/>
  <c r="T1109" i="1"/>
  <c r="Q1109" i="1"/>
  <c r="R1109" i="1" s="1"/>
  <c r="S1109" i="1" s="1"/>
  <c r="O1109" i="1"/>
  <c r="C1109" i="1"/>
  <c r="B1109" i="1"/>
  <c r="T1108" i="1"/>
  <c r="O1108" i="1"/>
  <c r="C1108" i="1"/>
  <c r="B1108" i="1"/>
  <c r="T1107" i="1"/>
  <c r="R1107" i="1"/>
  <c r="S1107" i="1" s="1"/>
  <c r="O1107" i="1"/>
  <c r="Q1107" i="1" s="1"/>
  <c r="C1107" i="1"/>
  <c r="B1107" i="1"/>
  <c r="T1106" i="1"/>
  <c r="O1106" i="1"/>
  <c r="Q1106" i="1" s="1"/>
  <c r="R1106" i="1" s="1"/>
  <c r="S1106" i="1" s="1"/>
  <c r="C1106" i="1"/>
  <c r="B1106" i="1"/>
  <c r="T1105" i="1"/>
  <c r="O1105" i="1"/>
  <c r="C1105" i="1"/>
  <c r="B1105" i="1"/>
  <c r="T1104" i="1"/>
  <c r="Q1104" i="1"/>
  <c r="R1104" i="1" s="1"/>
  <c r="S1104" i="1" s="1"/>
  <c r="O1104" i="1"/>
  <c r="C1104" i="1"/>
  <c r="B1104" i="1"/>
  <c r="T1103" i="1"/>
  <c r="O1103" i="1"/>
  <c r="C1103" i="1"/>
  <c r="B1103" i="1"/>
  <c r="T1102" i="1"/>
  <c r="O1102" i="1"/>
  <c r="C1102" i="1"/>
  <c r="B1102" i="1"/>
  <c r="T1101" i="1"/>
  <c r="O1101" i="1"/>
  <c r="C1101" i="1"/>
  <c r="B1101" i="1"/>
  <c r="T1100" i="1"/>
  <c r="O1100" i="1"/>
  <c r="Q1100" i="1" s="1"/>
  <c r="R1100" i="1" s="1"/>
  <c r="S1100" i="1" s="1"/>
  <c r="C1100" i="1"/>
  <c r="B1100" i="1"/>
  <c r="T1099" i="1"/>
  <c r="Q1099" i="1"/>
  <c r="O1099" i="1"/>
  <c r="C1099" i="1"/>
  <c r="B1099" i="1"/>
  <c r="T1098" i="1"/>
  <c r="O1098" i="1"/>
  <c r="C1098" i="1"/>
  <c r="B1098" i="1"/>
  <c r="T1097" i="1"/>
  <c r="O1097" i="1"/>
  <c r="C1097" i="1"/>
  <c r="B1097" i="1"/>
  <c r="T1096" i="1"/>
  <c r="Q1096" i="1"/>
  <c r="O1096" i="1"/>
  <c r="C1096" i="1"/>
  <c r="B1096" i="1"/>
  <c r="T1095" i="1"/>
  <c r="Q1095" i="1"/>
  <c r="O1095" i="1"/>
  <c r="C1095" i="1"/>
  <c r="B1095" i="1"/>
  <c r="T1094" i="1"/>
  <c r="R1094" i="1"/>
  <c r="S1094" i="1" s="1"/>
  <c r="Q1094" i="1"/>
  <c r="O1094" i="1"/>
  <c r="C1094" i="1"/>
  <c r="B1094" i="1"/>
  <c r="T1093" i="1"/>
  <c r="S1093" i="1"/>
  <c r="R1093" i="1"/>
  <c r="Q1093" i="1"/>
  <c r="O1093" i="1"/>
  <c r="C1093" i="1"/>
  <c r="B1093" i="1"/>
  <c r="T1092" i="1"/>
  <c r="S1092" i="1"/>
  <c r="R1092" i="1"/>
  <c r="Q1092" i="1"/>
  <c r="O1092" i="1"/>
  <c r="C1092" i="1"/>
  <c r="B1092" i="1"/>
  <c r="T1091" i="1"/>
  <c r="O1091" i="1"/>
  <c r="Q1091" i="1" s="1"/>
  <c r="R1091" i="1" s="1"/>
  <c r="S1091" i="1" s="1"/>
  <c r="C1091" i="1"/>
  <c r="B1091" i="1"/>
  <c r="T1090" i="1"/>
  <c r="Q1090" i="1"/>
  <c r="O1090" i="1"/>
  <c r="C1090" i="1"/>
  <c r="B1090" i="1"/>
  <c r="T1089" i="1"/>
  <c r="Q1089" i="1"/>
  <c r="O1089" i="1"/>
  <c r="C1089" i="1"/>
  <c r="B1089" i="1"/>
  <c r="T1088" i="1"/>
  <c r="S1088" i="1"/>
  <c r="R1088" i="1"/>
  <c r="Q1088" i="1"/>
  <c r="O1088" i="1"/>
  <c r="C1088" i="1"/>
  <c r="B1088" i="1"/>
  <c r="T1087" i="1"/>
  <c r="R1087" i="1"/>
  <c r="S1087" i="1" s="1"/>
  <c r="O1087" i="1"/>
  <c r="Q1087" i="1" s="1"/>
  <c r="C1087" i="1"/>
  <c r="B1087" i="1"/>
  <c r="T1086" i="1"/>
  <c r="O1086" i="1"/>
  <c r="C1086" i="1"/>
  <c r="B1086" i="1"/>
  <c r="T1085" i="1"/>
  <c r="O1085" i="1"/>
  <c r="C1085" i="1"/>
  <c r="B1085" i="1"/>
  <c r="T1084" i="1"/>
  <c r="Q1084" i="1"/>
  <c r="O1084" i="1"/>
  <c r="C1084" i="1"/>
  <c r="B1084" i="1"/>
  <c r="T1083" i="1"/>
  <c r="O1083" i="1"/>
  <c r="C1083" i="1"/>
  <c r="B1083" i="1"/>
  <c r="T1082" i="1"/>
  <c r="O1082" i="1"/>
  <c r="C1082" i="1"/>
  <c r="B1082" i="1"/>
  <c r="T1081" i="1"/>
  <c r="R1081" i="1"/>
  <c r="S1081" i="1" s="1"/>
  <c r="Q1081" i="1"/>
  <c r="O1081" i="1"/>
  <c r="C1081" i="1"/>
  <c r="B1081" i="1"/>
  <c r="T1080" i="1"/>
  <c r="S1080" i="1"/>
  <c r="Q1080" i="1"/>
  <c r="R1080" i="1" s="1"/>
  <c r="O1080" i="1"/>
  <c r="C1080" i="1"/>
  <c r="B1080" i="1"/>
  <c r="T1079" i="1"/>
  <c r="O1079" i="1"/>
  <c r="C1079" i="1"/>
  <c r="B1079" i="1"/>
  <c r="T1078" i="1"/>
  <c r="O1078" i="1"/>
  <c r="C1078" i="1"/>
  <c r="B1078" i="1"/>
  <c r="T1077" i="1"/>
  <c r="R1077" i="1"/>
  <c r="S1077" i="1" s="1"/>
  <c r="Q1077" i="1"/>
  <c r="O1077" i="1"/>
  <c r="C1077" i="1"/>
  <c r="B1077" i="1"/>
  <c r="T1076" i="1"/>
  <c r="O1076" i="1"/>
  <c r="C1076" i="1"/>
  <c r="B1076" i="1"/>
  <c r="T1075" i="1"/>
  <c r="O1075" i="1"/>
  <c r="C1075" i="1"/>
  <c r="B1075" i="1"/>
  <c r="T1074" i="1"/>
  <c r="O1074" i="1"/>
  <c r="C1074" i="1"/>
  <c r="B1074" i="1"/>
  <c r="T1073" i="1"/>
  <c r="R1073" i="1"/>
  <c r="S1073" i="1" s="1"/>
  <c r="O1073" i="1"/>
  <c r="Q1073" i="1" s="1"/>
  <c r="C1073" i="1"/>
  <c r="B1073" i="1"/>
  <c r="T1072" i="1"/>
  <c r="R1072" i="1"/>
  <c r="S1072" i="1" s="1"/>
  <c r="Q1072" i="1"/>
  <c r="O1072" i="1"/>
  <c r="C1072" i="1"/>
  <c r="B1072" i="1"/>
  <c r="T1071" i="1"/>
  <c r="R1071" i="1"/>
  <c r="S1071" i="1" s="1"/>
  <c r="O1071" i="1"/>
  <c r="Q1071" i="1" s="1"/>
  <c r="C1071" i="1"/>
  <c r="B1071" i="1"/>
  <c r="T1070" i="1"/>
  <c r="Q1070" i="1"/>
  <c r="R1070" i="1" s="1"/>
  <c r="S1070" i="1" s="1"/>
  <c r="O1070" i="1"/>
  <c r="C1070" i="1"/>
  <c r="B1070" i="1"/>
  <c r="T1069" i="1"/>
  <c r="O1069" i="1"/>
  <c r="C1069" i="1"/>
  <c r="B1069" i="1"/>
  <c r="T1068" i="1"/>
  <c r="S1068" i="1"/>
  <c r="R1068" i="1"/>
  <c r="O1068" i="1"/>
  <c r="Q1068" i="1" s="1"/>
  <c r="C1068" i="1"/>
  <c r="B1068" i="1"/>
  <c r="T1067" i="1"/>
  <c r="O1067" i="1"/>
  <c r="C1067" i="1"/>
  <c r="B1067" i="1"/>
  <c r="T1066" i="1"/>
  <c r="Q1066" i="1"/>
  <c r="O1066" i="1"/>
  <c r="C1066" i="1"/>
  <c r="B1066" i="1"/>
  <c r="T1065" i="1"/>
  <c r="Q1065" i="1"/>
  <c r="R1065" i="1" s="1"/>
  <c r="S1065" i="1" s="1"/>
  <c r="O1065" i="1"/>
  <c r="C1065" i="1"/>
  <c r="B1065" i="1"/>
  <c r="T1064" i="1"/>
  <c r="O1064" i="1"/>
  <c r="C1064" i="1"/>
  <c r="B1064" i="1"/>
  <c r="T1063" i="1"/>
  <c r="O1063" i="1"/>
  <c r="Q1063" i="1" s="1"/>
  <c r="C1063" i="1"/>
  <c r="B1063" i="1"/>
  <c r="T1062" i="1"/>
  <c r="S1062" i="1"/>
  <c r="R1062" i="1"/>
  <c r="Q1062" i="1"/>
  <c r="O1062" i="1"/>
  <c r="C1062" i="1"/>
  <c r="B1062" i="1"/>
  <c r="T1061" i="1"/>
  <c r="Q1061" i="1"/>
  <c r="R1061" i="1" s="1"/>
  <c r="S1061" i="1" s="1"/>
  <c r="O1061" i="1"/>
  <c r="C1061" i="1"/>
  <c r="B1061" i="1"/>
  <c r="T1060" i="1"/>
  <c r="Q1060" i="1"/>
  <c r="O1060" i="1"/>
  <c r="R1060" i="1" s="1"/>
  <c r="S1060" i="1" s="1"/>
  <c r="C1060" i="1"/>
  <c r="B1060" i="1"/>
  <c r="T1059" i="1"/>
  <c r="O1059" i="1"/>
  <c r="C1059" i="1"/>
  <c r="B1059" i="1"/>
  <c r="T1058" i="1"/>
  <c r="O1058" i="1"/>
  <c r="C1058" i="1"/>
  <c r="B1058" i="1"/>
  <c r="T1057" i="1"/>
  <c r="O1057" i="1"/>
  <c r="C1057" i="1"/>
  <c r="B1057" i="1"/>
  <c r="T1056" i="1"/>
  <c r="Q1056" i="1"/>
  <c r="R1056" i="1" s="1"/>
  <c r="S1056" i="1" s="1"/>
  <c r="O1056" i="1"/>
  <c r="C1056" i="1"/>
  <c r="B1056" i="1"/>
  <c r="T1055" i="1"/>
  <c r="R1055" i="1"/>
  <c r="S1055" i="1" s="1"/>
  <c r="Q1055" i="1"/>
  <c r="O1055" i="1"/>
  <c r="C1055" i="1"/>
  <c r="B1055" i="1"/>
  <c r="T1054" i="1"/>
  <c r="Q1054" i="1"/>
  <c r="R1054" i="1" s="1"/>
  <c r="S1054" i="1" s="1"/>
  <c r="O1054" i="1"/>
  <c r="C1054" i="1"/>
  <c r="B1054" i="1"/>
  <c r="T1053" i="1"/>
  <c r="S1053" i="1"/>
  <c r="R1053" i="1"/>
  <c r="Q1053" i="1"/>
  <c r="O1053" i="1"/>
  <c r="C1053" i="1"/>
  <c r="B1053" i="1"/>
  <c r="T1052" i="1"/>
  <c r="O1052" i="1"/>
  <c r="C1052" i="1"/>
  <c r="B1052" i="1"/>
  <c r="T1051" i="1"/>
  <c r="R1051" i="1"/>
  <c r="S1051" i="1" s="1"/>
  <c r="Q1051" i="1"/>
  <c r="O1051" i="1"/>
  <c r="C1051" i="1"/>
  <c r="B1051" i="1"/>
  <c r="T1050" i="1"/>
  <c r="Q1050" i="1"/>
  <c r="O1050" i="1"/>
  <c r="C1050" i="1"/>
  <c r="B1050" i="1"/>
  <c r="T1049" i="1"/>
  <c r="O1049" i="1"/>
  <c r="C1049" i="1"/>
  <c r="B1049" i="1"/>
  <c r="T1048" i="1"/>
  <c r="R1048" i="1"/>
  <c r="S1048" i="1" s="1"/>
  <c r="Q1048" i="1"/>
  <c r="O1048" i="1"/>
  <c r="C1048" i="1"/>
  <c r="B1048" i="1"/>
  <c r="T1047" i="1"/>
  <c r="R1047" i="1"/>
  <c r="S1047" i="1" s="1"/>
  <c r="Q1047" i="1"/>
  <c r="O1047" i="1"/>
  <c r="C1047" i="1"/>
  <c r="B1047" i="1"/>
  <c r="T1046" i="1"/>
  <c r="R1046" i="1"/>
  <c r="S1046" i="1" s="1"/>
  <c r="Q1046" i="1"/>
  <c r="O1046" i="1"/>
  <c r="C1046" i="1"/>
  <c r="B1046" i="1"/>
  <c r="T1045" i="1"/>
  <c r="R1045" i="1"/>
  <c r="S1045" i="1" s="1"/>
  <c r="Q1045" i="1"/>
  <c r="O1045" i="1"/>
  <c r="C1045" i="1"/>
  <c r="B1045" i="1"/>
  <c r="T1044" i="1"/>
  <c r="Q1044" i="1"/>
  <c r="R1044" i="1" s="1"/>
  <c r="S1044" i="1" s="1"/>
  <c r="O1044" i="1"/>
  <c r="C1044" i="1"/>
  <c r="B1044" i="1"/>
  <c r="T1043" i="1"/>
  <c r="O1043" i="1"/>
  <c r="C1043" i="1"/>
  <c r="B1043" i="1"/>
  <c r="T1042" i="1"/>
  <c r="S1042" i="1"/>
  <c r="R1042" i="1"/>
  <c r="Q1042" i="1"/>
  <c r="O1042" i="1"/>
  <c r="C1042" i="1"/>
  <c r="B1042" i="1"/>
  <c r="T1041" i="1"/>
  <c r="S1041" i="1"/>
  <c r="O1041" i="1"/>
  <c r="Q1041" i="1" s="1"/>
  <c r="R1041" i="1" s="1"/>
  <c r="C1041" i="1"/>
  <c r="B1041" i="1"/>
  <c r="T1040" i="1"/>
  <c r="O1040" i="1"/>
  <c r="Q1040" i="1" s="1"/>
  <c r="R1040" i="1" s="1"/>
  <c r="S1040" i="1" s="1"/>
  <c r="C1040" i="1"/>
  <c r="B1040" i="1"/>
  <c r="T1039" i="1"/>
  <c r="Q1039" i="1"/>
  <c r="O1039" i="1"/>
  <c r="R1039" i="1" s="1"/>
  <c r="S1039" i="1" s="1"/>
  <c r="C1039" i="1"/>
  <c r="B1039" i="1"/>
  <c r="T1038" i="1"/>
  <c r="O1038" i="1"/>
  <c r="C1038" i="1"/>
  <c r="B1038" i="1"/>
  <c r="T1037" i="1"/>
  <c r="O1037" i="1"/>
  <c r="C1037" i="1"/>
  <c r="B1037" i="1"/>
  <c r="T1036" i="1"/>
  <c r="O1036" i="1"/>
  <c r="C1036" i="1"/>
  <c r="B1036" i="1"/>
  <c r="T1035" i="1"/>
  <c r="R1035" i="1"/>
  <c r="S1035" i="1" s="1"/>
  <c r="Q1035" i="1"/>
  <c r="O1035" i="1"/>
  <c r="C1035" i="1"/>
  <c r="B1035" i="1"/>
  <c r="T1034" i="1"/>
  <c r="O1034" i="1"/>
  <c r="C1034" i="1"/>
  <c r="B1034" i="1"/>
  <c r="T1033" i="1"/>
  <c r="O1033" i="1"/>
  <c r="C1033" i="1"/>
  <c r="B1033" i="1"/>
  <c r="T1032" i="1"/>
  <c r="Q1032" i="1"/>
  <c r="R1032" i="1" s="1"/>
  <c r="S1032" i="1" s="1"/>
  <c r="O1032" i="1"/>
  <c r="C1032" i="1"/>
  <c r="B1032" i="1"/>
  <c r="T1031" i="1"/>
  <c r="Q1031" i="1"/>
  <c r="R1031" i="1" s="1"/>
  <c r="S1031" i="1" s="1"/>
  <c r="O1031" i="1"/>
  <c r="C1031" i="1"/>
  <c r="B1031" i="1"/>
  <c r="T1030" i="1"/>
  <c r="O1030" i="1"/>
  <c r="C1030" i="1"/>
  <c r="B1030" i="1"/>
  <c r="T1029" i="1"/>
  <c r="O1029" i="1"/>
  <c r="C1029" i="1"/>
  <c r="B1029" i="1"/>
  <c r="T1028" i="1"/>
  <c r="O1028" i="1"/>
  <c r="Q1028" i="1" s="1"/>
  <c r="C1028" i="1"/>
  <c r="B1028" i="1"/>
  <c r="T1027" i="1"/>
  <c r="Q1027" i="1"/>
  <c r="O1027" i="1"/>
  <c r="C1027" i="1"/>
  <c r="B1027" i="1"/>
  <c r="T1026" i="1"/>
  <c r="O1026" i="1"/>
  <c r="C1026" i="1"/>
  <c r="B1026" i="1"/>
  <c r="T1025" i="1"/>
  <c r="O1025" i="1"/>
  <c r="C1025" i="1"/>
  <c r="B1025" i="1"/>
  <c r="T1024" i="1"/>
  <c r="S1024" i="1"/>
  <c r="R1024" i="1"/>
  <c r="Q1024" i="1"/>
  <c r="O1024" i="1"/>
  <c r="C1024" i="1"/>
  <c r="B1024" i="1"/>
  <c r="T1023" i="1"/>
  <c r="S1023" i="1"/>
  <c r="R1023" i="1"/>
  <c r="Q1023" i="1"/>
  <c r="O1023" i="1"/>
  <c r="C1023" i="1"/>
  <c r="B1023" i="1"/>
  <c r="T1022" i="1"/>
  <c r="O1022" i="1"/>
  <c r="C1022" i="1"/>
  <c r="B1022" i="1"/>
  <c r="T1021" i="1"/>
  <c r="O1021" i="1"/>
  <c r="C1021" i="1"/>
  <c r="B1021" i="1"/>
  <c r="T1020" i="1"/>
  <c r="Q1020" i="1"/>
  <c r="R1020" i="1" s="1"/>
  <c r="S1020" i="1" s="1"/>
  <c r="O1020" i="1"/>
  <c r="C1020" i="1"/>
  <c r="B1020" i="1"/>
  <c r="T1019" i="1"/>
  <c r="O1019" i="1"/>
  <c r="C1019" i="1"/>
  <c r="B1019" i="1"/>
  <c r="T1018" i="1"/>
  <c r="O1018" i="1"/>
  <c r="C1018" i="1"/>
  <c r="B1018" i="1"/>
  <c r="T1017" i="1"/>
  <c r="O1017" i="1"/>
  <c r="Q1017" i="1" s="1"/>
  <c r="R1017" i="1" s="1"/>
  <c r="S1017" i="1" s="1"/>
  <c r="C1017" i="1"/>
  <c r="B1017" i="1"/>
  <c r="T1016" i="1"/>
  <c r="R1016" i="1"/>
  <c r="S1016" i="1" s="1"/>
  <c r="O1016" i="1"/>
  <c r="Q1016" i="1" s="1"/>
  <c r="C1016" i="1"/>
  <c r="B1016" i="1"/>
  <c r="T1015" i="1"/>
  <c r="O1015" i="1"/>
  <c r="C1015" i="1"/>
  <c r="B1015" i="1"/>
  <c r="T1014" i="1"/>
  <c r="Q1014" i="1"/>
  <c r="R1014" i="1" s="1"/>
  <c r="S1014" i="1" s="1"/>
  <c r="O1014" i="1"/>
  <c r="C1014" i="1"/>
  <c r="B1014" i="1"/>
  <c r="T1013" i="1"/>
  <c r="Q1013" i="1"/>
  <c r="O1013" i="1"/>
  <c r="R1013" i="1" s="1"/>
  <c r="S1013" i="1" s="1"/>
  <c r="C1013" i="1"/>
  <c r="B1013" i="1"/>
  <c r="T1012" i="1"/>
  <c r="O1012" i="1"/>
  <c r="C1012" i="1"/>
  <c r="B1012" i="1"/>
  <c r="T1011" i="1"/>
  <c r="O1011" i="1"/>
  <c r="C1011" i="1"/>
  <c r="B1011" i="1"/>
  <c r="T1010" i="1"/>
  <c r="O1010" i="1"/>
  <c r="C1010" i="1"/>
  <c r="B1010" i="1"/>
  <c r="T1009" i="1"/>
  <c r="O1009" i="1"/>
  <c r="C1009" i="1"/>
  <c r="B1009" i="1"/>
  <c r="T1008" i="1"/>
  <c r="S1008" i="1"/>
  <c r="R1008" i="1"/>
  <c r="Q1008" i="1"/>
  <c r="O1008" i="1"/>
  <c r="C1008" i="1"/>
  <c r="B1008" i="1"/>
  <c r="T1007" i="1"/>
  <c r="S1007" i="1"/>
  <c r="Q1007" i="1"/>
  <c r="R1007" i="1" s="1"/>
  <c r="O1007" i="1"/>
  <c r="C1007" i="1"/>
  <c r="B1007" i="1"/>
  <c r="T1006" i="1"/>
  <c r="O1006" i="1"/>
  <c r="C1006" i="1"/>
  <c r="B1006" i="1"/>
  <c r="T1005" i="1"/>
  <c r="Q1005" i="1"/>
  <c r="R1005" i="1" s="1"/>
  <c r="S1005" i="1" s="1"/>
  <c r="O1005" i="1"/>
  <c r="C1005" i="1"/>
  <c r="B1005" i="1"/>
  <c r="T1004" i="1"/>
  <c r="Q1004" i="1"/>
  <c r="R1004" i="1" s="1"/>
  <c r="S1004" i="1" s="1"/>
  <c r="O1004" i="1"/>
  <c r="C1004" i="1"/>
  <c r="B1004" i="1"/>
  <c r="T1003" i="1"/>
  <c r="Q1003" i="1"/>
  <c r="O1003" i="1"/>
  <c r="C1003" i="1"/>
  <c r="B1003" i="1"/>
  <c r="T1002" i="1"/>
  <c r="O1002" i="1"/>
  <c r="Q1002" i="1" s="1"/>
  <c r="C1002" i="1"/>
  <c r="B1002" i="1"/>
  <c r="T1001" i="1"/>
  <c r="Q1001" i="1"/>
  <c r="R1001" i="1" s="1"/>
  <c r="S1001" i="1" s="1"/>
  <c r="O1001" i="1"/>
  <c r="C1001" i="1"/>
  <c r="B1001" i="1"/>
  <c r="T1000" i="1"/>
  <c r="S1000" i="1"/>
  <c r="R1000" i="1"/>
  <c r="Q1000" i="1"/>
  <c r="O1000" i="1"/>
  <c r="C1000" i="1"/>
  <c r="B1000" i="1"/>
  <c r="T999" i="1"/>
  <c r="S999" i="1"/>
  <c r="R999" i="1"/>
  <c r="Q999" i="1"/>
  <c r="O999" i="1"/>
  <c r="C999" i="1"/>
  <c r="B999" i="1"/>
  <c r="T998" i="1"/>
  <c r="Q998" i="1"/>
  <c r="R998" i="1" s="1"/>
  <c r="S998" i="1" s="1"/>
  <c r="O998" i="1"/>
  <c r="C998" i="1"/>
  <c r="B998" i="1"/>
  <c r="T997" i="1"/>
  <c r="O997" i="1"/>
  <c r="C997" i="1"/>
  <c r="B997" i="1"/>
  <c r="T996" i="1"/>
  <c r="Q996" i="1"/>
  <c r="O996" i="1"/>
  <c r="R996" i="1" s="1"/>
  <c r="S996" i="1" s="1"/>
  <c r="C996" i="1"/>
  <c r="B996" i="1"/>
  <c r="T995" i="1"/>
  <c r="Q995" i="1"/>
  <c r="R995" i="1" s="1"/>
  <c r="S995" i="1" s="1"/>
  <c r="O995" i="1"/>
  <c r="C995" i="1"/>
  <c r="B995" i="1"/>
  <c r="T994" i="1"/>
  <c r="Q994" i="1"/>
  <c r="O994" i="1"/>
  <c r="C994" i="1"/>
  <c r="B994" i="1"/>
  <c r="T993" i="1"/>
  <c r="O993" i="1"/>
  <c r="Q993" i="1" s="1"/>
  <c r="R993" i="1" s="1"/>
  <c r="S993" i="1" s="1"/>
  <c r="C993" i="1"/>
  <c r="B993" i="1"/>
  <c r="T992" i="1"/>
  <c r="R992" i="1"/>
  <c r="S992" i="1" s="1"/>
  <c r="O992" i="1"/>
  <c r="Q992" i="1" s="1"/>
  <c r="C992" i="1"/>
  <c r="B992" i="1"/>
  <c r="T991" i="1"/>
  <c r="S991" i="1"/>
  <c r="R991" i="1"/>
  <c r="O991" i="1"/>
  <c r="Q991" i="1" s="1"/>
  <c r="C991" i="1"/>
  <c r="B991" i="1"/>
  <c r="T990" i="1"/>
  <c r="Q990" i="1"/>
  <c r="R990" i="1" s="1"/>
  <c r="S990" i="1" s="1"/>
  <c r="O990" i="1"/>
  <c r="C990" i="1"/>
  <c r="B990" i="1"/>
  <c r="T989" i="1"/>
  <c r="O989" i="1"/>
  <c r="C989" i="1"/>
  <c r="B989" i="1"/>
  <c r="T988" i="1"/>
  <c r="O988" i="1"/>
  <c r="C988" i="1"/>
  <c r="B988" i="1"/>
  <c r="T987" i="1"/>
  <c r="Q987" i="1"/>
  <c r="O987" i="1"/>
  <c r="R987" i="1" s="1"/>
  <c r="S987" i="1" s="1"/>
  <c r="C987" i="1"/>
  <c r="B987" i="1"/>
  <c r="T986" i="1"/>
  <c r="O986" i="1"/>
  <c r="C986" i="1"/>
  <c r="B986" i="1"/>
  <c r="T985" i="1"/>
  <c r="O985" i="1"/>
  <c r="C985" i="1"/>
  <c r="B985" i="1"/>
  <c r="T984" i="1"/>
  <c r="O984" i="1"/>
  <c r="Q984" i="1" s="1"/>
  <c r="C984" i="1"/>
  <c r="B984" i="1"/>
  <c r="T983" i="1"/>
  <c r="R983" i="1"/>
  <c r="S983" i="1" s="1"/>
  <c r="Q983" i="1"/>
  <c r="O983" i="1"/>
  <c r="C983" i="1"/>
  <c r="B983" i="1"/>
  <c r="T982" i="1"/>
  <c r="S982" i="1"/>
  <c r="R982" i="1"/>
  <c r="Q982" i="1"/>
  <c r="O982" i="1"/>
  <c r="C982" i="1"/>
  <c r="B982" i="1"/>
  <c r="T981" i="1"/>
  <c r="Q981" i="1"/>
  <c r="O981" i="1"/>
  <c r="R981" i="1" s="1"/>
  <c r="S981" i="1" s="1"/>
  <c r="C981" i="1"/>
  <c r="B981" i="1"/>
  <c r="T980" i="1"/>
  <c r="O980" i="1"/>
  <c r="C980" i="1"/>
  <c r="B980" i="1"/>
  <c r="T979" i="1"/>
  <c r="O979" i="1"/>
  <c r="C979" i="1"/>
  <c r="B979" i="1"/>
  <c r="T978" i="1"/>
  <c r="Q978" i="1"/>
  <c r="O978" i="1"/>
  <c r="C978" i="1"/>
  <c r="B978" i="1"/>
  <c r="T977" i="1"/>
  <c r="S977" i="1"/>
  <c r="Q977" i="1"/>
  <c r="O977" i="1"/>
  <c r="R977" i="1" s="1"/>
  <c r="C977" i="1"/>
  <c r="B977" i="1"/>
  <c r="T976" i="1"/>
  <c r="R976" i="1"/>
  <c r="S976" i="1" s="1"/>
  <c r="Q976" i="1"/>
  <c r="O976" i="1"/>
  <c r="C976" i="1"/>
  <c r="B976" i="1"/>
  <c r="T975" i="1"/>
  <c r="Q975" i="1"/>
  <c r="R975" i="1" s="1"/>
  <c r="S975" i="1" s="1"/>
  <c r="O975" i="1"/>
  <c r="C975" i="1"/>
  <c r="B975" i="1"/>
  <c r="T974" i="1"/>
  <c r="O974" i="1"/>
  <c r="Q974" i="1" s="1"/>
  <c r="R974" i="1" s="1"/>
  <c r="S974" i="1" s="1"/>
  <c r="C974" i="1"/>
  <c r="B974" i="1"/>
  <c r="T973" i="1"/>
  <c r="R973" i="1"/>
  <c r="S973" i="1" s="1"/>
  <c r="Q973" i="1"/>
  <c r="O973" i="1"/>
  <c r="C973" i="1"/>
  <c r="B973" i="1"/>
  <c r="T972" i="1"/>
  <c r="O972" i="1"/>
  <c r="Q972" i="1" s="1"/>
  <c r="C972" i="1"/>
  <c r="B972" i="1"/>
  <c r="T971" i="1"/>
  <c r="R971" i="1"/>
  <c r="S971" i="1" s="1"/>
  <c r="Q971" i="1"/>
  <c r="O971" i="1"/>
  <c r="C971" i="1"/>
  <c r="B971" i="1"/>
  <c r="T970" i="1"/>
  <c r="O970" i="1"/>
  <c r="Q970" i="1" s="1"/>
  <c r="R970" i="1" s="1"/>
  <c r="S970" i="1" s="1"/>
  <c r="C970" i="1"/>
  <c r="B970" i="1"/>
  <c r="T969" i="1"/>
  <c r="O969" i="1"/>
  <c r="Q969" i="1" s="1"/>
  <c r="R969" i="1" s="1"/>
  <c r="S969" i="1" s="1"/>
  <c r="C969" i="1"/>
  <c r="B969" i="1"/>
  <c r="T968" i="1"/>
  <c r="O968" i="1"/>
  <c r="Q968" i="1" s="1"/>
  <c r="R968" i="1" s="1"/>
  <c r="S968" i="1" s="1"/>
  <c r="C968" i="1"/>
  <c r="B968" i="1"/>
  <c r="T967" i="1"/>
  <c r="S967" i="1"/>
  <c r="R967" i="1"/>
  <c r="Q967" i="1"/>
  <c r="O967" i="1"/>
  <c r="C967" i="1"/>
  <c r="B967" i="1"/>
  <c r="T966" i="1"/>
  <c r="Q966" i="1"/>
  <c r="O966" i="1"/>
  <c r="R966" i="1" s="1"/>
  <c r="S966" i="1" s="1"/>
  <c r="C966" i="1"/>
  <c r="B966" i="1"/>
  <c r="T965" i="1"/>
  <c r="Q965" i="1"/>
  <c r="O965" i="1"/>
  <c r="C965" i="1"/>
  <c r="B965" i="1"/>
  <c r="T964" i="1"/>
  <c r="R964" i="1"/>
  <c r="S964" i="1" s="1"/>
  <c r="Q964" i="1"/>
  <c r="O964" i="1"/>
  <c r="C964" i="1"/>
  <c r="B964" i="1"/>
  <c r="T963" i="1"/>
  <c r="O963" i="1"/>
  <c r="C963" i="1"/>
  <c r="B963" i="1"/>
  <c r="T962" i="1"/>
  <c r="O962" i="1"/>
  <c r="C962" i="1"/>
  <c r="B962" i="1"/>
  <c r="T961" i="1"/>
  <c r="O961" i="1"/>
  <c r="C961" i="1"/>
  <c r="B961" i="1"/>
  <c r="T960" i="1"/>
  <c r="Q960" i="1"/>
  <c r="R960" i="1" s="1"/>
  <c r="S960" i="1" s="1"/>
  <c r="O960" i="1"/>
  <c r="C960" i="1"/>
  <c r="B960" i="1"/>
  <c r="T959" i="1"/>
  <c r="Q959" i="1"/>
  <c r="R959" i="1" s="1"/>
  <c r="S959" i="1" s="1"/>
  <c r="O959" i="1"/>
  <c r="C959" i="1"/>
  <c r="B959" i="1"/>
  <c r="T958" i="1"/>
  <c r="O958" i="1"/>
  <c r="Q958" i="1" s="1"/>
  <c r="C958" i="1"/>
  <c r="B958" i="1"/>
  <c r="T957" i="1"/>
  <c r="O957" i="1"/>
  <c r="C957" i="1"/>
  <c r="B957" i="1"/>
  <c r="T956" i="1"/>
  <c r="S956" i="1"/>
  <c r="R956" i="1"/>
  <c r="Q956" i="1"/>
  <c r="O956" i="1"/>
  <c r="C956" i="1"/>
  <c r="B956" i="1"/>
  <c r="T955" i="1"/>
  <c r="Q955" i="1"/>
  <c r="O955" i="1"/>
  <c r="C955" i="1"/>
  <c r="B955" i="1"/>
  <c r="T954" i="1"/>
  <c r="O954" i="1"/>
  <c r="C954" i="1"/>
  <c r="B954" i="1"/>
  <c r="T953" i="1"/>
  <c r="O953" i="1"/>
  <c r="C953" i="1"/>
  <c r="B953" i="1"/>
  <c r="T952" i="1"/>
  <c r="S952" i="1"/>
  <c r="R952" i="1"/>
  <c r="Q952" i="1"/>
  <c r="O952" i="1"/>
  <c r="C952" i="1"/>
  <c r="B952" i="1"/>
  <c r="T951" i="1"/>
  <c r="S951" i="1"/>
  <c r="Q951" i="1"/>
  <c r="R951" i="1" s="1"/>
  <c r="O951" i="1"/>
  <c r="C951" i="1"/>
  <c r="B951" i="1"/>
  <c r="T950" i="1"/>
  <c r="Q950" i="1"/>
  <c r="R950" i="1" s="1"/>
  <c r="S950" i="1" s="1"/>
  <c r="O950" i="1"/>
  <c r="C950" i="1"/>
  <c r="B950" i="1"/>
  <c r="T949" i="1"/>
  <c r="Q949" i="1"/>
  <c r="R949" i="1" s="1"/>
  <c r="S949" i="1" s="1"/>
  <c r="O949" i="1"/>
  <c r="C949" i="1"/>
  <c r="B949" i="1"/>
  <c r="T948" i="1"/>
  <c r="R948" i="1"/>
  <c r="S948" i="1" s="1"/>
  <c r="Q948" i="1"/>
  <c r="O948" i="1"/>
  <c r="C948" i="1"/>
  <c r="B948" i="1"/>
  <c r="T947" i="1"/>
  <c r="Q947" i="1"/>
  <c r="O947" i="1"/>
  <c r="C947" i="1"/>
  <c r="B947" i="1"/>
  <c r="T946" i="1"/>
  <c r="O946" i="1"/>
  <c r="C946" i="1"/>
  <c r="B946" i="1"/>
  <c r="T945" i="1"/>
  <c r="S945" i="1"/>
  <c r="O945" i="1"/>
  <c r="Q945" i="1" s="1"/>
  <c r="R945" i="1" s="1"/>
  <c r="C945" i="1"/>
  <c r="B945" i="1"/>
  <c r="T944" i="1"/>
  <c r="R944" i="1"/>
  <c r="S944" i="1" s="1"/>
  <c r="O944" i="1"/>
  <c r="Q944" i="1" s="1"/>
  <c r="C944" i="1"/>
  <c r="B944" i="1"/>
  <c r="T943" i="1"/>
  <c r="R943" i="1"/>
  <c r="S943" i="1" s="1"/>
  <c r="Q943" i="1"/>
  <c r="O943" i="1"/>
  <c r="C943" i="1"/>
  <c r="B943" i="1"/>
  <c r="T942" i="1"/>
  <c r="S942" i="1"/>
  <c r="Q942" i="1"/>
  <c r="R942" i="1" s="1"/>
  <c r="O942" i="1"/>
  <c r="C942" i="1"/>
  <c r="B942" i="1"/>
  <c r="T941" i="1"/>
  <c r="S941" i="1"/>
  <c r="R941" i="1"/>
  <c r="Q941" i="1"/>
  <c r="O941" i="1"/>
  <c r="C941" i="1"/>
  <c r="B941" i="1"/>
  <c r="T940" i="1"/>
  <c r="Q940" i="1"/>
  <c r="O940" i="1"/>
  <c r="R940" i="1" s="1"/>
  <c r="S940" i="1" s="1"/>
  <c r="C940" i="1"/>
  <c r="B940" i="1"/>
  <c r="T939" i="1"/>
  <c r="Q939" i="1"/>
  <c r="O939" i="1"/>
  <c r="C939" i="1"/>
  <c r="B939" i="1"/>
  <c r="T938" i="1"/>
  <c r="O938" i="1"/>
  <c r="C938" i="1"/>
  <c r="B938" i="1"/>
  <c r="T937" i="1"/>
  <c r="O937" i="1"/>
  <c r="C937" i="1"/>
  <c r="B937" i="1"/>
  <c r="T936" i="1"/>
  <c r="O936" i="1"/>
  <c r="Q936" i="1" s="1"/>
  <c r="R936" i="1" s="1"/>
  <c r="S936" i="1" s="1"/>
  <c r="C936" i="1"/>
  <c r="B936" i="1"/>
  <c r="T935" i="1"/>
  <c r="Q935" i="1"/>
  <c r="R935" i="1" s="1"/>
  <c r="S935" i="1" s="1"/>
  <c r="O935" i="1"/>
  <c r="C935" i="1"/>
  <c r="B935" i="1"/>
  <c r="T934" i="1"/>
  <c r="Q934" i="1"/>
  <c r="R934" i="1" s="1"/>
  <c r="S934" i="1" s="1"/>
  <c r="O934" i="1"/>
  <c r="C934" i="1"/>
  <c r="B934" i="1"/>
  <c r="T933" i="1"/>
  <c r="O933" i="1"/>
  <c r="Q933" i="1" s="1"/>
  <c r="R933" i="1" s="1"/>
  <c r="S933" i="1" s="1"/>
  <c r="C933" i="1"/>
  <c r="B933" i="1"/>
  <c r="T932" i="1"/>
  <c r="R932" i="1"/>
  <c r="S932" i="1" s="1"/>
  <c r="Q932" i="1"/>
  <c r="O932" i="1"/>
  <c r="C932" i="1"/>
  <c r="B932" i="1"/>
  <c r="T931" i="1"/>
  <c r="Q931" i="1"/>
  <c r="O931" i="1"/>
  <c r="C931" i="1"/>
  <c r="B931" i="1"/>
  <c r="T930" i="1"/>
  <c r="O930" i="1"/>
  <c r="C930" i="1"/>
  <c r="B930" i="1"/>
  <c r="T929" i="1"/>
  <c r="R929" i="1"/>
  <c r="S929" i="1" s="1"/>
  <c r="O929" i="1"/>
  <c r="Q929" i="1" s="1"/>
  <c r="C929" i="1"/>
  <c r="B929" i="1"/>
  <c r="T928" i="1"/>
  <c r="R928" i="1"/>
  <c r="S928" i="1" s="1"/>
  <c r="Q928" i="1"/>
  <c r="O928" i="1"/>
  <c r="C928" i="1"/>
  <c r="B928" i="1"/>
  <c r="T927" i="1"/>
  <c r="Q927" i="1"/>
  <c r="R927" i="1" s="1"/>
  <c r="S927" i="1" s="1"/>
  <c r="O927" i="1"/>
  <c r="C927" i="1"/>
  <c r="B927" i="1"/>
  <c r="T926" i="1"/>
  <c r="S926" i="1"/>
  <c r="R926" i="1"/>
  <c r="Q926" i="1"/>
  <c r="O926" i="1"/>
  <c r="C926" i="1"/>
  <c r="B926" i="1"/>
  <c r="T925" i="1"/>
  <c r="S925" i="1"/>
  <c r="Q925" i="1"/>
  <c r="O925" i="1"/>
  <c r="R925" i="1" s="1"/>
  <c r="C925" i="1"/>
  <c r="B925" i="1"/>
  <c r="T924" i="1"/>
  <c r="R924" i="1"/>
  <c r="S924" i="1" s="1"/>
  <c r="Q924" i="1"/>
  <c r="O924" i="1"/>
  <c r="C924" i="1"/>
  <c r="B924" i="1"/>
  <c r="T923" i="1"/>
  <c r="R923" i="1"/>
  <c r="S923" i="1" s="1"/>
  <c r="O923" i="1"/>
  <c r="Q923" i="1" s="1"/>
  <c r="C923" i="1"/>
  <c r="B923" i="1"/>
  <c r="T922" i="1"/>
  <c r="Q922" i="1"/>
  <c r="O922" i="1"/>
  <c r="C922" i="1"/>
  <c r="B922" i="1"/>
  <c r="T921" i="1"/>
  <c r="S921" i="1"/>
  <c r="O921" i="1"/>
  <c r="Q921" i="1" s="1"/>
  <c r="R921" i="1" s="1"/>
  <c r="C921" i="1"/>
  <c r="B921" i="1"/>
  <c r="T920" i="1"/>
  <c r="O920" i="1"/>
  <c r="Q920" i="1" s="1"/>
  <c r="R920" i="1" s="1"/>
  <c r="S920" i="1" s="1"/>
  <c r="C920" i="1"/>
  <c r="B920" i="1"/>
  <c r="T919" i="1"/>
  <c r="S919" i="1"/>
  <c r="R919" i="1"/>
  <c r="Q919" i="1"/>
  <c r="O919" i="1"/>
  <c r="C919" i="1"/>
  <c r="B919" i="1"/>
  <c r="T918" i="1"/>
  <c r="O918" i="1"/>
  <c r="C918" i="1"/>
  <c r="B918" i="1"/>
  <c r="T917" i="1"/>
  <c r="O917" i="1"/>
  <c r="C917" i="1"/>
  <c r="B917" i="1"/>
  <c r="T916" i="1"/>
  <c r="O916" i="1"/>
  <c r="Q916" i="1" s="1"/>
  <c r="R916" i="1" s="1"/>
  <c r="S916" i="1" s="1"/>
  <c r="C916" i="1"/>
  <c r="B916" i="1"/>
  <c r="T915" i="1"/>
  <c r="S915" i="1"/>
  <c r="R915" i="1"/>
  <c r="Q915" i="1"/>
  <c r="O915" i="1"/>
  <c r="C915" i="1"/>
  <c r="B915" i="1"/>
  <c r="T914" i="1"/>
  <c r="O914" i="1"/>
  <c r="C914" i="1"/>
  <c r="B914" i="1"/>
  <c r="T913" i="1"/>
  <c r="O913" i="1"/>
  <c r="C913" i="1"/>
  <c r="B913" i="1"/>
  <c r="T912" i="1"/>
  <c r="Q912" i="1"/>
  <c r="O912" i="1"/>
  <c r="R912" i="1" s="1"/>
  <c r="S912" i="1" s="1"/>
  <c r="C912" i="1"/>
  <c r="B912" i="1"/>
  <c r="T911" i="1"/>
  <c r="S911" i="1"/>
  <c r="R911" i="1"/>
  <c r="Q911" i="1"/>
  <c r="O911" i="1"/>
  <c r="C911" i="1"/>
  <c r="B911" i="1"/>
  <c r="T910" i="1"/>
  <c r="R910" i="1"/>
  <c r="S910" i="1" s="1"/>
  <c r="O910" i="1"/>
  <c r="Q910" i="1" s="1"/>
  <c r="C910" i="1"/>
  <c r="B910" i="1"/>
  <c r="T909" i="1"/>
  <c r="O909" i="1"/>
  <c r="Q909" i="1" s="1"/>
  <c r="C909" i="1"/>
  <c r="B909" i="1"/>
  <c r="T908" i="1"/>
  <c r="O908" i="1"/>
  <c r="C908" i="1"/>
  <c r="B908" i="1"/>
  <c r="T907" i="1"/>
  <c r="O907" i="1"/>
  <c r="C907" i="1"/>
  <c r="B907" i="1"/>
  <c r="T906" i="1"/>
  <c r="O906" i="1"/>
  <c r="C906" i="1"/>
  <c r="B906" i="1"/>
  <c r="T905" i="1"/>
  <c r="Q905" i="1"/>
  <c r="O905" i="1"/>
  <c r="R905" i="1" s="1"/>
  <c r="S905" i="1" s="1"/>
  <c r="C905" i="1"/>
  <c r="B905" i="1"/>
  <c r="T904" i="1"/>
  <c r="R904" i="1"/>
  <c r="S904" i="1" s="1"/>
  <c r="Q904" i="1"/>
  <c r="O904" i="1"/>
  <c r="C904" i="1"/>
  <c r="B904" i="1"/>
  <c r="T903" i="1"/>
  <c r="R903" i="1"/>
  <c r="S903" i="1" s="1"/>
  <c r="Q903" i="1"/>
  <c r="O903" i="1"/>
  <c r="C903" i="1"/>
  <c r="B903" i="1"/>
  <c r="T902" i="1"/>
  <c r="Q902" i="1"/>
  <c r="R902" i="1" s="1"/>
  <c r="S902" i="1" s="1"/>
  <c r="O902" i="1"/>
  <c r="C902" i="1"/>
  <c r="B902" i="1"/>
  <c r="T901" i="1"/>
  <c r="O901" i="1"/>
  <c r="C901" i="1"/>
  <c r="B901" i="1"/>
  <c r="T900" i="1"/>
  <c r="R900" i="1"/>
  <c r="S900" i="1" s="1"/>
  <c r="Q900" i="1"/>
  <c r="O900" i="1"/>
  <c r="C900" i="1"/>
  <c r="B900" i="1"/>
  <c r="T899" i="1"/>
  <c r="Q899" i="1"/>
  <c r="R899" i="1" s="1"/>
  <c r="S899" i="1" s="1"/>
  <c r="O899" i="1"/>
  <c r="C899" i="1"/>
  <c r="B899" i="1"/>
  <c r="T898" i="1"/>
  <c r="R898" i="1"/>
  <c r="S898" i="1" s="1"/>
  <c r="Q898" i="1"/>
  <c r="O898" i="1"/>
  <c r="C898" i="1"/>
  <c r="B898" i="1"/>
  <c r="T897" i="1"/>
  <c r="S897" i="1"/>
  <c r="O897" i="1"/>
  <c r="Q897" i="1" s="1"/>
  <c r="R897" i="1" s="1"/>
  <c r="C897" i="1"/>
  <c r="B897" i="1"/>
  <c r="T896" i="1"/>
  <c r="S896" i="1"/>
  <c r="R896" i="1"/>
  <c r="O896" i="1"/>
  <c r="Q896" i="1" s="1"/>
  <c r="C896" i="1"/>
  <c r="B896" i="1"/>
  <c r="T895" i="1"/>
  <c r="O895" i="1"/>
  <c r="Q895" i="1" s="1"/>
  <c r="R895" i="1" s="1"/>
  <c r="S895" i="1" s="1"/>
  <c r="C895" i="1"/>
  <c r="B895" i="1"/>
  <c r="T894" i="1"/>
  <c r="Q894" i="1"/>
  <c r="O894" i="1"/>
  <c r="C894" i="1"/>
  <c r="B894" i="1"/>
  <c r="T893" i="1"/>
  <c r="O893" i="1"/>
  <c r="Q893" i="1" s="1"/>
  <c r="R893" i="1" s="1"/>
  <c r="S893" i="1" s="1"/>
  <c r="C893" i="1"/>
  <c r="B893" i="1"/>
  <c r="T892" i="1"/>
  <c r="O892" i="1"/>
  <c r="Q892" i="1" s="1"/>
  <c r="C892" i="1"/>
  <c r="B892" i="1"/>
  <c r="T891" i="1"/>
  <c r="O891" i="1"/>
  <c r="Q891" i="1" s="1"/>
  <c r="R891" i="1" s="1"/>
  <c r="S891" i="1" s="1"/>
  <c r="C891" i="1"/>
  <c r="B891" i="1"/>
  <c r="T890" i="1"/>
  <c r="O890" i="1"/>
  <c r="C890" i="1"/>
  <c r="B890" i="1"/>
  <c r="T889" i="1"/>
  <c r="O889" i="1"/>
  <c r="C889" i="1"/>
  <c r="B889" i="1"/>
  <c r="T888" i="1"/>
  <c r="Q888" i="1"/>
  <c r="O888" i="1"/>
  <c r="C888" i="1"/>
  <c r="B888" i="1"/>
  <c r="T887" i="1"/>
  <c r="Q887" i="1"/>
  <c r="R887" i="1" s="1"/>
  <c r="S887" i="1" s="1"/>
  <c r="O887" i="1"/>
  <c r="C887" i="1"/>
  <c r="B887" i="1"/>
  <c r="T886" i="1"/>
  <c r="O886" i="1"/>
  <c r="C886" i="1"/>
  <c r="B886" i="1"/>
  <c r="T885" i="1"/>
  <c r="S885" i="1"/>
  <c r="R885" i="1"/>
  <c r="Q885" i="1"/>
  <c r="O885" i="1"/>
  <c r="C885" i="1"/>
  <c r="B885" i="1"/>
  <c r="T884" i="1"/>
  <c r="O884" i="1"/>
  <c r="Q884" i="1" s="1"/>
  <c r="R884" i="1" s="1"/>
  <c r="S884" i="1" s="1"/>
  <c r="C884" i="1"/>
  <c r="B884" i="1"/>
  <c r="T883" i="1"/>
  <c r="Q883" i="1"/>
  <c r="O883" i="1"/>
  <c r="C883" i="1"/>
  <c r="B883" i="1"/>
  <c r="T882" i="1"/>
  <c r="Q882" i="1"/>
  <c r="O882" i="1"/>
  <c r="C882" i="1"/>
  <c r="B882" i="1"/>
  <c r="T881" i="1"/>
  <c r="S881" i="1"/>
  <c r="R881" i="1"/>
  <c r="Q881" i="1"/>
  <c r="O881" i="1"/>
  <c r="C881" i="1"/>
  <c r="B881" i="1"/>
  <c r="T880" i="1"/>
  <c r="R880" i="1"/>
  <c r="S880" i="1" s="1"/>
  <c r="Q880" i="1"/>
  <c r="O880" i="1"/>
  <c r="C880" i="1"/>
  <c r="B880" i="1"/>
  <c r="T879" i="1"/>
  <c r="Q879" i="1"/>
  <c r="R879" i="1" s="1"/>
  <c r="S879" i="1" s="1"/>
  <c r="O879" i="1"/>
  <c r="C879" i="1"/>
  <c r="B879" i="1"/>
  <c r="T878" i="1"/>
  <c r="Q878" i="1"/>
  <c r="R878" i="1" s="1"/>
  <c r="S878" i="1" s="1"/>
  <c r="O878" i="1"/>
  <c r="C878" i="1"/>
  <c r="B878" i="1"/>
  <c r="T877" i="1"/>
  <c r="Q877" i="1"/>
  <c r="R877" i="1" s="1"/>
  <c r="S877" i="1" s="1"/>
  <c r="O877" i="1"/>
  <c r="C877" i="1"/>
  <c r="B877" i="1"/>
  <c r="T876" i="1"/>
  <c r="O876" i="1"/>
  <c r="Q876" i="1" s="1"/>
  <c r="C876" i="1"/>
  <c r="B876" i="1"/>
  <c r="T875" i="1"/>
  <c r="O875" i="1"/>
  <c r="C875" i="1"/>
  <c r="B875" i="1"/>
  <c r="T874" i="1"/>
  <c r="R874" i="1"/>
  <c r="S874" i="1" s="1"/>
  <c r="Q874" i="1"/>
  <c r="O874" i="1"/>
  <c r="C874" i="1"/>
  <c r="B874" i="1"/>
  <c r="T873" i="1"/>
  <c r="S873" i="1"/>
  <c r="O873" i="1"/>
  <c r="Q873" i="1" s="1"/>
  <c r="R873" i="1" s="1"/>
  <c r="C873" i="1"/>
  <c r="B873" i="1"/>
  <c r="T872" i="1"/>
  <c r="O872" i="1"/>
  <c r="Q872" i="1" s="1"/>
  <c r="R872" i="1" s="1"/>
  <c r="S872" i="1" s="1"/>
  <c r="C872" i="1"/>
  <c r="B872" i="1"/>
  <c r="T871" i="1"/>
  <c r="O871" i="1"/>
  <c r="C871" i="1"/>
  <c r="B871" i="1"/>
  <c r="T870" i="1"/>
  <c r="S870" i="1"/>
  <c r="R870" i="1"/>
  <c r="Q870" i="1"/>
  <c r="O870" i="1"/>
  <c r="C870" i="1"/>
  <c r="B870" i="1"/>
  <c r="T869" i="1"/>
  <c r="R869" i="1"/>
  <c r="S869" i="1" s="1"/>
  <c r="O869" i="1"/>
  <c r="Q869" i="1" s="1"/>
  <c r="C869" i="1"/>
  <c r="B869" i="1"/>
  <c r="T868" i="1"/>
  <c r="O868" i="1"/>
  <c r="C868" i="1"/>
  <c r="B868" i="1"/>
  <c r="T867" i="1"/>
  <c r="O867" i="1"/>
  <c r="Q867" i="1" s="1"/>
  <c r="C867" i="1"/>
  <c r="B867" i="1"/>
  <c r="T866" i="1"/>
  <c r="O866" i="1"/>
  <c r="C866" i="1"/>
  <c r="B866" i="1"/>
  <c r="T865" i="1"/>
  <c r="O865" i="1"/>
  <c r="C865" i="1"/>
  <c r="B865" i="1"/>
  <c r="T864" i="1"/>
  <c r="O864" i="1"/>
  <c r="C864" i="1"/>
  <c r="B864" i="1"/>
  <c r="T863" i="1"/>
  <c r="R863" i="1"/>
  <c r="S863" i="1" s="1"/>
  <c r="Q863" i="1"/>
  <c r="O863" i="1"/>
  <c r="C863" i="1"/>
  <c r="B863" i="1"/>
  <c r="T862" i="1"/>
  <c r="O862" i="1"/>
  <c r="Q862" i="1" s="1"/>
  <c r="C862" i="1"/>
  <c r="B862" i="1"/>
  <c r="T861" i="1"/>
  <c r="R861" i="1"/>
  <c r="S861" i="1" s="1"/>
  <c r="Q861" i="1"/>
  <c r="O861" i="1"/>
  <c r="C861" i="1"/>
  <c r="B861" i="1"/>
  <c r="T860" i="1"/>
  <c r="O860" i="1"/>
  <c r="C860" i="1"/>
  <c r="B860" i="1"/>
  <c r="T859" i="1"/>
  <c r="Q859" i="1"/>
  <c r="O859" i="1"/>
  <c r="C859" i="1"/>
  <c r="B859" i="1"/>
  <c r="T858" i="1"/>
  <c r="O858" i="1"/>
  <c r="C858" i="1"/>
  <c r="B858" i="1"/>
  <c r="T857" i="1"/>
  <c r="O857" i="1"/>
  <c r="Q857" i="1" s="1"/>
  <c r="R857" i="1" s="1"/>
  <c r="S857" i="1" s="1"/>
  <c r="C857" i="1"/>
  <c r="B857" i="1"/>
  <c r="T856" i="1"/>
  <c r="R856" i="1"/>
  <c r="S856" i="1" s="1"/>
  <c r="Q856" i="1"/>
  <c r="O856" i="1"/>
  <c r="C856" i="1"/>
  <c r="B856" i="1"/>
  <c r="T855" i="1"/>
  <c r="S855" i="1"/>
  <c r="R855" i="1"/>
  <c r="Q855" i="1"/>
  <c r="O855" i="1"/>
  <c r="C855" i="1"/>
  <c r="B855" i="1"/>
  <c r="T854" i="1"/>
  <c r="O854" i="1"/>
  <c r="C854" i="1"/>
  <c r="B854" i="1"/>
  <c r="T853" i="1"/>
  <c r="Q853" i="1"/>
  <c r="O853" i="1"/>
  <c r="R853" i="1" s="1"/>
  <c r="S853" i="1" s="1"/>
  <c r="C853" i="1"/>
  <c r="B853" i="1"/>
  <c r="T852" i="1"/>
  <c r="R852" i="1"/>
  <c r="S852" i="1" s="1"/>
  <c r="Q852" i="1"/>
  <c r="O852" i="1"/>
  <c r="C852" i="1"/>
  <c r="B852" i="1"/>
  <c r="T851" i="1"/>
  <c r="O851" i="1"/>
  <c r="C851" i="1"/>
  <c r="B851" i="1"/>
  <c r="T850" i="1"/>
  <c r="O850" i="1"/>
  <c r="C850" i="1"/>
  <c r="B850" i="1"/>
  <c r="T849" i="1"/>
  <c r="S849" i="1"/>
  <c r="O849" i="1"/>
  <c r="Q849" i="1" s="1"/>
  <c r="R849" i="1" s="1"/>
  <c r="C849" i="1"/>
  <c r="B849" i="1"/>
  <c r="T848" i="1"/>
  <c r="R848" i="1"/>
  <c r="S848" i="1" s="1"/>
  <c r="O848" i="1"/>
  <c r="Q848" i="1" s="1"/>
  <c r="C848" i="1"/>
  <c r="B848" i="1"/>
  <c r="T847" i="1"/>
  <c r="O847" i="1"/>
  <c r="Q847" i="1" s="1"/>
  <c r="C847" i="1"/>
  <c r="B847" i="1"/>
  <c r="T846" i="1"/>
  <c r="O846" i="1"/>
  <c r="C846" i="1"/>
  <c r="B846" i="1"/>
  <c r="T845" i="1"/>
  <c r="O845" i="1"/>
  <c r="C845" i="1"/>
  <c r="B845" i="1"/>
  <c r="T844" i="1"/>
  <c r="O844" i="1"/>
  <c r="C844" i="1"/>
  <c r="B844" i="1"/>
  <c r="T843" i="1"/>
  <c r="Q843" i="1"/>
  <c r="O843" i="1"/>
  <c r="C843" i="1"/>
  <c r="B843" i="1"/>
  <c r="T842" i="1"/>
  <c r="O842" i="1"/>
  <c r="C842" i="1"/>
  <c r="B842" i="1"/>
  <c r="T841" i="1"/>
  <c r="O841" i="1"/>
  <c r="C841" i="1"/>
  <c r="B841" i="1"/>
  <c r="T840" i="1"/>
  <c r="O840" i="1"/>
  <c r="C840" i="1"/>
  <c r="B840" i="1"/>
  <c r="T839" i="1"/>
  <c r="Q839" i="1"/>
  <c r="R839" i="1" s="1"/>
  <c r="S839" i="1" s="1"/>
  <c r="O839" i="1"/>
  <c r="C839" i="1"/>
  <c r="B839" i="1"/>
  <c r="T838" i="1"/>
  <c r="O838" i="1"/>
  <c r="C838" i="1"/>
  <c r="B838" i="1"/>
  <c r="T837" i="1"/>
  <c r="R837" i="1"/>
  <c r="S837" i="1" s="1"/>
  <c r="Q837" i="1"/>
  <c r="O837" i="1"/>
  <c r="C837" i="1"/>
  <c r="B837" i="1"/>
  <c r="T836" i="1"/>
  <c r="Q836" i="1"/>
  <c r="R836" i="1" s="1"/>
  <c r="S836" i="1" s="1"/>
  <c r="O836" i="1"/>
  <c r="C836" i="1"/>
  <c r="B836" i="1"/>
  <c r="T835" i="1"/>
  <c r="O835" i="1"/>
  <c r="C835" i="1"/>
  <c r="B835" i="1"/>
  <c r="T834" i="1"/>
  <c r="Q834" i="1"/>
  <c r="R834" i="1" s="1"/>
  <c r="S834" i="1" s="1"/>
  <c r="O834" i="1"/>
  <c r="C834" i="1"/>
  <c r="B834" i="1"/>
  <c r="T833" i="1"/>
  <c r="S833" i="1"/>
  <c r="R833" i="1"/>
  <c r="Q833" i="1"/>
  <c r="O833" i="1"/>
  <c r="C833" i="1"/>
  <c r="B833" i="1"/>
  <c r="T832" i="1"/>
  <c r="R832" i="1"/>
  <c r="S832" i="1" s="1"/>
  <c r="Q832" i="1"/>
  <c r="O832" i="1"/>
  <c r="C832" i="1"/>
  <c r="B832" i="1"/>
  <c r="T831" i="1"/>
  <c r="Q831" i="1"/>
  <c r="R831" i="1" s="1"/>
  <c r="S831" i="1" s="1"/>
  <c r="O831" i="1"/>
  <c r="C831" i="1"/>
  <c r="B831" i="1"/>
  <c r="T830" i="1"/>
  <c r="O830" i="1"/>
  <c r="C830" i="1"/>
  <c r="B830" i="1"/>
  <c r="T829" i="1"/>
  <c r="R829" i="1"/>
  <c r="S829" i="1" s="1"/>
  <c r="Q829" i="1"/>
  <c r="O829" i="1"/>
  <c r="C829" i="1"/>
  <c r="B829" i="1"/>
  <c r="T828" i="1"/>
  <c r="O828" i="1"/>
  <c r="Q828" i="1" s="1"/>
  <c r="R828" i="1" s="1"/>
  <c r="S828" i="1" s="1"/>
  <c r="C828" i="1"/>
  <c r="B828" i="1"/>
  <c r="T827" i="1"/>
  <c r="Q827" i="1"/>
  <c r="R827" i="1" s="1"/>
  <c r="S827" i="1" s="1"/>
  <c r="O827" i="1"/>
  <c r="C827" i="1"/>
  <c r="B827" i="1"/>
  <c r="T826" i="1"/>
  <c r="S826" i="1"/>
  <c r="Q826" i="1"/>
  <c r="R826" i="1" s="1"/>
  <c r="O826" i="1"/>
  <c r="C826" i="1"/>
  <c r="B826" i="1"/>
  <c r="T825" i="1"/>
  <c r="S825" i="1"/>
  <c r="O825" i="1"/>
  <c r="Q825" i="1" s="1"/>
  <c r="R825" i="1" s="1"/>
  <c r="C825" i="1"/>
  <c r="B825" i="1"/>
  <c r="T824" i="1"/>
  <c r="O824" i="1"/>
  <c r="Q824" i="1" s="1"/>
  <c r="C824" i="1"/>
  <c r="B824" i="1"/>
  <c r="T823" i="1"/>
  <c r="O823" i="1"/>
  <c r="C823" i="1"/>
  <c r="B823" i="1"/>
  <c r="T822" i="1"/>
  <c r="R822" i="1"/>
  <c r="S822" i="1" s="1"/>
  <c r="Q822" i="1"/>
  <c r="O822" i="1"/>
  <c r="C822" i="1"/>
  <c r="B822" i="1"/>
  <c r="T821" i="1"/>
  <c r="O821" i="1"/>
  <c r="C821" i="1"/>
  <c r="B821" i="1"/>
  <c r="T820" i="1"/>
  <c r="O820" i="1"/>
  <c r="Q820" i="1" s="1"/>
  <c r="C820" i="1"/>
  <c r="B820" i="1"/>
  <c r="T819" i="1"/>
  <c r="Q819" i="1"/>
  <c r="R819" i="1" s="1"/>
  <c r="S819" i="1" s="1"/>
  <c r="O819" i="1"/>
  <c r="C819" i="1"/>
  <c r="B819" i="1"/>
  <c r="T818" i="1"/>
  <c r="O818" i="1"/>
  <c r="C818" i="1"/>
  <c r="B818" i="1"/>
  <c r="T817" i="1"/>
  <c r="Q817" i="1"/>
  <c r="O817" i="1"/>
  <c r="C817" i="1"/>
  <c r="B817" i="1"/>
  <c r="T816" i="1"/>
  <c r="O816" i="1"/>
  <c r="C816" i="1"/>
  <c r="B816" i="1"/>
  <c r="T815" i="1"/>
  <c r="S815" i="1"/>
  <c r="R815" i="1"/>
  <c r="Q815" i="1"/>
  <c r="O815" i="1"/>
  <c r="C815" i="1"/>
  <c r="B815" i="1"/>
  <c r="T814" i="1"/>
  <c r="O814" i="1"/>
  <c r="Q814" i="1" s="1"/>
  <c r="R814" i="1" s="1"/>
  <c r="S814" i="1" s="1"/>
  <c r="C814" i="1"/>
  <c r="B814" i="1"/>
  <c r="T813" i="1"/>
  <c r="O813" i="1"/>
  <c r="C813" i="1"/>
  <c r="B813" i="1"/>
  <c r="T812" i="1"/>
  <c r="O812" i="1"/>
  <c r="C812" i="1"/>
  <c r="B812" i="1"/>
  <c r="T811" i="1"/>
  <c r="Q811" i="1"/>
  <c r="O811" i="1"/>
  <c r="C811" i="1"/>
  <c r="B811" i="1"/>
  <c r="T810" i="1"/>
  <c r="Q810" i="1"/>
  <c r="R810" i="1" s="1"/>
  <c r="S810" i="1" s="1"/>
  <c r="O810" i="1"/>
  <c r="C810" i="1"/>
  <c r="B810" i="1"/>
  <c r="T809" i="1"/>
  <c r="R809" i="1"/>
  <c r="S809" i="1" s="1"/>
  <c r="Q809" i="1"/>
  <c r="O809" i="1"/>
  <c r="C809" i="1"/>
  <c r="B809" i="1"/>
  <c r="T808" i="1"/>
  <c r="S808" i="1"/>
  <c r="R808" i="1"/>
  <c r="Q808" i="1"/>
  <c r="O808" i="1"/>
  <c r="C808" i="1"/>
  <c r="B808" i="1"/>
  <c r="T807" i="1"/>
  <c r="Q807" i="1"/>
  <c r="R807" i="1" s="1"/>
  <c r="S807" i="1" s="1"/>
  <c r="O807" i="1"/>
  <c r="C807" i="1"/>
  <c r="B807" i="1"/>
  <c r="T806" i="1"/>
  <c r="R806" i="1"/>
  <c r="S806" i="1" s="1"/>
  <c r="Q806" i="1"/>
  <c r="O806" i="1"/>
  <c r="C806" i="1"/>
  <c r="B806" i="1"/>
  <c r="T805" i="1"/>
  <c r="O805" i="1"/>
  <c r="C805" i="1"/>
  <c r="B805" i="1"/>
  <c r="T804" i="1"/>
  <c r="R804" i="1"/>
  <c r="S804" i="1" s="1"/>
  <c r="Q804" i="1"/>
  <c r="O804" i="1"/>
  <c r="C804" i="1"/>
  <c r="B804" i="1"/>
  <c r="T803" i="1"/>
  <c r="Q803" i="1"/>
  <c r="R803" i="1" s="1"/>
  <c r="S803" i="1" s="1"/>
  <c r="O803" i="1"/>
  <c r="C803" i="1"/>
  <c r="B803" i="1"/>
  <c r="T802" i="1"/>
  <c r="Q802" i="1"/>
  <c r="O802" i="1"/>
  <c r="C802" i="1"/>
  <c r="B802" i="1"/>
  <c r="T801" i="1"/>
  <c r="O801" i="1"/>
  <c r="Q801" i="1" s="1"/>
  <c r="R801" i="1" s="1"/>
  <c r="S801" i="1" s="1"/>
  <c r="C801" i="1"/>
  <c r="B801" i="1"/>
  <c r="T800" i="1"/>
  <c r="S800" i="1"/>
  <c r="R800" i="1"/>
  <c r="O800" i="1"/>
  <c r="Q800" i="1" s="1"/>
  <c r="C800" i="1"/>
  <c r="B800" i="1"/>
  <c r="T799" i="1"/>
  <c r="R799" i="1"/>
  <c r="S799" i="1" s="1"/>
  <c r="O799" i="1"/>
  <c r="Q799" i="1" s="1"/>
  <c r="C799" i="1"/>
  <c r="B799" i="1"/>
  <c r="T798" i="1"/>
  <c r="O798" i="1"/>
  <c r="Q798" i="1" s="1"/>
  <c r="C798" i="1"/>
  <c r="B798" i="1"/>
  <c r="T797" i="1"/>
  <c r="O797" i="1"/>
  <c r="Q797" i="1" s="1"/>
  <c r="R797" i="1" s="1"/>
  <c r="S797" i="1" s="1"/>
  <c r="C797" i="1"/>
  <c r="B797" i="1"/>
  <c r="T796" i="1"/>
  <c r="Q796" i="1"/>
  <c r="R796" i="1" s="1"/>
  <c r="S796" i="1" s="1"/>
  <c r="O796" i="1"/>
  <c r="C796" i="1"/>
  <c r="B796" i="1"/>
  <c r="T795" i="1"/>
  <c r="Q795" i="1"/>
  <c r="O795" i="1"/>
  <c r="R795" i="1" s="1"/>
  <c r="S795" i="1" s="1"/>
  <c r="C795" i="1"/>
  <c r="B795" i="1"/>
  <c r="T794" i="1"/>
  <c r="O794" i="1"/>
  <c r="C794" i="1"/>
  <c r="B794" i="1"/>
  <c r="T793" i="1"/>
  <c r="Q793" i="1"/>
  <c r="O793" i="1"/>
  <c r="C793" i="1"/>
  <c r="B793" i="1"/>
  <c r="T792" i="1"/>
  <c r="O792" i="1"/>
  <c r="Q792" i="1" s="1"/>
  <c r="C792" i="1"/>
  <c r="B792" i="1"/>
  <c r="T791" i="1"/>
  <c r="Q791" i="1"/>
  <c r="R791" i="1" s="1"/>
  <c r="S791" i="1" s="1"/>
  <c r="O791" i="1"/>
  <c r="C791" i="1"/>
  <c r="B791" i="1"/>
  <c r="T790" i="1"/>
  <c r="Q790" i="1"/>
  <c r="R790" i="1" s="1"/>
  <c r="S790" i="1" s="1"/>
  <c r="O790" i="1"/>
  <c r="C790" i="1"/>
  <c r="B790" i="1"/>
  <c r="T789" i="1"/>
  <c r="R789" i="1"/>
  <c r="S789" i="1" s="1"/>
  <c r="Q789" i="1"/>
  <c r="O789" i="1"/>
  <c r="C789" i="1"/>
  <c r="B789" i="1"/>
  <c r="T788" i="1"/>
  <c r="O788" i="1"/>
  <c r="C788" i="1"/>
  <c r="B788" i="1"/>
  <c r="T787" i="1"/>
  <c r="O787" i="1"/>
  <c r="C787" i="1"/>
  <c r="B787" i="1"/>
  <c r="T786" i="1"/>
  <c r="O786" i="1"/>
  <c r="Q786" i="1" s="1"/>
  <c r="R786" i="1" s="1"/>
  <c r="S786" i="1" s="1"/>
  <c r="C786" i="1"/>
  <c r="B786" i="1"/>
  <c r="T785" i="1"/>
  <c r="O785" i="1"/>
  <c r="C785" i="1"/>
  <c r="B785" i="1"/>
  <c r="T784" i="1"/>
  <c r="R784" i="1"/>
  <c r="S784" i="1" s="1"/>
  <c r="Q784" i="1"/>
  <c r="O784" i="1"/>
  <c r="C784" i="1"/>
  <c r="B784" i="1"/>
  <c r="T783" i="1"/>
  <c r="S783" i="1"/>
  <c r="R783" i="1"/>
  <c r="Q783" i="1"/>
  <c r="O783" i="1"/>
  <c r="C783" i="1"/>
  <c r="B783" i="1"/>
  <c r="T782" i="1"/>
  <c r="O782" i="1"/>
  <c r="Q782" i="1" s="1"/>
  <c r="R782" i="1" s="1"/>
  <c r="S782" i="1" s="1"/>
  <c r="C782" i="1"/>
  <c r="B782" i="1"/>
  <c r="T781" i="1"/>
  <c r="Q781" i="1"/>
  <c r="R781" i="1" s="1"/>
  <c r="S781" i="1" s="1"/>
  <c r="O781" i="1"/>
  <c r="C781" i="1"/>
  <c r="B781" i="1"/>
  <c r="T780" i="1"/>
  <c r="Q780" i="1"/>
  <c r="O780" i="1"/>
  <c r="R780" i="1" s="1"/>
  <c r="S780" i="1" s="1"/>
  <c r="C780" i="1"/>
  <c r="B780" i="1"/>
  <c r="T779" i="1"/>
  <c r="Q779" i="1"/>
  <c r="O779" i="1"/>
  <c r="R779" i="1" s="1"/>
  <c r="S779" i="1" s="1"/>
  <c r="C779" i="1"/>
  <c r="B779" i="1"/>
  <c r="T778" i="1"/>
  <c r="O778" i="1"/>
  <c r="C778" i="1"/>
  <c r="B778" i="1"/>
  <c r="T777" i="1"/>
  <c r="O777" i="1"/>
  <c r="Q777" i="1" s="1"/>
  <c r="R777" i="1" s="1"/>
  <c r="S777" i="1" s="1"/>
  <c r="C777" i="1"/>
  <c r="B777" i="1"/>
  <c r="T776" i="1"/>
  <c r="O776" i="1"/>
  <c r="Q776" i="1" s="1"/>
  <c r="C776" i="1"/>
  <c r="B776" i="1"/>
  <c r="T775" i="1"/>
  <c r="Q775" i="1"/>
  <c r="R775" i="1" s="1"/>
  <c r="S775" i="1" s="1"/>
  <c r="O775" i="1"/>
  <c r="C775" i="1"/>
  <c r="B775" i="1"/>
  <c r="T774" i="1"/>
  <c r="O774" i="1"/>
  <c r="Q774" i="1" s="1"/>
  <c r="C774" i="1"/>
  <c r="B774" i="1"/>
  <c r="T773" i="1"/>
  <c r="O773" i="1"/>
  <c r="Q773" i="1" s="1"/>
  <c r="C773" i="1"/>
  <c r="B773" i="1"/>
  <c r="T772" i="1"/>
  <c r="O772" i="1"/>
  <c r="C772" i="1"/>
  <c r="B772" i="1"/>
  <c r="T771" i="1"/>
  <c r="S771" i="1"/>
  <c r="R771" i="1"/>
  <c r="Q771" i="1"/>
  <c r="O771" i="1"/>
  <c r="C771" i="1"/>
  <c r="B771" i="1"/>
  <c r="T770" i="1"/>
  <c r="O770" i="1"/>
  <c r="C770" i="1"/>
  <c r="B770" i="1"/>
  <c r="T769" i="1"/>
  <c r="O769" i="1"/>
  <c r="C769" i="1"/>
  <c r="B769" i="1"/>
  <c r="T768" i="1"/>
  <c r="Q768" i="1"/>
  <c r="O768" i="1"/>
  <c r="R768" i="1" s="1"/>
  <c r="S768" i="1" s="1"/>
  <c r="C768" i="1"/>
  <c r="B768" i="1"/>
  <c r="T767" i="1"/>
  <c r="S767" i="1"/>
  <c r="R767" i="1"/>
  <c r="Q767" i="1"/>
  <c r="O767" i="1"/>
  <c r="C767" i="1"/>
  <c r="B767" i="1"/>
  <c r="T766" i="1"/>
  <c r="S766" i="1"/>
  <c r="R766" i="1"/>
  <c r="O766" i="1"/>
  <c r="Q766" i="1" s="1"/>
  <c r="C766" i="1"/>
  <c r="B766" i="1"/>
  <c r="T765" i="1"/>
  <c r="O765" i="1"/>
  <c r="Q765" i="1" s="1"/>
  <c r="C765" i="1"/>
  <c r="B765" i="1"/>
  <c r="T764" i="1"/>
  <c r="Q764" i="1"/>
  <c r="R764" i="1" s="1"/>
  <c r="S764" i="1" s="1"/>
  <c r="O764" i="1"/>
  <c r="C764" i="1"/>
  <c r="B764" i="1"/>
  <c r="T763" i="1"/>
  <c r="O763" i="1"/>
  <c r="C763" i="1"/>
  <c r="B763" i="1"/>
  <c r="T762" i="1"/>
  <c r="R762" i="1"/>
  <c r="S762" i="1" s="1"/>
  <c r="Q762" i="1"/>
  <c r="O762" i="1"/>
  <c r="C762" i="1"/>
  <c r="B762" i="1"/>
  <c r="T761" i="1"/>
  <c r="O761" i="1"/>
  <c r="C761" i="1"/>
  <c r="B761" i="1"/>
  <c r="T760" i="1"/>
  <c r="R760" i="1"/>
  <c r="S760" i="1" s="1"/>
  <c r="Q760" i="1"/>
  <c r="O760" i="1"/>
  <c r="C760" i="1"/>
  <c r="B760" i="1"/>
  <c r="T759" i="1"/>
  <c r="Q759" i="1"/>
  <c r="R759" i="1" s="1"/>
  <c r="S759" i="1" s="1"/>
  <c r="O759" i="1"/>
  <c r="C759" i="1"/>
  <c r="B759" i="1"/>
  <c r="T758" i="1"/>
  <c r="Q758" i="1"/>
  <c r="O758" i="1"/>
  <c r="C758" i="1"/>
  <c r="B758" i="1"/>
  <c r="T757" i="1"/>
  <c r="O757" i="1"/>
  <c r="C757" i="1"/>
  <c r="B757" i="1"/>
  <c r="T756" i="1"/>
  <c r="O756" i="1"/>
  <c r="C756" i="1"/>
  <c r="B756" i="1"/>
  <c r="T755" i="1"/>
  <c r="O755" i="1"/>
  <c r="C755" i="1"/>
  <c r="B755" i="1"/>
  <c r="T754" i="1"/>
  <c r="O754" i="1"/>
  <c r="C754" i="1"/>
  <c r="B754" i="1"/>
  <c r="T753" i="1"/>
  <c r="O753" i="1"/>
  <c r="Q753" i="1" s="1"/>
  <c r="R753" i="1" s="1"/>
  <c r="S753" i="1" s="1"/>
  <c r="C753" i="1"/>
  <c r="B753" i="1"/>
  <c r="T752" i="1"/>
  <c r="O752" i="1"/>
  <c r="C752" i="1"/>
  <c r="B752" i="1"/>
  <c r="T751" i="1"/>
  <c r="O751" i="1"/>
  <c r="C751" i="1"/>
  <c r="B751" i="1"/>
  <c r="T750" i="1"/>
  <c r="O750" i="1"/>
  <c r="C750" i="1"/>
  <c r="B750" i="1"/>
  <c r="T749" i="1"/>
  <c r="R749" i="1"/>
  <c r="S749" i="1" s="1"/>
  <c r="Q749" i="1"/>
  <c r="O749" i="1"/>
  <c r="C749" i="1"/>
  <c r="B749" i="1"/>
  <c r="T748" i="1"/>
  <c r="O748" i="1"/>
  <c r="C748" i="1"/>
  <c r="B748" i="1"/>
  <c r="T747" i="1"/>
  <c r="O747" i="1"/>
  <c r="Q747" i="1" s="1"/>
  <c r="C747" i="1"/>
  <c r="B747" i="1"/>
  <c r="T746" i="1"/>
  <c r="O746" i="1"/>
  <c r="C746" i="1"/>
  <c r="B746" i="1"/>
  <c r="T745" i="1"/>
  <c r="O745" i="1"/>
  <c r="C745" i="1"/>
  <c r="B745" i="1"/>
  <c r="T744" i="1"/>
  <c r="R744" i="1"/>
  <c r="S744" i="1" s="1"/>
  <c r="Q744" i="1"/>
  <c r="O744" i="1"/>
  <c r="C744" i="1"/>
  <c r="B744" i="1"/>
  <c r="T743" i="1"/>
  <c r="S743" i="1"/>
  <c r="R743" i="1"/>
  <c r="Q743" i="1"/>
  <c r="O743" i="1"/>
  <c r="C743" i="1"/>
  <c r="B743" i="1"/>
  <c r="T742" i="1"/>
  <c r="O742" i="1"/>
  <c r="Q742" i="1" s="1"/>
  <c r="R742" i="1" s="1"/>
  <c r="S742" i="1" s="1"/>
  <c r="C742" i="1"/>
  <c r="B742" i="1"/>
  <c r="T741" i="1"/>
  <c r="Q741" i="1"/>
  <c r="R741" i="1" s="1"/>
  <c r="S741" i="1" s="1"/>
  <c r="O741" i="1"/>
  <c r="C741" i="1"/>
  <c r="B741" i="1"/>
  <c r="T740" i="1"/>
  <c r="S740" i="1"/>
  <c r="R740" i="1"/>
  <c r="O740" i="1"/>
  <c r="Q740" i="1" s="1"/>
  <c r="C740" i="1"/>
  <c r="B740" i="1"/>
  <c r="T739" i="1"/>
  <c r="O739" i="1"/>
  <c r="C739" i="1"/>
  <c r="B739" i="1"/>
  <c r="T738" i="1"/>
  <c r="R738" i="1"/>
  <c r="S738" i="1" s="1"/>
  <c r="Q738" i="1"/>
  <c r="O738" i="1"/>
  <c r="C738" i="1"/>
  <c r="B738" i="1"/>
  <c r="T737" i="1"/>
  <c r="Q737" i="1"/>
  <c r="O737" i="1"/>
  <c r="C737" i="1"/>
  <c r="B737" i="1"/>
  <c r="T736" i="1"/>
  <c r="R736" i="1"/>
  <c r="S736" i="1" s="1"/>
  <c r="Q736" i="1"/>
  <c r="O736" i="1"/>
  <c r="C736" i="1"/>
  <c r="B736" i="1"/>
  <c r="T735" i="1"/>
  <c r="Q735" i="1"/>
  <c r="R735" i="1" s="1"/>
  <c r="S735" i="1" s="1"/>
  <c r="O735" i="1"/>
  <c r="C735" i="1"/>
  <c r="B735" i="1"/>
  <c r="T734" i="1"/>
  <c r="O734" i="1"/>
  <c r="C734" i="1"/>
  <c r="B734" i="1"/>
  <c r="T733" i="1"/>
  <c r="O733" i="1"/>
  <c r="C733" i="1"/>
  <c r="B733" i="1"/>
  <c r="T732" i="1"/>
  <c r="Q732" i="1"/>
  <c r="R732" i="1" s="1"/>
  <c r="S732" i="1" s="1"/>
  <c r="O732" i="1"/>
  <c r="C732" i="1"/>
  <c r="B732" i="1"/>
  <c r="T731" i="1"/>
  <c r="R731" i="1"/>
  <c r="S731" i="1" s="1"/>
  <c r="Q731" i="1"/>
  <c r="O731" i="1"/>
  <c r="C731" i="1"/>
  <c r="B731" i="1"/>
  <c r="T730" i="1"/>
  <c r="Q730" i="1"/>
  <c r="O730" i="1"/>
  <c r="C730" i="1"/>
  <c r="B730" i="1"/>
  <c r="T729" i="1"/>
  <c r="O729" i="1"/>
  <c r="Q729" i="1" s="1"/>
  <c r="R729" i="1" s="1"/>
  <c r="S729" i="1" s="1"/>
  <c r="C729" i="1"/>
  <c r="B729" i="1"/>
  <c r="T728" i="1"/>
  <c r="Q728" i="1"/>
  <c r="R728" i="1" s="1"/>
  <c r="S728" i="1" s="1"/>
  <c r="O728" i="1"/>
  <c r="C728" i="1"/>
  <c r="B728" i="1"/>
  <c r="T727" i="1"/>
  <c r="Q727" i="1"/>
  <c r="O727" i="1"/>
  <c r="C727" i="1"/>
  <c r="B727" i="1"/>
  <c r="T726" i="1"/>
  <c r="O726" i="1"/>
  <c r="Q726" i="1" s="1"/>
  <c r="C726" i="1"/>
  <c r="B726" i="1"/>
  <c r="T725" i="1"/>
  <c r="O725" i="1"/>
  <c r="C725" i="1"/>
  <c r="B725" i="1"/>
  <c r="T724" i="1"/>
  <c r="S724" i="1"/>
  <c r="Q724" i="1"/>
  <c r="R724" i="1" s="1"/>
  <c r="O724" i="1"/>
  <c r="C724" i="1"/>
  <c r="B724" i="1"/>
  <c r="T723" i="1"/>
  <c r="O723" i="1"/>
  <c r="C723" i="1"/>
  <c r="B723" i="1"/>
  <c r="T722" i="1"/>
  <c r="O722" i="1"/>
  <c r="C722" i="1"/>
  <c r="B722" i="1"/>
  <c r="T721" i="1"/>
  <c r="Q721" i="1"/>
  <c r="R721" i="1" s="1"/>
  <c r="S721" i="1" s="1"/>
  <c r="O721" i="1"/>
  <c r="C721" i="1"/>
  <c r="B721" i="1"/>
  <c r="T720" i="1"/>
  <c r="R720" i="1"/>
  <c r="S720" i="1" s="1"/>
  <c r="Q720" i="1"/>
  <c r="O720" i="1"/>
  <c r="C720" i="1"/>
  <c r="B720" i="1"/>
  <c r="T719" i="1"/>
  <c r="S719" i="1"/>
  <c r="Q719" i="1"/>
  <c r="R719" i="1" s="1"/>
  <c r="O719" i="1"/>
  <c r="C719" i="1"/>
  <c r="B719" i="1"/>
  <c r="T718" i="1"/>
  <c r="Q718" i="1"/>
  <c r="R718" i="1" s="1"/>
  <c r="S718" i="1" s="1"/>
  <c r="O718" i="1"/>
  <c r="C718" i="1"/>
  <c r="B718" i="1"/>
  <c r="T717" i="1"/>
  <c r="Q717" i="1"/>
  <c r="R717" i="1" s="1"/>
  <c r="S717" i="1" s="1"/>
  <c r="O717" i="1"/>
  <c r="C717" i="1"/>
  <c r="B717" i="1"/>
  <c r="T716" i="1"/>
  <c r="O716" i="1"/>
  <c r="C716" i="1"/>
  <c r="B716" i="1"/>
  <c r="T715" i="1"/>
  <c r="O715" i="1"/>
  <c r="C715" i="1"/>
  <c r="B715" i="1"/>
  <c r="T714" i="1"/>
  <c r="O714" i="1"/>
  <c r="C714" i="1"/>
  <c r="B714" i="1"/>
  <c r="T713" i="1"/>
  <c r="S713" i="1"/>
  <c r="Q713" i="1"/>
  <c r="R713" i="1" s="1"/>
  <c r="O713" i="1"/>
  <c r="C713" i="1"/>
  <c r="B713" i="1"/>
  <c r="T712" i="1"/>
  <c r="R712" i="1"/>
  <c r="S712" i="1" s="1"/>
  <c r="Q712" i="1"/>
  <c r="O712" i="1"/>
  <c r="C712" i="1"/>
  <c r="B712" i="1"/>
  <c r="T711" i="1"/>
  <c r="Q711" i="1"/>
  <c r="R711" i="1" s="1"/>
  <c r="S711" i="1" s="1"/>
  <c r="O711" i="1"/>
  <c r="C711" i="1"/>
  <c r="B711" i="1"/>
  <c r="T710" i="1"/>
  <c r="R710" i="1"/>
  <c r="S710" i="1" s="1"/>
  <c r="Q710" i="1"/>
  <c r="O710" i="1"/>
  <c r="C710" i="1"/>
  <c r="B710" i="1"/>
  <c r="T709" i="1"/>
  <c r="Q709" i="1"/>
  <c r="R709" i="1" s="1"/>
  <c r="S709" i="1" s="1"/>
  <c r="O709" i="1"/>
  <c r="C709" i="1"/>
  <c r="B709" i="1"/>
  <c r="T708" i="1"/>
  <c r="O708" i="1"/>
  <c r="Q708" i="1" s="1"/>
  <c r="R708" i="1" s="1"/>
  <c r="S708" i="1" s="1"/>
  <c r="C708" i="1"/>
  <c r="B708" i="1"/>
  <c r="T707" i="1"/>
  <c r="O707" i="1"/>
  <c r="Q707" i="1" s="1"/>
  <c r="C707" i="1"/>
  <c r="B707" i="1"/>
  <c r="T706" i="1"/>
  <c r="Q706" i="1"/>
  <c r="R706" i="1" s="1"/>
  <c r="S706" i="1" s="1"/>
  <c r="O706" i="1"/>
  <c r="C706" i="1"/>
  <c r="B706" i="1"/>
  <c r="T705" i="1"/>
  <c r="S705" i="1"/>
  <c r="O705" i="1"/>
  <c r="Q705" i="1" s="1"/>
  <c r="R705" i="1" s="1"/>
  <c r="C705" i="1"/>
  <c r="B705" i="1"/>
  <c r="T704" i="1"/>
  <c r="O704" i="1"/>
  <c r="C704" i="1"/>
  <c r="B704" i="1"/>
  <c r="T703" i="1"/>
  <c r="Q703" i="1"/>
  <c r="O703" i="1"/>
  <c r="C703" i="1"/>
  <c r="B703" i="1"/>
  <c r="T702" i="1"/>
  <c r="O702" i="1"/>
  <c r="C702" i="1"/>
  <c r="B702" i="1"/>
  <c r="T701" i="1"/>
  <c r="Q701" i="1"/>
  <c r="R701" i="1" s="1"/>
  <c r="S701" i="1" s="1"/>
  <c r="O701" i="1"/>
  <c r="C701" i="1"/>
  <c r="B701" i="1"/>
  <c r="T700" i="1"/>
  <c r="O700" i="1"/>
  <c r="C700" i="1"/>
  <c r="B700" i="1"/>
  <c r="T699" i="1"/>
  <c r="R699" i="1"/>
  <c r="S699" i="1" s="1"/>
  <c r="O699" i="1"/>
  <c r="Q699" i="1" s="1"/>
  <c r="C699" i="1"/>
  <c r="B699" i="1"/>
  <c r="T698" i="1"/>
  <c r="O698" i="1"/>
  <c r="C698" i="1"/>
  <c r="B698" i="1"/>
  <c r="T697" i="1"/>
  <c r="Q697" i="1"/>
  <c r="R697" i="1" s="1"/>
  <c r="S697" i="1" s="1"/>
  <c r="O697" i="1"/>
  <c r="C697" i="1"/>
  <c r="B697" i="1"/>
  <c r="T696" i="1"/>
  <c r="O696" i="1"/>
  <c r="C696" i="1"/>
  <c r="B696" i="1"/>
  <c r="T695" i="1"/>
  <c r="S695" i="1"/>
  <c r="Q695" i="1"/>
  <c r="R695" i="1" s="1"/>
  <c r="O695" i="1"/>
  <c r="C695" i="1"/>
  <c r="B695" i="1"/>
  <c r="T694" i="1"/>
  <c r="O694" i="1"/>
  <c r="Q694" i="1" s="1"/>
  <c r="C694" i="1"/>
  <c r="B694" i="1"/>
  <c r="T693" i="1"/>
  <c r="O693" i="1"/>
  <c r="C693" i="1"/>
  <c r="B693" i="1"/>
  <c r="T692" i="1"/>
  <c r="O692" i="1"/>
  <c r="C692" i="1"/>
  <c r="B692" i="1"/>
  <c r="T691" i="1"/>
  <c r="O691" i="1"/>
  <c r="C691" i="1"/>
  <c r="B691" i="1"/>
  <c r="T690" i="1"/>
  <c r="O690" i="1"/>
  <c r="C690" i="1"/>
  <c r="B690" i="1"/>
  <c r="T689" i="1"/>
  <c r="O689" i="1"/>
  <c r="C689" i="1"/>
  <c r="B689" i="1"/>
  <c r="T688" i="1"/>
  <c r="R688" i="1"/>
  <c r="S688" i="1" s="1"/>
  <c r="Q688" i="1"/>
  <c r="O688" i="1"/>
  <c r="C688" i="1"/>
  <c r="B688" i="1"/>
  <c r="T687" i="1"/>
  <c r="Q687" i="1"/>
  <c r="R687" i="1" s="1"/>
  <c r="S687" i="1" s="1"/>
  <c r="O687" i="1"/>
  <c r="C687" i="1"/>
  <c r="B687" i="1"/>
  <c r="T686" i="1"/>
  <c r="O686" i="1"/>
  <c r="C686" i="1"/>
  <c r="B686" i="1"/>
  <c r="T685" i="1"/>
  <c r="S685" i="1"/>
  <c r="R685" i="1"/>
  <c r="O685" i="1"/>
  <c r="Q685" i="1" s="1"/>
  <c r="C685" i="1"/>
  <c r="B685" i="1"/>
  <c r="T684" i="1"/>
  <c r="O684" i="1"/>
  <c r="C684" i="1"/>
  <c r="B684" i="1"/>
  <c r="T683" i="1"/>
  <c r="O683" i="1"/>
  <c r="C683" i="1"/>
  <c r="B683" i="1"/>
  <c r="T682" i="1"/>
  <c r="O682" i="1"/>
  <c r="C682" i="1"/>
  <c r="B682" i="1"/>
  <c r="T681" i="1"/>
  <c r="O681" i="1"/>
  <c r="Q681" i="1" s="1"/>
  <c r="R681" i="1" s="1"/>
  <c r="S681" i="1" s="1"/>
  <c r="C681" i="1"/>
  <c r="B681" i="1"/>
  <c r="T680" i="1"/>
  <c r="O680" i="1"/>
  <c r="C680" i="1"/>
  <c r="B680" i="1"/>
  <c r="T679" i="1"/>
  <c r="R679" i="1"/>
  <c r="S679" i="1" s="1"/>
  <c r="Q679" i="1"/>
  <c r="O679" i="1"/>
  <c r="C679" i="1"/>
  <c r="B679" i="1"/>
  <c r="T678" i="1"/>
  <c r="Q678" i="1"/>
  <c r="R678" i="1" s="1"/>
  <c r="S678" i="1" s="1"/>
  <c r="O678" i="1"/>
  <c r="C678" i="1"/>
  <c r="B678" i="1"/>
  <c r="T677" i="1"/>
  <c r="R677" i="1"/>
  <c r="S677" i="1" s="1"/>
  <c r="Q677" i="1"/>
  <c r="O677" i="1"/>
  <c r="C677" i="1"/>
  <c r="B677" i="1"/>
  <c r="T676" i="1"/>
  <c r="O676" i="1"/>
  <c r="Q676" i="1" s="1"/>
  <c r="C676" i="1"/>
  <c r="B676" i="1"/>
  <c r="T675" i="1"/>
  <c r="O675" i="1"/>
  <c r="C675" i="1"/>
  <c r="B675" i="1"/>
  <c r="T674" i="1"/>
  <c r="O674" i="1"/>
  <c r="C674" i="1"/>
  <c r="B674" i="1"/>
  <c r="T673" i="1"/>
  <c r="O673" i="1"/>
  <c r="C673" i="1"/>
  <c r="B673" i="1"/>
  <c r="T672" i="1"/>
  <c r="Q672" i="1"/>
  <c r="O672" i="1"/>
  <c r="C672" i="1"/>
  <c r="B672" i="1"/>
  <c r="T671" i="1"/>
  <c r="Q671" i="1"/>
  <c r="R671" i="1" s="1"/>
  <c r="S671" i="1" s="1"/>
  <c r="O671" i="1"/>
  <c r="C671" i="1"/>
  <c r="B671" i="1"/>
  <c r="T670" i="1"/>
  <c r="R670" i="1"/>
  <c r="S670" i="1" s="1"/>
  <c r="O670" i="1"/>
  <c r="Q670" i="1" s="1"/>
  <c r="C670" i="1"/>
  <c r="B670" i="1"/>
  <c r="T669" i="1"/>
  <c r="R669" i="1"/>
  <c r="S669" i="1" s="1"/>
  <c r="Q669" i="1"/>
  <c r="O669" i="1"/>
  <c r="C669" i="1"/>
  <c r="B669" i="1"/>
  <c r="T668" i="1"/>
  <c r="R668" i="1"/>
  <c r="S668" i="1" s="1"/>
  <c r="Q668" i="1"/>
  <c r="O668" i="1"/>
  <c r="C668" i="1"/>
  <c r="B668" i="1"/>
  <c r="T667" i="1"/>
  <c r="O667" i="1"/>
  <c r="C667" i="1"/>
  <c r="B667" i="1"/>
  <c r="T666" i="1"/>
  <c r="R666" i="1"/>
  <c r="S666" i="1" s="1"/>
  <c r="Q666" i="1"/>
  <c r="O666" i="1"/>
  <c r="C666" i="1"/>
  <c r="B666" i="1"/>
  <c r="T665" i="1"/>
  <c r="Q665" i="1"/>
  <c r="O665" i="1"/>
  <c r="C665" i="1"/>
  <c r="B665" i="1"/>
  <c r="T664" i="1"/>
  <c r="S664" i="1"/>
  <c r="R664" i="1"/>
  <c r="Q664" i="1"/>
  <c r="O664" i="1"/>
  <c r="C664" i="1"/>
  <c r="B664" i="1"/>
  <c r="T663" i="1"/>
  <c r="Q663" i="1"/>
  <c r="R663" i="1" s="1"/>
  <c r="S663" i="1" s="1"/>
  <c r="O663" i="1"/>
  <c r="C663" i="1"/>
  <c r="B663" i="1"/>
  <c r="T662" i="1"/>
  <c r="O662" i="1"/>
  <c r="C662" i="1"/>
  <c r="B662" i="1"/>
  <c r="T661" i="1"/>
  <c r="O661" i="1"/>
  <c r="C661" i="1"/>
  <c r="B661" i="1"/>
  <c r="T660" i="1"/>
  <c r="Q660" i="1"/>
  <c r="R660" i="1" s="1"/>
  <c r="S660" i="1" s="1"/>
  <c r="O660" i="1"/>
  <c r="C660" i="1"/>
  <c r="B660" i="1"/>
  <c r="T659" i="1"/>
  <c r="R659" i="1"/>
  <c r="S659" i="1" s="1"/>
  <c r="Q659" i="1"/>
  <c r="O659" i="1"/>
  <c r="C659" i="1"/>
  <c r="B659" i="1"/>
  <c r="T658" i="1"/>
  <c r="O658" i="1"/>
  <c r="Q658" i="1" s="1"/>
  <c r="C658" i="1"/>
  <c r="B658" i="1"/>
  <c r="T657" i="1"/>
  <c r="O657" i="1"/>
  <c r="Q657" i="1" s="1"/>
  <c r="R657" i="1" s="1"/>
  <c r="S657" i="1" s="1"/>
  <c r="C657" i="1"/>
  <c r="B657" i="1"/>
  <c r="T656" i="1"/>
  <c r="O656" i="1"/>
  <c r="C656" i="1"/>
  <c r="B656" i="1"/>
  <c r="T655" i="1"/>
  <c r="Q655" i="1"/>
  <c r="O655" i="1"/>
  <c r="C655" i="1"/>
  <c r="B655" i="1"/>
  <c r="T654" i="1"/>
  <c r="O654" i="1"/>
  <c r="C654" i="1"/>
  <c r="B654" i="1"/>
  <c r="T653" i="1"/>
  <c r="O653" i="1"/>
  <c r="Q653" i="1" s="1"/>
  <c r="R653" i="1" s="1"/>
  <c r="S653" i="1" s="1"/>
  <c r="C653" i="1"/>
  <c r="B653" i="1"/>
  <c r="T652" i="1"/>
  <c r="Q652" i="1"/>
  <c r="R652" i="1" s="1"/>
  <c r="S652" i="1" s="1"/>
  <c r="O652" i="1"/>
  <c r="C652" i="1"/>
  <c r="B652" i="1"/>
  <c r="T651" i="1"/>
  <c r="O651" i="1"/>
  <c r="Q651" i="1" s="1"/>
  <c r="C651" i="1"/>
  <c r="B651" i="1"/>
  <c r="T650" i="1"/>
  <c r="O650" i="1"/>
  <c r="C650" i="1"/>
  <c r="B650" i="1"/>
  <c r="T649" i="1"/>
  <c r="Q649" i="1"/>
  <c r="O649" i="1"/>
  <c r="C649" i="1"/>
  <c r="B649" i="1"/>
  <c r="T648" i="1"/>
  <c r="R648" i="1"/>
  <c r="S648" i="1" s="1"/>
  <c r="Q648" i="1"/>
  <c r="O648" i="1"/>
  <c r="C648" i="1"/>
  <c r="B648" i="1"/>
  <c r="T647" i="1"/>
  <c r="S647" i="1"/>
  <c r="Q647" i="1"/>
  <c r="R647" i="1" s="1"/>
  <c r="O647" i="1"/>
  <c r="C647" i="1"/>
  <c r="B647" i="1"/>
  <c r="T646" i="1"/>
  <c r="Q646" i="1"/>
  <c r="R646" i="1" s="1"/>
  <c r="S646" i="1" s="1"/>
  <c r="O646" i="1"/>
  <c r="C646" i="1"/>
  <c r="B646" i="1"/>
  <c r="T645" i="1"/>
  <c r="R645" i="1"/>
  <c r="S645" i="1" s="1"/>
  <c r="Q645" i="1"/>
  <c r="O645" i="1"/>
  <c r="C645" i="1"/>
  <c r="B645" i="1"/>
  <c r="T644" i="1"/>
  <c r="O644" i="1"/>
  <c r="C644" i="1"/>
  <c r="B644" i="1"/>
  <c r="T643" i="1"/>
  <c r="O643" i="1"/>
  <c r="C643" i="1"/>
  <c r="B643" i="1"/>
  <c r="T642" i="1"/>
  <c r="O642" i="1"/>
  <c r="Q642" i="1" s="1"/>
  <c r="R642" i="1" s="1"/>
  <c r="S642" i="1" s="1"/>
  <c r="C642" i="1"/>
  <c r="B642" i="1"/>
  <c r="T641" i="1"/>
  <c r="S641" i="1"/>
  <c r="Q641" i="1"/>
  <c r="R641" i="1" s="1"/>
  <c r="O641" i="1"/>
  <c r="C641" i="1"/>
  <c r="B641" i="1"/>
  <c r="T640" i="1"/>
  <c r="S640" i="1"/>
  <c r="R640" i="1"/>
  <c r="Q640" i="1"/>
  <c r="O640" i="1"/>
  <c r="C640" i="1"/>
  <c r="B640" i="1"/>
  <c r="T639" i="1"/>
  <c r="O639" i="1"/>
  <c r="C639" i="1"/>
  <c r="B639" i="1"/>
  <c r="T638" i="1"/>
  <c r="O638" i="1"/>
  <c r="C638" i="1"/>
  <c r="B638" i="1"/>
  <c r="T637" i="1"/>
  <c r="Q637" i="1"/>
  <c r="O637" i="1"/>
  <c r="R637" i="1" s="1"/>
  <c r="S637" i="1" s="1"/>
  <c r="C637" i="1"/>
  <c r="B637" i="1"/>
  <c r="T636" i="1"/>
  <c r="O636" i="1"/>
  <c r="Q636" i="1" s="1"/>
  <c r="R636" i="1" s="1"/>
  <c r="S636" i="1" s="1"/>
  <c r="C636" i="1"/>
  <c r="B636" i="1"/>
  <c r="T635" i="1"/>
  <c r="O635" i="1"/>
  <c r="C635" i="1"/>
  <c r="B635" i="1"/>
  <c r="T634" i="1"/>
  <c r="Q634" i="1"/>
  <c r="R634" i="1" s="1"/>
  <c r="S634" i="1" s="1"/>
  <c r="O634" i="1"/>
  <c r="C634" i="1"/>
  <c r="B634" i="1"/>
  <c r="T633" i="1"/>
  <c r="O633" i="1"/>
  <c r="Q633" i="1" s="1"/>
  <c r="R633" i="1" s="1"/>
  <c r="S633" i="1" s="1"/>
  <c r="C633" i="1"/>
  <c r="B633" i="1"/>
  <c r="T632" i="1"/>
  <c r="S632" i="1"/>
  <c r="Q632" i="1"/>
  <c r="O632" i="1"/>
  <c r="R632" i="1" s="1"/>
  <c r="C632" i="1"/>
  <c r="B632" i="1"/>
  <c r="T631" i="1"/>
  <c r="Q631" i="1"/>
  <c r="R631" i="1" s="1"/>
  <c r="S631" i="1" s="1"/>
  <c r="O631" i="1"/>
  <c r="C631" i="1"/>
  <c r="B631" i="1"/>
  <c r="T630" i="1"/>
  <c r="O630" i="1"/>
  <c r="C630" i="1"/>
  <c r="B630" i="1"/>
  <c r="T629" i="1"/>
  <c r="O629" i="1"/>
  <c r="Q629" i="1" s="1"/>
  <c r="R629" i="1" s="1"/>
  <c r="S629" i="1" s="1"/>
  <c r="C629" i="1"/>
  <c r="B629" i="1"/>
  <c r="T628" i="1"/>
  <c r="Q628" i="1"/>
  <c r="O628" i="1"/>
  <c r="R628" i="1" s="1"/>
  <c r="S628" i="1" s="1"/>
  <c r="C628" i="1"/>
  <c r="B628" i="1"/>
  <c r="T627" i="1"/>
  <c r="O627" i="1"/>
  <c r="Q627" i="1" s="1"/>
  <c r="R627" i="1" s="1"/>
  <c r="S627" i="1" s="1"/>
  <c r="C627" i="1"/>
  <c r="B627" i="1"/>
  <c r="T626" i="1"/>
  <c r="O626" i="1"/>
  <c r="C626" i="1"/>
  <c r="B626" i="1"/>
  <c r="T625" i="1"/>
  <c r="O625" i="1"/>
  <c r="C625" i="1"/>
  <c r="B625" i="1"/>
  <c r="T624" i="1"/>
  <c r="Q624" i="1"/>
  <c r="O624" i="1"/>
  <c r="R624" i="1" s="1"/>
  <c r="S624" i="1" s="1"/>
  <c r="C624" i="1"/>
  <c r="B624" i="1"/>
  <c r="T623" i="1"/>
  <c r="Q623" i="1"/>
  <c r="R623" i="1" s="1"/>
  <c r="S623" i="1" s="1"/>
  <c r="O623" i="1"/>
  <c r="C623" i="1"/>
  <c r="B623" i="1"/>
  <c r="T622" i="1"/>
  <c r="S622" i="1"/>
  <c r="R622" i="1"/>
  <c r="O622" i="1"/>
  <c r="Q622" i="1" s="1"/>
  <c r="C622" i="1"/>
  <c r="B622" i="1"/>
  <c r="T621" i="1"/>
  <c r="O621" i="1"/>
  <c r="Q621" i="1" s="1"/>
  <c r="C621" i="1"/>
  <c r="B621" i="1"/>
  <c r="T620" i="1"/>
  <c r="Q620" i="1"/>
  <c r="O620" i="1"/>
  <c r="R620" i="1" s="1"/>
  <c r="S620" i="1" s="1"/>
  <c r="C620" i="1"/>
  <c r="B620" i="1"/>
  <c r="T619" i="1"/>
  <c r="O619" i="1"/>
  <c r="C619" i="1"/>
  <c r="B619" i="1"/>
  <c r="T618" i="1"/>
  <c r="O618" i="1"/>
  <c r="Q618" i="1" s="1"/>
  <c r="C618" i="1"/>
  <c r="B618" i="1"/>
  <c r="T617" i="1"/>
  <c r="S617" i="1"/>
  <c r="R617" i="1"/>
  <c r="Q617" i="1"/>
  <c r="O617" i="1"/>
  <c r="C617" i="1"/>
  <c r="B617" i="1"/>
  <c r="T616" i="1"/>
  <c r="S616" i="1"/>
  <c r="R616" i="1"/>
  <c r="Q616" i="1"/>
  <c r="O616" i="1"/>
  <c r="C616" i="1"/>
  <c r="B616" i="1"/>
  <c r="T615" i="1"/>
  <c r="Q615" i="1"/>
  <c r="R615" i="1" s="1"/>
  <c r="S615" i="1" s="1"/>
  <c r="O615" i="1"/>
  <c r="C615" i="1"/>
  <c r="B615" i="1"/>
  <c r="T614" i="1"/>
  <c r="O614" i="1"/>
  <c r="C614" i="1"/>
  <c r="B614" i="1"/>
  <c r="T613" i="1"/>
  <c r="S613" i="1"/>
  <c r="R613" i="1"/>
  <c r="O613" i="1"/>
  <c r="Q613" i="1" s="1"/>
  <c r="C613" i="1"/>
  <c r="B613" i="1"/>
  <c r="T612" i="1"/>
  <c r="O612" i="1"/>
  <c r="C612" i="1"/>
  <c r="B612" i="1"/>
  <c r="T611" i="1"/>
  <c r="O611" i="1"/>
  <c r="C611" i="1"/>
  <c r="B611" i="1"/>
  <c r="T610" i="1"/>
  <c r="O610" i="1"/>
  <c r="Q610" i="1" s="1"/>
  <c r="C610" i="1"/>
  <c r="B610" i="1"/>
  <c r="T609" i="1"/>
  <c r="R609" i="1"/>
  <c r="S609" i="1" s="1"/>
  <c r="O609" i="1"/>
  <c r="Q609" i="1" s="1"/>
  <c r="C609" i="1"/>
  <c r="B609" i="1"/>
  <c r="T608" i="1"/>
  <c r="O608" i="1"/>
  <c r="C608" i="1"/>
  <c r="B608" i="1"/>
  <c r="T607" i="1"/>
  <c r="S607" i="1"/>
  <c r="Q607" i="1"/>
  <c r="R607" i="1" s="1"/>
  <c r="O607" i="1"/>
  <c r="C607" i="1"/>
  <c r="B607" i="1"/>
  <c r="T606" i="1"/>
  <c r="Q606" i="1"/>
  <c r="R606" i="1" s="1"/>
  <c r="S606" i="1" s="1"/>
  <c r="O606" i="1"/>
  <c r="C606" i="1"/>
  <c r="B606" i="1"/>
  <c r="T605" i="1"/>
  <c r="O605" i="1"/>
  <c r="C605" i="1"/>
  <c r="B605" i="1"/>
  <c r="T604" i="1"/>
  <c r="O604" i="1"/>
  <c r="Q604" i="1" s="1"/>
  <c r="C604" i="1"/>
  <c r="B604" i="1"/>
  <c r="T603" i="1"/>
  <c r="S603" i="1"/>
  <c r="R603" i="1"/>
  <c r="O603" i="1"/>
  <c r="Q603" i="1" s="1"/>
  <c r="C603" i="1"/>
  <c r="B603" i="1"/>
  <c r="T602" i="1"/>
  <c r="R602" i="1"/>
  <c r="S602" i="1" s="1"/>
  <c r="O602" i="1"/>
  <c r="Q602" i="1" s="1"/>
  <c r="C602" i="1"/>
  <c r="B602" i="1"/>
  <c r="T601" i="1"/>
  <c r="O601" i="1"/>
  <c r="C601" i="1"/>
  <c r="B601" i="1"/>
  <c r="T600" i="1"/>
  <c r="O600" i="1"/>
  <c r="Q600" i="1" s="1"/>
  <c r="R600" i="1" s="1"/>
  <c r="S600" i="1" s="1"/>
  <c r="C600" i="1"/>
  <c r="B600" i="1"/>
  <c r="T599" i="1"/>
  <c r="Q599" i="1"/>
  <c r="R599" i="1" s="1"/>
  <c r="S599" i="1" s="1"/>
  <c r="O599" i="1"/>
  <c r="C599" i="1"/>
  <c r="B599" i="1"/>
  <c r="T598" i="1"/>
  <c r="O598" i="1"/>
  <c r="C598" i="1"/>
  <c r="B598" i="1"/>
  <c r="T597" i="1"/>
  <c r="O597" i="1"/>
  <c r="C597" i="1"/>
  <c r="B597" i="1"/>
  <c r="T596" i="1"/>
  <c r="O596" i="1"/>
  <c r="Q596" i="1" s="1"/>
  <c r="R596" i="1" s="1"/>
  <c r="S596" i="1" s="1"/>
  <c r="C596" i="1"/>
  <c r="B596" i="1"/>
  <c r="T595" i="1"/>
  <c r="O595" i="1"/>
  <c r="Q595" i="1" s="1"/>
  <c r="R595" i="1" s="1"/>
  <c r="S595" i="1" s="1"/>
  <c r="C595" i="1"/>
  <c r="B595" i="1"/>
  <c r="T594" i="1"/>
  <c r="R594" i="1"/>
  <c r="S594" i="1" s="1"/>
  <c r="Q594" i="1"/>
  <c r="O594" i="1"/>
  <c r="C594" i="1"/>
  <c r="B594" i="1"/>
  <c r="T593" i="1"/>
  <c r="O593" i="1"/>
  <c r="C593" i="1"/>
  <c r="B593" i="1"/>
  <c r="T592" i="1"/>
  <c r="O592" i="1"/>
  <c r="C592" i="1"/>
  <c r="B592" i="1"/>
  <c r="T591" i="1"/>
  <c r="O591" i="1"/>
  <c r="Q591" i="1" s="1"/>
  <c r="C591" i="1"/>
  <c r="B591" i="1"/>
  <c r="T590" i="1"/>
  <c r="R590" i="1"/>
  <c r="S590" i="1" s="1"/>
  <c r="O590" i="1"/>
  <c r="Q590" i="1" s="1"/>
  <c r="C590" i="1"/>
  <c r="B590" i="1"/>
  <c r="T589" i="1"/>
  <c r="O589" i="1"/>
  <c r="Q589" i="1" s="1"/>
  <c r="C589" i="1"/>
  <c r="B589" i="1"/>
  <c r="T588" i="1"/>
  <c r="Q588" i="1"/>
  <c r="R588" i="1" s="1"/>
  <c r="S588" i="1" s="1"/>
  <c r="O588" i="1"/>
  <c r="C588" i="1"/>
  <c r="B588" i="1"/>
  <c r="T587" i="1"/>
  <c r="R587" i="1"/>
  <c r="S587" i="1" s="1"/>
  <c r="O587" i="1"/>
  <c r="Q587" i="1" s="1"/>
  <c r="C587" i="1"/>
  <c r="B587" i="1"/>
  <c r="T586" i="1"/>
  <c r="O586" i="1"/>
  <c r="C586" i="1"/>
  <c r="B586" i="1"/>
  <c r="T585" i="1"/>
  <c r="R585" i="1"/>
  <c r="S585" i="1" s="1"/>
  <c r="O585" i="1"/>
  <c r="Q585" i="1" s="1"/>
  <c r="C585" i="1"/>
  <c r="B585" i="1"/>
  <c r="T584" i="1"/>
  <c r="R584" i="1"/>
  <c r="S584" i="1" s="1"/>
  <c r="Q584" i="1"/>
  <c r="O584" i="1"/>
  <c r="C584" i="1"/>
  <c r="B584" i="1"/>
  <c r="T583" i="1"/>
  <c r="O583" i="1"/>
  <c r="C583" i="1"/>
  <c r="B583" i="1"/>
  <c r="T582" i="1"/>
  <c r="O582" i="1"/>
  <c r="C582" i="1"/>
  <c r="B582" i="1"/>
  <c r="T581" i="1"/>
  <c r="R581" i="1"/>
  <c r="S581" i="1" s="1"/>
  <c r="Q581" i="1"/>
  <c r="O581" i="1"/>
  <c r="C581" i="1"/>
  <c r="B581" i="1"/>
  <c r="T580" i="1"/>
  <c r="Q580" i="1"/>
  <c r="O580" i="1"/>
  <c r="C580" i="1"/>
  <c r="B580" i="1"/>
  <c r="T579" i="1"/>
  <c r="O579" i="1"/>
  <c r="Q579" i="1" s="1"/>
  <c r="R579" i="1" s="1"/>
  <c r="S579" i="1" s="1"/>
  <c r="C579" i="1"/>
  <c r="B579" i="1"/>
  <c r="T578" i="1"/>
  <c r="Q578" i="1"/>
  <c r="R578" i="1" s="1"/>
  <c r="S578" i="1" s="1"/>
  <c r="O578" i="1"/>
  <c r="C578" i="1"/>
  <c r="B578" i="1"/>
  <c r="T577" i="1"/>
  <c r="Q577" i="1"/>
  <c r="O577" i="1"/>
  <c r="R577" i="1" s="1"/>
  <c r="S577" i="1" s="1"/>
  <c r="C577" i="1"/>
  <c r="B577" i="1"/>
  <c r="T576" i="1"/>
  <c r="O576" i="1"/>
  <c r="C576" i="1"/>
  <c r="B576" i="1"/>
  <c r="T575" i="1"/>
  <c r="O575" i="1"/>
  <c r="C575" i="1"/>
  <c r="B575" i="1"/>
  <c r="T574" i="1"/>
  <c r="O574" i="1"/>
  <c r="C574" i="1"/>
  <c r="B574" i="1"/>
  <c r="T573" i="1"/>
  <c r="O573" i="1"/>
  <c r="Q573" i="1" s="1"/>
  <c r="R573" i="1" s="1"/>
  <c r="S573" i="1" s="1"/>
  <c r="C573" i="1"/>
  <c r="B573" i="1"/>
  <c r="T572" i="1"/>
  <c r="O572" i="1"/>
  <c r="C572" i="1"/>
  <c r="B572" i="1"/>
  <c r="T571" i="1"/>
  <c r="R571" i="1"/>
  <c r="S571" i="1" s="1"/>
  <c r="O571" i="1"/>
  <c r="Q571" i="1" s="1"/>
  <c r="C571" i="1"/>
  <c r="B571" i="1"/>
  <c r="T570" i="1"/>
  <c r="S570" i="1"/>
  <c r="Q570" i="1"/>
  <c r="R570" i="1" s="1"/>
  <c r="O570" i="1"/>
  <c r="C570" i="1"/>
  <c r="B570" i="1"/>
  <c r="T569" i="1"/>
  <c r="Q569" i="1"/>
  <c r="R569" i="1" s="1"/>
  <c r="S569" i="1" s="1"/>
  <c r="O569" i="1"/>
  <c r="C569" i="1"/>
  <c r="B569" i="1"/>
  <c r="T568" i="1"/>
  <c r="O568" i="1"/>
  <c r="Q568" i="1" s="1"/>
  <c r="R568" i="1" s="1"/>
  <c r="S568" i="1" s="1"/>
  <c r="C568" i="1"/>
  <c r="B568" i="1"/>
  <c r="T567" i="1"/>
  <c r="O567" i="1"/>
  <c r="C567" i="1"/>
  <c r="B567" i="1"/>
  <c r="T566" i="1"/>
  <c r="R566" i="1"/>
  <c r="S566" i="1" s="1"/>
  <c r="Q566" i="1"/>
  <c r="O566" i="1"/>
  <c r="C566" i="1"/>
  <c r="B566" i="1"/>
  <c r="T565" i="1"/>
  <c r="O565" i="1"/>
  <c r="Q565" i="1" s="1"/>
  <c r="R565" i="1" s="1"/>
  <c r="S565" i="1" s="1"/>
  <c r="C565" i="1"/>
  <c r="B565" i="1"/>
  <c r="T564" i="1"/>
  <c r="Q564" i="1"/>
  <c r="R564" i="1" s="1"/>
  <c r="S564" i="1" s="1"/>
  <c r="O564" i="1"/>
  <c r="C564" i="1"/>
  <c r="B564" i="1"/>
  <c r="T563" i="1"/>
  <c r="O563" i="1"/>
  <c r="C563" i="1"/>
  <c r="B563" i="1"/>
  <c r="T562" i="1"/>
  <c r="O562" i="1"/>
  <c r="C562" i="1"/>
  <c r="B562" i="1"/>
  <c r="T561" i="1"/>
  <c r="S561" i="1"/>
  <c r="Q561" i="1"/>
  <c r="R561" i="1" s="1"/>
  <c r="O561" i="1"/>
  <c r="C561" i="1"/>
  <c r="B561" i="1"/>
  <c r="T560" i="1"/>
  <c r="Q560" i="1"/>
  <c r="O560" i="1"/>
  <c r="R560" i="1" s="1"/>
  <c r="S560" i="1" s="1"/>
  <c r="C560" i="1"/>
  <c r="B560" i="1"/>
  <c r="T559" i="1"/>
  <c r="O559" i="1"/>
  <c r="C559" i="1"/>
  <c r="B559" i="1"/>
  <c r="T558" i="1"/>
  <c r="O558" i="1"/>
  <c r="C558" i="1"/>
  <c r="B558" i="1"/>
  <c r="T557" i="1"/>
  <c r="R557" i="1"/>
  <c r="S557" i="1" s="1"/>
  <c r="Q557" i="1"/>
  <c r="O557" i="1"/>
  <c r="C557" i="1"/>
  <c r="B557" i="1"/>
  <c r="T556" i="1"/>
  <c r="O556" i="1"/>
  <c r="C556" i="1"/>
  <c r="B556" i="1"/>
  <c r="T555" i="1"/>
  <c r="O555" i="1"/>
  <c r="C555" i="1"/>
  <c r="B555" i="1"/>
  <c r="T554" i="1"/>
  <c r="Q554" i="1"/>
  <c r="R554" i="1" s="1"/>
  <c r="S554" i="1" s="1"/>
  <c r="O554" i="1"/>
  <c r="C554" i="1"/>
  <c r="B554" i="1"/>
  <c r="T553" i="1"/>
  <c r="O553" i="1"/>
  <c r="C553" i="1"/>
  <c r="B553" i="1"/>
  <c r="T552" i="1"/>
  <c r="R552" i="1"/>
  <c r="S552" i="1" s="1"/>
  <c r="O552" i="1"/>
  <c r="Q552" i="1" s="1"/>
  <c r="C552" i="1"/>
  <c r="B552" i="1"/>
  <c r="T551" i="1"/>
  <c r="O551" i="1"/>
  <c r="C551" i="1"/>
  <c r="B551" i="1"/>
  <c r="T550" i="1"/>
  <c r="O550" i="1"/>
  <c r="C550" i="1"/>
  <c r="B550" i="1"/>
  <c r="T549" i="1"/>
  <c r="O549" i="1"/>
  <c r="C549" i="1"/>
  <c r="B549" i="1"/>
  <c r="T548" i="1"/>
  <c r="S548" i="1"/>
  <c r="O548" i="1"/>
  <c r="Q548" i="1" s="1"/>
  <c r="R548" i="1" s="1"/>
  <c r="C548" i="1"/>
  <c r="B548" i="1"/>
  <c r="T547" i="1"/>
  <c r="O547" i="1"/>
  <c r="Q547" i="1" s="1"/>
  <c r="R547" i="1" s="1"/>
  <c r="S547" i="1" s="1"/>
  <c r="C547" i="1"/>
  <c r="B547" i="1"/>
  <c r="T546" i="1"/>
  <c r="Q546" i="1"/>
  <c r="R546" i="1" s="1"/>
  <c r="S546" i="1" s="1"/>
  <c r="O546" i="1"/>
  <c r="C546" i="1"/>
  <c r="B546" i="1"/>
  <c r="T545" i="1"/>
  <c r="O545" i="1"/>
  <c r="C545" i="1"/>
  <c r="B545" i="1"/>
  <c r="T544" i="1"/>
  <c r="Q544" i="1"/>
  <c r="R544" i="1" s="1"/>
  <c r="S544" i="1" s="1"/>
  <c r="O544" i="1"/>
  <c r="C544" i="1"/>
  <c r="B544" i="1"/>
  <c r="T543" i="1"/>
  <c r="O543" i="1"/>
  <c r="Q543" i="1" s="1"/>
  <c r="C543" i="1"/>
  <c r="B543" i="1"/>
  <c r="T542" i="1"/>
  <c r="O542" i="1"/>
  <c r="Q542" i="1" s="1"/>
  <c r="R542" i="1" s="1"/>
  <c r="S542" i="1" s="1"/>
  <c r="C542" i="1"/>
  <c r="B542" i="1"/>
  <c r="T541" i="1"/>
  <c r="O541" i="1"/>
  <c r="C541" i="1"/>
  <c r="B541" i="1"/>
  <c r="T540" i="1"/>
  <c r="Q540" i="1"/>
  <c r="R540" i="1" s="1"/>
  <c r="S540" i="1" s="1"/>
  <c r="O540" i="1"/>
  <c r="C540" i="1"/>
  <c r="B540" i="1"/>
  <c r="T539" i="1"/>
  <c r="O539" i="1"/>
  <c r="Q539" i="1" s="1"/>
  <c r="C539" i="1"/>
  <c r="B539" i="1"/>
  <c r="T538" i="1"/>
  <c r="O538" i="1"/>
  <c r="C538" i="1"/>
  <c r="B538" i="1"/>
  <c r="T537" i="1"/>
  <c r="S537" i="1"/>
  <c r="O537" i="1"/>
  <c r="Q537" i="1" s="1"/>
  <c r="R537" i="1" s="1"/>
  <c r="C537" i="1"/>
  <c r="B537" i="1"/>
  <c r="T536" i="1"/>
  <c r="O536" i="1"/>
  <c r="Q536" i="1" s="1"/>
  <c r="C536" i="1"/>
  <c r="B536" i="1"/>
  <c r="T535" i="1"/>
  <c r="Q535" i="1"/>
  <c r="O535" i="1"/>
  <c r="R535" i="1" s="1"/>
  <c r="S535" i="1" s="1"/>
  <c r="C535" i="1"/>
  <c r="B535" i="1"/>
  <c r="T534" i="1"/>
  <c r="O534" i="1"/>
  <c r="C534" i="1"/>
  <c r="B534" i="1"/>
  <c r="T533" i="1"/>
  <c r="O533" i="1"/>
  <c r="Q533" i="1" s="1"/>
  <c r="R533" i="1" s="1"/>
  <c r="S533" i="1" s="1"/>
  <c r="C533" i="1"/>
  <c r="B533" i="1"/>
  <c r="T532" i="1"/>
  <c r="Q532" i="1"/>
  <c r="O532" i="1"/>
  <c r="C532" i="1"/>
  <c r="B532" i="1"/>
  <c r="T531" i="1"/>
  <c r="O531" i="1"/>
  <c r="Q531" i="1" s="1"/>
  <c r="R531" i="1" s="1"/>
  <c r="S531" i="1" s="1"/>
  <c r="C531" i="1"/>
  <c r="B531" i="1"/>
  <c r="T530" i="1"/>
  <c r="Q530" i="1"/>
  <c r="R530" i="1" s="1"/>
  <c r="S530" i="1" s="1"/>
  <c r="O530" i="1"/>
  <c r="C530" i="1"/>
  <c r="B530" i="1"/>
  <c r="T529" i="1"/>
  <c r="O529" i="1"/>
  <c r="C529" i="1"/>
  <c r="B529" i="1"/>
  <c r="T528" i="1"/>
  <c r="Q528" i="1"/>
  <c r="R528" i="1" s="1"/>
  <c r="S528" i="1" s="1"/>
  <c r="O528" i="1"/>
  <c r="C528" i="1"/>
  <c r="B528" i="1"/>
  <c r="T527" i="1"/>
  <c r="O527" i="1"/>
  <c r="C527" i="1"/>
  <c r="B527" i="1"/>
  <c r="T526" i="1"/>
  <c r="O526" i="1"/>
  <c r="C526" i="1"/>
  <c r="B526" i="1"/>
  <c r="T525" i="1"/>
  <c r="Q525" i="1"/>
  <c r="R525" i="1" s="1"/>
  <c r="S525" i="1" s="1"/>
  <c r="O525" i="1"/>
  <c r="C525" i="1"/>
  <c r="B525" i="1"/>
  <c r="T524" i="1"/>
  <c r="O524" i="1"/>
  <c r="C524" i="1"/>
  <c r="B524" i="1"/>
  <c r="T523" i="1"/>
  <c r="R523" i="1"/>
  <c r="S523" i="1" s="1"/>
  <c r="O523" i="1"/>
  <c r="Q523" i="1" s="1"/>
  <c r="C523" i="1"/>
  <c r="B523" i="1"/>
  <c r="T522" i="1"/>
  <c r="Q522" i="1"/>
  <c r="R522" i="1" s="1"/>
  <c r="S522" i="1" s="1"/>
  <c r="O522" i="1"/>
  <c r="C522" i="1"/>
  <c r="B522" i="1"/>
  <c r="T521" i="1"/>
  <c r="O521" i="1"/>
  <c r="C521" i="1"/>
  <c r="B521" i="1"/>
  <c r="T520" i="1"/>
  <c r="O520" i="1"/>
  <c r="Q520" i="1" s="1"/>
  <c r="C520" i="1"/>
  <c r="B520" i="1"/>
  <c r="T519" i="1"/>
  <c r="Q519" i="1"/>
  <c r="O519" i="1"/>
  <c r="C519" i="1"/>
  <c r="B519" i="1"/>
  <c r="T518" i="1"/>
  <c r="O518" i="1"/>
  <c r="C518" i="1"/>
  <c r="B518" i="1"/>
  <c r="T517" i="1"/>
  <c r="O517" i="1"/>
  <c r="C517" i="1"/>
  <c r="B517" i="1"/>
  <c r="T516" i="1"/>
  <c r="Q516" i="1"/>
  <c r="R516" i="1" s="1"/>
  <c r="S516" i="1" s="1"/>
  <c r="O516" i="1"/>
  <c r="C516" i="1"/>
  <c r="B516" i="1"/>
  <c r="T515" i="1"/>
  <c r="O515" i="1"/>
  <c r="C515" i="1"/>
  <c r="B515" i="1"/>
  <c r="T514" i="1"/>
  <c r="O514" i="1"/>
  <c r="C514" i="1"/>
  <c r="B514" i="1"/>
  <c r="T513" i="1"/>
  <c r="R513" i="1"/>
  <c r="S513" i="1" s="1"/>
  <c r="Q513" i="1"/>
  <c r="O513" i="1"/>
  <c r="C513" i="1"/>
  <c r="B513" i="1"/>
  <c r="T512" i="1"/>
  <c r="Q512" i="1"/>
  <c r="O512" i="1"/>
  <c r="R512" i="1" s="1"/>
  <c r="S512" i="1" s="1"/>
  <c r="C512" i="1"/>
  <c r="B512" i="1"/>
  <c r="T511" i="1"/>
  <c r="Q511" i="1"/>
  <c r="R511" i="1" s="1"/>
  <c r="S511" i="1" s="1"/>
  <c r="O511" i="1"/>
  <c r="C511" i="1"/>
  <c r="B511" i="1"/>
  <c r="T510" i="1"/>
  <c r="O510" i="1"/>
  <c r="C510" i="1"/>
  <c r="B510" i="1"/>
  <c r="T509" i="1"/>
  <c r="O509" i="1"/>
  <c r="Q509" i="1" s="1"/>
  <c r="R509" i="1" s="1"/>
  <c r="S509" i="1" s="1"/>
  <c r="C509" i="1"/>
  <c r="B509" i="1"/>
  <c r="T508" i="1"/>
  <c r="Q508" i="1"/>
  <c r="O508" i="1"/>
  <c r="C508" i="1"/>
  <c r="B508" i="1"/>
  <c r="T507" i="1"/>
  <c r="Q507" i="1"/>
  <c r="R507" i="1" s="1"/>
  <c r="S507" i="1" s="1"/>
  <c r="O507" i="1"/>
  <c r="C507" i="1"/>
  <c r="B507" i="1"/>
  <c r="T506" i="1"/>
  <c r="Q506" i="1"/>
  <c r="R506" i="1" s="1"/>
  <c r="S506" i="1" s="1"/>
  <c r="O506" i="1"/>
  <c r="C506" i="1"/>
  <c r="B506" i="1"/>
  <c r="T505" i="1"/>
  <c r="O505" i="1"/>
  <c r="C505" i="1"/>
  <c r="B505" i="1"/>
  <c r="T504" i="1"/>
  <c r="O504" i="1"/>
  <c r="C504" i="1"/>
  <c r="B504" i="1"/>
  <c r="T503" i="1"/>
  <c r="O503" i="1"/>
  <c r="Q503" i="1" s="1"/>
  <c r="R503" i="1" s="1"/>
  <c r="S503" i="1" s="1"/>
  <c r="C503" i="1"/>
  <c r="B503" i="1"/>
  <c r="T502" i="1"/>
  <c r="O502" i="1"/>
  <c r="C502" i="1"/>
  <c r="B502" i="1"/>
  <c r="T501" i="1"/>
  <c r="O501" i="1"/>
  <c r="C501" i="1"/>
  <c r="B501" i="1"/>
  <c r="T500" i="1"/>
  <c r="O500" i="1"/>
  <c r="C500" i="1"/>
  <c r="B500" i="1"/>
  <c r="T499" i="1"/>
  <c r="R499" i="1"/>
  <c r="S499" i="1" s="1"/>
  <c r="O499" i="1"/>
  <c r="Q499" i="1" s="1"/>
  <c r="C499" i="1"/>
  <c r="B499" i="1"/>
  <c r="T498" i="1"/>
  <c r="R498" i="1"/>
  <c r="S498" i="1" s="1"/>
  <c r="Q498" i="1"/>
  <c r="O498" i="1"/>
  <c r="C498" i="1"/>
  <c r="B498" i="1"/>
  <c r="T497" i="1"/>
  <c r="Q497" i="1"/>
  <c r="O497" i="1"/>
  <c r="R497" i="1" s="1"/>
  <c r="S497" i="1" s="1"/>
  <c r="C497" i="1"/>
  <c r="B497" i="1"/>
  <c r="T496" i="1"/>
  <c r="Q496" i="1"/>
  <c r="R496" i="1" s="1"/>
  <c r="S496" i="1" s="1"/>
  <c r="O496" i="1"/>
  <c r="C496" i="1"/>
  <c r="B496" i="1"/>
  <c r="T495" i="1"/>
  <c r="Q495" i="1"/>
  <c r="O495" i="1"/>
  <c r="C495" i="1"/>
  <c r="B495" i="1"/>
  <c r="T494" i="1"/>
  <c r="Q494" i="1"/>
  <c r="R494" i="1" s="1"/>
  <c r="S494" i="1" s="1"/>
  <c r="O494" i="1"/>
  <c r="C494" i="1"/>
  <c r="B494" i="1"/>
  <c r="T493" i="1"/>
  <c r="Q493" i="1"/>
  <c r="O493" i="1"/>
  <c r="R493" i="1" s="1"/>
  <c r="S493" i="1" s="1"/>
  <c r="C493" i="1"/>
  <c r="B493" i="1"/>
  <c r="T492" i="1"/>
  <c r="S492" i="1"/>
  <c r="Q492" i="1"/>
  <c r="R492" i="1" s="1"/>
  <c r="O492" i="1"/>
  <c r="C492" i="1"/>
  <c r="B492" i="1"/>
  <c r="T491" i="1"/>
  <c r="S491" i="1"/>
  <c r="R491" i="1"/>
  <c r="O491" i="1"/>
  <c r="Q491" i="1" s="1"/>
  <c r="C491" i="1"/>
  <c r="B491" i="1"/>
  <c r="T490" i="1"/>
  <c r="Q490" i="1"/>
  <c r="R490" i="1" s="1"/>
  <c r="S490" i="1" s="1"/>
  <c r="O490" i="1"/>
  <c r="C490" i="1"/>
  <c r="B490" i="1"/>
  <c r="T489" i="1"/>
  <c r="O489" i="1"/>
  <c r="C489" i="1"/>
  <c r="B489" i="1"/>
  <c r="T488" i="1"/>
  <c r="Q488" i="1"/>
  <c r="O488" i="1"/>
  <c r="C488" i="1"/>
  <c r="B488" i="1"/>
  <c r="T487" i="1"/>
  <c r="Q487" i="1"/>
  <c r="R487" i="1" s="1"/>
  <c r="S487" i="1" s="1"/>
  <c r="O487" i="1"/>
  <c r="C487" i="1"/>
  <c r="B487" i="1"/>
  <c r="T486" i="1"/>
  <c r="Q486" i="1"/>
  <c r="O486" i="1"/>
  <c r="R486" i="1" s="1"/>
  <c r="S486" i="1" s="1"/>
  <c r="C486" i="1"/>
  <c r="B486" i="1"/>
  <c r="T485" i="1"/>
  <c r="O485" i="1"/>
  <c r="Q485" i="1" s="1"/>
  <c r="R485" i="1" s="1"/>
  <c r="S485" i="1" s="1"/>
  <c r="C485" i="1"/>
  <c r="B485" i="1"/>
  <c r="T484" i="1"/>
  <c r="O484" i="1"/>
  <c r="C484" i="1"/>
  <c r="B484" i="1"/>
  <c r="T483" i="1"/>
  <c r="S483" i="1"/>
  <c r="R483" i="1"/>
  <c r="Q483" i="1"/>
  <c r="O483" i="1"/>
  <c r="C483" i="1"/>
  <c r="B483" i="1"/>
  <c r="T482" i="1"/>
  <c r="S482" i="1"/>
  <c r="Q482" i="1"/>
  <c r="R482" i="1" s="1"/>
  <c r="O482" i="1"/>
  <c r="C482" i="1"/>
  <c r="B482" i="1"/>
  <c r="T481" i="1"/>
  <c r="Q481" i="1"/>
  <c r="R481" i="1" s="1"/>
  <c r="S481" i="1" s="1"/>
  <c r="O481" i="1"/>
  <c r="C481" i="1"/>
  <c r="B481" i="1"/>
  <c r="T480" i="1"/>
  <c r="O480" i="1"/>
  <c r="C480" i="1"/>
  <c r="B480" i="1"/>
  <c r="T479" i="1"/>
  <c r="R479" i="1"/>
  <c r="S479" i="1" s="1"/>
  <c r="Q479" i="1"/>
  <c r="O479" i="1"/>
  <c r="C479" i="1"/>
  <c r="B479" i="1"/>
  <c r="T478" i="1"/>
  <c r="O478" i="1"/>
  <c r="C478" i="1"/>
  <c r="B478" i="1"/>
  <c r="T477" i="1"/>
  <c r="Q477" i="1"/>
  <c r="R477" i="1" s="1"/>
  <c r="S477" i="1" s="1"/>
  <c r="O477" i="1"/>
  <c r="C477" i="1"/>
  <c r="B477" i="1"/>
  <c r="T476" i="1"/>
  <c r="O476" i="1"/>
  <c r="C476" i="1"/>
  <c r="B476" i="1"/>
  <c r="T475" i="1"/>
  <c r="O475" i="1"/>
  <c r="Q475" i="1" s="1"/>
  <c r="R475" i="1" s="1"/>
  <c r="S475" i="1" s="1"/>
  <c r="C475" i="1"/>
  <c r="B475" i="1"/>
  <c r="T474" i="1"/>
  <c r="R474" i="1"/>
  <c r="S474" i="1" s="1"/>
  <c r="Q474" i="1"/>
  <c r="O474" i="1"/>
  <c r="C474" i="1"/>
  <c r="B474" i="1"/>
  <c r="T473" i="1"/>
  <c r="O473" i="1"/>
  <c r="C473" i="1"/>
  <c r="B473" i="1"/>
  <c r="T472" i="1"/>
  <c r="O472" i="1"/>
  <c r="C472" i="1"/>
  <c r="B472" i="1"/>
  <c r="T471" i="1"/>
  <c r="Q471" i="1"/>
  <c r="O471" i="1"/>
  <c r="C471" i="1"/>
  <c r="B471" i="1"/>
  <c r="T470" i="1"/>
  <c r="O470" i="1"/>
  <c r="C470" i="1"/>
  <c r="B470" i="1"/>
  <c r="T469" i="1"/>
  <c r="O469" i="1"/>
  <c r="C469" i="1"/>
  <c r="B469" i="1"/>
  <c r="T468" i="1"/>
  <c r="S468" i="1"/>
  <c r="Q468" i="1"/>
  <c r="R468" i="1" s="1"/>
  <c r="O468" i="1"/>
  <c r="C468" i="1"/>
  <c r="B468" i="1"/>
  <c r="T467" i="1"/>
  <c r="R467" i="1"/>
  <c r="S467" i="1" s="1"/>
  <c r="O467" i="1"/>
  <c r="Q467" i="1" s="1"/>
  <c r="C467" i="1"/>
  <c r="B467" i="1"/>
  <c r="T466" i="1"/>
  <c r="Q466" i="1"/>
  <c r="R466" i="1" s="1"/>
  <c r="S466" i="1" s="1"/>
  <c r="O466" i="1"/>
  <c r="C466" i="1"/>
  <c r="B466" i="1"/>
  <c r="T465" i="1"/>
  <c r="O465" i="1"/>
  <c r="C465" i="1"/>
  <c r="B465" i="1"/>
  <c r="T464" i="1"/>
  <c r="O464" i="1"/>
  <c r="C464" i="1"/>
  <c r="B464" i="1"/>
  <c r="T463" i="1"/>
  <c r="O463" i="1"/>
  <c r="C463" i="1"/>
  <c r="B463" i="1"/>
  <c r="T462" i="1"/>
  <c r="Q462" i="1"/>
  <c r="R462" i="1" s="1"/>
  <c r="S462" i="1" s="1"/>
  <c r="O462" i="1"/>
  <c r="C462" i="1"/>
  <c r="B462" i="1"/>
  <c r="T461" i="1"/>
  <c r="O461" i="1"/>
  <c r="Q461" i="1" s="1"/>
  <c r="R461" i="1" s="1"/>
  <c r="S461" i="1" s="1"/>
  <c r="C461" i="1"/>
  <c r="B461" i="1"/>
  <c r="T460" i="1"/>
  <c r="O460" i="1"/>
  <c r="Q460" i="1" s="1"/>
  <c r="C460" i="1"/>
  <c r="B460" i="1"/>
  <c r="T459" i="1"/>
  <c r="O459" i="1"/>
  <c r="C459" i="1"/>
  <c r="B459" i="1"/>
  <c r="T458" i="1"/>
  <c r="R458" i="1"/>
  <c r="S458" i="1" s="1"/>
  <c r="Q458" i="1"/>
  <c r="O458" i="1"/>
  <c r="C458" i="1"/>
  <c r="B458" i="1"/>
  <c r="T457" i="1"/>
  <c r="O457" i="1"/>
  <c r="Q457" i="1" s="1"/>
  <c r="R457" i="1" s="1"/>
  <c r="S457" i="1" s="1"/>
  <c r="C457" i="1"/>
  <c r="B457" i="1"/>
  <c r="T456" i="1"/>
  <c r="Q456" i="1"/>
  <c r="O456" i="1"/>
  <c r="R456" i="1" s="1"/>
  <c r="S456" i="1" s="1"/>
  <c r="C456" i="1"/>
  <c r="B456" i="1"/>
  <c r="T455" i="1"/>
  <c r="Q455" i="1"/>
  <c r="R455" i="1" s="1"/>
  <c r="S455" i="1" s="1"/>
  <c r="O455" i="1"/>
  <c r="C455" i="1"/>
  <c r="B455" i="1"/>
  <c r="T454" i="1"/>
  <c r="O454" i="1"/>
  <c r="C454" i="1"/>
  <c r="B454" i="1"/>
  <c r="T453" i="1"/>
  <c r="Q453" i="1"/>
  <c r="R453" i="1" s="1"/>
  <c r="S453" i="1" s="1"/>
  <c r="O453" i="1"/>
  <c r="C453" i="1"/>
  <c r="B453" i="1"/>
  <c r="T452" i="1"/>
  <c r="Q452" i="1"/>
  <c r="O452" i="1"/>
  <c r="R452" i="1" s="1"/>
  <c r="S452" i="1" s="1"/>
  <c r="C452" i="1"/>
  <c r="B452" i="1"/>
  <c r="T451" i="1"/>
  <c r="O451" i="1"/>
  <c r="Q451" i="1" s="1"/>
  <c r="R451" i="1" s="1"/>
  <c r="S451" i="1" s="1"/>
  <c r="C451" i="1"/>
  <c r="B451" i="1"/>
  <c r="T450" i="1"/>
  <c r="Q450" i="1"/>
  <c r="R450" i="1" s="1"/>
  <c r="S450" i="1" s="1"/>
  <c r="O450" i="1"/>
  <c r="C450" i="1"/>
  <c r="B450" i="1"/>
  <c r="T449" i="1"/>
  <c r="Q449" i="1"/>
  <c r="R449" i="1" s="1"/>
  <c r="S449" i="1" s="1"/>
  <c r="O449" i="1"/>
  <c r="C449" i="1"/>
  <c r="B449" i="1"/>
  <c r="T448" i="1"/>
  <c r="O448" i="1"/>
  <c r="C448" i="1"/>
  <c r="B448" i="1"/>
  <c r="T447" i="1"/>
  <c r="O447" i="1"/>
  <c r="C447" i="1"/>
  <c r="B447" i="1"/>
  <c r="T446" i="1"/>
  <c r="O446" i="1"/>
  <c r="C446" i="1"/>
  <c r="B446" i="1"/>
  <c r="T445" i="1"/>
  <c r="S445" i="1"/>
  <c r="R445" i="1"/>
  <c r="Q445" i="1"/>
  <c r="O445" i="1"/>
  <c r="C445" i="1"/>
  <c r="B445" i="1"/>
  <c r="T444" i="1"/>
  <c r="Q444" i="1"/>
  <c r="R444" i="1" s="1"/>
  <c r="S444" i="1" s="1"/>
  <c r="O444" i="1"/>
  <c r="C444" i="1"/>
  <c r="B444" i="1"/>
  <c r="T443" i="1"/>
  <c r="O443" i="1"/>
  <c r="Q443" i="1" s="1"/>
  <c r="C443" i="1"/>
  <c r="B443" i="1"/>
  <c r="T442" i="1"/>
  <c r="O442" i="1"/>
  <c r="C442" i="1"/>
  <c r="B442" i="1"/>
  <c r="T441" i="1"/>
  <c r="S441" i="1"/>
  <c r="Q441" i="1"/>
  <c r="O441" i="1"/>
  <c r="R441" i="1" s="1"/>
  <c r="C441" i="1"/>
  <c r="B441" i="1"/>
  <c r="T440" i="1"/>
  <c r="O440" i="1"/>
  <c r="C440" i="1"/>
  <c r="B440" i="1"/>
  <c r="T439" i="1"/>
  <c r="O439" i="1"/>
  <c r="C439" i="1"/>
  <c r="B439" i="1"/>
  <c r="T438" i="1"/>
  <c r="O438" i="1"/>
  <c r="C438" i="1"/>
  <c r="B438" i="1"/>
  <c r="T437" i="1"/>
  <c r="O437" i="1"/>
  <c r="Q437" i="1" s="1"/>
  <c r="R437" i="1" s="1"/>
  <c r="S437" i="1" s="1"/>
  <c r="C437" i="1"/>
  <c r="B437" i="1"/>
  <c r="T436" i="1"/>
  <c r="O436" i="1"/>
  <c r="C436" i="1"/>
  <c r="B436" i="1"/>
  <c r="T435" i="1"/>
  <c r="O435" i="1"/>
  <c r="Q435" i="1" s="1"/>
  <c r="C435" i="1"/>
  <c r="B435" i="1"/>
  <c r="T434" i="1"/>
  <c r="Q434" i="1"/>
  <c r="R434" i="1" s="1"/>
  <c r="S434" i="1" s="1"/>
  <c r="O434" i="1"/>
  <c r="C434" i="1"/>
  <c r="B434" i="1"/>
  <c r="T433" i="1"/>
  <c r="O433" i="1"/>
  <c r="C433" i="1"/>
  <c r="B433" i="1"/>
  <c r="T432" i="1"/>
  <c r="O432" i="1"/>
  <c r="C432" i="1"/>
  <c r="B432" i="1"/>
  <c r="T431" i="1"/>
  <c r="Q431" i="1"/>
  <c r="O431" i="1"/>
  <c r="C431" i="1"/>
  <c r="B431" i="1"/>
  <c r="T430" i="1"/>
  <c r="O430" i="1"/>
  <c r="C430" i="1"/>
  <c r="B430" i="1"/>
  <c r="T429" i="1"/>
  <c r="O429" i="1"/>
  <c r="C429" i="1"/>
  <c r="B429" i="1"/>
  <c r="T428" i="1"/>
  <c r="O428" i="1"/>
  <c r="C428" i="1"/>
  <c r="B428" i="1"/>
  <c r="T427" i="1"/>
  <c r="S427" i="1"/>
  <c r="R427" i="1"/>
  <c r="O427" i="1"/>
  <c r="Q427" i="1" s="1"/>
  <c r="C427" i="1"/>
  <c r="B427" i="1"/>
  <c r="T426" i="1"/>
  <c r="S426" i="1"/>
  <c r="R426" i="1"/>
  <c r="Q426" i="1"/>
  <c r="O426" i="1"/>
  <c r="C426" i="1"/>
  <c r="B426" i="1"/>
  <c r="T425" i="1"/>
  <c r="Q425" i="1"/>
  <c r="R425" i="1" s="1"/>
  <c r="S425" i="1" s="1"/>
  <c r="O425" i="1"/>
  <c r="C425" i="1"/>
  <c r="B425" i="1"/>
  <c r="T424" i="1"/>
  <c r="O424" i="1"/>
  <c r="C424" i="1"/>
  <c r="B424" i="1"/>
  <c r="T423" i="1"/>
  <c r="Q423" i="1"/>
  <c r="O423" i="1"/>
  <c r="C423" i="1"/>
  <c r="B423" i="1"/>
  <c r="T422" i="1"/>
  <c r="O422" i="1"/>
  <c r="Q422" i="1" s="1"/>
  <c r="R422" i="1" s="1"/>
  <c r="S422" i="1" s="1"/>
  <c r="C422" i="1"/>
  <c r="B422" i="1"/>
  <c r="T421" i="1"/>
  <c r="O421" i="1"/>
  <c r="Q421" i="1" s="1"/>
  <c r="C421" i="1"/>
  <c r="B421" i="1"/>
  <c r="T420" i="1"/>
  <c r="Q420" i="1"/>
  <c r="R420" i="1" s="1"/>
  <c r="S420" i="1" s="1"/>
  <c r="O420" i="1"/>
  <c r="C420" i="1"/>
  <c r="B420" i="1"/>
  <c r="T419" i="1"/>
  <c r="O419" i="1"/>
  <c r="C419" i="1"/>
  <c r="B419" i="1"/>
  <c r="T418" i="1"/>
  <c r="O418" i="1"/>
  <c r="C418" i="1"/>
  <c r="B418" i="1"/>
  <c r="T417" i="1"/>
  <c r="Q417" i="1"/>
  <c r="R417" i="1" s="1"/>
  <c r="S417" i="1" s="1"/>
  <c r="O417" i="1"/>
  <c r="C417" i="1"/>
  <c r="B417" i="1"/>
  <c r="T416" i="1"/>
  <c r="Q416" i="1"/>
  <c r="R416" i="1" s="1"/>
  <c r="S416" i="1" s="1"/>
  <c r="O416" i="1"/>
  <c r="C416" i="1"/>
  <c r="B416" i="1"/>
  <c r="T415" i="1"/>
  <c r="O415" i="1"/>
  <c r="Q415" i="1" s="1"/>
  <c r="R415" i="1" s="1"/>
  <c r="S415" i="1" s="1"/>
  <c r="C415" i="1"/>
  <c r="B415" i="1"/>
  <c r="T414" i="1"/>
  <c r="O414" i="1"/>
  <c r="C414" i="1"/>
  <c r="B414" i="1"/>
  <c r="T413" i="1"/>
  <c r="O413" i="1"/>
  <c r="Q413" i="1" s="1"/>
  <c r="R413" i="1" s="1"/>
  <c r="S413" i="1" s="1"/>
  <c r="C413" i="1"/>
  <c r="B413" i="1"/>
  <c r="T412" i="1"/>
  <c r="Q412" i="1"/>
  <c r="O412" i="1"/>
  <c r="C412" i="1"/>
  <c r="B412" i="1"/>
  <c r="T411" i="1"/>
  <c r="R411" i="1"/>
  <c r="S411" i="1" s="1"/>
  <c r="O411" i="1"/>
  <c r="Q411" i="1" s="1"/>
  <c r="C411" i="1"/>
  <c r="B411" i="1"/>
  <c r="T410" i="1"/>
  <c r="R410" i="1"/>
  <c r="S410" i="1" s="1"/>
  <c r="Q410" i="1"/>
  <c r="O410" i="1"/>
  <c r="C410" i="1"/>
  <c r="B410" i="1"/>
  <c r="T409" i="1"/>
  <c r="O409" i="1"/>
  <c r="Q409" i="1" s="1"/>
  <c r="C409" i="1"/>
  <c r="B409" i="1"/>
  <c r="T408" i="1"/>
  <c r="S408" i="1"/>
  <c r="R408" i="1"/>
  <c r="Q408" i="1"/>
  <c r="O408" i="1"/>
  <c r="C408" i="1"/>
  <c r="B408" i="1"/>
  <c r="T407" i="1"/>
  <c r="O407" i="1"/>
  <c r="C407" i="1"/>
  <c r="B407" i="1"/>
  <c r="T406" i="1"/>
  <c r="O406" i="1"/>
  <c r="C406" i="1"/>
  <c r="B406" i="1"/>
  <c r="T405" i="1"/>
  <c r="Q405" i="1"/>
  <c r="O405" i="1"/>
  <c r="C405" i="1"/>
  <c r="B405" i="1"/>
  <c r="T404" i="1"/>
  <c r="O404" i="1"/>
  <c r="Q404" i="1" s="1"/>
  <c r="C404" i="1"/>
  <c r="B404" i="1"/>
  <c r="T403" i="1"/>
  <c r="R403" i="1"/>
  <c r="S403" i="1" s="1"/>
  <c r="O403" i="1"/>
  <c r="Q403" i="1" s="1"/>
  <c r="C403" i="1"/>
  <c r="B403" i="1"/>
  <c r="T402" i="1"/>
  <c r="Q402" i="1"/>
  <c r="R402" i="1" s="1"/>
  <c r="S402" i="1" s="1"/>
  <c r="O402" i="1"/>
  <c r="C402" i="1"/>
  <c r="B402" i="1"/>
  <c r="T401" i="1"/>
  <c r="Q401" i="1"/>
  <c r="R401" i="1" s="1"/>
  <c r="S401" i="1" s="1"/>
  <c r="O401" i="1"/>
  <c r="C401" i="1"/>
  <c r="B401" i="1"/>
  <c r="T400" i="1"/>
  <c r="O400" i="1"/>
  <c r="Q400" i="1" s="1"/>
  <c r="R400" i="1" s="1"/>
  <c r="S400" i="1" s="1"/>
  <c r="C400" i="1"/>
  <c r="B400" i="1"/>
  <c r="T399" i="1"/>
  <c r="O399" i="1"/>
  <c r="C399" i="1"/>
  <c r="B399" i="1"/>
  <c r="T398" i="1"/>
  <c r="O398" i="1"/>
  <c r="Q398" i="1" s="1"/>
  <c r="C398" i="1"/>
  <c r="B398" i="1"/>
  <c r="T397" i="1"/>
  <c r="O397" i="1"/>
  <c r="C397" i="1"/>
  <c r="B397" i="1"/>
  <c r="T396" i="1"/>
  <c r="Q396" i="1"/>
  <c r="R396" i="1" s="1"/>
  <c r="S396" i="1" s="1"/>
  <c r="O396" i="1"/>
  <c r="C396" i="1"/>
  <c r="B396" i="1"/>
  <c r="T395" i="1"/>
  <c r="R395" i="1"/>
  <c r="S395" i="1" s="1"/>
  <c r="O395" i="1"/>
  <c r="Q395" i="1" s="1"/>
  <c r="C395" i="1"/>
  <c r="B395" i="1"/>
  <c r="T394" i="1"/>
  <c r="Q394" i="1"/>
  <c r="R394" i="1" s="1"/>
  <c r="S394" i="1" s="1"/>
  <c r="O394" i="1"/>
  <c r="C394" i="1"/>
  <c r="B394" i="1"/>
  <c r="T393" i="1"/>
  <c r="O393" i="1"/>
  <c r="C393" i="1"/>
  <c r="B393" i="1"/>
  <c r="T392" i="1"/>
  <c r="O392" i="1"/>
  <c r="C392" i="1"/>
  <c r="B392" i="1"/>
  <c r="T391" i="1"/>
  <c r="Q391" i="1"/>
  <c r="O391" i="1"/>
  <c r="C391" i="1"/>
  <c r="B391" i="1"/>
  <c r="T390" i="1"/>
  <c r="R390" i="1"/>
  <c r="S390" i="1" s="1"/>
  <c r="Q390" i="1"/>
  <c r="O390" i="1"/>
  <c r="C390" i="1"/>
  <c r="B390" i="1"/>
  <c r="T389" i="1"/>
  <c r="O389" i="1"/>
  <c r="Q389" i="1" s="1"/>
  <c r="R389" i="1" s="1"/>
  <c r="S389" i="1" s="1"/>
  <c r="C389" i="1"/>
  <c r="B389" i="1"/>
  <c r="T388" i="1"/>
  <c r="O388" i="1"/>
  <c r="C388" i="1"/>
  <c r="B388" i="1"/>
  <c r="T387" i="1"/>
  <c r="O387" i="1"/>
  <c r="Q387" i="1" s="1"/>
  <c r="C387" i="1"/>
  <c r="B387" i="1"/>
  <c r="T386" i="1"/>
  <c r="Q386" i="1"/>
  <c r="R386" i="1" s="1"/>
  <c r="S386" i="1" s="1"/>
  <c r="O386" i="1"/>
  <c r="C386" i="1"/>
  <c r="B386" i="1"/>
  <c r="T385" i="1"/>
  <c r="O385" i="1"/>
  <c r="Q385" i="1" s="1"/>
  <c r="R385" i="1" s="1"/>
  <c r="S385" i="1" s="1"/>
  <c r="C385" i="1"/>
  <c r="B385" i="1"/>
  <c r="T384" i="1"/>
  <c r="O384" i="1"/>
  <c r="C384" i="1"/>
  <c r="B384" i="1"/>
  <c r="T383" i="1"/>
  <c r="O383" i="1"/>
  <c r="Q383" i="1" s="1"/>
  <c r="R383" i="1" s="1"/>
  <c r="S383" i="1" s="1"/>
  <c r="C383" i="1"/>
  <c r="B383" i="1"/>
  <c r="T382" i="1"/>
  <c r="O382" i="1"/>
  <c r="C382" i="1"/>
  <c r="B382" i="1"/>
  <c r="T381" i="1"/>
  <c r="R381" i="1"/>
  <c r="S381" i="1" s="1"/>
  <c r="O381" i="1"/>
  <c r="Q381" i="1" s="1"/>
  <c r="C381" i="1"/>
  <c r="B381" i="1"/>
  <c r="T380" i="1"/>
  <c r="O380" i="1"/>
  <c r="Q380" i="1" s="1"/>
  <c r="C380" i="1"/>
  <c r="B380" i="1"/>
  <c r="T379" i="1"/>
  <c r="R379" i="1"/>
  <c r="S379" i="1" s="1"/>
  <c r="O379" i="1"/>
  <c r="Q379" i="1" s="1"/>
  <c r="C379" i="1"/>
  <c r="B379" i="1"/>
  <c r="T378" i="1"/>
  <c r="R378" i="1"/>
  <c r="S378" i="1" s="1"/>
  <c r="Q378" i="1"/>
  <c r="O378" i="1"/>
  <c r="C378" i="1"/>
  <c r="B378" i="1"/>
  <c r="T377" i="1"/>
  <c r="Q377" i="1"/>
  <c r="O377" i="1"/>
  <c r="R377" i="1" s="1"/>
  <c r="S377" i="1" s="1"/>
  <c r="C377" i="1"/>
  <c r="B377" i="1"/>
  <c r="T376" i="1"/>
  <c r="O376" i="1"/>
  <c r="Q376" i="1" s="1"/>
  <c r="C376" i="1"/>
  <c r="B376" i="1"/>
  <c r="T375" i="1"/>
  <c r="Q375" i="1"/>
  <c r="O375" i="1"/>
  <c r="C375" i="1"/>
  <c r="B375" i="1"/>
  <c r="T374" i="1"/>
  <c r="Q374" i="1"/>
  <c r="O374" i="1"/>
  <c r="R374" i="1" s="1"/>
  <c r="S374" i="1" s="1"/>
  <c r="C374" i="1"/>
  <c r="B374" i="1"/>
  <c r="T373" i="1"/>
  <c r="O373" i="1"/>
  <c r="C373" i="1"/>
  <c r="B373" i="1"/>
  <c r="T372" i="1"/>
  <c r="Q372" i="1"/>
  <c r="R372" i="1" s="1"/>
  <c r="S372" i="1" s="1"/>
  <c r="O372" i="1"/>
  <c r="C372" i="1"/>
  <c r="B372" i="1"/>
  <c r="T371" i="1"/>
  <c r="O371" i="1"/>
  <c r="Q371" i="1" s="1"/>
  <c r="C371" i="1"/>
  <c r="B371" i="1"/>
  <c r="T370" i="1"/>
  <c r="R370" i="1"/>
  <c r="S370" i="1" s="1"/>
  <c r="O370" i="1"/>
  <c r="Q370" i="1" s="1"/>
  <c r="C370" i="1"/>
  <c r="B370" i="1"/>
  <c r="T369" i="1"/>
  <c r="O369" i="1"/>
  <c r="Q369" i="1" s="1"/>
  <c r="C369" i="1"/>
  <c r="B369" i="1"/>
  <c r="T368" i="1"/>
  <c r="O368" i="1"/>
  <c r="Q368" i="1" s="1"/>
  <c r="C368" i="1"/>
  <c r="B368" i="1"/>
  <c r="T367" i="1"/>
  <c r="O367" i="1"/>
  <c r="Q367" i="1" s="1"/>
  <c r="C367" i="1"/>
  <c r="B367" i="1"/>
  <c r="T366" i="1"/>
  <c r="Q366" i="1"/>
  <c r="O366" i="1"/>
  <c r="R366" i="1" s="1"/>
  <c r="S366" i="1" s="1"/>
  <c r="C366" i="1"/>
  <c r="B366" i="1"/>
  <c r="T365" i="1"/>
  <c r="O365" i="1"/>
  <c r="Q365" i="1" s="1"/>
  <c r="R365" i="1" s="1"/>
  <c r="S365" i="1" s="1"/>
  <c r="C365" i="1"/>
  <c r="B365" i="1"/>
  <c r="T364" i="1"/>
  <c r="O364" i="1"/>
  <c r="C364" i="1"/>
  <c r="B364" i="1"/>
  <c r="T363" i="1"/>
  <c r="R363" i="1"/>
  <c r="S363" i="1" s="1"/>
  <c r="Q363" i="1"/>
  <c r="O363" i="1"/>
  <c r="C363" i="1"/>
  <c r="B363" i="1"/>
  <c r="T362" i="1"/>
  <c r="Q362" i="1"/>
  <c r="R362" i="1" s="1"/>
  <c r="S362" i="1" s="1"/>
  <c r="O362" i="1"/>
  <c r="C362" i="1"/>
  <c r="B362" i="1"/>
  <c r="T361" i="1"/>
  <c r="O361" i="1"/>
  <c r="C361" i="1"/>
  <c r="B361" i="1"/>
  <c r="T360" i="1"/>
  <c r="Q360" i="1"/>
  <c r="O360" i="1"/>
  <c r="C360" i="1"/>
  <c r="B360" i="1"/>
  <c r="T359" i="1"/>
  <c r="R359" i="1"/>
  <c r="S359" i="1" s="1"/>
  <c r="O359" i="1"/>
  <c r="Q359" i="1" s="1"/>
  <c r="C359" i="1"/>
  <c r="B359" i="1"/>
  <c r="T358" i="1"/>
  <c r="O358" i="1"/>
  <c r="C358" i="1"/>
  <c r="B358" i="1"/>
  <c r="T357" i="1"/>
  <c r="Q357" i="1"/>
  <c r="O357" i="1"/>
  <c r="C357" i="1"/>
  <c r="B357" i="1"/>
  <c r="T356" i="1"/>
  <c r="O356" i="1"/>
  <c r="C356" i="1"/>
  <c r="B356" i="1"/>
  <c r="T355" i="1"/>
  <c r="S355" i="1"/>
  <c r="R355" i="1"/>
  <c r="O355" i="1"/>
  <c r="Q355" i="1" s="1"/>
  <c r="C355" i="1"/>
  <c r="B355" i="1"/>
  <c r="T354" i="1"/>
  <c r="Q354" i="1"/>
  <c r="R354" i="1" s="1"/>
  <c r="S354" i="1" s="1"/>
  <c r="O354" i="1"/>
  <c r="C354" i="1"/>
  <c r="B354" i="1"/>
  <c r="T353" i="1"/>
  <c r="O353" i="1"/>
  <c r="C353" i="1"/>
  <c r="B353" i="1"/>
  <c r="T352" i="1"/>
  <c r="O352" i="1"/>
  <c r="C352" i="1"/>
  <c r="B352" i="1"/>
  <c r="T351" i="1"/>
  <c r="Q351" i="1"/>
  <c r="O351" i="1"/>
  <c r="C351" i="1"/>
  <c r="B351" i="1"/>
  <c r="T350" i="1"/>
  <c r="Q350" i="1"/>
  <c r="R350" i="1" s="1"/>
  <c r="S350" i="1" s="1"/>
  <c r="O350" i="1"/>
  <c r="C350" i="1"/>
  <c r="B350" i="1"/>
  <c r="T349" i="1"/>
  <c r="O349" i="1"/>
  <c r="C349" i="1"/>
  <c r="B349" i="1"/>
  <c r="T348" i="1"/>
  <c r="Q348" i="1"/>
  <c r="R348" i="1" s="1"/>
  <c r="S348" i="1" s="1"/>
  <c r="O348" i="1"/>
  <c r="C348" i="1"/>
  <c r="B348" i="1"/>
  <c r="T347" i="1"/>
  <c r="R347" i="1"/>
  <c r="S347" i="1" s="1"/>
  <c r="O347" i="1"/>
  <c r="Q347" i="1" s="1"/>
  <c r="C347" i="1"/>
  <c r="B347" i="1"/>
  <c r="T346" i="1"/>
  <c r="Q346" i="1"/>
  <c r="O346" i="1"/>
  <c r="C346" i="1"/>
  <c r="B346" i="1"/>
  <c r="T345" i="1"/>
  <c r="O345" i="1"/>
  <c r="C345" i="1"/>
  <c r="B345" i="1"/>
  <c r="T344" i="1"/>
  <c r="Q344" i="1"/>
  <c r="R344" i="1" s="1"/>
  <c r="S344" i="1" s="1"/>
  <c r="O344" i="1"/>
  <c r="C344" i="1"/>
  <c r="B344" i="1"/>
  <c r="T343" i="1"/>
  <c r="O343" i="1"/>
  <c r="C343" i="1"/>
  <c r="B343" i="1"/>
  <c r="T342" i="1"/>
  <c r="O342" i="1"/>
  <c r="Q342" i="1" s="1"/>
  <c r="R342" i="1" s="1"/>
  <c r="S342" i="1" s="1"/>
  <c r="C342" i="1"/>
  <c r="B342" i="1"/>
  <c r="T341" i="1"/>
  <c r="O341" i="1"/>
  <c r="Q341" i="1" s="1"/>
  <c r="R341" i="1" s="1"/>
  <c r="S341" i="1" s="1"/>
  <c r="C341" i="1"/>
  <c r="B341" i="1"/>
  <c r="T340" i="1"/>
  <c r="Q340" i="1"/>
  <c r="O340" i="1"/>
  <c r="C340" i="1"/>
  <c r="B340" i="1"/>
  <c r="T339" i="1"/>
  <c r="Q339" i="1"/>
  <c r="O339" i="1"/>
  <c r="C339" i="1"/>
  <c r="B339" i="1"/>
  <c r="T338" i="1"/>
  <c r="Q338" i="1"/>
  <c r="R338" i="1" s="1"/>
  <c r="S338" i="1" s="1"/>
  <c r="O338" i="1"/>
  <c r="C338" i="1"/>
  <c r="B338" i="1"/>
  <c r="T337" i="1"/>
  <c r="O337" i="1"/>
  <c r="Q337" i="1" s="1"/>
  <c r="C337" i="1"/>
  <c r="B337" i="1"/>
  <c r="T336" i="1"/>
  <c r="Q336" i="1"/>
  <c r="O336" i="1"/>
  <c r="R336" i="1" s="1"/>
  <c r="S336" i="1" s="1"/>
  <c r="C336" i="1"/>
  <c r="B336" i="1"/>
  <c r="T335" i="1"/>
  <c r="Q335" i="1"/>
  <c r="O335" i="1"/>
  <c r="C335" i="1"/>
  <c r="B335" i="1"/>
  <c r="T334" i="1"/>
  <c r="O334" i="1"/>
  <c r="C334" i="1"/>
  <c r="B334" i="1"/>
  <c r="T333" i="1"/>
  <c r="O333" i="1"/>
  <c r="C333" i="1"/>
  <c r="B333" i="1"/>
  <c r="T332" i="1"/>
  <c r="Q332" i="1"/>
  <c r="O332" i="1"/>
  <c r="R332" i="1" s="1"/>
  <c r="S332" i="1" s="1"/>
  <c r="C332" i="1"/>
  <c r="B332" i="1"/>
  <c r="T331" i="1"/>
  <c r="O331" i="1"/>
  <c r="Q331" i="1" s="1"/>
  <c r="R331" i="1" s="1"/>
  <c r="S331" i="1" s="1"/>
  <c r="C331" i="1"/>
  <c r="B331" i="1"/>
  <c r="T330" i="1"/>
  <c r="R330" i="1"/>
  <c r="S330" i="1" s="1"/>
  <c r="Q330" i="1"/>
  <c r="O330" i="1"/>
  <c r="C330" i="1"/>
  <c r="B330" i="1"/>
  <c r="T329" i="1"/>
  <c r="R329" i="1"/>
  <c r="S329" i="1" s="1"/>
  <c r="Q329" i="1"/>
  <c r="O329" i="1"/>
  <c r="C329" i="1"/>
  <c r="B329" i="1"/>
  <c r="T328" i="1"/>
  <c r="O328" i="1"/>
  <c r="C328" i="1"/>
  <c r="B328" i="1"/>
  <c r="T327" i="1"/>
  <c r="O327" i="1"/>
  <c r="Q327" i="1" s="1"/>
  <c r="C327" i="1"/>
  <c r="B327" i="1"/>
  <c r="T326" i="1"/>
  <c r="O326" i="1"/>
  <c r="Q326" i="1" s="1"/>
  <c r="R326" i="1" s="1"/>
  <c r="S326" i="1" s="1"/>
  <c r="C326" i="1"/>
  <c r="B326" i="1"/>
  <c r="T325" i="1"/>
  <c r="S325" i="1"/>
  <c r="Q325" i="1"/>
  <c r="O325" i="1"/>
  <c r="R325" i="1" s="1"/>
  <c r="C325" i="1"/>
  <c r="B325" i="1"/>
  <c r="T324" i="1"/>
  <c r="Q324" i="1"/>
  <c r="R324" i="1" s="1"/>
  <c r="S324" i="1" s="1"/>
  <c r="O324" i="1"/>
  <c r="C324" i="1"/>
  <c r="B324" i="1"/>
  <c r="T323" i="1"/>
  <c r="O323" i="1"/>
  <c r="Q323" i="1" s="1"/>
  <c r="C323" i="1"/>
  <c r="B323" i="1"/>
  <c r="T322" i="1"/>
  <c r="O322" i="1"/>
  <c r="Q322" i="1" s="1"/>
  <c r="R322" i="1" s="1"/>
  <c r="S322" i="1" s="1"/>
  <c r="C322" i="1"/>
  <c r="B322" i="1"/>
  <c r="T321" i="1"/>
  <c r="Q321" i="1"/>
  <c r="O321" i="1"/>
  <c r="R321" i="1" s="1"/>
  <c r="S321" i="1" s="1"/>
  <c r="C321" i="1"/>
  <c r="B321" i="1"/>
  <c r="T320" i="1"/>
  <c r="O320" i="1"/>
  <c r="C320" i="1"/>
  <c r="B320" i="1"/>
  <c r="T319" i="1"/>
  <c r="O319" i="1"/>
  <c r="C319" i="1"/>
  <c r="B319" i="1"/>
  <c r="T318" i="1"/>
  <c r="Q318" i="1"/>
  <c r="R318" i="1" s="1"/>
  <c r="S318" i="1" s="1"/>
  <c r="O318" i="1"/>
  <c r="C318" i="1"/>
  <c r="B318" i="1"/>
  <c r="T317" i="1"/>
  <c r="O317" i="1"/>
  <c r="C317" i="1"/>
  <c r="B317" i="1"/>
  <c r="T316" i="1"/>
  <c r="O316" i="1"/>
  <c r="C316" i="1"/>
  <c r="B316" i="1"/>
  <c r="T315" i="1"/>
  <c r="Q315" i="1"/>
  <c r="O315" i="1"/>
  <c r="C315" i="1"/>
  <c r="B315" i="1"/>
  <c r="T314" i="1"/>
  <c r="Q314" i="1"/>
  <c r="R314" i="1" s="1"/>
  <c r="S314" i="1" s="1"/>
  <c r="O314" i="1"/>
  <c r="C314" i="1"/>
  <c r="B314" i="1"/>
  <c r="T313" i="1"/>
  <c r="Q313" i="1"/>
  <c r="R313" i="1" s="1"/>
  <c r="S313" i="1" s="1"/>
  <c r="O313" i="1"/>
  <c r="C313" i="1"/>
  <c r="B313" i="1"/>
  <c r="T312" i="1"/>
  <c r="R312" i="1"/>
  <c r="S312" i="1" s="1"/>
  <c r="Q312" i="1"/>
  <c r="O312" i="1"/>
  <c r="C312" i="1"/>
  <c r="B312" i="1"/>
  <c r="T311" i="1"/>
  <c r="O311" i="1"/>
  <c r="Q311" i="1" s="1"/>
  <c r="R311" i="1" s="1"/>
  <c r="S311" i="1" s="1"/>
  <c r="C311" i="1"/>
  <c r="B311" i="1"/>
  <c r="T310" i="1"/>
  <c r="O310" i="1"/>
  <c r="C310" i="1"/>
  <c r="B310" i="1"/>
  <c r="T309" i="1"/>
  <c r="O309" i="1"/>
  <c r="C309" i="1"/>
  <c r="B309" i="1"/>
  <c r="T308" i="1"/>
  <c r="O308" i="1"/>
  <c r="C308" i="1"/>
  <c r="B308" i="1"/>
  <c r="T307" i="1"/>
  <c r="O307" i="1"/>
  <c r="Q307" i="1" s="1"/>
  <c r="R307" i="1" s="1"/>
  <c r="S307" i="1" s="1"/>
  <c r="C307" i="1"/>
  <c r="B307" i="1"/>
  <c r="T306" i="1"/>
  <c r="R306" i="1"/>
  <c r="S306" i="1" s="1"/>
  <c r="Q306" i="1"/>
  <c r="O306" i="1"/>
  <c r="C306" i="1"/>
  <c r="B306" i="1"/>
  <c r="T305" i="1"/>
  <c r="R305" i="1"/>
  <c r="S305" i="1" s="1"/>
  <c r="O305" i="1"/>
  <c r="Q305" i="1" s="1"/>
  <c r="C305" i="1"/>
  <c r="B305" i="1"/>
  <c r="T304" i="1"/>
  <c r="Q304" i="1"/>
  <c r="R304" i="1" s="1"/>
  <c r="S304" i="1" s="1"/>
  <c r="O304" i="1"/>
  <c r="C304" i="1"/>
  <c r="B304" i="1"/>
  <c r="T303" i="1"/>
  <c r="Q303" i="1"/>
  <c r="O303" i="1"/>
  <c r="C303" i="1"/>
  <c r="B303" i="1"/>
  <c r="T302" i="1"/>
  <c r="O302" i="1"/>
  <c r="C302" i="1"/>
  <c r="B302" i="1"/>
  <c r="T301" i="1"/>
  <c r="Q301" i="1"/>
  <c r="R301" i="1" s="1"/>
  <c r="S301" i="1" s="1"/>
  <c r="O301" i="1"/>
  <c r="C301" i="1"/>
  <c r="B301" i="1"/>
  <c r="T300" i="1"/>
  <c r="Q300" i="1"/>
  <c r="R300" i="1" s="1"/>
  <c r="S300" i="1" s="1"/>
  <c r="O300" i="1"/>
  <c r="C300" i="1"/>
  <c r="B300" i="1"/>
  <c r="T299" i="1"/>
  <c r="R299" i="1"/>
  <c r="S299" i="1" s="1"/>
  <c r="O299" i="1"/>
  <c r="Q299" i="1" s="1"/>
  <c r="C299" i="1"/>
  <c r="B299" i="1"/>
  <c r="T298" i="1"/>
  <c r="O298" i="1"/>
  <c r="Q298" i="1" s="1"/>
  <c r="C298" i="1"/>
  <c r="B298" i="1"/>
  <c r="T297" i="1"/>
  <c r="R297" i="1"/>
  <c r="S297" i="1" s="1"/>
  <c r="O297" i="1"/>
  <c r="Q297" i="1" s="1"/>
  <c r="C297" i="1"/>
  <c r="B297" i="1"/>
  <c r="T296" i="1"/>
  <c r="O296" i="1"/>
  <c r="C296" i="1"/>
  <c r="B296" i="1"/>
  <c r="T295" i="1"/>
  <c r="O295" i="1"/>
  <c r="Q295" i="1" s="1"/>
  <c r="R295" i="1" s="1"/>
  <c r="S295" i="1" s="1"/>
  <c r="C295" i="1"/>
  <c r="B295" i="1"/>
  <c r="T294" i="1"/>
  <c r="S294" i="1"/>
  <c r="R294" i="1"/>
  <c r="O294" i="1"/>
  <c r="Q294" i="1" s="1"/>
  <c r="C294" i="1"/>
  <c r="B294" i="1"/>
  <c r="T293" i="1"/>
  <c r="O293" i="1"/>
  <c r="C293" i="1"/>
  <c r="B293" i="1"/>
  <c r="T292" i="1"/>
  <c r="O292" i="1"/>
  <c r="C292" i="1"/>
  <c r="B292" i="1"/>
  <c r="T291" i="1"/>
  <c r="O291" i="1"/>
  <c r="Q291" i="1" s="1"/>
  <c r="R291" i="1" s="1"/>
  <c r="S291" i="1" s="1"/>
  <c r="C291" i="1"/>
  <c r="B291" i="1"/>
  <c r="T290" i="1"/>
  <c r="R290" i="1"/>
  <c r="S290" i="1" s="1"/>
  <c r="Q290" i="1"/>
  <c r="O290" i="1"/>
  <c r="C290" i="1"/>
  <c r="B290" i="1"/>
  <c r="T289" i="1"/>
  <c r="S289" i="1"/>
  <c r="R289" i="1"/>
  <c r="Q289" i="1"/>
  <c r="O289" i="1"/>
  <c r="C289" i="1"/>
  <c r="B289" i="1"/>
  <c r="T288" i="1"/>
  <c r="Q288" i="1"/>
  <c r="R288" i="1" s="1"/>
  <c r="S288" i="1" s="1"/>
  <c r="O288" i="1"/>
  <c r="C288" i="1"/>
  <c r="B288" i="1"/>
  <c r="T287" i="1"/>
  <c r="R287" i="1"/>
  <c r="S287" i="1" s="1"/>
  <c r="Q287" i="1"/>
  <c r="O287" i="1"/>
  <c r="C287" i="1"/>
  <c r="B287" i="1"/>
  <c r="T286" i="1"/>
  <c r="O286" i="1"/>
  <c r="C286" i="1"/>
  <c r="B286" i="1"/>
  <c r="T285" i="1"/>
  <c r="O285" i="1"/>
  <c r="Q285" i="1" s="1"/>
  <c r="C285" i="1"/>
  <c r="B285" i="1"/>
  <c r="T284" i="1"/>
  <c r="R284" i="1"/>
  <c r="S284" i="1" s="1"/>
  <c r="Q284" i="1"/>
  <c r="O284" i="1"/>
  <c r="C284" i="1"/>
  <c r="B284" i="1"/>
  <c r="T283" i="1"/>
  <c r="O283" i="1"/>
  <c r="Q283" i="1" s="1"/>
  <c r="R283" i="1" s="1"/>
  <c r="S283" i="1" s="1"/>
  <c r="C283" i="1"/>
  <c r="B283" i="1"/>
  <c r="T282" i="1"/>
  <c r="Q282" i="1"/>
  <c r="R282" i="1" s="1"/>
  <c r="S282" i="1" s="1"/>
  <c r="O282" i="1"/>
  <c r="C282" i="1"/>
  <c r="B282" i="1"/>
  <c r="T281" i="1"/>
  <c r="Q281" i="1"/>
  <c r="R281" i="1" s="1"/>
  <c r="S281" i="1" s="1"/>
  <c r="O281" i="1"/>
  <c r="C281" i="1"/>
  <c r="B281" i="1"/>
  <c r="T280" i="1"/>
  <c r="O280" i="1"/>
  <c r="Q280" i="1" s="1"/>
  <c r="R280" i="1" s="1"/>
  <c r="S280" i="1" s="1"/>
  <c r="C280" i="1"/>
  <c r="B280" i="1"/>
  <c r="T279" i="1"/>
  <c r="O279" i="1"/>
  <c r="C279" i="1"/>
  <c r="B279" i="1"/>
  <c r="T278" i="1"/>
  <c r="O278" i="1"/>
  <c r="Q278" i="1" s="1"/>
  <c r="C278" i="1"/>
  <c r="B278" i="1"/>
  <c r="T277" i="1"/>
  <c r="O277" i="1"/>
  <c r="C277" i="1"/>
  <c r="B277" i="1"/>
  <c r="T276" i="1"/>
  <c r="Q276" i="1"/>
  <c r="R276" i="1" s="1"/>
  <c r="S276" i="1" s="1"/>
  <c r="O276" i="1"/>
  <c r="C276" i="1"/>
  <c r="B276" i="1"/>
  <c r="T275" i="1"/>
  <c r="O275" i="1"/>
  <c r="C275" i="1"/>
  <c r="B275" i="1"/>
  <c r="T274" i="1"/>
  <c r="O274" i="1"/>
  <c r="C274" i="1"/>
  <c r="B274" i="1"/>
  <c r="T273" i="1"/>
  <c r="Q273" i="1"/>
  <c r="R273" i="1" s="1"/>
  <c r="S273" i="1" s="1"/>
  <c r="O273" i="1"/>
  <c r="C273" i="1"/>
  <c r="B273" i="1"/>
  <c r="T272" i="1"/>
  <c r="Q272" i="1"/>
  <c r="O272" i="1"/>
  <c r="C272" i="1"/>
  <c r="B272" i="1"/>
  <c r="T271" i="1"/>
  <c r="Q271" i="1"/>
  <c r="R271" i="1" s="1"/>
  <c r="S271" i="1" s="1"/>
  <c r="O271" i="1"/>
  <c r="C271" i="1"/>
  <c r="B271" i="1"/>
  <c r="T270" i="1"/>
  <c r="O270" i="1"/>
  <c r="C270" i="1"/>
  <c r="B270" i="1"/>
  <c r="T269" i="1"/>
  <c r="O269" i="1"/>
  <c r="C269" i="1"/>
  <c r="B269" i="1"/>
  <c r="T268" i="1"/>
  <c r="O268" i="1"/>
  <c r="C268" i="1"/>
  <c r="B268" i="1"/>
  <c r="T267" i="1"/>
  <c r="Q267" i="1"/>
  <c r="O267" i="1"/>
  <c r="C267" i="1"/>
  <c r="B267" i="1"/>
  <c r="T266" i="1"/>
  <c r="Q266" i="1"/>
  <c r="R266" i="1" s="1"/>
  <c r="S266" i="1" s="1"/>
  <c r="O266" i="1"/>
  <c r="C266" i="1"/>
  <c r="B266" i="1"/>
  <c r="T265" i="1"/>
  <c r="O265" i="1"/>
  <c r="Q265" i="1" s="1"/>
  <c r="R265" i="1" s="1"/>
  <c r="S265" i="1" s="1"/>
  <c r="C265" i="1"/>
  <c r="B265" i="1"/>
  <c r="T264" i="1"/>
  <c r="O264" i="1"/>
  <c r="Q264" i="1" s="1"/>
  <c r="C264" i="1"/>
  <c r="B264" i="1"/>
  <c r="T263" i="1"/>
  <c r="O263" i="1"/>
  <c r="C263" i="1"/>
  <c r="B263" i="1"/>
  <c r="T262" i="1"/>
  <c r="O262" i="1"/>
  <c r="C262" i="1"/>
  <c r="B262" i="1"/>
  <c r="T261" i="1"/>
  <c r="O261" i="1"/>
  <c r="Q261" i="1" s="1"/>
  <c r="R261" i="1" s="1"/>
  <c r="S261" i="1" s="1"/>
  <c r="C261" i="1"/>
  <c r="B261" i="1"/>
  <c r="T260" i="1"/>
  <c r="O260" i="1"/>
  <c r="C260" i="1"/>
  <c r="B260" i="1"/>
  <c r="T259" i="1"/>
  <c r="R259" i="1"/>
  <c r="S259" i="1" s="1"/>
  <c r="O259" i="1"/>
  <c r="Q259" i="1" s="1"/>
  <c r="C259" i="1"/>
  <c r="B259" i="1"/>
  <c r="T258" i="1"/>
  <c r="S258" i="1"/>
  <c r="R258" i="1"/>
  <c r="Q258" i="1"/>
  <c r="O258" i="1"/>
  <c r="C258" i="1"/>
  <c r="B258" i="1"/>
  <c r="T257" i="1"/>
  <c r="O257" i="1"/>
  <c r="Q257" i="1" s="1"/>
  <c r="C257" i="1"/>
  <c r="B257" i="1"/>
  <c r="T256" i="1"/>
  <c r="O256" i="1"/>
  <c r="C256" i="1"/>
  <c r="B256" i="1"/>
  <c r="T255" i="1"/>
  <c r="Q255" i="1"/>
  <c r="O255" i="1"/>
  <c r="C255" i="1"/>
  <c r="B255" i="1"/>
  <c r="T254" i="1"/>
  <c r="S254" i="1"/>
  <c r="R254" i="1"/>
  <c r="O254" i="1"/>
  <c r="Q254" i="1" s="1"/>
  <c r="C254" i="1"/>
  <c r="B254" i="1"/>
  <c r="T253" i="1"/>
  <c r="O253" i="1"/>
  <c r="C253" i="1"/>
  <c r="B253" i="1"/>
  <c r="T252" i="1"/>
  <c r="Q252" i="1"/>
  <c r="R252" i="1" s="1"/>
  <c r="S252" i="1" s="1"/>
  <c r="O252" i="1"/>
  <c r="C252" i="1"/>
  <c r="B252" i="1"/>
  <c r="T251" i="1"/>
  <c r="O251" i="1"/>
  <c r="Q251" i="1" s="1"/>
  <c r="C251" i="1"/>
  <c r="B251" i="1"/>
  <c r="T250" i="1"/>
  <c r="O250" i="1"/>
  <c r="Q250" i="1" s="1"/>
  <c r="R250" i="1" s="1"/>
  <c r="S250" i="1" s="1"/>
  <c r="C250" i="1"/>
  <c r="B250" i="1"/>
  <c r="T249" i="1"/>
  <c r="S249" i="1"/>
  <c r="R249" i="1"/>
  <c r="O249" i="1"/>
  <c r="Q249" i="1" s="1"/>
  <c r="C249" i="1"/>
  <c r="B249" i="1"/>
  <c r="T248" i="1"/>
  <c r="Q248" i="1"/>
  <c r="R248" i="1" s="1"/>
  <c r="S248" i="1" s="1"/>
  <c r="O248" i="1"/>
  <c r="C248" i="1"/>
  <c r="B248" i="1"/>
  <c r="T247" i="1"/>
  <c r="Q247" i="1"/>
  <c r="O247" i="1"/>
  <c r="R247" i="1" s="1"/>
  <c r="S247" i="1" s="1"/>
  <c r="C247" i="1"/>
  <c r="B247" i="1"/>
  <c r="T246" i="1"/>
  <c r="Q246" i="1"/>
  <c r="O246" i="1"/>
  <c r="C246" i="1"/>
  <c r="B246" i="1"/>
  <c r="T245" i="1"/>
  <c r="O245" i="1"/>
  <c r="C245" i="1"/>
  <c r="B245" i="1"/>
  <c r="T244" i="1"/>
  <c r="O244" i="1"/>
  <c r="C244" i="1"/>
  <c r="B244" i="1"/>
  <c r="T243" i="1"/>
  <c r="Q243" i="1"/>
  <c r="R243" i="1" s="1"/>
  <c r="S243" i="1" s="1"/>
  <c r="O243" i="1"/>
  <c r="C243" i="1"/>
  <c r="B243" i="1"/>
  <c r="T242" i="1"/>
  <c r="Q242" i="1"/>
  <c r="R242" i="1" s="1"/>
  <c r="S242" i="1" s="1"/>
  <c r="O242" i="1"/>
  <c r="C242" i="1"/>
  <c r="B242" i="1"/>
  <c r="T241" i="1"/>
  <c r="O241" i="1"/>
  <c r="C241" i="1"/>
  <c r="B241" i="1"/>
  <c r="T240" i="1"/>
  <c r="O240" i="1"/>
  <c r="C240" i="1"/>
  <c r="B240" i="1"/>
  <c r="T239" i="1"/>
  <c r="O239" i="1"/>
  <c r="Q239" i="1" s="1"/>
  <c r="R239" i="1" s="1"/>
  <c r="S239" i="1" s="1"/>
  <c r="C239" i="1"/>
  <c r="B239" i="1"/>
  <c r="T238" i="1"/>
  <c r="O238" i="1"/>
  <c r="C238" i="1"/>
  <c r="B238" i="1"/>
  <c r="T237" i="1"/>
  <c r="O237" i="1"/>
  <c r="C237" i="1"/>
  <c r="B237" i="1"/>
  <c r="T236" i="1"/>
  <c r="Q236" i="1"/>
  <c r="R236" i="1" s="1"/>
  <c r="S236" i="1" s="1"/>
  <c r="O236" i="1"/>
  <c r="C236" i="1"/>
  <c r="B236" i="1"/>
  <c r="T235" i="1"/>
  <c r="R235" i="1"/>
  <c r="S235" i="1" s="1"/>
  <c r="O235" i="1"/>
  <c r="Q235" i="1" s="1"/>
  <c r="C235" i="1"/>
  <c r="B235" i="1"/>
  <c r="T234" i="1"/>
  <c r="Q234" i="1"/>
  <c r="R234" i="1" s="1"/>
  <c r="S234" i="1" s="1"/>
  <c r="O234" i="1"/>
  <c r="C234" i="1"/>
  <c r="B234" i="1"/>
  <c r="T233" i="1"/>
  <c r="O233" i="1"/>
  <c r="Q233" i="1" s="1"/>
  <c r="C233" i="1"/>
  <c r="B233" i="1"/>
  <c r="T232" i="1"/>
  <c r="O232" i="1"/>
  <c r="C232" i="1"/>
  <c r="B232" i="1"/>
  <c r="T231" i="1"/>
  <c r="Q231" i="1"/>
  <c r="O231" i="1"/>
  <c r="C231" i="1"/>
  <c r="B231" i="1"/>
  <c r="T230" i="1"/>
  <c r="O230" i="1"/>
  <c r="C230" i="1"/>
  <c r="B230" i="1"/>
  <c r="T229" i="1"/>
  <c r="O229" i="1"/>
  <c r="C229" i="1"/>
  <c r="B229" i="1"/>
  <c r="T228" i="1"/>
  <c r="Q228" i="1"/>
  <c r="R228" i="1" s="1"/>
  <c r="S228" i="1" s="1"/>
  <c r="O228" i="1"/>
  <c r="C228" i="1"/>
  <c r="B228" i="1"/>
  <c r="T227" i="1"/>
  <c r="O227" i="1"/>
  <c r="Q227" i="1" s="1"/>
  <c r="C227" i="1"/>
  <c r="B227" i="1"/>
  <c r="T226" i="1"/>
  <c r="O226" i="1"/>
  <c r="Q226" i="1" s="1"/>
  <c r="C226" i="1"/>
  <c r="B226" i="1"/>
  <c r="T225" i="1"/>
  <c r="Q225" i="1"/>
  <c r="O225" i="1"/>
  <c r="R225" i="1" s="1"/>
  <c r="S225" i="1" s="1"/>
  <c r="C225" i="1"/>
  <c r="B225" i="1"/>
  <c r="T224" i="1"/>
  <c r="Q224" i="1"/>
  <c r="O224" i="1"/>
  <c r="R224" i="1" s="1"/>
  <c r="S224" i="1" s="1"/>
  <c r="C224" i="1"/>
  <c r="B224" i="1"/>
  <c r="T223" i="1"/>
  <c r="R223" i="1"/>
  <c r="S223" i="1" s="1"/>
  <c r="Q223" i="1"/>
  <c r="O223" i="1"/>
  <c r="C223" i="1"/>
  <c r="B223" i="1"/>
  <c r="T222" i="1"/>
  <c r="S222" i="1"/>
  <c r="R222" i="1"/>
  <c r="Q222" i="1"/>
  <c r="O222" i="1"/>
  <c r="C222" i="1"/>
  <c r="B222" i="1"/>
  <c r="T221" i="1"/>
  <c r="O221" i="1"/>
  <c r="C221" i="1"/>
  <c r="B221" i="1"/>
  <c r="T220" i="1"/>
  <c r="Q220" i="1"/>
  <c r="O220" i="1"/>
  <c r="C220" i="1"/>
  <c r="B220" i="1"/>
  <c r="T219" i="1"/>
  <c r="Q219" i="1"/>
  <c r="R219" i="1" s="1"/>
  <c r="S219" i="1" s="1"/>
  <c r="O219" i="1"/>
  <c r="C219" i="1"/>
  <c r="B219" i="1"/>
  <c r="T218" i="1"/>
  <c r="R218" i="1"/>
  <c r="S218" i="1" s="1"/>
  <c r="Q218" i="1"/>
  <c r="O218" i="1"/>
  <c r="C218" i="1"/>
  <c r="B218" i="1"/>
  <c r="T217" i="1"/>
  <c r="Q217" i="1"/>
  <c r="R217" i="1" s="1"/>
  <c r="S217" i="1" s="1"/>
  <c r="O217" i="1"/>
  <c r="C217" i="1"/>
  <c r="B217" i="1"/>
  <c r="T216" i="1"/>
  <c r="O216" i="1"/>
  <c r="Q216" i="1" s="1"/>
  <c r="C216" i="1"/>
  <c r="B216" i="1"/>
  <c r="T215" i="1"/>
  <c r="Q215" i="1"/>
  <c r="O215" i="1"/>
  <c r="R215" i="1" s="1"/>
  <c r="S215" i="1" s="1"/>
  <c r="C215" i="1"/>
  <c r="B215" i="1"/>
  <c r="T214" i="1"/>
  <c r="O214" i="1"/>
  <c r="C214" i="1"/>
  <c r="B214" i="1"/>
  <c r="T213" i="1"/>
  <c r="O213" i="1"/>
  <c r="C213" i="1"/>
  <c r="B213" i="1"/>
  <c r="T212" i="1"/>
  <c r="O212" i="1"/>
  <c r="C212" i="1"/>
  <c r="B212" i="1"/>
  <c r="T211" i="1"/>
  <c r="O211" i="1"/>
  <c r="Q211" i="1" s="1"/>
  <c r="R211" i="1" s="1"/>
  <c r="S211" i="1" s="1"/>
  <c r="C211" i="1"/>
  <c r="B211" i="1"/>
  <c r="T210" i="1"/>
  <c r="Q210" i="1"/>
  <c r="R210" i="1" s="1"/>
  <c r="S210" i="1" s="1"/>
  <c r="O210" i="1"/>
  <c r="C210" i="1"/>
  <c r="B210" i="1"/>
  <c r="T209" i="1"/>
  <c r="S209" i="1"/>
  <c r="Q209" i="1"/>
  <c r="O209" i="1"/>
  <c r="R209" i="1" s="1"/>
  <c r="C209" i="1"/>
  <c r="B209" i="1"/>
  <c r="T208" i="1"/>
  <c r="Q208" i="1"/>
  <c r="R208" i="1" s="1"/>
  <c r="S208" i="1" s="1"/>
  <c r="O208" i="1"/>
  <c r="C208" i="1"/>
  <c r="B208" i="1"/>
  <c r="T207" i="1"/>
  <c r="Q207" i="1"/>
  <c r="O207" i="1"/>
  <c r="C207" i="1"/>
  <c r="B207" i="1"/>
  <c r="T206" i="1"/>
  <c r="Q206" i="1"/>
  <c r="R206" i="1" s="1"/>
  <c r="S206" i="1" s="1"/>
  <c r="O206" i="1"/>
  <c r="C206" i="1"/>
  <c r="B206" i="1"/>
  <c r="T205" i="1"/>
  <c r="Q205" i="1"/>
  <c r="O205" i="1"/>
  <c r="R205" i="1" s="1"/>
  <c r="S205" i="1" s="1"/>
  <c r="C205" i="1"/>
  <c r="B205" i="1"/>
  <c r="T204" i="1"/>
  <c r="S204" i="1"/>
  <c r="Q204" i="1"/>
  <c r="R204" i="1" s="1"/>
  <c r="O204" i="1"/>
  <c r="C204" i="1"/>
  <c r="B204" i="1"/>
  <c r="T203" i="1"/>
  <c r="R203" i="1"/>
  <c r="S203" i="1" s="1"/>
  <c r="O203" i="1"/>
  <c r="Q203" i="1" s="1"/>
  <c r="C203" i="1"/>
  <c r="B203" i="1"/>
  <c r="T202" i="1"/>
  <c r="Q202" i="1"/>
  <c r="R202" i="1" s="1"/>
  <c r="S202" i="1" s="1"/>
  <c r="O202" i="1"/>
  <c r="C202" i="1"/>
  <c r="B202" i="1"/>
  <c r="T201" i="1"/>
  <c r="Q201" i="1"/>
  <c r="O201" i="1"/>
  <c r="C201" i="1"/>
  <c r="B201" i="1"/>
  <c r="T200" i="1"/>
  <c r="O200" i="1"/>
  <c r="Q200" i="1" s="1"/>
  <c r="C200" i="1"/>
  <c r="B200" i="1"/>
  <c r="T199" i="1"/>
  <c r="O199" i="1"/>
  <c r="C199" i="1"/>
  <c r="B199" i="1"/>
  <c r="T198" i="1"/>
  <c r="S198" i="1"/>
  <c r="Q198" i="1"/>
  <c r="O198" i="1"/>
  <c r="R198" i="1" s="1"/>
  <c r="C198" i="1"/>
  <c r="B198" i="1"/>
  <c r="T197" i="1"/>
  <c r="O197" i="1"/>
  <c r="C197" i="1"/>
  <c r="B197" i="1"/>
  <c r="T196" i="1"/>
  <c r="Q196" i="1"/>
  <c r="O196" i="1"/>
  <c r="C196" i="1"/>
  <c r="B196" i="1"/>
  <c r="T195" i="1"/>
  <c r="Q195" i="1"/>
  <c r="R195" i="1" s="1"/>
  <c r="S195" i="1" s="1"/>
  <c r="O195" i="1"/>
  <c r="C195" i="1"/>
  <c r="B195" i="1"/>
  <c r="T194" i="1"/>
  <c r="Q194" i="1"/>
  <c r="R194" i="1" s="1"/>
  <c r="S194" i="1" s="1"/>
  <c r="O194" i="1"/>
  <c r="C194" i="1"/>
  <c r="B194" i="1"/>
  <c r="T193" i="1"/>
  <c r="Q193" i="1"/>
  <c r="R193" i="1" s="1"/>
  <c r="S193" i="1" s="1"/>
  <c r="O193" i="1"/>
  <c r="C193" i="1"/>
  <c r="B193" i="1"/>
  <c r="T192" i="1"/>
  <c r="S192" i="1"/>
  <c r="R192" i="1"/>
  <c r="Q192" i="1"/>
  <c r="O192" i="1"/>
  <c r="C192" i="1"/>
  <c r="B192" i="1"/>
  <c r="T191" i="1"/>
  <c r="O191" i="1"/>
  <c r="C191" i="1"/>
  <c r="B191" i="1"/>
  <c r="T190" i="1"/>
  <c r="O190" i="1"/>
  <c r="C190" i="1"/>
  <c r="B190" i="1"/>
  <c r="T189" i="1"/>
  <c r="Q189" i="1"/>
  <c r="R189" i="1" s="1"/>
  <c r="S189" i="1" s="1"/>
  <c r="O189" i="1"/>
  <c r="C189" i="1"/>
  <c r="B189" i="1"/>
  <c r="T188" i="1"/>
  <c r="O188" i="1"/>
  <c r="C188" i="1"/>
  <c r="B188" i="1"/>
  <c r="T187" i="1"/>
  <c r="R187" i="1"/>
  <c r="S187" i="1" s="1"/>
  <c r="O187" i="1"/>
  <c r="Q187" i="1" s="1"/>
  <c r="C187" i="1"/>
  <c r="B187" i="1"/>
  <c r="T186" i="1"/>
  <c r="R186" i="1"/>
  <c r="S186" i="1" s="1"/>
  <c r="Q186" i="1"/>
  <c r="O186" i="1"/>
  <c r="C186" i="1"/>
  <c r="B186" i="1"/>
  <c r="T185" i="1"/>
  <c r="O185" i="1"/>
  <c r="C185" i="1"/>
  <c r="B185" i="1"/>
  <c r="T184" i="1"/>
  <c r="O184" i="1"/>
  <c r="C184" i="1"/>
  <c r="B184" i="1"/>
  <c r="T183" i="1"/>
  <c r="Q183" i="1"/>
  <c r="O183" i="1"/>
  <c r="C183" i="1"/>
  <c r="B183" i="1"/>
  <c r="T182" i="1"/>
  <c r="R182" i="1"/>
  <c r="S182" i="1" s="1"/>
  <c r="O182" i="1"/>
  <c r="Q182" i="1" s="1"/>
  <c r="C182" i="1"/>
  <c r="B182" i="1"/>
  <c r="T181" i="1"/>
  <c r="O181" i="1"/>
  <c r="C181" i="1"/>
  <c r="B181" i="1"/>
  <c r="T180" i="1"/>
  <c r="Q180" i="1"/>
  <c r="R180" i="1" s="1"/>
  <c r="S180" i="1" s="1"/>
  <c r="O180" i="1"/>
  <c r="C180" i="1"/>
  <c r="B180" i="1"/>
  <c r="T179" i="1"/>
  <c r="R179" i="1"/>
  <c r="S179" i="1" s="1"/>
  <c r="O179" i="1"/>
  <c r="Q179" i="1" s="1"/>
  <c r="C179" i="1"/>
  <c r="B179" i="1"/>
  <c r="T178" i="1"/>
  <c r="Q178" i="1"/>
  <c r="R178" i="1" s="1"/>
  <c r="S178" i="1" s="1"/>
  <c r="O178" i="1"/>
  <c r="C178" i="1"/>
  <c r="B178" i="1"/>
  <c r="T177" i="1"/>
  <c r="O177" i="1"/>
  <c r="Q177" i="1" s="1"/>
  <c r="C177" i="1"/>
  <c r="B177" i="1"/>
  <c r="T176" i="1"/>
  <c r="Q176" i="1"/>
  <c r="R176" i="1" s="1"/>
  <c r="S176" i="1" s="1"/>
  <c r="O176" i="1"/>
  <c r="C176" i="1"/>
  <c r="B176" i="1"/>
  <c r="T175" i="1"/>
  <c r="O175" i="1"/>
  <c r="C175" i="1"/>
  <c r="B175" i="1"/>
  <c r="T174" i="1"/>
  <c r="O174" i="1"/>
  <c r="Q174" i="1" s="1"/>
  <c r="R174" i="1" s="1"/>
  <c r="S174" i="1" s="1"/>
  <c r="C174" i="1"/>
  <c r="B174" i="1"/>
  <c r="T173" i="1"/>
  <c r="O173" i="1"/>
  <c r="C173" i="1"/>
  <c r="B173" i="1"/>
  <c r="T172" i="1"/>
  <c r="O172" i="1"/>
  <c r="C172" i="1"/>
  <c r="B172" i="1"/>
  <c r="T171" i="1"/>
  <c r="O171" i="1"/>
  <c r="C171" i="1"/>
  <c r="B171" i="1"/>
  <c r="T170" i="1"/>
  <c r="Q170" i="1"/>
  <c r="R170" i="1" s="1"/>
  <c r="S170" i="1" s="1"/>
  <c r="O170" i="1"/>
  <c r="C170" i="1"/>
  <c r="B170" i="1"/>
  <c r="T169" i="1"/>
  <c r="O169" i="1"/>
  <c r="Q169" i="1" s="1"/>
  <c r="C169" i="1"/>
  <c r="B169" i="1"/>
  <c r="T168" i="1"/>
  <c r="Q168" i="1"/>
  <c r="O168" i="1"/>
  <c r="R168" i="1" s="1"/>
  <c r="S168" i="1" s="1"/>
  <c r="C168" i="1"/>
  <c r="B168" i="1"/>
  <c r="T167" i="1"/>
  <c r="Q167" i="1"/>
  <c r="R167" i="1" s="1"/>
  <c r="S167" i="1" s="1"/>
  <c r="O167" i="1"/>
  <c r="C167" i="1"/>
  <c r="B167" i="1"/>
  <c r="T166" i="1"/>
  <c r="O166" i="1"/>
  <c r="C166" i="1"/>
  <c r="B166" i="1"/>
  <c r="T165" i="1"/>
  <c r="O165" i="1"/>
  <c r="C165" i="1"/>
  <c r="B165" i="1"/>
  <c r="T164" i="1"/>
  <c r="S164" i="1"/>
  <c r="Q164" i="1"/>
  <c r="O164" i="1"/>
  <c r="R164" i="1" s="1"/>
  <c r="C164" i="1"/>
  <c r="B164" i="1"/>
  <c r="T163" i="1"/>
  <c r="S163" i="1"/>
  <c r="R163" i="1"/>
  <c r="O163" i="1"/>
  <c r="Q163" i="1" s="1"/>
  <c r="C163" i="1"/>
  <c r="B163" i="1"/>
  <c r="T162" i="1"/>
  <c r="Q162" i="1"/>
  <c r="R162" i="1" s="1"/>
  <c r="S162" i="1" s="1"/>
  <c r="O162" i="1"/>
  <c r="C162" i="1"/>
  <c r="B162" i="1"/>
  <c r="T161" i="1"/>
  <c r="R161" i="1"/>
  <c r="S161" i="1" s="1"/>
  <c r="Q161" i="1"/>
  <c r="O161" i="1"/>
  <c r="C161" i="1"/>
  <c r="B161" i="1"/>
  <c r="T160" i="1"/>
  <c r="O160" i="1"/>
  <c r="C160" i="1"/>
  <c r="B160" i="1"/>
  <c r="T159" i="1"/>
  <c r="O159" i="1"/>
  <c r="C159" i="1"/>
  <c r="B159" i="1"/>
  <c r="T158" i="1"/>
  <c r="O158" i="1"/>
  <c r="C158" i="1"/>
  <c r="B158" i="1"/>
  <c r="T157" i="1"/>
  <c r="Q157" i="1"/>
  <c r="R157" i="1" s="1"/>
  <c r="S157" i="1" s="1"/>
  <c r="O157" i="1"/>
  <c r="C157" i="1"/>
  <c r="B157" i="1"/>
  <c r="T156" i="1"/>
  <c r="Q156" i="1"/>
  <c r="R156" i="1" s="1"/>
  <c r="S156" i="1" s="1"/>
  <c r="O156" i="1"/>
  <c r="C156" i="1"/>
  <c r="B156" i="1"/>
  <c r="T155" i="1"/>
  <c r="O155" i="1"/>
  <c r="Q155" i="1" s="1"/>
  <c r="C155" i="1"/>
  <c r="B155" i="1"/>
  <c r="T154" i="1"/>
  <c r="O154" i="1"/>
  <c r="Q154" i="1" s="1"/>
  <c r="C154" i="1"/>
  <c r="B154" i="1"/>
  <c r="T153" i="1"/>
  <c r="Q153" i="1"/>
  <c r="O153" i="1"/>
  <c r="R153" i="1" s="1"/>
  <c r="S153" i="1" s="1"/>
  <c r="C153" i="1"/>
  <c r="B153" i="1"/>
  <c r="T152" i="1"/>
  <c r="O152" i="1"/>
  <c r="Q152" i="1" s="1"/>
  <c r="C152" i="1"/>
  <c r="B152" i="1"/>
  <c r="T151" i="1"/>
  <c r="S151" i="1"/>
  <c r="R151" i="1"/>
  <c r="O151" i="1"/>
  <c r="Q151" i="1" s="1"/>
  <c r="C151" i="1"/>
  <c r="B151" i="1"/>
  <c r="T150" i="1"/>
  <c r="O150" i="1"/>
  <c r="Q150" i="1" s="1"/>
  <c r="C150" i="1"/>
  <c r="B150" i="1"/>
  <c r="T149" i="1"/>
  <c r="O149" i="1"/>
  <c r="C149" i="1"/>
  <c r="B149" i="1"/>
  <c r="T148" i="1"/>
  <c r="Q148" i="1"/>
  <c r="O148" i="1"/>
  <c r="C148" i="1"/>
  <c r="B148" i="1"/>
  <c r="T147" i="1"/>
  <c r="R147" i="1"/>
  <c r="S147" i="1" s="1"/>
  <c r="O147" i="1"/>
  <c r="Q147" i="1" s="1"/>
  <c r="C147" i="1"/>
  <c r="B147" i="1"/>
  <c r="T146" i="1"/>
  <c r="Q146" i="1"/>
  <c r="R146" i="1" s="1"/>
  <c r="S146" i="1" s="1"/>
  <c r="O146" i="1"/>
  <c r="C146" i="1"/>
  <c r="B146" i="1"/>
  <c r="T145" i="1"/>
  <c r="O145" i="1"/>
  <c r="C145" i="1"/>
  <c r="B145" i="1"/>
  <c r="T144" i="1"/>
  <c r="O144" i="1"/>
  <c r="C144" i="1"/>
  <c r="B144" i="1"/>
  <c r="T143" i="1"/>
  <c r="O143" i="1"/>
  <c r="Q143" i="1" s="1"/>
  <c r="R143" i="1" s="1"/>
  <c r="S143" i="1" s="1"/>
  <c r="C143" i="1"/>
  <c r="B143" i="1"/>
  <c r="T142" i="1"/>
  <c r="O142" i="1"/>
  <c r="C142" i="1"/>
  <c r="B142" i="1"/>
  <c r="T141" i="1"/>
  <c r="O141" i="1"/>
  <c r="C141" i="1"/>
  <c r="B141" i="1"/>
  <c r="T140" i="1"/>
  <c r="Q140" i="1"/>
  <c r="O140" i="1"/>
  <c r="R140" i="1" s="1"/>
  <c r="S140" i="1" s="1"/>
  <c r="C140" i="1"/>
  <c r="B140" i="1"/>
  <c r="T139" i="1"/>
  <c r="O139" i="1"/>
  <c r="Q139" i="1" s="1"/>
  <c r="R139" i="1" s="1"/>
  <c r="S139" i="1" s="1"/>
  <c r="C139" i="1"/>
  <c r="B139" i="1"/>
  <c r="T138" i="1"/>
  <c r="S138" i="1"/>
  <c r="R138" i="1"/>
  <c r="Q138" i="1"/>
  <c r="O138" i="1"/>
  <c r="C138" i="1"/>
  <c r="B138" i="1"/>
  <c r="T137" i="1"/>
  <c r="O137" i="1"/>
  <c r="C137" i="1"/>
  <c r="B137" i="1"/>
  <c r="T136" i="1"/>
  <c r="O136" i="1"/>
  <c r="C136" i="1"/>
  <c r="B136" i="1"/>
  <c r="T135" i="1"/>
  <c r="O135" i="1"/>
  <c r="C135" i="1"/>
  <c r="B135" i="1"/>
  <c r="T134" i="1"/>
  <c r="O134" i="1"/>
  <c r="Q134" i="1" s="1"/>
  <c r="R134" i="1" s="1"/>
  <c r="S134" i="1" s="1"/>
  <c r="C134" i="1"/>
  <c r="B134" i="1"/>
  <c r="T133" i="1"/>
  <c r="S133" i="1"/>
  <c r="R133" i="1"/>
  <c r="O133" i="1"/>
  <c r="Q133" i="1" s="1"/>
  <c r="C133" i="1"/>
  <c r="B133" i="1"/>
  <c r="T132" i="1"/>
  <c r="Q132" i="1"/>
  <c r="R132" i="1" s="1"/>
  <c r="S132" i="1" s="1"/>
  <c r="O132" i="1"/>
  <c r="C132" i="1"/>
  <c r="B132" i="1"/>
  <c r="T131" i="1"/>
  <c r="S131" i="1"/>
  <c r="R131" i="1"/>
  <c r="O131" i="1"/>
  <c r="Q131" i="1" s="1"/>
  <c r="C131" i="1"/>
  <c r="B131" i="1"/>
  <c r="T130" i="1"/>
  <c r="O130" i="1"/>
  <c r="C130" i="1"/>
  <c r="B130" i="1"/>
  <c r="T129" i="1"/>
  <c r="O129" i="1"/>
  <c r="C129" i="1"/>
  <c r="B129" i="1"/>
  <c r="T128" i="1"/>
  <c r="O128" i="1"/>
  <c r="Q128" i="1" s="1"/>
  <c r="C128" i="1"/>
  <c r="B128" i="1"/>
  <c r="T127" i="1"/>
  <c r="O127" i="1"/>
  <c r="Q127" i="1" s="1"/>
  <c r="R127" i="1" s="1"/>
  <c r="S127" i="1" s="1"/>
  <c r="C127" i="1"/>
  <c r="B127" i="1"/>
  <c r="T126" i="1"/>
  <c r="Q126" i="1"/>
  <c r="R126" i="1" s="1"/>
  <c r="S126" i="1" s="1"/>
  <c r="O126" i="1"/>
  <c r="C126" i="1"/>
  <c r="B126" i="1"/>
  <c r="T125" i="1"/>
  <c r="O125" i="1"/>
  <c r="C125" i="1"/>
  <c r="B125" i="1"/>
  <c r="T124" i="1"/>
  <c r="O124" i="1"/>
  <c r="C124" i="1"/>
  <c r="B124" i="1"/>
  <c r="T123" i="1"/>
  <c r="O123" i="1"/>
  <c r="Q123" i="1" s="1"/>
  <c r="R123" i="1" s="1"/>
  <c r="S123" i="1" s="1"/>
  <c r="C123" i="1"/>
  <c r="B123" i="1"/>
  <c r="T122" i="1"/>
  <c r="S122" i="1"/>
  <c r="R122" i="1"/>
  <c r="Q122" i="1"/>
  <c r="O122" i="1"/>
  <c r="C122" i="1"/>
  <c r="B122" i="1"/>
  <c r="T121" i="1"/>
  <c r="O121" i="1"/>
  <c r="Q121" i="1" s="1"/>
  <c r="C121" i="1"/>
  <c r="B121" i="1"/>
  <c r="T120" i="1"/>
  <c r="R120" i="1"/>
  <c r="S120" i="1" s="1"/>
  <c r="Q120" i="1"/>
  <c r="O120" i="1"/>
  <c r="C120" i="1"/>
  <c r="B120" i="1"/>
  <c r="T119" i="1"/>
  <c r="O119" i="1"/>
  <c r="C119" i="1"/>
  <c r="B119" i="1"/>
  <c r="T118" i="1"/>
  <c r="O118" i="1"/>
  <c r="C118" i="1"/>
  <c r="B118" i="1"/>
  <c r="T117" i="1"/>
  <c r="O117" i="1"/>
  <c r="C117" i="1"/>
  <c r="B117" i="1"/>
  <c r="T116" i="1"/>
  <c r="O116" i="1"/>
  <c r="C116" i="1"/>
  <c r="B116" i="1"/>
  <c r="T115" i="1"/>
  <c r="O115" i="1"/>
  <c r="Q115" i="1" s="1"/>
  <c r="R115" i="1" s="1"/>
  <c r="S115" i="1" s="1"/>
  <c r="C115" i="1"/>
  <c r="B115" i="1"/>
  <c r="T114" i="1"/>
  <c r="S114" i="1"/>
  <c r="Q114" i="1"/>
  <c r="R114" i="1" s="1"/>
  <c r="O114" i="1"/>
  <c r="C114" i="1"/>
  <c r="B114" i="1"/>
  <c r="T113" i="1"/>
  <c r="O113" i="1"/>
  <c r="C113" i="1"/>
  <c r="B113" i="1"/>
  <c r="T112" i="1"/>
  <c r="O112" i="1"/>
  <c r="Q112" i="1" s="1"/>
  <c r="R112" i="1" s="1"/>
  <c r="S112" i="1" s="1"/>
  <c r="C112" i="1"/>
  <c r="B112" i="1"/>
  <c r="T111" i="1"/>
  <c r="O111" i="1"/>
  <c r="C111" i="1"/>
  <c r="B111" i="1"/>
  <c r="T110" i="1"/>
  <c r="O110" i="1"/>
  <c r="C110" i="1"/>
  <c r="B110" i="1"/>
  <c r="T109" i="1"/>
  <c r="O109" i="1"/>
  <c r="Q109" i="1" s="1"/>
  <c r="C109" i="1"/>
  <c r="B109" i="1"/>
  <c r="T108" i="1"/>
  <c r="Q108" i="1"/>
  <c r="R108" i="1" s="1"/>
  <c r="S108" i="1" s="1"/>
  <c r="O108" i="1"/>
  <c r="C108" i="1"/>
  <c r="B108" i="1"/>
  <c r="T107" i="1"/>
  <c r="O107" i="1"/>
  <c r="Q107" i="1" s="1"/>
  <c r="C107" i="1"/>
  <c r="B107" i="1"/>
  <c r="T106" i="1"/>
  <c r="R106" i="1"/>
  <c r="S106" i="1" s="1"/>
  <c r="Q106" i="1"/>
  <c r="O106" i="1"/>
  <c r="C106" i="1"/>
  <c r="B106" i="1"/>
  <c r="T105" i="1"/>
  <c r="O105" i="1"/>
  <c r="C105" i="1"/>
  <c r="B105" i="1"/>
  <c r="T104" i="1"/>
  <c r="O104" i="1"/>
  <c r="C104" i="1"/>
  <c r="B104" i="1"/>
  <c r="T103" i="1"/>
  <c r="Q103" i="1"/>
  <c r="O103" i="1"/>
  <c r="C103" i="1"/>
  <c r="B103" i="1"/>
  <c r="T102" i="1"/>
  <c r="Q102" i="1"/>
  <c r="R102" i="1" s="1"/>
  <c r="S102" i="1" s="1"/>
  <c r="O102" i="1"/>
  <c r="C102" i="1"/>
  <c r="B102" i="1"/>
  <c r="T101" i="1"/>
  <c r="O101" i="1"/>
  <c r="C101" i="1"/>
  <c r="B101" i="1"/>
  <c r="T100" i="1"/>
  <c r="O100" i="1"/>
  <c r="C100" i="1"/>
  <c r="B100" i="1"/>
  <c r="T99" i="1"/>
  <c r="O99" i="1"/>
  <c r="C99" i="1"/>
  <c r="B99" i="1"/>
  <c r="T98" i="1"/>
  <c r="Q98" i="1"/>
  <c r="R98" i="1" s="1"/>
  <c r="S98" i="1" s="1"/>
  <c r="O98" i="1"/>
  <c r="C98" i="1"/>
  <c r="B98" i="1"/>
  <c r="T97" i="1"/>
  <c r="O97" i="1"/>
  <c r="Q97" i="1" s="1"/>
  <c r="R97" i="1" s="1"/>
  <c r="S97" i="1" s="1"/>
  <c r="C97" i="1"/>
  <c r="B97" i="1"/>
  <c r="T96" i="1"/>
  <c r="S96" i="1"/>
  <c r="R96" i="1"/>
  <c r="O96" i="1"/>
  <c r="Q96" i="1" s="1"/>
  <c r="C96" i="1"/>
  <c r="B96" i="1"/>
  <c r="T95" i="1"/>
  <c r="O95" i="1"/>
  <c r="Q95" i="1" s="1"/>
  <c r="C95" i="1"/>
  <c r="B95" i="1"/>
  <c r="T94" i="1"/>
  <c r="O94" i="1"/>
  <c r="C94" i="1"/>
  <c r="B94" i="1"/>
  <c r="T93" i="1"/>
  <c r="R93" i="1"/>
  <c r="S93" i="1" s="1"/>
  <c r="O93" i="1"/>
  <c r="Q93" i="1" s="1"/>
  <c r="C93" i="1"/>
  <c r="B93" i="1"/>
  <c r="T92" i="1"/>
  <c r="Q92" i="1"/>
  <c r="R92" i="1" s="1"/>
  <c r="S92" i="1" s="1"/>
  <c r="O92" i="1"/>
  <c r="C92" i="1"/>
  <c r="B92" i="1"/>
  <c r="T91" i="1"/>
  <c r="O91" i="1"/>
  <c r="Q91" i="1" s="1"/>
  <c r="R91" i="1" s="1"/>
  <c r="S91" i="1" s="1"/>
  <c r="C91" i="1"/>
  <c r="B91" i="1"/>
  <c r="T90" i="1"/>
  <c r="R90" i="1"/>
  <c r="S90" i="1" s="1"/>
  <c r="Q90" i="1"/>
  <c r="O90" i="1"/>
  <c r="C90" i="1"/>
  <c r="B90" i="1"/>
  <c r="T89" i="1"/>
  <c r="O89" i="1"/>
  <c r="C89" i="1"/>
  <c r="B89" i="1"/>
  <c r="T88" i="1"/>
  <c r="O88" i="1"/>
  <c r="C88" i="1"/>
  <c r="B88" i="1"/>
  <c r="T87" i="1"/>
  <c r="Q87" i="1"/>
  <c r="O87" i="1"/>
  <c r="C87" i="1"/>
  <c r="B87" i="1"/>
  <c r="T86" i="1"/>
  <c r="Q86" i="1"/>
  <c r="R86" i="1" s="1"/>
  <c r="S86" i="1" s="1"/>
  <c r="O86" i="1"/>
  <c r="C86" i="1"/>
  <c r="B86" i="1"/>
  <c r="T85" i="1"/>
  <c r="O85" i="1"/>
  <c r="C85" i="1"/>
  <c r="B85" i="1"/>
  <c r="T84" i="1"/>
  <c r="Q84" i="1"/>
  <c r="R84" i="1" s="1"/>
  <c r="S84" i="1" s="1"/>
  <c r="O84" i="1"/>
  <c r="C84" i="1"/>
  <c r="B84" i="1"/>
  <c r="T83" i="1"/>
  <c r="O83" i="1"/>
  <c r="Q83" i="1" s="1"/>
  <c r="C83" i="1"/>
  <c r="B83" i="1"/>
  <c r="T82" i="1"/>
  <c r="O82" i="1"/>
  <c r="Q82" i="1" s="1"/>
  <c r="R82" i="1" s="1"/>
  <c r="S82" i="1" s="1"/>
  <c r="C82" i="1"/>
  <c r="B82" i="1"/>
  <c r="T81" i="1"/>
  <c r="Q81" i="1"/>
  <c r="R81" i="1" s="1"/>
  <c r="S81" i="1" s="1"/>
  <c r="O81" i="1"/>
  <c r="C81" i="1"/>
  <c r="B81" i="1"/>
  <c r="T80" i="1"/>
  <c r="O80" i="1"/>
  <c r="C80" i="1"/>
  <c r="B80" i="1"/>
  <c r="T79" i="1"/>
  <c r="O79" i="1"/>
  <c r="C79" i="1"/>
  <c r="B79" i="1"/>
  <c r="T78" i="1"/>
  <c r="O78" i="1"/>
  <c r="C78" i="1"/>
  <c r="B78" i="1"/>
  <c r="T77" i="1"/>
  <c r="O77" i="1"/>
  <c r="C77" i="1"/>
  <c r="B77" i="1"/>
  <c r="T76" i="1"/>
  <c r="O76" i="1"/>
  <c r="Q76" i="1" s="1"/>
  <c r="C76" i="1"/>
  <c r="B76" i="1"/>
  <c r="T75" i="1"/>
  <c r="O75" i="1"/>
  <c r="C75" i="1"/>
  <c r="B75" i="1"/>
  <c r="T74" i="1"/>
  <c r="Q74" i="1"/>
  <c r="R74" i="1" s="1"/>
  <c r="S74" i="1" s="1"/>
  <c r="O74" i="1"/>
  <c r="C74" i="1"/>
  <c r="B74" i="1"/>
  <c r="T73" i="1"/>
  <c r="Q73" i="1"/>
  <c r="O73" i="1"/>
  <c r="C73" i="1"/>
  <c r="B73" i="1"/>
  <c r="T72" i="1"/>
  <c r="O72" i="1"/>
  <c r="Q72" i="1" s="1"/>
  <c r="C72" i="1"/>
  <c r="B72" i="1"/>
  <c r="T71" i="1"/>
  <c r="O71" i="1"/>
  <c r="Q71" i="1" s="1"/>
  <c r="R71" i="1" s="1"/>
  <c r="S71" i="1" s="1"/>
  <c r="C71" i="1"/>
  <c r="B71" i="1"/>
  <c r="T70" i="1"/>
  <c r="O70" i="1"/>
  <c r="C70" i="1"/>
  <c r="B70" i="1"/>
  <c r="T69" i="1"/>
  <c r="O69" i="1"/>
  <c r="Q69" i="1" s="1"/>
  <c r="C69" i="1"/>
  <c r="B69" i="1"/>
  <c r="T68" i="1"/>
  <c r="Q68" i="1"/>
  <c r="O68" i="1"/>
  <c r="R68" i="1" s="1"/>
  <c r="S68" i="1" s="1"/>
  <c r="C68" i="1"/>
  <c r="B68" i="1"/>
  <c r="T67" i="1"/>
  <c r="S67" i="1"/>
  <c r="R67" i="1"/>
  <c r="O67" i="1"/>
  <c r="Q67" i="1" s="1"/>
  <c r="C67" i="1"/>
  <c r="B67" i="1"/>
  <c r="T66" i="1"/>
  <c r="R66" i="1"/>
  <c r="S66" i="1" s="1"/>
  <c r="Q66" i="1"/>
  <c r="O66" i="1"/>
  <c r="C66" i="1"/>
  <c r="B66" i="1"/>
  <c r="T65" i="1"/>
  <c r="O65" i="1"/>
  <c r="C65" i="1"/>
  <c r="B65" i="1"/>
  <c r="T64" i="1"/>
  <c r="O64" i="1"/>
  <c r="Q64" i="1" s="1"/>
  <c r="C64" i="1"/>
  <c r="B64" i="1"/>
  <c r="T63" i="1"/>
  <c r="Q63" i="1"/>
  <c r="O63" i="1"/>
  <c r="C63" i="1"/>
  <c r="B63" i="1"/>
  <c r="T62" i="1"/>
  <c r="Q62" i="1"/>
  <c r="R62" i="1" s="1"/>
  <c r="S62" i="1" s="1"/>
  <c r="O62" i="1"/>
  <c r="C62" i="1"/>
  <c r="B62" i="1"/>
  <c r="T61" i="1"/>
  <c r="O61" i="1"/>
  <c r="Q61" i="1" s="1"/>
  <c r="R61" i="1" s="1"/>
  <c r="S61" i="1" s="1"/>
  <c r="C61" i="1"/>
  <c r="B61" i="1"/>
  <c r="T60" i="1"/>
  <c r="Q60" i="1"/>
  <c r="R60" i="1" s="1"/>
  <c r="S60" i="1" s="1"/>
  <c r="O60" i="1"/>
  <c r="C60" i="1"/>
  <c r="B60" i="1"/>
  <c r="T59" i="1"/>
  <c r="O59" i="1"/>
  <c r="Q59" i="1" s="1"/>
  <c r="C59" i="1"/>
  <c r="B59" i="1"/>
  <c r="T58" i="1"/>
  <c r="O58" i="1"/>
  <c r="Q58" i="1" s="1"/>
  <c r="C58" i="1"/>
  <c r="B58" i="1"/>
  <c r="T57" i="1"/>
  <c r="Q57" i="1"/>
  <c r="R57" i="1" s="1"/>
  <c r="S57" i="1" s="1"/>
  <c r="O57" i="1"/>
  <c r="C57" i="1"/>
  <c r="B57" i="1"/>
  <c r="T56" i="1"/>
  <c r="Q56" i="1"/>
  <c r="R56" i="1" s="1"/>
  <c r="S56" i="1" s="1"/>
  <c r="O56" i="1"/>
  <c r="C56" i="1"/>
  <c r="B56" i="1"/>
  <c r="T55" i="1"/>
  <c r="O55" i="1"/>
  <c r="C55" i="1"/>
  <c r="B55" i="1"/>
  <c r="T54" i="1"/>
  <c r="O54" i="1"/>
  <c r="C54" i="1"/>
  <c r="B54" i="1"/>
  <c r="T53" i="1"/>
  <c r="O53" i="1"/>
  <c r="C53" i="1"/>
  <c r="B53" i="1"/>
  <c r="T52" i="1"/>
  <c r="Q52" i="1"/>
  <c r="O52" i="1"/>
  <c r="C52" i="1"/>
  <c r="B52" i="1"/>
  <c r="T51" i="1"/>
  <c r="O51" i="1"/>
  <c r="C51" i="1"/>
  <c r="B51" i="1"/>
  <c r="T50" i="1"/>
  <c r="S50" i="1"/>
  <c r="R50" i="1"/>
  <c r="Q50" i="1"/>
  <c r="O50" i="1"/>
  <c r="C50" i="1"/>
  <c r="B50" i="1"/>
  <c r="T49" i="1"/>
  <c r="R49" i="1"/>
  <c r="S49" i="1" s="1"/>
  <c r="O49" i="1"/>
  <c r="Q49" i="1" s="1"/>
  <c r="C49" i="1"/>
  <c r="B49" i="1"/>
  <c r="T48" i="1"/>
  <c r="O48" i="1"/>
  <c r="C48" i="1"/>
  <c r="B48" i="1"/>
  <c r="T47" i="1"/>
  <c r="O47" i="1"/>
  <c r="C47" i="1"/>
  <c r="B47" i="1"/>
  <c r="T46" i="1"/>
  <c r="O46" i="1"/>
  <c r="C46" i="1"/>
  <c r="B46" i="1"/>
  <c r="T45" i="1"/>
  <c r="R45" i="1"/>
  <c r="S45" i="1" s="1"/>
  <c r="Q45" i="1"/>
  <c r="O45" i="1"/>
  <c r="C45" i="1"/>
  <c r="B45" i="1"/>
  <c r="T44" i="1"/>
  <c r="O44" i="1"/>
  <c r="C44" i="1"/>
  <c r="B44" i="1"/>
  <c r="T43" i="1"/>
  <c r="O43" i="1"/>
  <c r="Q43" i="1" s="1"/>
  <c r="R43" i="1" s="1"/>
  <c r="S43" i="1" s="1"/>
  <c r="C43" i="1"/>
  <c r="B43" i="1"/>
  <c r="T42" i="1"/>
  <c r="Q42" i="1"/>
  <c r="R42" i="1" s="1"/>
  <c r="S42" i="1" s="1"/>
  <c r="O42" i="1"/>
  <c r="C42" i="1"/>
  <c r="B42" i="1"/>
  <c r="T41" i="1"/>
  <c r="Q41" i="1"/>
  <c r="R41" i="1" s="1"/>
  <c r="S41" i="1" s="1"/>
  <c r="O41" i="1"/>
  <c r="C41" i="1"/>
  <c r="B41" i="1"/>
  <c r="T40" i="1"/>
  <c r="Q40" i="1"/>
  <c r="R40" i="1" s="1"/>
  <c r="S40" i="1" s="1"/>
  <c r="O40" i="1"/>
  <c r="C40" i="1"/>
  <c r="B40" i="1"/>
  <c r="T39" i="1"/>
  <c r="O39" i="1"/>
  <c r="C39" i="1"/>
  <c r="B39" i="1"/>
  <c r="T38" i="1"/>
  <c r="O38" i="1"/>
  <c r="Q38" i="1" s="1"/>
  <c r="C38" i="1"/>
  <c r="B38" i="1"/>
  <c r="T37" i="1"/>
  <c r="S37" i="1"/>
  <c r="Q37" i="1"/>
  <c r="O37" i="1"/>
  <c r="R37" i="1" s="1"/>
  <c r="C37" i="1"/>
  <c r="B37" i="1"/>
  <c r="T36" i="1"/>
  <c r="Q36" i="1"/>
  <c r="R36" i="1" s="1"/>
  <c r="S36" i="1" s="1"/>
  <c r="O36" i="1"/>
  <c r="C36" i="1"/>
  <c r="B36" i="1"/>
  <c r="T35" i="1"/>
  <c r="O35" i="1"/>
  <c r="Q35" i="1" s="1"/>
  <c r="C35" i="1"/>
  <c r="B35" i="1"/>
  <c r="T34" i="1"/>
  <c r="O34" i="1"/>
  <c r="C34" i="1"/>
  <c r="B34" i="1"/>
  <c r="T33" i="1"/>
  <c r="O33" i="1"/>
  <c r="C33" i="1"/>
  <c r="B33" i="1"/>
  <c r="T32" i="1"/>
  <c r="R32" i="1"/>
  <c r="S32" i="1" s="1"/>
  <c r="O32" i="1"/>
  <c r="Q32" i="1" s="1"/>
  <c r="C32" i="1"/>
  <c r="B32" i="1"/>
  <c r="T31" i="1"/>
  <c r="O31" i="1"/>
  <c r="C31" i="1"/>
  <c r="B31" i="1"/>
  <c r="T30" i="1"/>
  <c r="Q30" i="1"/>
  <c r="R30" i="1" s="1"/>
  <c r="S30" i="1" s="1"/>
  <c r="O30" i="1"/>
  <c r="C30" i="1"/>
  <c r="B30" i="1"/>
  <c r="T29" i="1"/>
  <c r="O29" i="1"/>
  <c r="C29" i="1"/>
  <c r="B29" i="1"/>
  <c r="T28" i="1"/>
  <c r="O28" i="1"/>
  <c r="C28" i="1"/>
  <c r="B28" i="1"/>
  <c r="T27" i="1"/>
  <c r="O27" i="1"/>
  <c r="Q27" i="1" s="1"/>
  <c r="C27" i="1"/>
  <c r="B27" i="1"/>
  <c r="T26" i="1"/>
  <c r="Q26" i="1"/>
  <c r="R26" i="1" s="1"/>
  <c r="S26" i="1" s="1"/>
  <c r="O26" i="1"/>
  <c r="C26" i="1"/>
  <c r="B26" i="1"/>
  <c r="T25" i="1"/>
  <c r="O25" i="1"/>
  <c r="C25" i="1"/>
  <c r="B25" i="1"/>
  <c r="T24" i="1"/>
  <c r="Q24" i="1"/>
  <c r="R24" i="1" s="1"/>
  <c r="S24" i="1" s="1"/>
  <c r="O24" i="1"/>
  <c r="C24" i="1"/>
  <c r="B24" i="1"/>
  <c r="T23" i="1"/>
  <c r="Q23" i="1"/>
  <c r="R23" i="1" s="1"/>
  <c r="S23" i="1" s="1"/>
  <c r="O23" i="1"/>
  <c r="C23" i="1"/>
  <c r="B23" i="1"/>
  <c r="T22" i="1"/>
  <c r="O22" i="1"/>
  <c r="C22" i="1"/>
  <c r="B22" i="1"/>
  <c r="T21" i="1"/>
  <c r="O21" i="1"/>
  <c r="Q21" i="1" s="1"/>
  <c r="R21" i="1" s="1"/>
  <c r="S21" i="1" s="1"/>
  <c r="C21" i="1"/>
  <c r="B21" i="1"/>
  <c r="T20" i="1"/>
  <c r="S20" i="1"/>
  <c r="Q20" i="1"/>
  <c r="R20" i="1" s="1"/>
  <c r="O20" i="1"/>
  <c r="C20" i="1"/>
  <c r="B20" i="1"/>
  <c r="T19" i="1"/>
  <c r="O19" i="1"/>
  <c r="Q19" i="1" s="1"/>
  <c r="R19" i="1" s="1"/>
  <c r="S19" i="1" s="1"/>
  <c r="C19" i="1"/>
  <c r="B19" i="1"/>
  <c r="T18" i="1"/>
  <c r="R18" i="1"/>
  <c r="S18" i="1" s="1"/>
  <c r="Q18" i="1"/>
  <c r="O18" i="1"/>
  <c r="C18" i="1"/>
  <c r="B18" i="1"/>
  <c r="T17" i="1"/>
  <c r="R17" i="1"/>
  <c r="S17" i="1" s="1"/>
  <c r="O17" i="1"/>
  <c r="Q17" i="1" s="1"/>
  <c r="C17" i="1"/>
  <c r="B17" i="1"/>
  <c r="T16" i="1"/>
  <c r="O16" i="1"/>
  <c r="C16" i="1"/>
  <c r="B16" i="1"/>
  <c r="T15" i="1"/>
  <c r="O15" i="1"/>
  <c r="C15" i="1"/>
  <c r="B15" i="1"/>
  <c r="T14" i="1"/>
  <c r="O14" i="1"/>
  <c r="C14" i="1"/>
  <c r="B14" i="1"/>
  <c r="T13" i="1"/>
  <c r="O13" i="1"/>
  <c r="C13" i="1"/>
  <c r="B13" i="1"/>
  <c r="T12" i="1"/>
  <c r="S12" i="1"/>
  <c r="Q12" i="1"/>
  <c r="R12" i="1" s="1"/>
  <c r="O12" i="1"/>
  <c r="C12" i="1"/>
  <c r="B12" i="1"/>
  <c r="T11" i="1"/>
  <c r="R11" i="1"/>
  <c r="S11" i="1" s="1"/>
  <c r="O11" i="1"/>
  <c r="Q11" i="1" s="1"/>
  <c r="C11" i="1"/>
  <c r="B11" i="1"/>
  <c r="T10" i="1"/>
  <c r="O10" i="1"/>
  <c r="C10" i="1"/>
  <c r="B10" i="1"/>
  <c r="T9" i="1"/>
  <c r="S9" i="1"/>
  <c r="R9" i="1"/>
  <c r="Q9" i="1"/>
  <c r="O9" i="1"/>
  <c r="C9" i="1"/>
  <c r="B9" i="1"/>
  <c r="T8" i="1"/>
  <c r="O8" i="1"/>
  <c r="Q8" i="1" s="1"/>
  <c r="R8" i="1" s="1"/>
  <c r="S8" i="1" s="1"/>
  <c r="C8" i="1"/>
  <c r="B8" i="1"/>
  <c r="T7" i="1"/>
  <c r="O7" i="1"/>
  <c r="Q7" i="1" s="1"/>
  <c r="R7" i="1" s="1"/>
  <c r="S7" i="1" s="1"/>
  <c r="C7" i="1"/>
  <c r="B7" i="1"/>
  <c r="T6" i="1"/>
  <c r="O6" i="1"/>
  <c r="C6" i="1"/>
  <c r="B6" i="1"/>
  <c r="T5" i="1"/>
  <c r="O5" i="1"/>
  <c r="C5" i="1"/>
  <c r="B5" i="1"/>
  <c r="R1353" i="1" l="1"/>
  <c r="S1353" i="1" s="1"/>
  <c r="R65" i="1"/>
  <c r="S65" i="1" s="1"/>
  <c r="R79" i="1"/>
  <c r="S79" i="1" s="1"/>
  <c r="R625" i="1"/>
  <c r="S625" i="1" s="1"/>
  <c r="R185" i="1"/>
  <c r="S185" i="1" s="1"/>
  <c r="R988" i="1"/>
  <c r="S988" i="1" s="1"/>
  <c r="R980" i="1"/>
  <c r="S980" i="1" s="1"/>
  <c r="R241" i="1"/>
  <c r="S241" i="1" s="1"/>
  <c r="R277" i="1"/>
  <c r="S277" i="1" s="1"/>
  <c r="R144" i="1"/>
  <c r="S144" i="1" s="1"/>
  <c r="R558" i="1"/>
  <c r="S558" i="1" s="1"/>
  <c r="R181" i="1"/>
  <c r="S181" i="1" s="1"/>
  <c r="R111" i="1"/>
  <c r="S111" i="1" s="1"/>
  <c r="Q184" i="1"/>
  <c r="R184" i="1" s="1"/>
  <c r="S184" i="1" s="1"/>
  <c r="Q188" i="1"/>
  <c r="R188" i="1" s="1"/>
  <c r="S188" i="1" s="1"/>
  <c r="Q1885" i="1"/>
  <c r="R1885" i="1"/>
  <c r="S1885" i="1" s="1"/>
  <c r="R33" i="1"/>
  <c r="S33" i="1" s="1"/>
  <c r="Q47" i="1"/>
  <c r="R47" i="1" s="1"/>
  <c r="S47" i="1" s="1"/>
  <c r="Q111" i="1"/>
  <c r="Q1545" i="1"/>
  <c r="R1545" i="1" s="1"/>
  <c r="S1545" i="1" s="1"/>
  <c r="R1079" i="1"/>
  <c r="S1079" i="1" s="1"/>
  <c r="R1074" i="1"/>
  <c r="S1074" i="1" s="1"/>
  <c r="Q1393" i="1"/>
  <c r="R1393" i="1"/>
  <c r="S1393" i="1" s="1"/>
  <c r="R1524" i="1"/>
  <c r="S1524" i="1" s="1"/>
  <c r="Q1535" i="1"/>
  <c r="R1535" i="1" s="1"/>
  <c r="S1535" i="1" s="1"/>
  <c r="Q446" i="1"/>
  <c r="R446" i="1" s="1"/>
  <c r="S446" i="1" s="1"/>
  <c r="R514" i="1"/>
  <c r="S514" i="1" s="1"/>
  <c r="Q524" i="1"/>
  <c r="R524" i="1" s="1"/>
  <c r="S524" i="1" s="1"/>
  <c r="Q4339" i="1"/>
  <c r="R4339" i="1" s="1"/>
  <c r="S4339" i="1" s="1"/>
  <c r="R83" i="1"/>
  <c r="S83" i="1" s="1"/>
  <c r="Q185" i="1"/>
  <c r="Q442" i="1"/>
  <c r="R442" i="1" s="1"/>
  <c r="S442" i="1" s="1"/>
  <c r="R644" i="1"/>
  <c r="S644" i="1" s="1"/>
  <c r="R867" i="1"/>
  <c r="S867" i="1" s="1"/>
  <c r="R1018" i="1"/>
  <c r="S1018" i="1" s="1"/>
  <c r="R529" i="1"/>
  <c r="S529" i="1" s="1"/>
  <c r="Q529" i="1"/>
  <c r="Q1353" i="1"/>
  <c r="R1363" i="1"/>
  <c r="S1363" i="1" s="1"/>
  <c r="Q1738" i="1"/>
  <c r="R1738" i="1" s="1"/>
  <c r="S1738" i="1" s="1"/>
  <c r="R152" i="1"/>
  <c r="S152" i="1" s="1"/>
  <c r="R177" i="1"/>
  <c r="S177" i="1" s="1"/>
  <c r="R1557" i="1"/>
  <c r="S1557" i="1" s="1"/>
  <c r="Q1774" i="1"/>
  <c r="R1774" i="1" s="1"/>
  <c r="S1774" i="1" s="1"/>
  <c r="Q1779" i="1"/>
  <c r="R1779" i="1" s="1"/>
  <c r="S1779" i="1" s="1"/>
  <c r="Q4334" i="1"/>
  <c r="R4334" i="1" s="1"/>
  <c r="S4334" i="1" s="1"/>
  <c r="Q79" i="1"/>
  <c r="Q232" i="1"/>
  <c r="R232" i="1" s="1"/>
  <c r="S232" i="1" s="1"/>
  <c r="Q277" i="1"/>
  <c r="R368" i="1"/>
  <c r="S368" i="1" s="1"/>
  <c r="Q373" i="1"/>
  <c r="R373" i="1"/>
  <c r="S373" i="1" s="1"/>
  <c r="Q438" i="1"/>
  <c r="R438" i="1" s="1"/>
  <c r="S438" i="1" s="1"/>
  <c r="Q515" i="1"/>
  <c r="R515" i="1"/>
  <c r="S515" i="1" s="1"/>
  <c r="R520" i="1"/>
  <c r="S520" i="1" s="1"/>
  <c r="R649" i="1"/>
  <c r="S649" i="1" s="1"/>
  <c r="Q654" i="1"/>
  <c r="R654" i="1" s="1"/>
  <c r="S654" i="1" s="1"/>
  <c r="R726" i="1"/>
  <c r="S726" i="1" s="1"/>
  <c r="R785" i="1"/>
  <c r="S785" i="1" s="1"/>
  <c r="Q785" i="1"/>
  <c r="Q1085" i="1"/>
  <c r="R1085" i="1" s="1"/>
  <c r="S1085" i="1" s="1"/>
  <c r="Q1557" i="1"/>
  <c r="R2135" i="1"/>
  <c r="S2135" i="1" s="1"/>
  <c r="Q2135" i="1"/>
  <c r="Q4258" i="1"/>
  <c r="R4258" i="1" s="1"/>
  <c r="S4258" i="1" s="1"/>
  <c r="R608" i="1"/>
  <c r="S608" i="1" s="1"/>
  <c r="Q1145" i="1"/>
  <c r="R1145" i="1"/>
  <c r="S1145" i="1" s="1"/>
  <c r="R1628" i="1"/>
  <c r="S1628" i="1" s="1"/>
  <c r="R465" i="1"/>
  <c r="S465" i="1" s="1"/>
  <c r="Q988" i="1"/>
  <c r="R1127" i="1"/>
  <c r="S1127" i="1" s="1"/>
  <c r="Q28" i="1"/>
  <c r="R28" i="1" s="1"/>
  <c r="S28" i="1" s="1"/>
  <c r="R387" i="1"/>
  <c r="S387" i="1" s="1"/>
  <c r="Q397" i="1"/>
  <c r="R397" i="1"/>
  <c r="S397" i="1" s="1"/>
  <c r="R667" i="1"/>
  <c r="S667" i="1" s="1"/>
  <c r="Q794" i="1"/>
  <c r="R794" i="1" s="1"/>
  <c r="S794" i="1" s="1"/>
  <c r="Q1590" i="1"/>
  <c r="R1590" i="1"/>
  <c r="S1590" i="1" s="1"/>
  <c r="R4328" i="1"/>
  <c r="S4328" i="1" s="1"/>
  <c r="Q4328" i="1"/>
  <c r="Q14" i="1"/>
  <c r="R14" i="1" s="1"/>
  <c r="S14" i="1" s="1"/>
  <c r="Q34" i="1"/>
  <c r="R34" i="1" s="1"/>
  <c r="S34" i="1" s="1"/>
  <c r="R88" i="1"/>
  <c r="S88" i="1" s="1"/>
  <c r="Q534" i="1"/>
  <c r="R534" i="1" s="1"/>
  <c r="S534" i="1" s="1"/>
  <c r="Q639" i="1"/>
  <c r="R639" i="1" s="1"/>
  <c r="S639" i="1" s="1"/>
  <c r="R862" i="1"/>
  <c r="S862" i="1" s="1"/>
  <c r="Q88" i="1"/>
  <c r="Q181" i="1"/>
  <c r="Q241" i="1"/>
  <c r="Q256" i="1"/>
  <c r="R256" i="1"/>
  <c r="S256" i="1" s="1"/>
  <c r="R285" i="1"/>
  <c r="S285" i="1" s="1"/>
  <c r="Q1732" i="1"/>
  <c r="R1732" i="1" s="1"/>
  <c r="S1732" i="1" s="1"/>
  <c r="R4318" i="1"/>
  <c r="S4318" i="1" s="1"/>
  <c r="R393" i="1"/>
  <c r="S393" i="1" s="1"/>
  <c r="R432" i="1"/>
  <c r="S432" i="1" s="1"/>
  <c r="R510" i="1"/>
  <c r="S510" i="1" s="1"/>
  <c r="R886" i="1"/>
  <c r="S886" i="1" s="1"/>
  <c r="Q10" i="1"/>
  <c r="R10" i="1" s="1"/>
  <c r="S10" i="1" s="1"/>
  <c r="Q15" i="1"/>
  <c r="R15" i="1" s="1"/>
  <c r="S15" i="1" s="1"/>
  <c r="R148" i="1"/>
  <c r="S148" i="1" s="1"/>
  <c r="Q286" i="1"/>
  <c r="R286" i="1" s="1"/>
  <c r="S286" i="1" s="1"/>
  <c r="R858" i="1"/>
  <c r="S858" i="1" s="1"/>
  <c r="Q858" i="1"/>
  <c r="Q868" i="1"/>
  <c r="R868" i="1" s="1"/>
  <c r="S868" i="1" s="1"/>
  <c r="R1500" i="1"/>
  <c r="S1500" i="1" s="1"/>
  <c r="R1723" i="1"/>
  <c r="S1723" i="1" s="1"/>
  <c r="R2079" i="1"/>
  <c r="S2079" i="1" s="1"/>
  <c r="Q2079" i="1"/>
  <c r="Q4202" i="1"/>
  <c r="R4202" i="1" s="1"/>
  <c r="S4202" i="1" s="1"/>
  <c r="Q563" i="1"/>
  <c r="R563" i="1"/>
  <c r="S563" i="1" s="1"/>
  <c r="Q116" i="1"/>
  <c r="R116" i="1"/>
  <c r="S116" i="1" s="1"/>
  <c r="Q270" i="1"/>
  <c r="R270" i="1" s="1"/>
  <c r="S270" i="1" s="1"/>
  <c r="Q918" i="1"/>
  <c r="R918" i="1"/>
  <c r="S918" i="1" s="1"/>
  <c r="R909" i="1"/>
  <c r="S909" i="1" s="1"/>
  <c r="Q1012" i="1"/>
  <c r="R1012" i="1" s="1"/>
  <c r="S1012" i="1" s="1"/>
  <c r="Q1097" i="1"/>
  <c r="R1097" i="1"/>
  <c r="S1097" i="1" s="1"/>
  <c r="Q1565" i="1"/>
  <c r="R1565" i="1" s="1"/>
  <c r="S1565" i="1" s="1"/>
  <c r="R1595" i="1"/>
  <c r="S1595" i="1" s="1"/>
  <c r="R658" i="1"/>
  <c r="S658" i="1" s="1"/>
  <c r="Q812" i="1"/>
  <c r="R812" i="1" s="1"/>
  <c r="S812" i="1" s="1"/>
  <c r="Q1103" i="1"/>
  <c r="R1103" i="1" s="1"/>
  <c r="S1103" i="1" s="1"/>
  <c r="R1235" i="1"/>
  <c r="S1235" i="1" s="1"/>
  <c r="Q1235" i="1"/>
  <c r="Q1821" i="1"/>
  <c r="R1821" i="1" s="1"/>
  <c r="S1821" i="1" s="1"/>
  <c r="R38" i="1"/>
  <c r="S38" i="1" s="1"/>
  <c r="R107" i="1"/>
  <c r="S107" i="1" s="1"/>
  <c r="Q667" i="1"/>
  <c r="Q739" i="1"/>
  <c r="R739" i="1" s="1"/>
  <c r="S739" i="1" s="1"/>
  <c r="Q980" i="1"/>
  <c r="R1840" i="1"/>
  <c r="S1840" i="1" s="1"/>
  <c r="Q2356" i="1"/>
  <c r="R2356" i="1" s="1"/>
  <c r="S2356" i="1" s="1"/>
  <c r="Q319" i="1"/>
  <c r="R319" i="1"/>
  <c r="S319" i="1" s="1"/>
  <c r="R984" i="1"/>
  <c r="S984" i="1" s="1"/>
  <c r="Q1074" i="1"/>
  <c r="Q1098" i="1"/>
  <c r="R1098" i="1" s="1"/>
  <c r="S1098" i="1" s="1"/>
  <c r="Q1312" i="1"/>
  <c r="R1312" i="1"/>
  <c r="S1312" i="1" s="1"/>
  <c r="R823" i="1"/>
  <c r="S823" i="1" s="1"/>
  <c r="Q172" i="1"/>
  <c r="R172" i="1" s="1"/>
  <c r="S172" i="1" s="1"/>
  <c r="R692" i="1"/>
  <c r="S692" i="1" s="1"/>
  <c r="Q2278" i="1"/>
  <c r="R2278" i="1" s="1"/>
  <c r="S2278" i="1" s="1"/>
  <c r="Q129" i="1"/>
  <c r="R129" i="1"/>
  <c r="S129" i="1" s="1"/>
  <c r="Q349" i="1"/>
  <c r="R349" i="1"/>
  <c r="S349" i="1" s="1"/>
  <c r="R838" i="1"/>
  <c r="S838" i="1" s="1"/>
  <c r="Q854" i="1"/>
  <c r="R854" i="1" s="1"/>
  <c r="S854" i="1" s="1"/>
  <c r="R939" i="1"/>
  <c r="S939" i="1" s="1"/>
  <c r="R1339" i="1"/>
  <c r="S1339" i="1" s="1"/>
  <c r="R4078" i="1"/>
  <c r="S4078" i="1" s="1"/>
  <c r="Q4078" i="1"/>
  <c r="Q4249" i="1"/>
  <c r="R4249" i="1" s="1"/>
  <c r="S4249" i="1" s="1"/>
  <c r="Q260" i="1"/>
  <c r="R260" i="1"/>
  <c r="S260" i="1" s="1"/>
  <c r="R323" i="1"/>
  <c r="S323" i="1" s="1"/>
  <c r="R4343" i="1"/>
  <c r="S4343" i="1" s="1"/>
  <c r="R604" i="1"/>
  <c r="S604" i="1" s="1"/>
  <c r="R638" i="1"/>
  <c r="S638" i="1" s="1"/>
  <c r="R734" i="1"/>
  <c r="S734" i="1" s="1"/>
  <c r="R957" i="1"/>
  <c r="S957" i="1" s="1"/>
  <c r="R237" i="1"/>
  <c r="S237" i="1" s="1"/>
  <c r="Q6" i="1"/>
  <c r="R6" i="1"/>
  <c r="S6" i="1" s="1"/>
  <c r="Q65" i="1"/>
  <c r="Q364" i="1"/>
  <c r="R364" i="1" s="1"/>
  <c r="S364" i="1" s="1"/>
  <c r="R404" i="1"/>
  <c r="S404" i="1" s="1"/>
  <c r="Q1677" i="1"/>
  <c r="R1677" i="1" s="1"/>
  <c r="S1677" i="1" s="1"/>
  <c r="Q4188" i="1"/>
  <c r="R4188" i="1" s="1"/>
  <c r="S4188" i="1" s="1"/>
  <c r="Q501" i="1"/>
  <c r="R501" i="1"/>
  <c r="S501" i="1" s="1"/>
  <c r="Q562" i="1"/>
  <c r="R562" i="1" s="1"/>
  <c r="S562" i="1" s="1"/>
  <c r="Q1266" i="1"/>
  <c r="R1266" i="1" s="1"/>
  <c r="S1266" i="1" s="1"/>
  <c r="Q75" i="1"/>
  <c r="R75" i="1" s="1"/>
  <c r="S75" i="1" s="1"/>
  <c r="Q80" i="1"/>
  <c r="R80" i="1" s="1"/>
  <c r="S80" i="1" s="1"/>
  <c r="R135" i="1"/>
  <c r="S135" i="1" s="1"/>
  <c r="Q1683" i="1"/>
  <c r="R1683" i="1" s="1"/>
  <c r="S1683" i="1" s="1"/>
  <c r="Q2920" i="1"/>
  <c r="R2920" i="1" s="1"/>
  <c r="S2920" i="1" s="1"/>
  <c r="Q110" i="1"/>
  <c r="R110" i="1" s="1"/>
  <c r="S110" i="1" s="1"/>
  <c r="Q135" i="1"/>
  <c r="R335" i="1"/>
  <c r="S335" i="1" s="1"/>
  <c r="R360" i="1"/>
  <c r="S360" i="1" s="1"/>
  <c r="R409" i="1"/>
  <c r="S409" i="1" s="1"/>
  <c r="Q558" i="1"/>
  <c r="Q572" i="1"/>
  <c r="R572" i="1" s="1"/>
  <c r="S572" i="1" s="1"/>
  <c r="Q714" i="1"/>
  <c r="R714" i="1" s="1"/>
  <c r="S714" i="1" s="1"/>
  <c r="Q917" i="1"/>
  <c r="R917" i="1" s="1"/>
  <c r="S917" i="1" s="1"/>
  <c r="R1025" i="1"/>
  <c r="S1025" i="1" s="1"/>
  <c r="R1140" i="1"/>
  <c r="S1140" i="1" s="1"/>
  <c r="Q1154" i="1"/>
  <c r="R1154" i="1" s="1"/>
  <c r="S1154" i="1" s="1"/>
  <c r="R1164" i="1"/>
  <c r="S1164" i="1" s="1"/>
  <c r="R1452" i="1"/>
  <c r="S1452" i="1" s="1"/>
  <c r="Q1698" i="1"/>
  <c r="R1698" i="1" s="1"/>
  <c r="S1698" i="1" s="1"/>
  <c r="R2070" i="1"/>
  <c r="S2070" i="1" s="1"/>
  <c r="Q2735" i="1"/>
  <c r="R2735" i="1" s="1"/>
  <c r="S2735" i="1" s="1"/>
  <c r="R2816" i="1"/>
  <c r="S2816" i="1" s="1"/>
  <c r="Q3289" i="1"/>
  <c r="R3289" i="1" s="1"/>
  <c r="S3289" i="1" s="1"/>
  <c r="R121" i="1"/>
  <c r="S121" i="1" s="1"/>
  <c r="R136" i="1"/>
  <c r="S136" i="1" s="1"/>
  <c r="R1253" i="1"/>
  <c r="S1253" i="1" s="1"/>
  <c r="R216" i="1"/>
  <c r="S216" i="1" s="1"/>
  <c r="Q308" i="1"/>
  <c r="R308" i="1" s="1"/>
  <c r="S308" i="1" s="1"/>
  <c r="R1589" i="1"/>
  <c r="S1589" i="1" s="1"/>
  <c r="Q2355" i="1"/>
  <c r="R2355" i="1" s="1"/>
  <c r="S2355" i="1" s="1"/>
  <c r="R240" i="1"/>
  <c r="S240" i="1" s="1"/>
  <c r="R245" i="1"/>
  <c r="S245" i="1" s="1"/>
  <c r="R25" i="1"/>
  <c r="S25" i="1" s="1"/>
  <c r="Q296" i="1"/>
  <c r="R296" i="1" s="1"/>
  <c r="S296" i="1" s="1"/>
  <c r="Q1148" i="1"/>
  <c r="R1148" i="1" s="1"/>
  <c r="S1148" i="1" s="1"/>
  <c r="R2110" i="1"/>
  <c r="S2110" i="1" s="1"/>
  <c r="Q2110" i="1"/>
  <c r="R369" i="1"/>
  <c r="S369" i="1" s="1"/>
  <c r="Q1955" i="1"/>
  <c r="R1955" i="1" s="1"/>
  <c r="S1955" i="1" s="1"/>
  <c r="Q4073" i="1"/>
  <c r="R4073" i="1" s="1"/>
  <c r="S4073" i="1" s="1"/>
  <c r="R4219" i="1"/>
  <c r="S4219" i="1" s="1"/>
  <c r="R757" i="1"/>
  <c r="S757" i="1" s="1"/>
  <c r="R820" i="1"/>
  <c r="S820" i="1" s="1"/>
  <c r="R930" i="1"/>
  <c r="S930" i="1" s="1"/>
  <c r="Q2131" i="1"/>
  <c r="R2131" i="1" s="1"/>
  <c r="S2131" i="1" s="1"/>
  <c r="Q567" i="1"/>
  <c r="R567" i="1" s="1"/>
  <c r="S567" i="1" s="1"/>
  <c r="Q1482" i="1"/>
  <c r="R1482" i="1" s="1"/>
  <c r="S1482" i="1" s="1"/>
  <c r="Q70" i="1"/>
  <c r="R70" i="1"/>
  <c r="S70" i="1" s="1"/>
  <c r="Q419" i="1"/>
  <c r="R419" i="1"/>
  <c r="S419" i="1" s="1"/>
  <c r="Q684" i="1"/>
  <c r="R684" i="1" s="1"/>
  <c r="S684" i="1" s="1"/>
  <c r="R922" i="1"/>
  <c r="S922" i="1" s="1"/>
  <c r="Q1140" i="1"/>
  <c r="Q1452" i="1"/>
  <c r="Q1457" i="1"/>
  <c r="R1457" i="1" s="1"/>
  <c r="S1457" i="1" s="1"/>
  <c r="Q2026" i="1"/>
  <c r="R2026" i="1" s="1"/>
  <c r="S2026" i="1" s="1"/>
  <c r="Q3483" i="1"/>
  <c r="R3483" i="1" s="1"/>
  <c r="S3483" i="1" s="1"/>
  <c r="R1026" i="1"/>
  <c r="S1026" i="1" s="1"/>
  <c r="Q1026" i="1"/>
  <c r="Q608" i="1"/>
  <c r="Q662" i="1"/>
  <c r="R662" i="1" s="1"/>
  <c r="S662" i="1" s="1"/>
  <c r="Q675" i="1"/>
  <c r="R675" i="1" s="1"/>
  <c r="S675" i="1" s="1"/>
  <c r="R1136" i="1"/>
  <c r="S1136" i="1" s="1"/>
  <c r="Q1880" i="1"/>
  <c r="R1880" i="1" s="1"/>
  <c r="S1880" i="1" s="1"/>
  <c r="Q690" i="1"/>
  <c r="R690" i="1"/>
  <c r="S690" i="1" s="1"/>
  <c r="Q2413" i="1"/>
  <c r="R2413" i="1" s="1"/>
  <c r="S2413" i="1" s="1"/>
  <c r="R1108" i="1"/>
  <c r="S1108" i="1" s="1"/>
  <c r="Q1108" i="1"/>
  <c r="Q1589" i="1"/>
  <c r="R327" i="1"/>
  <c r="S327" i="1" s="1"/>
  <c r="Q470" i="1"/>
  <c r="R470" i="1" s="1"/>
  <c r="S470" i="1" s="1"/>
  <c r="Q484" i="1"/>
  <c r="R484" i="1" s="1"/>
  <c r="S484" i="1" s="1"/>
  <c r="R460" i="1"/>
  <c r="S460" i="1" s="1"/>
  <c r="R480" i="1"/>
  <c r="S480" i="1" s="1"/>
  <c r="Q635" i="1"/>
  <c r="R635" i="1" s="1"/>
  <c r="S635" i="1" s="1"/>
  <c r="Q4043" i="1"/>
  <c r="R4043" i="1"/>
  <c r="S4043" i="1" s="1"/>
  <c r="Q4229" i="1"/>
  <c r="R4229" i="1" s="1"/>
  <c r="S4229" i="1" s="1"/>
  <c r="Q4234" i="1"/>
  <c r="R4234" i="1" s="1"/>
  <c r="S4234" i="1" s="1"/>
  <c r="R69" i="1"/>
  <c r="S69" i="1" s="1"/>
  <c r="Q625" i="1"/>
  <c r="Q722" i="1"/>
  <c r="R722" i="1" s="1"/>
  <c r="S722" i="1" s="1"/>
  <c r="R776" i="1"/>
  <c r="S776" i="1" s="1"/>
  <c r="Q1163" i="1"/>
  <c r="R1163" i="1" s="1"/>
  <c r="S1163" i="1" s="1"/>
  <c r="Q1314" i="1"/>
  <c r="R1314" i="1" s="1"/>
  <c r="S1314" i="1" s="1"/>
  <c r="Q1319" i="1"/>
  <c r="R1319" i="1" s="1"/>
  <c r="S1319" i="1" s="1"/>
  <c r="R1451" i="1"/>
  <c r="S1451" i="1" s="1"/>
  <c r="Q144" i="1"/>
  <c r="Q214" i="1"/>
  <c r="R214" i="1" s="1"/>
  <c r="S214" i="1" s="1"/>
  <c r="Q963" i="1"/>
  <c r="R963" i="1"/>
  <c r="S963" i="1" s="1"/>
  <c r="Q1057" i="1"/>
  <c r="R1057" i="1" s="1"/>
  <c r="S1057" i="1" s="1"/>
  <c r="R1158" i="1"/>
  <c r="S1158" i="1" s="1"/>
  <c r="R1703" i="1"/>
  <c r="S1703" i="1" s="1"/>
  <c r="R1941" i="1"/>
  <c r="S1941" i="1" s="1"/>
  <c r="R233" i="1"/>
  <c r="S233" i="1" s="1"/>
  <c r="R253" i="1"/>
  <c r="S253" i="1" s="1"/>
  <c r="Q263" i="1"/>
  <c r="R263" i="1" s="1"/>
  <c r="S263" i="1" s="1"/>
  <c r="R278" i="1"/>
  <c r="S278" i="1" s="1"/>
  <c r="R621" i="1"/>
  <c r="S621" i="1" s="1"/>
  <c r="R1015" i="1"/>
  <c r="S1015" i="1" s="1"/>
  <c r="Q1703" i="1"/>
  <c r="Q930" i="1"/>
  <c r="Q1149" i="1"/>
  <c r="R1149" i="1" s="1"/>
  <c r="S1149" i="1" s="1"/>
  <c r="R1178" i="1"/>
  <c r="S1178" i="1" s="1"/>
  <c r="R1257" i="1"/>
  <c r="S1257" i="1" s="1"/>
  <c r="R2020" i="1"/>
  <c r="S2020" i="1" s="1"/>
  <c r="R201" i="1"/>
  <c r="S201" i="1" s="1"/>
  <c r="Q229" i="1"/>
  <c r="R229" i="1"/>
  <c r="S229" i="1" s="1"/>
  <c r="R405" i="1"/>
  <c r="S405" i="1" s="1"/>
  <c r="Q414" i="1"/>
  <c r="R414" i="1" s="1"/>
  <c r="S414" i="1" s="1"/>
  <c r="R772" i="1"/>
  <c r="S772" i="1" s="1"/>
  <c r="R1021" i="1"/>
  <c r="S1021" i="1" s="1"/>
  <c r="Q1908" i="1"/>
  <c r="R1908" i="1" s="1"/>
  <c r="S1908" i="1" s="1"/>
  <c r="R1913" i="1"/>
  <c r="S1913" i="1" s="1"/>
  <c r="R2016" i="1"/>
  <c r="S2016" i="1" s="1"/>
  <c r="Q3516" i="1"/>
  <c r="R3516" i="1" s="1"/>
  <c r="S3516" i="1" s="1"/>
  <c r="R798" i="1"/>
  <c r="S798" i="1" s="1"/>
  <c r="Q997" i="1"/>
  <c r="R997" i="1" s="1"/>
  <c r="S997" i="1" s="1"/>
  <c r="Q1182" i="1"/>
  <c r="R1182" i="1"/>
  <c r="S1182" i="1" s="1"/>
  <c r="Q2025" i="1"/>
  <c r="R2025" i="1" s="1"/>
  <c r="S2025" i="1" s="1"/>
  <c r="Q345" i="1"/>
  <c r="R345" i="1"/>
  <c r="S345" i="1" s="1"/>
  <c r="Q46" i="1"/>
  <c r="R46" i="1" s="1"/>
  <c r="S46" i="1" s="1"/>
  <c r="Q51" i="1"/>
  <c r="R51" i="1" s="1"/>
  <c r="S51" i="1" s="1"/>
  <c r="Q464" i="1"/>
  <c r="R464" i="1" s="1"/>
  <c r="S464" i="1" s="1"/>
  <c r="R469" i="1"/>
  <c r="S469" i="1" s="1"/>
  <c r="R583" i="1"/>
  <c r="S583" i="1" s="1"/>
  <c r="Q913" i="1"/>
  <c r="R913" i="1" s="1"/>
  <c r="S913" i="1" s="1"/>
  <c r="R1036" i="1"/>
  <c r="S1036" i="1" s="1"/>
  <c r="R1594" i="1"/>
  <c r="S1594" i="1" s="1"/>
  <c r="R424" i="1"/>
  <c r="S424" i="1" s="1"/>
  <c r="Q696" i="1"/>
  <c r="R696" i="1" s="1"/>
  <c r="S696" i="1" s="1"/>
  <c r="Q723" i="1"/>
  <c r="R723" i="1"/>
  <c r="S723" i="1" s="1"/>
  <c r="R813" i="1"/>
  <c r="S813" i="1" s="1"/>
  <c r="Q989" i="1"/>
  <c r="R989" i="1" s="1"/>
  <c r="S989" i="1" s="1"/>
  <c r="R1105" i="1"/>
  <c r="S1105" i="1" s="1"/>
  <c r="Q1105" i="1"/>
  <c r="Q1370" i="1"/>
  <c r="R1370" i="1"/>
  <c r="S1370" i="1" s="1"/>
  <c r="R1419" i="1"/>
  <c r="S1419" i="1" s="1"/>
  <c r="R1552" i="1"/>
  <c r="S1552" i="1" s="1"/>
  <c r="Q2027" i="1"/>
  <c r="R2027" i="1" s="1"/>
  <c r="S2027" i="1" s="1"/>
  <c r="Q2332" i="1"/>
  <c r="R2332" i="1" s="1"/>
  <c r="S2332" i="1" s="1"/>
  <c r="R2565" i="1"/>
  <c r="S2565" i="1" s="1"/>
  <c r="Q2565" i="1"/>
  <c r="R3064" i="1"/>
  <c r="S3064" i="1" s="1"/>
  <c r="Q3064" i="1"/>
  <c r="Q3334" i="1"/>
  <c r="R3334" i="1" s="1"/>
  <c r="S3334" i="1" s="1"/>
  <c r="Q25" i="1"/>
  <c r="R103" i="1"/>
  <c r="S103" i="1" s="1"/>
  <c r="Q136" i="1"/>
  <c r="Q274" i="1"/>
  <c r="R274" i="1" s="1"/>
  <c r="S274" i="1" s="1"/>
  <c r="R356" i="1"/>
  <c r="S356" i="1" s="1"/>
  <c r="Q393" i="1"/>
  <c r="Q582" i="1"/>
  <c r="R582" i="1"/>
  <c r="S582" i="1" s="1"/>
  <c r="R672" i="1"/>
  <c r="S672" i="1" s="1"/>
  <c r="Q756" i="1"/>
  <c r="R756" i="1" s="1"/>
  <c r="S756" i="1" s="1"/>
  <c r="Q772" i="1"/>
  <c r="Q845" i="1"/>
  <c r="R845" i="1" s="1"/>
  <c r="S845" i="1" s="1"/>
  <c r="Q850" i="1"/>
  <c r="R850" i="1" s="1"/>
  <c r="S850" i="1" s="1"/>
  <c r="Q901" i="1"/>
  <c r="R901" i="1" s="1"/>
  <c r="S901" i="1" s="1"/>
  <c r="Q914" i="1"/>
  <c r="R914" i="1" s="1"/>
  <c r="S914" i="1" s="1"/>
  <c r="R972" i="1"/>
  <c r="S972" i="1" s="1"/>
  <c r="Q1036" i="1"/>
  <c r="Q1049" i="1"/>
  <c r="R1049" i="1"/>
  <c r="S1049" i="1" s="1"/>
  <c r="R1211" i="1"/>
  <c r="S1211" i="1" s="1"/>
  <c r="Q1226" i="1"/>
  <c r="R1226" i="1" s="1"/>
  <c r="S1226" i="1" s="1"/>
  <c r="R1305" i="1"/>
  <c r="S1305" i="1" s="1"/>
  <c r="R1365" i="1"/>
  <c r="S1365" i="1" s="1"/>
  <c r="R1409" i="1"/>
  <c r="S1409" i="1" s="1"/>
  <c r="Q1409" i="1"/>
  <c r="Q1419" i="1"/>
  <c r="Q1424" i="1"/>
  <c r="R1424" i="1" s="1"/>
  <c r="S1424" i="1" s="1"/>
  <c r="Q1448" i="1"/>
  <c r="R1448" i="1" s="1"/>
  <c r="S1448" i="1" s="1"/>
  <c r="Q1818" i="1"/>
  <c r="R1818" i="1" s="1"/>
  <c r="S1818" i="1" s="1"/>
  <c r="Q1832" i="1"/>
  <c r="R1832" i="1" s="1"/>
  <c r="S1832" i="1" s="1"/>
  <c r="Q1933" i="1"/>
  <c r="R1933" i="1" s="1"/>
  <c r="S1933" i="1" s="1"/>
  <c r="Q2612" i="1"/>
  <c r="R2612" i="1" s="1"/>
  <c r="S2612" i="1" s="1"/>
  <c r="Q3074" i="1"/>
  <c r="R3074" i="1" s="1"/>
  <c r="S3074" i="1" s="1"/>
  <c r="Q3237" i="1"/>
  <c r="R3237" i="1" s="1"/>
  <c r="S3237" i="1" s="1"/>
  <c r="Q3628" i="1"/>
  <c r="R3628" i="1" s="1"/>
  <c r="S3628" i="1" s="1"/>
  <c r="R3902" i="1"/>
  <c r="S3902" i="1" s="1"/>
  <c r="R4034" i="1"/>
  <c r="S4034" i="1" s="1"/>
  <c r="Q4034" i="1"/>
  <c r="Q559" i="1"/>
  <c r="R559" i="1" s="1"/>
  <c r="S559" i="1" s="1"/>
  <c r="R591" i="1"/>
  <c r="S591" i="1" s="1"/>
  <c r="Q1566" i="1"/>
  <c r="R1566" i="1"/>
  <c r="S1566" i="1" s="1"/>
  <c r="Q159" i="1"/>
  <c r="R159" i="1" s="1"/>
  <c r="S159" i="1" s="1"/>
  <c r="R212" i="1"/>
  <c r="S212" i="1" s="1"/>
  <c r="R328" i="1"/>
  <c r="S328" i="1" s="1"/>
  <c r="R429" i="1"/>
  <c r="S429" i="1" s="1"/>
  <c r="R439" i="1"/>
  <c r="S439" i="1" s="1"/>
  <c r="Q550" i="1"/>
  <c r="R550" i="1" s="1"/>
  <c r="S550" i="1" s="1"/>
  <c r="R835" i="1"/>
  <c r="S835" i="1" s="1"/>
  <c r="Q1197" i="1"/>
  <c r="R1197" i="1" s="1"/>
  <c r="S1197" i="1" s="1"/>
  <c r="R1648" i="1"/>
  <c r="S1648" i="1" s="1"/>
  <c r="Q1668" i="1"/>
  <c r="R1668" i="1" s="1"/>
  <c r="S1668" i="1" s="1"/>
  <c r="R1963" i="1"/>
  <c r="S1963" i="1" s="1"/>
  <c r="Q2147" i="1"/>
  <c r="R2147" i="1"/>
  <c r="S2147" i="1" s="1"/>
  <c r="Q3912" i="1"/>
  <c r="R3912" i="1"/>
  <c r="S3912" i="1" s="1"/>
  <c r="Q3927" i="1"/>
  <c r="R3927" i="1" s="1"/>
  <c r="S3927" i="1" s="1"/>
  <c r="Q39" i="1"/>
  <c r="R39" i="1" s="1"/>
  <c r="S39" i="1" s="1"/>
  <c r="Q145" i="1"/>
  <c r="R145" i="1" s="1"/>
  <c r="S145" i="1" s="1"/>
  <c r="Q212" i="1"/>
  <c r="R315" i="1"/>
  <c r="S315" i="1" s="1"/>
  <c r="Q328" i="1"/>
  <c r="R375" i="1"/>
  <c r="S375" i="1" s="1"/>
  <c r="Q439" i="1"/>
  <c r="R517" i="1"/>
  <c r="S517" i="1" s="1"/>
  <c r="Q545" i="1"/>
  <c r="R545" i="1" s="1"/>
  <c r="S545" i="1" s="1"/>
  <c r="Q650" i="1"/>
  <c r="R650" i="1" s="1"/>
  <c r="S650" i="1" s="1"/>
  <c r="Q751" i="1"/>
  <c r="R751" i="1"/>
  <c r="S751" i="1" s="1"/>
  <c r="Q835" i="1"/>
  <c r="Q954" i="1"/>
  <c r="R954" i="1" s="1"/>
  <c r="S954" i="1" s="1"/>
  <c r="Q1058" i="1"/>
  <c r="R1058" i="1" s="1"/>
  <c r="S1058" i="1" s="1"/>
  <c r="R1095" i="1"/>
  <c r="S1095" i="1" s="1"/>
  <c r="R1287" i="1"/>
  <c r="S1287" i="1" s="1"/>
  <c r="R2176" i="1"/>
  <c r="S2176" i="1" s="1"/>
  <c r="Q2240" i="1"/>
  <c r="R2240" i="1" s="1"/>
  <c r="S2240" i="1" s="1"/>
  <c r="R2909" i="1"/>
  <c r="S2909" i="1" s="1"/>
  <c r="R892" i="1"/>
  <c r="S892" i="1" s="1"/>
  <c r="Q1571" i="1"/>
  <c r="R1571" i="1" s="1"/>
  <c r="S1571" i="1" s="1"/>
  <c r="Q1672" i="1"/>
  <c r="R1672" i="1" s="1"/>
  <c r="S1672" i="1" s="1"/>
  <c r="Q3150" i="1"/>
  <c r="R3150" i="1" s="1"/>
  <c r="S3150" i="1" s="1"/>
  <c r="Q279" i="1"/>
  <c r="R279" i="1" s="1"/>
  <c r="S279" i="1" s="1"/>
  <c r="Q3267" i="1"/>
  <c r="R3267" i="1" s="1"/>
  <c r="S3267" i="1" s="1"/>
  <c r="R35" i="1"/>
  <c r="S35" i="1" s="1"/>
  <c r="Q692" i="1"/>
  <c r="Q702" i="1"/>
  <c r="R702" i="1" s="1"/>
  <c r="S702" i="1" s="1"/>
  <c r="Q823" i="1"/>
  <c r="R851" i="1"/>
  <c r="S851" i="1" s="1"/>
  <c r="Q1018" i="1"/>
  <c r="Q1301" i="1"/>
  <c r="R1301" i="1" s="1"/>
  <c r="S1301" i="1" s="1"/>
  <c r="R1410" i="1"/>
  <c r="S1410" i="1" s="1"/>
  <c r="Q583" i="1"/>
  <c r="Q1649" i="1"/>
  <c r="R1649" i="1" s="1"/>
  <c r="S1649" i="1" s="1"/>
  <c r="Q2482" i="1"/>
  <c r="R2482" i="1" s="1"/>
  <c r="S2482" i="1" s="1"/>
  <c r="R536" i="1"/>
  <c r="S536" i="1" s="1"/>
  <c r="R765" i="1"/>
  <c r="S765" i="1" s="1"/>
  <c r="Q716" i="1"/>
  <c r="R716" i="1" s="1"/>
  <c r="S716" i="1" s="1"/>
  <c r="R747" i="1"/>
  <c r="S747" i="1" s="1"/>
  <c r="Q752" i="1"/>
  <c r="R752" i="1" s="1"/>
  <c r="S752" i="1" s="1"/>
  <c r="R769" i="1"/>
  <c r="S769" i="1" s="1"/>
  <c r="R1028" i="1"/>
  <c r="S1028" i="1" s="1"/>
  <c r="Q1246" i="1"/>
  <c r="R1246" i="1"/>
  <c r="S1246" i="1" s="1"/>
  <c r="Q1513" i="1"/>
  <c r="R1513" i="1" s="1"/>
  <c r="S1513" i="1" s="1"/>
  <c r="Q1554" i="1"/>
  <c r="R1554" i="1"/>
  <c r="S1554" i="1" s="1"/>
  <c r="Q1736" i="1"/>
  <c r="R1736" i="1" s="1"/>
  <c r="S1736" i="1" s="1"/>
  <c r="R1746" i="1"/>
  <c r="S1746" i="1" s="1"/>
  <c r="R958" i="1"/>
  <c r="S958" i="1" s="1"/>
  <c r="Q1022" i="1"/>
  <c r="R1022" i="1" s="1"/>
  <c r="S1022" i="1" s="1"/>
  <c r="Q3344" i="1"/>
  <c r="R3344" i="1"/>
  <c r="S3344" i="1" s="1"/>
  <c r="R3727" i="1"/>
  <c r="S3727" i="1" s="1"/>
  <c r="Q94" i="1"/>
  <c r="R94" i="1"/>
  <c r="S94" i="1" s="1"/>
  <c r="R58" i="1"/>
  <c r="S58" i="1" s="1"/>
  <c r="R610" i="1"/>
  <c r="S610" i="1" s="1"/>
  <c r="R846" i="1"/>
  <c r="S846" i="1" s="1"/>
  <c r="Q1415" i="1"/>
  <c r="R1415" i="1" s="1"/>
  <c r="S1415" i="1" s="1"/>
  <c r="R95" i="1"/>
  <c r="S95" i="1" s="1"/>
  <c r="Q253" i="1"/>
  <c r="R1116" i="1"/>
  <c r="S1116" i="1" s="1"/>
  <c r="Q1750" i="1"/>
  <c r="R1750" i="1" s="1"/>
  <c r="S1750" i="1" s="1"/>
  <c r="Q1791" i="1"/>
  <c r="R1791" i="1"/>
  <c r="S1791" i="1" s="1"/>
  <c r="R1843" i="1"/>
  <c r="S1843" i="1" s="1"/>
  <c r="Q1858" i="1"/>
  <c r="R1858" i="1" s="1"/>
  <c r="S1858" i="1" s="1"/>
  <c r="R1872" i="1"/>
  <c r="S1872" i="1" s="1"/>
  <c r="R1877" i="1"/>
  <c r="S1877" i="1" s="1"/>
  <c r="Q31" i="1"/>
  <c r="R31" i="1" s="1"/>
  <c r="S31" i="1" s="1"/>
  <c r="Q213" i="1"/>
  <c r="R213" i="1" s="1"/>
  <c r="S213" i="1" s="1"/>
  <c r="Q240" i="1"/>
  <c r="Q541" i="1"/>
  <c r="R541" i="1" s="1"/>
  <c r="S541" i="1" s="1"/>
  <c r="Q638" i="1"/>
  <c r="Q683" i="1"/>
  <c r="R683" i="1" s="1"/>
  <c r="S683" i="1" s="1"/>
  <c r="Q13" i="1"/>
  <c r="R13" i="1" s="1"/>
  <c r="S13" i="1" s="1"/>
  <c r="R78" i="1"/>
  <c r="S78" i="1" s="1"/>
  <c r="Q165" i="1"/>
  <c r="R165" i="1" s="1"/>
  <c r="S165" i="1" s="1"/>
  <c r="R200" i="1"/>
  <c r="S200" i="1" s="1"/>
  <c r="Q262" i="1"/>
  <c r="R262" i="1" s="1"/>
  <c r="S262" i="1" s="1"/>
  <c r="R298" i="1"/>
  <c r="S298" i="1" s="1"/>
  <c r="R303" i="1"/>
  <c r="S303" i="1" s="1"/>
  <c r="Q343" i="1"/>
  <c r="R343" i="1" s="1"/>
  <c r="S343" i="1" s="1"/>
  <c r="R367" i="1"/>
  <c r="S367" i="1" s="1"/>
  <c r="R380" i="1"/>
  <c r="S380" i="1" s="1"/>
  <c r="R421" i="1"/>
  <c r="S421" i="1" s="1"/>
  <c r="Q656" i="1"/>
  <c r="R656" i="1" s="1"/>
  <c r="S656" i="1" s="1"/>
  <c r="R703" i="1"/>
  <c r="S703" i="1" s="1"/>
  <c r="Q734" i="1"/>
  <c r="Q769" i="1"/>
  <c r="Q875" i="1"/>
  <c r="R875" i="1" s="1"/>
  <c r="S875" i="1" s="1"/>
  <c r="R1147" i="1"/>
  <c r="S1147" i="1" s="1"/>
  <c r="Q1293" i="1"/>
  <c r="R1293" i="1" s="1"/>
  <c r="S1293" i="1" s="1"/>
  <c r="R1731" i="1"/>
  <c r="S1731" i="1" s="1"/>
  <c r="Q1746" i="1"/>
  <c r="Q2103" i="1"/>
  <c r="R2103" i="1" s="1"/>
  <c r="S2103" i="1" s="1"/>
  <c r="Q2445" i="1"/>
  <c r="R2445" i="1" s="1"/>
  <c r="S2445" i="1" s="1"/>
  <c r="Q2543" i="1"/>
  <c r="R2543" i="1" s="1"/>
  <c r="S2543" i="1" s="1"/>
  <c r="R1086" i="1"/>
  <c r="S1086" i="1" s="1"/>
  <c r="R1250" i="1"/>
  <c r="S1250" i="1" s="1"/>
  <c r="R1558" i="1"/>
  <c r="S1558" i="1" s="1"/>
  <c r="Q2205" i="1"/>
  <c r="R2205" i="1" s="1"/>
  <c r="S2205" i="1" s="1"/>
  <c r="R169" i="1"/>
  <c r="S169" i="1" s="1"/>
  <c r="Q320" i="1"/>
  <c r="R320" i="1"/>
  <c r="S320" i="1" s="1"/>
  <c r="Q472" i="1"/>
  <c r="R472" i="1" s="1"/>
  <c r="S472" i="1" s="1"/>
  <c r="Q1250" i="1"/>
  <c r="R1283" i="1"/>
  <c r="S1283" i="1" s="1"/>
  <c r="Q54" i="1"/>
  <c r="R54" i="1" s="1"/>
  <c r="S54" i="1" s="1"/>
  <c r="Q160" i="1"/>
  <c r="R160" i="1" s="1"/>
  <c r="S160" i="1" s="1"/>
  <c r="R257" i="1"/>
  <c r="S257" i="1" s="1"/>
  <c r="Q275" i="1"/>
  <c r="R275" i="1"/>
  <c r="S275" i="1" s="1"/>
  <c r="Q757" i="1"/>
  <c r="Q761" i="1"/>
  <c r="R761" i="1" s="1"/>
  <c r="S761" i="1" s="1"/>
  <c r="Q846" i="1"/>
  <c r="R946" i="1"/>
  <c r="S946" i="1" s="1"/>
  <c r="Q1222" i="1"/>
  <c r="R1222" i="1" s="1"/>
  <c r="S1222" i="1" s="1"/>
  <c r="Q1376" i="1"/>
  <c r="R1376" i="1" s="1"/>
  <c r="S1376" i="1" s="1"/>
  <c r="R1420" i="1"/>
  <c r="S1420" i="1" s="1"/>
  <c r="R293" i="1"/>
  <c r="S293" i="1" s="1"/>
  <c r="R440" i="1"/>
  <c r="S440" i="1" s="1"/>
  <c r="R707" i="1"/>
  <c r="S707" i="1" s="1"/>
  <c r="R773" i="1"/>
  <c r="S773" i="1" s="1"/>
  <c r="Q778" i="1"/>
  <c r="R778" i="1" s="1"/>
  <c r="S778" i="1" s="1"/>
  <c r="R1435" i="1"/>
  <c r="S1435" i="1" s="1"/>
  <c r="Q1654" i="1"/>
  <c r="R1654" i="1" s="1"/>
  <c r="S1654" i="1" s="1"/>
  <c r="R376" i="1"/>
  <c r="S376" i="1" s="1"/>
  <c r="Q504" i="1"/>
  <c r="R504" i="1"/>
  <c r="S504" i="1" s="1"/>
  <c r="R73" i="1"/>
  <c r="S73" i="1" s="1"/>
  <c r="R87" i="1"/>
  <c r="S87" i="1" s="1"/>
  <c r="R267" i="1"/>
  <c r="S267" i="1" s="1"/>
  <c r="Q334" i="1"/>
  <c r="R334" i="1" s="1"/>
  <c r="S334" i="1" s="1"/>
  <c r="R353" i="1"/>
  <c r="S353" i="1" s="1"/>
  <c r="R431" i="1"/>
  <c r="S431" i="1" s="1"/>
  <c r="R532" i="1"/>
  <c r="S532" i="1" s="1"/>
  <c r="Q593" i="1"/>
  <c r="R593" i="1"/>
  <c r="S593" i="1" s="1"/>
  <c r="R661" i="1"/>
  <c r="S661" i="1" s="1"/>
  <c r="Q693" i="1"/>
  <c r="R693" i="1"/>
  <c r="S693" i="1" s="1"/>
  <c r="R698" i="1"/>
  <c r="S698" i="1" s="1"/>
  <c r="Q698" i="1"/>
  <c r="R894" i="1"/>
  <c r="S894" i="1" s="1"/>
  <c r="R1362" i="1"/>
  <c r="S1362" i="1" s="1"/>
  <c r="Q1480" i="1"/>
  <c r="R1480" i="1" s="1"/>
  <c r="S1480" i="1" s="1"/>
  <c r="R1523" i="1"/>
  <c r="S1523" i="1" s="1"/>
  <c r="R1727" i="1"/>
  <c r="S1727" i="1" s="1"/>
  <c r="Q2088" i="1"/>
  <c r="R2088" i="1" s="1"/>
  <c r="S2088" i="1" s="1"/>
  <c r="Q2483" i="1"/>
  <c r="R2483" i="1" s="1"/>
  <c r="S2483" i="1" s="1"/>
  <c r="Q2497" i="1"/>
  <c r="R2497" i="1" s="1"/>
  <c r="S2497" i="1" s="1"/>
  <c r="R2012" i="1"/>
  <c r="S2012" i="1" s="1"/>
  <c r="R99" i="1"/>
  <c r="S99" i="1" s="1"/>
  <c r="R150" i="1"/>
  <c r="S150" i="1" s="1"/>
  <c r="R715" i="1"/>
  <c r="S715" i="1" s="1"/>
  <c r="Q715" i="1"/>
  <c r="R733" i="1"/>
  <c r="S733" i="1" s="1"/>
  <c r="Q230" i="1"/>
  <c r="R230" i="1" s="1"/>
  <c r="S230" i="1" s="1"/>
  <c r="Q384" i="1"/>
  <c r="R384" i="1" s="1"/>
  <c r="S384" i="1" s="1"/>
  <c r="R435" i="1"/>
  <c r="S435" i="1" s="1"/>
  <c r="Q592" i="1"/>
  <c r="R592" i="1" s="1"/>
  <c r="S592" i="1" s="1"/>
  <c r="Q1283" i="1"/>
  <c r="Q2491" i="1"/>
  <c r="R2491" i="1" s="1"/>
  <c r="S2491" i="1" s="1"/>
  <c r="Q3190" i="1"/>
  <c r="R3190" i="1" s="1"/>
  <c r="S3190" i="1" s="1"/>
  <c r="R137" i="1"/>
  <c r="S137" i="1" s="1"/>
  <c r="R155" i="1"/>
  <c r="S155" i="1" s="1"/>
  <c r="R371" i="1"/>
  <c r="S371" i="1" s="1"/>
  <c r="R1386" i="1"/>
  <c r="S1386" i="1" s="1"/>
  <c r="Q1396" i="1"/>
  <c r="R1396" i="1" s="1"/>
  <c r="S1396" i="1" s="1"/>
  <c r="Q1401" i="1"/>
  <c r="R1401" i="1" s="1"/>
  <c r="S1401" i="1" s="1"/>
  <c r="R128" i="1"/>
  <c r="S128" i="1" s="1"/>
  <c r="R226" i="1"/>
  <c r="S226" i="1" s="1"/>
  <c r="Q244" i="1"/>
  <c r="R244" i="1" s="1"/>
  <c r="S244" i="1" s="1"/>
  <c r="Q105" i="1"/>
  <c r="R105" i="1" s="1"/>
  <c r="S105" i="1" s="1"/>
  <c r="R196" i="1"/>
  <c r="S196" i="1" s="1"/>
  <c r="R454" i="1"/>
  <c r="S454" i="1" s="1"/>
  <c r="Q454" i="1"/>
  <c r="R495" i="1"/>
  <c r="S495" i="1" s="1"/>
  <c r="R575" i="1"/>
  <c r="S575" i="1" s="1"/>
  <c r="R730" i="1"/>
  <c r="S730" i="1" s="1"/>
  <c r="Q938" i="1"/>
  <c r="R938" i="1" s="1"/>
  <c r="S938" i="1" s="1"/>
  <c r="R965" i="1"/>
  <c r="S965" i="1" s="1"/>
  <c r="Q1102" i="1"/>
  <c r="R1102" i="1" s="1"/>
  <c r="S1102" i="1" s="1"/>
  <c r="R1117" i="1"/>
  <c r="S1117" i="1" s="1"/>
  <c r="R1186" i="1"/>
  <c r="S1186" i="1" s="1"/>
  <c r="Q1675" i="1"/>
  <c r="R1675" i="1" s="1"/>
  <c r="S1675" i="1" s="1"/>
  <c r="Q1777" i="1"/>
  <c r="R1777" i="1" s="1"/>
  <c r="S1777" i="1" s="1"/>
  <c r="R1859" i="1"/>
  <c r="S1859" i="1" s="1"/>
  <c r="R2045" i="1"/>
  <c r="S2045" i="1" s="1"/>
  <c r="Q2045" i="1"/>
  <c r="R614" i="1"/>
  <c r="S614" i="1" s="1"/>
  <c r="R618" i="1"/>
  <c r="S618" i="1" s="1"/>
  <c r="R750" i="1"/>
  <c r="S750" i="1" s="1"/>
  <c r="R1643" i="1"/>
  <c r="S1643" i="1" s="1"/>
  <c r="Q1643" i="1"/>
  <c r="Q3228" i="1"/>
  <c r="R3228" i="1"/>
  <c r="S3228" i="1" s="1"/>
  <c r="Q99" i="1"/>
  <c r="R113" i="1"/>
  <c r="S113" i="1" s="1"/>
  <c r="Q302" i="1"/>
  <c r="R302" i="1" s="1"/>
  <c r="S302" i="1" s="1"/>
  <c r="R1120" i="1"/>
  <c r="S1120" i="1" s="1"/>
  <c r="Q3060" i="1"/>
  <c r="R3060" i="1" s="1"/>
  <c r="S3060" i="1" s="1"/>
  <c r="R333" i="1"/>
  <c r="S333" i="1" s="1"/>
  <c r="Q352" i="1"/>
  <c r="R352" i="1" s="1"/>
  <c r="S352" i="1" s="1"/>
  <c r="R398" i="1"/>
  <c r="S398" i="1" s="1"/>
  <c r="Q430" i="1"/>
  <c r="R430" i="1" s="1"/>
  <c r="S430" i="1" s="1"/>
  <c r="R1171" i="1"/>
  <c r="S1171" i="1" s="1"/>
  <c r="Q1194" i="1"/>
  <c r="R1194" i="1" s="1"/>
  <c r="S1194" i="1" s="1"/>
  <c r="Q1964" i="1"/>
  <c r="R1964" i="1" s="1"/>
  <c r="S1964" i="1" s="1"/>
  <c r="Q2496" i="1"/>
  <c r="R2496" i="1" s="1"/>
  <c r="S2496" i="1" s="1"/>
  <c r="Q3056" i="1"/>
  <c r="R3056" i="1" s="1"/>
  <c r="S3056" i="1" s="1"/>
  <c r="Q119" i="1"/>
  <c r="R119" i="1" s="1"/>
  <c r="S119" i="1" s="1"/>
  <c r="R1059" i="1"/>
  <c r="S1059" i="1" s="1"/>
  <c r="Q1171" i="1"/>
  <c r="Q1198" i="1"/>
  <c r="R1198" i="1" s="1"/>
  <c r="S1198" i="1" s="1"/>
  <c r="Q55" i="1"/>
  <c r="R55" i="1" s="1"/>
  <c r="S55" i="1" s="1"/>
  <c r="R124" i="1"/>
  <c r="S124" i="1" s="1"/>
  <c r="Q124" i="1"/>
  <c r="R339" i="1"/>
  <c r="S339" i="1" s="1"/>
  <c r="R412" i="1"/>
  <c r="S412" i="1" s="1"/>
  <c r="Q788" i="1"/>
  <c r="R788" i="1" s="1"/>
  <c r="S788" i="1" s="1"/>
  <c r="R802" i="1"/>
  <c r="S802" i="1" s="1"/>
  <c r="Q871" i="1"/>
  <c r="R871" i="1" s="1"/>
  <c r="S871" i="1" s="1"/>
  <c r="Q1029" i="1"/>
  <c r="R1029" i="1"/>
  <c r="S1029" i="1" s="1"/>
  <c r="R1153" i="1"/>
  <c r="S1153" i="1" s="1"/>
  <c r="Q1337" i="1"/>
  <c r="R1337" i="1" s="1"/>
  <c r="S1337" i="1" s="1"/>
  <c r="R1431" i="1"/>
  <c r="S1431" i="1" s="1"/>
  <c r="Q1534" i="1"/>
  <c r="R1534" i="1" s="1"/>
  <c r="S1534" i="1" s="1"/>
  <c r="R1607" i="1"/>
  <c r="S1607" i="1" s="1"/>
  <c r="R1825" i="1"/>
  <c r="S1825" i="1" s="1"/>
  <c r="Q1859" i="1"/>
  <c r="R2030" i="1"/>
  <c r="S2030" i="1" s="1"/>
  <c r="R2158" i="1"/>
  <c r="S2158" i="1" s="1"/>
  <c r="Q500" i="1"/>
  <c r="R500" i="1"/>
  <c r="S500" i="1" s="1"/>
  <c r="Q630" i="1"/>
  <c r="R630" i="1" s="1"/>
  <c r="S630" i="1" s="1"/>
  <c r="Q2351" i="1"/>
  <c r="R2351" i="1" s="1"/>
  <c r="S2351" i="1" s="1"/>
  <c r="Q2957" i="1"/>
  <c r="R2957" i="1" s="1"/>
  <c r="S2957" i="1" s="1"/>
  <c r="Q3204" i="1"/>
  <c r="R3204" i="1" s="1"/>
  <c r="S3204" i="1" s="1"/>
  <c r="Q3624" i="1"/>
  <c r="R3624" i="1" s="1"/>
  <c r="S3624" i="1" s="1"/>
  <c r="Q4215" i="1"/>
  <c r="R4215" i="1" s="1"/>
  <c r="S4215" i="1" s="1"/>
  <c r="Q4315" i="1"/>
  <c r="R4315" i="1" s="1"/>
  <c r="S4315" i="1" s="1"/>
  <c r="Q137" i="1"/>
  <c r="Q237" i="1"/>
  <c r="Q356" i="1"/>
  <c r="R423" i="1"/>
  <c r="S423" i="1" s="1"/>
  <c r="R443" i="1"/>
  <c r="S443" i="1" s="1"/>
  <c r="R447" i="1"/>
  <c r="S447" i="1" s="1"/>
  <c r="Q447" i="1"/>
  <c r="Q476" i="1"/>
  <c r="R476" i="1" s="1"/>
  <c r="S476" i="1" s="1"/>
  <c r="Q480" i="1"/>
  <c r="Q505" i="1"/>
  <c r="R505" i="1" s="1"/>
  <c r="S505" i="1" s="1"/>
  <c r="Q517" i="1"/>
  <c r="Q521" i="1"/>
  <c r="R521" i="1" s="1"/>
  <c r="S521" i="1" s="1"/>
  <c r="Q551" i="1"/>
  <c r="R551" i="1" s="1"/>
  <c r="S551" i="1" s="1"/>
  <c r="Q555" i="1"/>
  <c r="R555" i="1" s="1"/>
  <c r="S555" i="1" s="1"/>
  <c r="Q576" i="1"/>
  <c r="R576" i="1" s="1"/>
  <c r="S576" i="1" s="1"/>
  <c r="Q614" i="1"/>
  <c r="Q680" i="1"/>
  <c r="R680" i="1" s="1"/>
  <c r="S680" i="1" s="1"/>
  <c r="R694" i="1"/>
  <c r="S694" i="1" s="1"/>
  <c r="R758" i="1"/>
  <c r="S758" i="1" s="1"/>
  <c r="Q816" i="1"/>
  <c r="R816" i="1" s="1"/>
  <c r="S816" i="1" s="1"/>
  <c r="R889" i="1"/>
  <c r="S889" i="1" s="1"/>
  <c r="Q889" i="1"/>
  <c r="R1050" i="1"/>
  <c r="S1050" i="1" s="1"/>
  <c r="Q1325" i="1"/>
  <c r="R1325" i="1" s="1"/>
  <c r="S1325" i="1" s="1"/>
  <c r="Q1330" i="1"/>
  <c r="R1330" i="1" s="1"/>
  <c r="S1330" i="1" s="1"/>
  <c r="Q1397" i="1"/>
  <c r="R1397" i="1" s="1"/>
  <c r="S1397" i="1" s="1"/>
  <c r="Q1411" i="1"/>
  <c r="R1411" i="1" s="1"/>
  <c r="S1411" i="1" s="1"/>
  <c r="R1468" i="1"/>
  <c r="S1468" i="1" s="1"/>
  <c r="R1492" i="1"/>
  <c r="S1492" i="1" s="1"/>
  <c r="R1650" i="1"/>
  <c r="S1650" i="1" s="1"/>
  <c r="R1660" i="1"/>
  <c r="S1660" i="1" s="1"/>
  <c r="Q1660" i="1"/>
  <c r="Q1757" i="1"/>
  <c r="R1757" i="1" s="1"/>
  <c r="S1757" i="1" s="1"/>
  <c r="Q1772" i="1"/>
  <c r="R1772" i="1" s="1"/>
  <c r="S1772" i="1" s="1"/>
  <c r="Q1803" i="1"/>
  <c r="R1803" i="1" s="1"/>
  <c r="S1803" i="1" s="1"/>
  <c r="Q1808" i="1"/>
  <c r="R1808" i="1" s="1"/>
  <c r="S1808" i="1" s="1"/>
  <c r="R1836" i="1"/>
  <c r="S1836" i="1" s="1"/>
  <c r="R1945" i="1"/>
  <c r="S1945" i="1" s="1"/>
  <c r="Q1945" i="1"/>
  <c r="Q1993" i="1"/>
  <c r="R1993" i="1" s="1"/>
  <c r="S1993" i="1" s="1"/>
  <c r="Q2312" i="1"/>
  <c r="R2312" i="1" s="1"/>
  <c r="S2312" i="1" s="1"/>
  <c r="Q2711" i="1"/>
  <c r="R2711" i="1" s="1"/>
  <c r="S2711" i="1" s="1"/>
  <c r="Q2948" i="1"/>
  <c r="R2948" i="1" s="1"/>
  <c r="S2948" i="1" s="1"/>
  <c r="R104" i="1"/>
  <c r="S104" i="1" s="1"/>
  <c r="R676" i="1"/>
  <c r="S676" i="1" s="1"/>
  <c r="Q689" i="1"/>
  <c r="R689" i="1" s="1"/>
  <c r="S689" i="1" s="1"/>
  <c r="R1258" i="1"/>
  <c r="S1258" i="1" s="1"/>
  <c r="Q1276" i="1"/>
  <c r="R1276" i="1" s="1"/>
  <c r="S1276" i="1" s="1"/>
  <c r="R1369" i="1"/>
  <c r="S1369" i="1" s="1"/>
  <c r="Q1529" i="1"/>
  <c r="R1529" i="1" s="1"/>
  <c r="S1529" i="1" s="1"/>
  <c r="Q1572" i="1"/>
  <c r="R1572" i="1" s="1"/>
  <c r="S1572" i="1" s="1"/>
  <c r="R1631" i="1"/>
  <c r="S1631" i="1" s="1"/>
  <c r="R1685" i="1"/>
  <c r="S1685" i="1" s="1"/>
  <c r="R1799" i="1"/>
  <c r="S1799" i="1" s="1"/>
  <c r="Q4080" i="1"/>
  <c r="R4080" i="1"/>
  <c r="S4080" i="1" s="1"/>
  <c r="Q141" i="1"/>
  <c r="R141" i="1" s="1"/>
  <c r="S141" i="1" s="1"/>
  <c r="R246" i="1"/>
  <c r="S246" i="1" s="1"/>
  <c r="R488" i="1"/>
  <c r="S488" i="1" s="1"/>
  <c r="R580" i="1"/>
  <c r="S580" i="1" s="1"/>
  <c r="R626" i="1"/>
  <c r="S626" i="1" s="1"/>
  <c r="Q626" i="1"/>
  <c r="R770" i="1"/>
  <c r="S770" i="1" s="1"/>
  <c r="Q770" i="1"/>
  <c r="Q985" i="1"/>
  <c r="R985" i="1" s="1"/>
  <c r="S985" i="1" s="1"/>
  <c r="R994" i="1"/>
  <c r="S994" i="1" s="1"/>
  <c r="Q1037" i="1"/>
  <c r="R1037" i="1" s="1"/>
  <c r="S1037" i="1" s="1"/>
  <c r="R1089" i="1"/>
  <c r="S1089" i="1" s="1"/>
  <c r="R1160" i="1"/>
  <c r="S1160" i="1" s="1"/>
  <c r="R1218" i="1"/>
  <c r="S1218" i="1" s="1"/>
  <c r="R1228" i="1"/>
  <c r="S1228" i="1" s="1"/>
  <c r="Q1345" i="1"/>
  <c r="R1345" i="1" s="1"/>
  <c r="S1345" i="1" s="1"/>
  <c r="R1402" i="1"/>
  <c r="S1402" i="1" s="1"/>
  <c r="Q1402" i="1"/>
  <c r="R1426" i="1"/>
  <c r="S1426" i="1" s="1"/>
  <c r="Q1762" i="1"/>
  <c r="R1762" i="1" s="1"/>
  <c r="S1762" i="1" s="1"/>
  <c r="Q1836" i="1"/>
  <c r="Q2021" i="1"/>
  <c r="R2021" i="1" s="1"/>
  <c r="S2021" i="1" s="1"/>
  <c r="Q2042" i="1"/>
  <c r="R2042" i="1" s="1"/>
  <c r="S2042" i="1" s="1"/>
  <c r="Q2111" i="1"/>
  <c r="R2111" i="1" s="1"/>
  <c r="S2111" i="1" s="1"/>
  <c r="Q2236" i="1"/>
  <c r="R2236" i="1" s="1"/>
  <c r="S2236" i="1" s="1"/>
  <c r="Q2279" i="1"/>
  <c r="R2279" i="1" s="1"/>
  <c r="S2279" i="1" s="1"/>
  <c r="Q2581" i="1"/>
  <c r="R2581" i="1" s="1"/>
  <c r="S2581" i="1" s="1"/>
  <c r="R2637" i="1"/>
  <c r="S2637" i="1" s="1"/>
  <c r="R2651" i="1"/>
  <c r="S2651" i="1" s="1"/>
  <c r="Q2677" i="1"/>
  <c r="R2677" i="1" s="1"/>
  <c r="S2677" i="1" s="1"/>
  <c r="R361" i="1"/>
  <c r="S361" i="1" s="1"/>
  <c r="R436" i="1"/>
  <c r="S436" i="1" s="1"/>
  <c r="R754" i="1"/>
  <c r="S754" i="1" s="1"/>
  <c r="R1174" i="1"/>
  <c r="S1174" i="1" s="1"/>
  <c r="Q1341" i="1"/>
  <c r="R1341" i="1" s="1"/>
  <c r="S1341" i="1" s="1"/>
  <c r="Q2141" i="1"/>
  <c r="R2141" i="1" s="1"/>
  <c r="S2141" i="1" s="1"/>
  <c r="Q432" i="1"/>
  <c r="Q436" i="1"/>
  <c r="Q440" i="1"/>
  <c r="Q465" i="1"/>
  <c r="Q953" i="1"/>
  <c r="R953" i="1" s="1"/>
  <c r="S953" i="1" s="1"/>
  <c r="Q957" i="1"/>
  <c r="Q1021" i="1"/>
  <c r="Q1628" i="1"/>
  <c r="R2472" i="1"/>
  <c r="S2472" i="1" s="1"/>
  <c r="Q2550" i="1"/>
  <c r="R2550" i="1" s="1"/>
  <c r="S2550" i="1" s="1"/>
  <c r="R2573" i="1"/>
  <c r="S2573" i="1" s="1"/>
  <c r="Q2690" i="1"/>
  <c r="R2690" i="1" s="1"/>
  <c r="S2690" i="1" s="1"/>
  <c r="Q2784" i="1"/>
  <c r="R2784" i="1" s="1"/>
  <c r="S2784" i="1" s="1"/>
  <c r="R27" i="1"/>
  <c r="S27" i="1" s="1"/>
  <c r="R64" i="1"/>
  <c r="S64" i="1" s="1"/>
  <c r="R72" i="1"/>
  <c r="S72" i="1" s="1"/>
  <c r="R109" i="1"/>
  <c r="S109" i="1" s="1"/>
  <c r="Q113" i="1"/>
  <c r="Q117" i="1"/>
  <c r="R117" i="1" s="1"/>
  <c r="S117" i="1" s="1"/>
  <c r="R154" i="1"/>
  <c r="S154" i="1" s="1"/>
  <c r="Q158" i="1"/>
  <c r="R158" i="1" s="1"/>
  <c r="S158" i="1" s="1"/>
  <c r="Q175" i="1"/>
  <c r="R175" i="1" s="1"/>
  <c r="S175" i="1" s="1"/>
  <c r="Q191" i="1"/>
  <c r="R191" i="1" s="1"/>
  <c r="S191" i="1" s="1"/>
  <c r="R251" i="1"/>
  <c r="S251" i="1" s="1"/>
  <c r="R255" i="1"/>
  <c r="S255" i="1" s="1"/>
  <c r="R337" i="1"/>
  <c r="S337" i="1" s="1"/>
  <c r="Q353" i="1"/>
  <c r="R357" i="1"/>
  <c r="S357" i="1" s="1"/>
  <c r="Q424" i="1"/>
  <c r="Q469" i="1"/>
  <c r="Q473" i="1"/>
  <c r="R473" i="1" s="1"/>
  <c r="S473" i="1" s="1"/>
  <c r="Q489" i="1"/>
  <c r="R489" i="1"/>
  <c r="S489" i="1" s="1"/>
  <c r="Q510" i="1"/>
  <c r="Q518" i="1"/>
  <c r="R518" i="1" s="1"/>
  <c r="S518" i="1" s="1"/>
  <c r="R539" i="1"/>
  <c r="S539" i="1" s="1"/>
  <c r="R589" i="1"/>
  <c r="S589" i="1" s="1"/>
  <c r="Q598" i="1"/>
  <c r="R598" i="1" s="1"/>
  <c r="S598" i="1" s="1"/>
  <c r="Q644" i="1"/>
  <c r="R686" i="1"/>
  <c r="S686" i="1" s="1"/>
  <c r="Q733" i="1"/>
  <c r="Q745" i="1"/>
  <c r="R745" i="1" s="1"/>
  <c r="S745" i="1" s="1"/>
  <c r="R792" i="1"/>
  <c r="S792" i="1" s="1"/>
  <c r="Q805" i="1"/>
  <c r="R805" i="1" s="1"/>
  <c r="S805" i="1" s="1"/>
  <c r="Q813" i="1"/>
  <c r="Q830" i="1"/>
  <c r="R830" i="1" s="1"/>
  <c r="S830" i="1" s="1"/>
  <c r="R847" i="1"/>
  <c r="S847" i="1" s="1"/>
  <c r="Q851" i="1"/>
  <c r="Q1025" i="1"/>
  <c r="R1064" i="1"/>
  <c r="S1064" i="1" s="1"/>
  <c r="Q1064" i="1"/>
  <c r="Q1086" i="1"/>
  <c r="R1090" i="1"/>
  <c r="S1090" i="1" s="1"/>
  <c r="Q1147" i="1"/>
  <c r="R1170" i="1"/>
  <c r="S1170" i="1" s="1"/>
  <c r="R1233" i="1"/>
  <c r="S1233" i="1" s="1"/>
  <c r="R1592" i="1"/>
  <c r="S1592" i="1" s="1"/>
  <c r="Q1681" i="1"/>
  <c r="R1681" i="1" s="1"/>
  <c r="S1681" i="1" s="1"/>
  <c r="R1724" i="1"/>
  <c r="S1724" i="1" s="1"/>
  <c r="Q1867" i="1"/>
  <c r="R1867" i="1" s="1"/>
  <c r="S1867" i="1" s="1"/>
  <c r="Q1881" i="1"/>
  <c r="R1881" i="1" s="1"/>
  <c r="S1881" i="1" s="1"/>
  <c r="R1922" i="1"/>
  <c r="S1922" i="1" s="1"/>
  <c r="R2232" i="1"/>
  <c r="S2232" i="1" s="1"/>
  <c r="Q2386" i="1"/>
  <c r="R2386" i="1" s="1"/>
  <c r="S2386" i="1" s="1"/>
  <c r="Q2472" i="1"/>
  <c r="Q2573" i="1"/>
  <c r="Q2665" i="1"/>
  <c r="R2665" i="1" s="1"/>
  <c r="S2665" i="1" s="1"/>
  <c r="Q2678" i="1"/>
  <c r="R2678" i="1" s="1"/>
  <c r="S2678" i="1" s="1"/>
  <c r="Q2717" i="1"/>
  <c r="R2717" i="1" s="1"/>
  <c r="S2717" i="1" s="1"/>
  <c r="R2227" i="1"/>
  <c r="S2227" i="1" s="1"/>
  <c r="Q2227" i="1"/>
  <c r="Q2352" i="1"/>
  <c r="R2352" i="1" s="1"/>
  <c r="S2352" i="1" s="1"/>
  <c r="R2563" i="1"/>
  <c r="S2563" i="1" s="1"/>
  <c r="Q2615" i="1"/>
  <c r="R2615" i="1" s="1"/>
  <c r="S2615" i="1" s="1"/>
  <c r="Q2642" i="1"/>
  <c r="R2642" i="1" s="1"/>
  <c r="S2642" i="1" s="1"/>
  <c r="Q842" i="1"/>
  <c r="R842" i="1" s="1"/>
  <c r="S842" i="1" s="1"/>
  <c r="Q361" i="1"/>
  <c r="Q754" i="1"/>
  <c r="R1113" i="1"/>
  <c r="S1113" i="1" s="1"/>
  <c r="R1254" i="1"/>
  <c r="S1254" i="1" s="1"/>
  <c r="R1686" i="1"/>
  <c r="S1686" i="1" s="1"/>
  <c r="R1758" i="1"/>
  <c r="S1758" i="1" s="1"/>
  <c r="R1763" i="1"/>
  <c r="S1763" i="1" s="1"/>
  <c r="R2237" i="1"/>
  <c r="S2237" i="1" s="1"/>
  <c r="Q526" i="1"/>
  <c r="R526" i="1" s="1"/>
  <c r="S526" i="1" s="1"/>
  <c r="Q700" i="1"/>
  <c r="R700" i="1" s="1"/>
  <c r="S700" i="1" s="1"/>
  <c r="Q864" i="1"/>
  <c r="R864" i="1" s="1"/>
  <c r="S864" i="1" s="1"/>
  <c r="Q1336" i="1"/>
  <c r="R1336" i="1" s="1"/>
  <c r="S1336" i="1" s="1"/>
  <c r="Q1380" i="1"/>
  <c r="R1380" i="1" s="1"/>
  <c r="S1380" i="1" s="1"/>
  <c r="Q1437" i="1"/>
  <c r="R1437" i="1" s="1"/>
  <c r="S1437" i="1" s="1"/>
  <c r="Q1446" i="1"/>
  <c r="R1446" i="1" s="1"/>
  <c r="S1446" i="1" s="1"/>
  <c r="Q1985" i="1"/>
  <c r="R1985" i="1" s="1"/>
  <c r="S1985" i="1" s="1"/>
  <c r="R2009" i="1"/>
  <c r="S2009" i="1" s="1"/>
  <c r="R2132" i="1"/>
  <c r="S2132" i="1" s="1"/>
  <c r="Q2467" i="1"/>
  <c r="R2467" i="1" s="1"/>
  <c r="S2467" i="1" s="1"/>
  <c r="Q2935" i="1"/>
  <c r="R2935" i="1" s="1"/>
  <c r="S2935" i="1" s="1"/>
  <c r="Q2959" i="1"/>
  <c r="R2959" i="1" s="1"/>
  <c r="S2959" i="1" s="1"/>
  <c r="Q2839" i="1"/>
  <c r="R2839" i="1" s="1"/>
  <c r="S2839" i="1" s="1"/>
  <c r="Q166" i="1"/>
  <c r="R166" i="1" s="1"/>
  <c r="S166" i="1" s="1"/>
  <c r="Q890" i="1"/>
  <c r="R890" i="1" s="1"/>
  <c r="S890" i="1" s="1"/>
  <c r="Q1398" i="1"/>
  <c r="R1398" i="1" s="1"/>
  <c r="S1398" i="1" s="1"/>
  <c r="R1469" i="1"/>
  <c r="S1469" i="1" s="1"/>
  <c r="R1484" i="1"/>
  <c r="S1484" i="1" s="1"/>
  <c r="Q1555" i="1"/>
  <c r="R1555" i="1" s="1"/>
  <c r="S1555" i="1" s="1"/>
  <c r="R2004" i="1"/>
  <c r="S2004" i="1" s="1"/>
  <c r="Q2033" i="1"/>
  <c r="R2033" i="1" s="1"/>
  <c r="S2033" i="1" s="1"/>
  <c r="Q16" i="1"/>
  <c r="R16" i="1" s="1"/>
  <c r="S16" i="1" s="1"/>
  <c r="R89" i="1"/>
  <c r="S89" i="1" s="1"/>
  <c r="Q199" i="1"/>
  <c r="R199" i="1" s="1"/>
  <c r="S199" i="1" s="1"/>
  <c r="R207" i="1"/>
  <c r="S207" i="1" s="1"/>
  <c r="R272" i="1"/>
  <c r="S272" i="1" s="1"/>
  <c r="Q292" i="1"/>
  <c r="R292" i="1" s="1"/>
  <c r="S292" i="1" s="1"/>
  <c r="Q333" i="1"/>
  <c r="R391" i="1"/>
  <c r="S391" i="1" s="1"/>
  <c r="Q428" i="1"/>
  <c r="R428" i="1" s="1"/>
  <c r="S428" i="1" s="1"/>
  <c r="Q514" i="1"/>
  <c r="Q619" i="1"/>
  <c r="R619" i="1" s="1"/>
  <c r="S619" i="1" s="1"/>
  <c r="Q661" i="1"/>
  <c r="Q673" i="1"/>
  <c r="R673" i="1" s="1"/>
  <c r="S673" i="1" s="1"/>
  <c r="Q725" i="1"/>
  <c r="R725" i="1" s="1"/>
  <c r="S725" i="1" s="1"/>
  <c r="R737" i="1"/>
  <c r="S737" i="1" s="1"/>
  <c r="Q750" i="1"/>
  <c r="Q838" i="1"/>
  <c r="R843" i="1"/>
  <c r="S843" i="1" s="1"/>
  <c r="Q886" i="1"/>
  <c r="Q946" i="1"/>
  <c r="R1069" i="1"/>
  <c r="S1069" i="1" s="1"/>
  <c r="Q1078" i="1"/>
  <c r="R1078" i="1" s="1"/>
  <c r="S1078" i="1" s="1"/>
  <c r="Q1082" i="1"/>
  <c r="R1082" i="1" s="1"/>
  <c r="S1082" i="1" s="1"/>
  <c r="R1099" i="1"/>
  <c r="S1099" i="1" s="1"/>
  <c r="Q1139" i="1"/>
  <c r="R1139" i="1" s="1"/>
  <c r="S1139" i="1" s="1"/>
  <c r="R1389" i="1"/>
  <c r="S1389" i="1" s="1"/>
  <c r="Q1389" i="1"/>
  <c r="Q1413" i="1"/>
  <c r="R1413" i="1" s="1"/>
  <c r="S1413" i="1" s="1"/>
  <c r="Q1451" i="1"/>
  <c r="R1546" i="1"/>
  <c r="S1546" i="1" s="1"/>
  <c r="Q1778" i="1"/>
  <c r="R1778" i="1" s="1"/>
  <c r="S1778" i="1" s="1"/>
  <c r="R1932" i="1"/>
  <c r="S1932" i="1" s="1"/>
  <c r="Q1937" i="1"/>
  <c r="R1937" i="1" s="1"/>
  <c r="S1937" i="1" s="1"/>
  <c r="R1947" i="1"/>
  <c r="S1947" i="1" s="1"/>
  <c r="Q2009" i="1"/>
  <c r="R2087" i="1"/>
  <c r="S2087" i="1" s="1"/>
  <c r="Q2132" i="1"/>
  <c r="Q2199" i="1"/>
  <c r="R2199" i="1" s="1"/>
  <c r="S2199" i="1" s="1"/>
  <c r="R2324" i="1"/>
  <c r="S2324" i="1" s="1"/>
  <c r="R2620" i="1"/>
  <c r="S2620" i="1" s="1"/>
  <c r="Q3039" i="1"/>
  <c r="R3039" i="1" s="1"/>
  <c r="S3039" i="1" s="1"/>
  <c r="R2164" i="1"/>
  <c r="S2164" i="1" s="1"/>
  <c r="Q2164" i="1"/>
  <c r="Q961" i="1"/>
  <c r="R961" i="1" s="1"/>
  <c r="S961" i="1" s="1"/>
  <c r="Q1326" i="1"/>
  <c r="R1326" i="1"/>
  <c r="S1326" i="1" s="1"/>
  <c r="R1331" i="1"/>
  <c r="S1331" i="1" s="1"/>
  <c r="Q1899" i="1"/>
  <c r="R1899" i="1" s="1"/>
  <c r="S1899" i="1" s="1"/>
  <c r="R1994" i="1"/>
  <c r="S1994" i="1" s="1"/>
  <c r="Q142" i="1"/>
  <c r="R142" i="1" s="1"/>
  <c r="S142" i="1" s="1"/>
  <c r="Q238" i="1"/>
  <c r="R238" i="1" s="1"/>
  <c r="S238" i="1" s="1"/>
  <c r="R543" i="1"/>
  <c r="S543" i="1" s="1"/>
  <c r="Q556" i="1"/>
  <c r="R556" i="1" s="1"/>
  <c r="S556" i="1" s="1"/>
  <c r="Q1038" i="1"/>
  <c r="R1038" i="1" s="1"/>
  <c r="S1038" i="1" s="1"/>
  <c r="Q130" i="1"/>
  <c r="R130" i="1" s="1"/>
  <c r="S130" i="1" s="1"/>
  <c r="Q399" i="1"/>
  <c r="R399" i="1" s="1"/>
  <c r="S399" i="1" s="1"/>
  <c r="Q502" i="1"/>
  <c r="R502" i="1" s="1"/>
  <c r="S502" i="1" s="1"/>
  <c r="R611" i="1"/>
  <c r="S611" i="1" s="1"/>
  <c r="Q611" i="1"/>
  <c r="R691" i="1"/>
  <c r="S691" i="1" s="1"/>
  <c r="Q691" i="1"/>
  <c r="Q962" i="1"/>
  <c r="R962" i="1" s="1"/>
  <c r="S962" i="1" s="1"/>
  <c r="Q1030" i="1"/>
  <c r="R1030" i="1" s="1"/>
  <c r="S1030" i="1" s="1"/>
  <c r="Q1255" i="1"/>
  <c r="R1255" i="1"/>
  <c r="S1255" i="1" s="1"/>
  <c r="Q1356" i="1"/>
  <c r="R1356" i="1" s="1"/>
  <c r="S1356" i="1" s="1"/>
  <c r="Q2175" i="1"/>
  <c r="R2175" i="1" s="1"/>
  <c r="S2175" i="1" s="1"/>
  <c r="Q2219" i="1"/>
  <c r="R2219" i="1" s="1"/>
  <c r="S2219" i="1" s="1"/>
  <c r="R2299" i="1"/>
  <c r="S2299" i="1" s="1"/>
  <c r="Q2299" i="1"/>
  <c r="Q316" i="1"/>
  <c r="R316" i="1" s="1"/>
  <c r="S316" i="1" s="1"/>
  <c r="Q704" i="1"/>
  <c r="R704" i="1" s="1"/>
  <c r="S704" i="1" s="1"/>
  <c r="Q1690" i="1"/>
  <c r="R1690" i="1" s="1"/>
  <c r="S1690" i="1" s="1"/>
  <c r="Q1804" i="1"/>
  <c r="R1804" i="1" s="1"/>
  <c r="S1804" i="1" s="1"/>
  <c r="R1828" i="1"/>
  <c r="S1828" i="1" s="1"/>
  <c r="Q2260" i="1"/>
  <c r="R2260" i="1" s="1"/>
  <c r="S2260" i="1" s="1"/>
  <c r="R76" i="1"/>
  <c r="S76" i="1" s="1"/>
  <c r="Q382" i="1"/>
  <c r="R382" i="1" s="1"/>
  <c r="S382" i="1" s="1"/>
  <c r="Q1174" i="1"/>
  <c r="R1183" i="1"/>
  <c r="S1183" i="1" s="1"/>
  <c r="Q1263" i="1"/>
  <c r="R1263" i="1" s="1"/>
  <c r="S1263" i="1" s="1"/>
  <c r="R44" i="1"/>
  <c r="S44" i="1" s="1"/>
  <c r="Q85" i="1"/>
  <c r="R85" i="1" s="1"/>
  <c r="S85" i="1" s="1"/>
  <c r="Q171" i="1"/>
  <c r="R171" i="1" s="1"/>
  <c r="S171" i="1" s="1"/>
  <c r="R227" i="1"/>
  <c r="S227" i="1" s="1"/>
  <c r="R264" i="1"/>
  <c r="S264" i="1" s="1"/>
  <c r="Q268" i="1"/>
  <c r="R268" i="1" s="1"/>
  <c r="S268" i="1" s="1"/>
  <c r="Q309" i="1"/>
  <c r="R309" i="1" s="1"/>
  <c r="S309" i="1" s="1"/>
  <c r="R346" i="1"/>
  <c r="S346" i="1" s="1"/>
  <c r="Q746" i="1"/>
  <c r="R746" i="1" s="1"/>
  <c r="S746" i="1" s="1"/>
  <c r="R793" i="1"/>
  <c r="S793" i="1" s="1"/>
  <c r="Q818" i="1"/>
  <c r="R818" i="1" s="1"/>
  <c r="S818" i="1" s="1"/>
  <c r="Q860" i="1"/>
  <c r="R860" i="1" s="1"/>
  <c r="S860" i="1" s="1"/>
  <c r="R882" i="1"/>
  <c r="S882" i="1" s="1"/>
  <c r="Q908" i="1"/>
  <c r="R908" i="1" s="1"/>
  <c r="S908" i="1" s="1"/>
  <c r="R1234" i="1"/>
  <c r="S1234" i="1" s="1"/>
  <c r="Q1269" i="1"/>
  <c r="R1269" i="1" s="1"/>
  <c r="S1269" i="1" s="1"/>
  <c r="Q1291" i="1"/>
  <c r="R1291" i="1" s="1"/>
  <c r="S1291" i="1" s="1"/>
  <c r="Q1385" i="1"/>
  <c r="R1385" i="1" s="1"/>
  <c r="S1385" i="1" s="1"/>
  <c r="Q1583" i="1"/>
  <c r="R1583" i="1" s="1"/>
  <c r="S1583" i="1" s="1"/>
  <c r="R1611" i="1"/>
  <c r="S1611" i="1" s="1"/>
  <c r="R1682" i="1"/>
  <c r="S1682" i="1" s="1"/>
  <c r="Q1744" i="1"/>
  <c r="R1744" i="1" s="1"/>
  <c r="S1744" i="1" s="1"/>
  <c r="R1754" i="1"/>
  <c r="S1754" i="1" s="1"/>
  <c r="Q1784" i="1"/>
  <c r="R1784" i="1" s="1"/>
  <c r="S1784" i="1" s="1"/>
  <c r="R1891" i="1"/>
  <c r="S1891" i="1" s="1"/>
  <c r="R2500" i="1"/>
  <c r="S2500" i="1" s="1"/>
  <c r="R2574" i="1"/>
  <c r="S2574" i="1" s="1"/>
  <c r="R3030" i="1"/>
  <c r="S3030" i="1" s="1"/>
  <c r="Q3030" i="1"/>
  <c r="R844" i="1"/>
  <c r="S844" i="1" s="1"/>
  <c r="Q844" i="1"/>
  <c r="R907" i="1"/>
  <c r="S907" i="1" s="1"/>
  <c r="Q907" i="1"/>
  <c r="R1354" i="1"/>
  <c r="S1354" i="1" s="1"/>
  <c r="Q1412" i="1"/>
  <c r="R1412" i="1" s="1"/>
  <c r="S1412" i="1" s="1"/>
  <c r="Q1479" i="1"/>
  <c r="R1479" i="1" s="1"/>
  <c r="S1479" i="1" s="1"/>
  <c r="R1883" i="1"/>
  <c r="S1883" i="1" s="1"/>
  <c r="R1923" i="1"/>
  <c r="S1923" i="1" s="1"/>
  <c r="Q1923" i="1"/>
  <c r="R1957" i="1"/>
  <c r="S1957" i="1" s="1"/>
  <c r="R1999" i="1"/>
  <c r="S1999" i="1" s="1"/>
  <c r="Q2247" i="1"/>
  <c r="R2247" i="1" s="1"/>
  <c r="S2247" i="1" s="1"/>
  <c r="Q2369" i="1"/>
  <c r="R2369" i="1" s="1"/>
  <c r="S2369" i="1" s="1"/>
  <c r="Q2374" i="1"/>
  <c r="R2374" i="1" s="1"/>
  <c r="S2374" i="1" s="1"/>
  <c r="Q118" i="1"/>
  <c r="R118" i="1" s="1"/>
  <c r="S118" i="1" s="1"/>
  <c r="R406" i="1"/>
  <c r="S406" i="1" s="1"/>
  <c r="Q406" i="1"/>
  <c r="R574" i="1"/>
  <c r="S574" i="1" s="1"/>
  <c r="Q574" i="1"/>
  <c r="R665" i="1"/>
  <c r="S665" i="1" s="1"/>
  <c r="R727" i="1"/>
  <c r="S727" i="1" s="1"/>
  <c r="R824" i="1"/>
  <c r="S824" i="1" s="1"/>
  <c r="R883" i="1"/>
  <c r="S883" i="1" s="1"/>
  <c r="R931" i="1"/>
  <c r="S931" i="1" s="1"/>
  <c r="R947" i="1"/>
  <c r="S947" i="1" s="1"/>
  <c r="Q1009" i="1"/>
  <c r="R1009" i="1" s="1"/>
  <c r="S1009" i="1" s="1"/>
  <c r="R1066" i="1"/>
  <c r="S1066" i="1" s="1"/>
  <c r="Q1187" i="1"/>
  <c r="R1187" i="1" s="1"/>
  <c r="S1187" i="1" s="1"/>
  <c r="R1217" i="1"/>
  <c r="S1217" i="1" s="1"/>
  <c r="R1230" i="1"/>
  <c r="S1230" i="1" s="1"/>
  <c r="Q1354" i="1"/>
  <c r="Q1359" i="1"/>
  <c r="R1359" i="1" s="1"/>
  <c r="S1359" i="1" s="1"/>
  <c r="R1364" i="1"/>
  <c r="S1364" i="1" s="1"/>
  <c r="R1403" i="1"/>
  <c r="S1403" i="1" s="1"/>
  <c r="Q1603" i="1"/>
  <c r="R1603" i="1" s="1"/>
  <c r="S1603" i="1" s="1"/>
  <c r="Q1714" i="1"/>
  <c r="R1714" i="1" s="1"/>
  <c r="S1714" i="1" s="1"/>
  <c r="Q1976" i="1"/>
  <c r="R1976" i="1" s="1"/>
  <c r="S1976" i="1" s="1"/>
  <c r="Q2055" i="1"/>
  <c r="R2055" i="1" s="1"/>
  <c r="S2055" i="1" s="1"/>
  <c r="Q2083" i="1"/>
  <c r="R2083" i="1" s="1"/>
  <c r="S2083" i="1" s="1"/>
  <c r="Q2123" i="1"/>
  <c r="R2123" i="1" s="1"/>
  <c r="S2123" i="1" s="1"/>
  <c r="Q2194" i="1"/>
  <c r="R2194" i="1" s="1"/>
  <c r="S2194" i="1" s="1"/>
  <c r="R2398" i="1"/>
  <c r="S2398" i="1" s="1"/>
  <c r="R2417" i="1"/>
  <c r="S2417" i="1" s="1"/>
  <c r="Q3043" i="1"/>
  <c r="R3043" i="1" s="1"/>
  <c r="S3043" i="1" s="1"/>
  <c r="R3172" i="1"/>
  <c r="S3172" i="1" s="1"/>
  <c r="Q3172" i="1"/>
  <c r="Q3439" i="1"/>
  <c r="R3439" i="1" s="1"/>
  <c r="S3439" i="1" s="1"/>
  <c r="Q840" i="1"/>
  <c r="R840" i="1" s="1"/>
  <c r="S840" i="1" s="1"/>
  <c r="Q1121" i="1"/>
  <c r="R1121" i="1"/>
  <c r="S1121" i="1" s="1"/>
  <c r="R1175" i="1"/>
  <c r="S1175" i="1" s="1"/>
  <c r="Q1175" i="1"/>
  <c r="R1209" i="1"/>
  <c r="S1209" i="1" s="1"/>
  <c r="Q1209" i="1"/>
  <c r="Q1360" i="1"/>
  <c r="R1360" i="1" s="1"/>
  <c r="S1360" i="1" s="1"/>
  <c r="R1373" i="1"/>
  <c r="S1373" i="1" s="1"/>
  <c r="R1581" i="1"/>
  <c r="S1581" i="1" s="1"/>
  <c r="Q1604" i="1"/>
  <c r="R1604" i="1" s="1"/>
  <c r="S1604" i="1" s="1"/>
  <c r="R1673" i="1"/>
  <c r="S1673" i="1" s="1"/>
  <c r="Q1673" i="1"/>
  <c r="Q1678" i="1"/>
  <c r="R1678" i="1" s="1"/>
  <c r="S1678" i="1" s="1"/>
  <c r="Q2119" i="1"/>
  <c r="R2119" i="1" s="1"/>
  <c r="S2119" i="1" s="1"/>
  <c r="Q3124" i="1"/>
  <c r="R3124" i="1" s="1"/>
  <c r="S3124" i="1" s="1"/>
  <c r="R3173" i="1"/>
  <c r="S3173" i="1" s="1"/>
  <c r="R612" i="1"/>
  <c r="S612" i="1" s="1"/>
  <c r="Q612" i="1"/>
  <c r="R1034" i="1"/>
  <c r="S1034" i="1" s="1"/>
  <c r="Q1034" i="1"/>
  <c r="R100" i="1"/>
  <c r="S100" i="1" s="1"/>
  <c r="R231" i="1"/>
  <c r="S231" i="1" s="1"/>
  <c r="R317" i="1"/>
  <c r="S317" i="1" s="1"/>
  <c r="Q407" i="1"/>
  <c r="R407" i="1" s="1"/>
  <c r="S407" i="1" s="1"/>
  <c r="Q418" i="1"/>
  <c r="R418" i="1" s="1"/>
  <c r="S418" i="1" s="1"/>
  <c r="Q429" i="1"/>
  <c r="Q433" i="1"/>
  <c r="R433" i="1" s="1"/>
  <c r="S433" i="1" s="1"/>
  <c r="Q448" i="1"/>
  <c r="R448" i="1" s="1"/>
  <c r="S448" i="1" s="1"/>
  <c r="Q459" i="1"/>
  <c r="R459" i="1" s="1"/>
  <c r="S459" i="1" s="1"/>
  <c r="Q463" i="1"/>
  <c r="R463" i="1" s="1"/>
  <c r="S463" i="1" s="1"/>
  <c r="R519" i="1"/>
  <c r="S519" i="1" s="1"/>
  <c r="Q575" i="1"/>
  <c r="Q755" i="1"/>
  <c r="R755" i="1" s="1"/>
  <c r="S755" i="1" s="1"/>
  <c r="R817" i="1"/>
  <c r="S817" i="1" s="1"/>
  <c r="Q821" i="1"/>
  <c r="R821" i="1" s="1"/>
  <c r="S821" i="1" s="1"/>
  <c r="Q1006" i="1"/>
  <c r="R1006" i="1" s="1"/>
  <c r="S1006" i="1" s="1"/>
  <c r="Q1010" i="1"/>
  <c r="R1010" i="1" s="1"/>
  <c r="S1010" i="1" s="1"/>
  <c r="R1084" i="1"/>
  <c r="S1084" i="1" s="1"/>
  <c r="R1188" i="1"/>
  <c r="S1188" i="1" s="1"/>
  <c r="Q1218" i="1"/>
  <c r="Q1273" i="1"/>
  <c r="R1273" i="1" s="1"/>
  <c r="S1273" i="1" s="1"/>
  <c r="Q1290" i="1"/>
  <c r="R1290" i="1" s="1"/>
  <c r="S1290" i="1" s="1"/>
  <c r="Q1346" i="1"/>
  <c r="R1346" i="1" s="1"/>
  <c r="S1346" i="1" s="1"/>
  <c r="Q1365" i="1"/>
  <c r="Q1369" i="1"/>
  <c r="Q1390" i="1"/>
  <c r="R1390" i="1" s="1"/>
  <c r="S1390" i="1" s="1"/>
  <c r="R1404" i="1"/>
  <c r="S1404" i="1" s="1"/>
  <c r="Q1431" i="1"/>
  <c r="Q1485" i="1"/>
  <c r="R1485" i="1" s="1"/>
  <c r="S1485" i="1" s="1"/>
  <c r="R1489" i="1"/>
  <c r="S1489" i="1" s="1"/>
  <c r="Q1510" i="1"/>
  <c r="R1510" i="1" s="1"/>
  <c r="S1510" i="1" s="1"/>
  <c r="Q1577" i="1"/>
  <c r="R1577" i="1" s="1"/>
  <c r="S1577" i="1" s="1"/>
  <c r="Q1599" i="1"/>
  <c r="R1599" i="1" s="1"/>
  <c r="S1599" i="1" s="1"/>
  <c r="R1748" i="1"/>
  <c r="S1748" i="1" s="1"/>
  <c r="Q1761" i="1"/>
  <c r="R1761" i="1" s="1"/>
  <c r="S1761" i="1" s="1"/>
  <c r="R1850" i="1"/>
  <c r="S1850" i="1" s="1"/>
  <c r="Q1855" i="1"/>
  <c r="R1855" i="1"/>
  <c r="S1855" i="1" s="1"/>
  <c r="Q1893" i="1"/>
  <c r="R1893" i="1" s="1"/>
  <c r="S1893" i="1" s="1"/>
  <c r="Q1963" i="1"/>
  <c r="Q2005" i="1"/>
  <c r="R2005" i="1" s="1"/>
  <c r="S2005" i="1" s="1"/>
  <c r="R2023" i="1"/>
  <c r="S2023" i="1" s="1"/>
  <c r="Q2070" i="1"/>
  <c r="R2098" i="1"/>
  <c r="S2098" i="1" s="1"/>
  <c r="Q2098" i="1"/>
  <c r="Q2324" i="1"/>
  <c r="Q2399" i="1"/>
  <c r="R2399" i="1" s="1"/>
  <c r="S2399" i="1" s="1"/>
  <c r="Q2461" i="1"/>
  <c r="R2461" i="1" s="1"/>
  <c r="S2461" i="1" s="1"/>
  <c r="R2484" i="1"/>
  <c r="S2484" i="1" s="1"/>
  <c r="Q2868" i="1"/>
  <c r="R2868" i="1" s="1"/>
  <c r="S2868" i="1" s="1"/>
  <c r="Q3096" i="1"/>
  <c r="R3096" i="1" s="1"/>
  <c r="S3096" i="1" s="1"/>
  <c r="R3159" i="1"/>
  <c r="S3159" i="1" s="1"/>
  <c r="R876" i="1"/>
  <c r="S876" i="1" s="1"/>
  <c r="Q48" i="1"/>
  <c r="R48" i="1" s="1"/>
  <c r="S48" i="1" s="1"/>
  <c r="R59" i="1"/>
  <c r="S59" i="1" s="1"/>
  <c r="Q89" i="1"/>
  <c r="Q100" i="1"/>
  <c r="Q104" i="1"/>
  <c r="Q190" i="1"/>
  <c r="R190" i="1" s="1"/>
  <c r="S190" i="1" s="1"/>
  <c r="Q388" i="1"/>
  <c r="R388" i="1" s="1"/>
  <c r="S388" i="1" s="1"/>
  <c r="Q392" i="1"/>
  <c r="R392" i="1" s="1"/>
  <c r="S392" i="1" s="1"/>
  <c r="Q478" i="1"/>
  <c r="R478" i="1" s="1"/>
  <c r="S478" i="1" s="1"/>
  <c r="R643" i="1"/>
  <c r="S643" i="1" s="1"/>
  <c r="R674" i="1"/>
  <c r="S674" i="1" s="1"/>
  <c r="Q674" i="1"/>
  <c r="R888" i="1"/>
  <c r="S888" i="1" s="1"/>
  <c r="R1096" i="1"/>
  <c r="S1096" i="1" s="1"/>
  <c r="Q1227" i="1"/>
  <c r="R1227" i="1" s="1"/>
  <c r="S1227" i="1" s="1"/>
  <c r="Q1236" i="1"/>
  <c r="R1236" i="1" s="1"/>
  <c r="S1236" i="1" s="1"/>
  <c r="Q1298" i="1"/>
  <c r="R1298" i="1" s="1"/>
  <c r="S1298" i="1" s="1"/>
  <c r="Q1324" i="1"/>
  <c r="R1324" i="1" s="1"/>
  <c r="S1324" i="1" s="1"/>
  <c r="Q1467" i="1"/>
  <c r="R1467" i="1" s="1"/>
  <c r="S1467" i="1" s="1"/>
  <c r="R1665" i="1"/>
  <c r="S1665" i="1" s="1"/>
  <c r="R1706" i="1"/>
  <c r="S1706" i="1" s="1"/>
  <c r="Q1706" i="1"/>
  <c r="Q1720" i="1"/>
  <c r="R1720" i="1" s="1"/>
  <c r="S1720" i="1" s="1"/>
  <c r="R1949" i="1"/>
  <c r="S1949" i="1" s="1"/>
  <c r="R2052" i="1"/>
  <c r="S2052" i="1" s="1"/>
  <c r="Q2157" i="1"/>
  <c r="R2157" i="1" s="1"/>
  <c r="S2157" i="1" s="1"/>
  <c r="Q2342" i="1"/>
  <c r="R2342" i="1" s="1"/>
  <c r="S2342" i="1" s="1"/>
  <c r="Q2357" i="1"/>
  <c r="R2357" i="1" s="1"/>
  <c r="S2357" i="1" s="1"/>
  <c r="R2362" i="1"/>
  <c r="S2362" i="1" s="1"/>
  <c r="R2824" i="1"/>
  <c r="S2824" i="1" s="1"/>
  <c r="Q2824" i="1"/>
  <c r="Q3372" i="1"/>
  <c r="R3372" i="1" s="1"/>
  <c r="S3372" i="1" s="1"/>
  <c r="Q33" i="1"/>
  <c r="Q44" i="1"/>
  <c r="Q78" i="1"/>
  <c r="R63" i="1"/>
  <c r="S63" i="1" s="1"/>
  <c r="R220" i="1"/>
  <c r="S220" i="1" s="1"/>
  <c r="R351" i="1"/>
  <c r="S351" i="1" s="1"/>
  <c r="R508" i="1"/>
  <c r="S508" i="1" s="1"/>
  <c r="Q527" i="1"/>
  <c r="R527" i="1" s="1"/>
  <c r="S527" i="1" s="1"/>
  <c r="Q538" i="1"/>
  <c r="R538" i="1" s="1"/>
  <c r="S538" i="1" s="1"/>
  <c r="Q549" i="1"/>
  <c r="R549" i="1" s="1"/>
  <c r="S549" i="1" s="1"/>
  <c r="Q553" i="1"/>
  <c r="R553" i="1" s="1"/>
  <c r="S553" i="1" s="1"/>
  <c r="Q586" i="1"/>
  <c r="R586" i="1" s="1"/>
  <c r="S586" i="1" s="1"/>
  <c r="Q597" i="1"/>
  <c r="R597" i="1" s="1"/>
  <c r="S597" i="1" s="1"/>
  <c r="Q601" i="1"/>
  <c r="R601" i="1" s="1"/>
  <c r="S601" i="1" s="1"/>
  <c r="Q643" i="1"/>
  <c r="Q682" i="1"/>
  <c r="R682" i="1" s="1"/>
  <c r="S682" i="1" s="1"/>
  <c r="Q686" i="1"/>
  <c r="Q763" i="1"/>
  <c r="R763" i="1" s="1"/>
  <c r="S763" i="1" s="1"/>
  <c r="R787" i="1"/>
  <c r="S787" i="1" s="1"/>
  <c r="R979" i="1"/>
  <c r="S979" i="1" s="1"/>
  <c r="R1282" i="1"/>
  <c r="S1282" i="1" s="1"/>
  <c r="Q1338" i="1"/>
  <c r="R1338" i="1" s="1"/>
  <c r="S1338" i="1" s="1"/>
  <c r="R1378" i="1"/>
  <c r="S1378" i="1" s="1"/>
  <c r="Q1436" i="1"/>
  <c r="R1436" i="1" s="1"/>
  <c r="S1436" i="1" s="1"/>
  <c r="Q1463" i="1"/>
  <c r="R1463" i="1" s="1"/>
  <c r="S1463" i="1" s="1"/>
  <c r="Q1524" i="1"/>
  <c r="Q1528" i="1"/>
  <c r="R1528" i="1" s="1"/>
  <c r="S1528" i="1" s="1"/>
  <c r="Q1613" i="1"/>
  <c r="R1613" i="1" s="1"/>
  <c r="S1613" i="1" s="1"/>
  <c r="Q1657" i="1"/>
  <c r="R1657" i="1" s="1"/>
  <c r="S1657" i="1" s="1"/>
  <c r="Q1665" i="1"/>
  <c r="R1697" i="1"/>
  <c r="S1697" i="1" s="1"/>
  <c r="R1725" i="1"/>
  <c r="S1725" i="1" s="1"/>
  <c r="Q1968" i="1"/>
  <c r="R1968" i="1" s="1"/>
  <c r="S1968" i="1" s="1"/>
  <c r="Q2029" i="1"/>
  <c r="R2029" i="1" s="1"/>
  <c r="S2029" i="1" s="1"/>
  <c r="Q2115" i="1"/>
  <c r="R2115" i="1" s="1"/>
  <c r="S2115" i="1" s="1"/>
  <c r="Q2206" i="1"/>
  <c r="R2206" i="1" s="1"/>
  <c r="S2206" i="1" s="1"/>
  <c r="Q2362" i="1"/>
  <c r="R2376" i="1"/>
  <c r="S2376" i="1" s="1"/>
  <c r="Q3026" i="1"/>
  <c r="R3026" i="1" s="1"/>
  <c r="S3026" i="1" s="1"/>
  <c r="R3078" i="1"/>
  <c r="S3078" i="1" s="1"/>
  <c r="Q358" i="1"/>
  <c r="R358" i="1" s="1"/>
  <c r="S358" i="1" s="1"/>
  <c r="R774" i="1"/>
  <c r="S774" i="1" s="1"/>
  <c r="Q310" i="1"/>
  <c r="R310" i="1" s="1"/>
  <c r="S310" i="1" s="1"/>
  <c r="Q605" i="1"/>
  <c r="R605" i="1" s="1"/>
  <c r="S605" i="1" s="1"/>
  <c r="R651" i="1"/>
  <c r="S651" i="1" s="1"/>
  <c r="R748" i="1"/>
  <c r="S748" i="1" s="1"/>
  <c r="Q787" i="1"/>
  <c r="R841" i="1"/>
  <c r="S841" i="1" s="1"/>
  <c r="Q979" i="1"/>
  <c r="Q1015" i="1"/>
  <c r="Q1019" i="1"/>
  <c r="R1019" i="1" s="1"/>
  <c r="S1019" i="1" s="1"/>
  <c r="Q1043" i="1"/>
  <c r="R1043" i="1" s="1"/>
  <c r="S1043" i="1" s="1"/>
  <c r="Q1059" i="1"/>
  <c r="Q1076" i="1"/>
  <c r="R1076" i="1" s="1"/>
  <c r="S1076" i="1" s="1"/>
  <c r="R1101" i="1"/>
  <c r="S1101" i="1" s="1"/>
  <c r="R1122" i="1"/>
  <c r="S1122" i="1" s="1"/>
  <c r="Q1205" i="1"/>
  <c r="R1205" i="1" s="1"/>
  <c r="S1205" i="1" s="1"/>
  <c r="R1210" i="1"/>
  <c r="S1210" i="1" s="1"/>
  <c r="Q1257" i="1"/>
  <c r="R1265" i="1"/>
  <c r="S1265" i="1" s="1"/>
  <c r="Q1282" i="1"/>
  <c r="Q1378" i="1"/>
  <c r="R1533" i="1"/>
  <c r="S1533" i="1" s="1"/>
  <c r="Q1569" i="1"/>
  <c r="R1569" i="1" s="1"/>
  <c r="S1569" i="1" s="1"/>
  <c r="R1609" i="1"/>
  <c r="S1609" i="1" s="1"/>
  <c r="R1716" i="1"/>
  <c r="S1716" i="1" s="1"/>
  <c r="Q2057" i="1"/>
  <c r="R2057" i="1" s="1"/>
  <c r="S2057" i="1" s="1"/>
  <c r="R2075" i="1"/>
  <c r="S2075" i="1" s="1"/>
  <c r="Q2315" i="1"/>
  <c r="R2315" i="1" s="1"/>
  <c r="S2315" i="1" s="1"/>
  <c r="R2720" i="1"/>
  <c r="S2720" i="1" s="1"/>
  <c r="R1002" i="1"/>
  <c r="S1002" i="1" s="1"/>
  <c r="Q22" i="1"/>
  <c r="R22" i="1" s="1"/>
  <c r="S22" i="1" s="1"/>
  <c r="R52" i="1"/>
  <c r="S52" i="1" s="1"/>
  <c r="R183" i="1"/>
  <c r="S183" i="1" s="1"/>
  <c r="R269" i="1"/>
  <c r="S269" i="1" s="1"/>
  <c r="R340" i="1"/>
  <c r="S340" i="1" s="1"/>
  <c r="R471" i="1"/>
  <c r="S471" i="1" s="1"/>
  <c r="R655" i="1"/>
  <c r="S655" i="1" s="1"/>
  <c r="Q748" i="1"/>
  <c r="Q841" i="1"/>
  <c r="R1003" i="1"/>
  <c r="S1003" i="1" s="1"/>
  <c r="Q1011" i="1"/>
  <c r="R1011" i="1" s="1"/>
  <c r="S1011" i="1" s="1"/>
  <c r="Q1114" i="1"/>
  <c r="R1114" i="1" s="1"/>
  <c r="S1114" i="1" s="1"/>
  <c r="Q1223" i="1"/>
  <c r="R1223" i="1" s="1"/>
  <c r="S1223" i="1" s="1"/>
  <c r="R1245" i="1"/>
  <c r="S1245" i="1" s="1"/>
  <c r="R1249" i="1"/>
  <c r="S1249" i="1" s="1"/>
  <c r="R1274" i="1"/>
  <c r="S1274" i="1" s="1"/>
  <c r="R1391" i="1"/>
  <c r="S1391" i="1" s="1"/>
  <c r="Q1391" i="1"/>
  <c r="Q1533" i="1"/>
  <c r="Q1716" i="1"/>
  <c r="Q1811" i="1"/>
  <c r="R1811" i="1" s="1"/>
  <c r="S1811" i="1" s="1"/>
  <c r="Q1851" i="1"/>
  <c r="R1851" i="1" s="1"/>
  <c r="S1851" i="1" s="1"/>
  <c r="Q1925" i="1"/>
  <c r="R1925" i="1" s="1"/>
  <c r="S1925" i="1" s="1"/>
  <c r="Q2149" i="1"/>
  <c r="R2149" i="1" s="1"/>
  <c r="S2149" i="1" s="1"/>
  <c r="Q2452" i="1"/>
  <c r="R2452" i="1" s="1"/>
  <c r="S2452" i="1" s="1"/>
  <c r="Q2641" i="1"/>
  <c r="R2641" i="1" s="1"/>
  <c r="S2641" i="1" s="1"/>
  <c r="Q2659" i="1"/>
  <c r="R2659" i="1" s="1"/>
  <c r="S2659" i="1" s="1"/>
  <c r="R2689" i="1"/>
  <c r="S2689" i="1" s="1"/>
  <c r="Q1033" i="1"/>
  <c r="R1033" i="1" s="1"/>
  <c r="S1033" i="1" s="1"/>
  <c r="R1347" i="1"/>
  <c r="S1347" i="1" s="1"/>
  <c r="R1460" i="1"/>
  <c r="S1460" i="1" s="1"/>
  <c r="R1481" i="1"/>
  <c r="S1481" i="1" s="1"/>
  <c r="Q1481" i="1"/>
  <c r="R1771" i="1"/>
  <c r="S1771" i="1" s="1"/>
  <c r="Q1873" i="1"/>
  <c r="R1873" i="1" s="1"/>
  <c r="S1873" i="1" s="1"/>
  <c r="R1982" i="1"/>
  <c r="S1982" i="1" s="1"/>
  <c r="Q2228" i="1"/>
  <c r="R2228" i="1" s="1"/>
  <c r="S2228" i="1" s="1"/>
  <c r="R2251" i="1"/>
  <c r="S2251" i="1" s="1"/>
  <c r="Q2251" i="1"/>
  <c r="R2583" i="1"/>
  <c r="S2583" i="1" s="1"/>
  <c r="Q2583" i="1"/>
  <c r="R2789" i="1"/>
  <c r="S2789" i="1" s="1"/>
  <c r="R2831" i="1"/>
  <c r="S2831" i="1" s="1"/>
  <c r="Q4001" i="1"/>
  <c r="R4001" i="1" s="1"/>
  <c r="S4001" i="1" s="1"/>
  <c r="R906" i="1"/>
  <c r="S906" i="1" s="1"/>
  <c r="Q1199" i="1"/>
  <c r="R1199" i="1" s="1"/>
  <c r="S1199" i="1" s="1"/>
  <c r="R1318" i="1"/>
  <c r="S1318" i="1" s="1"/>
  <c r="R1343" i="1"/>
  <c r="S1343" i="1" s="1"/>
  <c r="R1834" i="1"/>
  <c r="S1834" i="1" s="1"/>
  <c r="Q1934" i="1"/>
  <c r="R1934" i="1" s="1"/>
  <c r="S1934" i="1" s="1"/>
  <c r="Q2013" i="1"/>
  <c r="R2013" i="1" s="1"/>
  <c r="S2013" i="1" s="1"/>
  <c r="Q2168" i="1"/>
  <c r="R2168" i="1" s="1"/>
  <c r="S2168" i="1" s="1"/>
  <c r="Q2343" i="1"/>
  <c r="R2343" i="1" s="1"/>
  <c r="S2343" i="1" s="1"/>
  <c r="Q2762" i="1"/>
  <c r="R2762" i="1" s="1"/>
  <c r="S2762" i="1" s="1"/>
  <c r="R3083" i="1"/>
  <c r="S3083" i="1" s="1"/>
  <c r="R3377" i="1"/>
  <c r="S3377" i="1" s="1"/>
  <c r="R3667" i="1"/>
  <c r="S3667" i="1" s="1"/>
  <c r="Q1052" i="1"/>
  <c r="R1052" i="1" s="1"/>
  <c r="S1052" i="1" s="1"/>
  <c r="R1063" i="1"/>
  <c r="S1063" i="1" s="1"/>
  <c r="Q1067" i="1"/>
  <c r="R1067" i="1" s="1"/>
  <c r="S1067" i="1" s="1"/>
  <c r="Q1075" i="1"/>
  <c r="R1075" i="1" s="1"/>
  <c r="S1075" i="1" s="1"/>
  <c r="Q1079" i="1"/>
  <c r="Q1083" i="1"/>
  <c r="R1083" i="1" s="1"/>
  <c r="S1083" i="1" s="1"/>
  <c r="Q1110" i="1"/>
  <c r="R1110" i="1" s="1"/>
  <c r="S1110" i="1" s="1"/>
  <c r="Q1160" i="1"/>
  <c r="Q1164" i="1"/>
  <c r="R1267" i="1"/>
  <c r="S1267" i="1" s="1"/>
  <c r="Q1267" i="1"/>
  <c r="R865" i="1"/>
  <c r="S865" i="1" s="1"/>
  <c r="Q865" i="1"/>
  <c r="Q906" i="1"/>
  <c r="R955" i="1"/>
  <c r="S955" i="1" s="1"/>
  <c r="R1133" i="1"/>
  <c r="S1133" i="1" s="1"/>
  <c r="R1207" i="1"/>
  <c r="S1207" i="1" s="1"/>
  <c r="R1215" i="1"/>
  <c r="S1215" i="1" s="1"/>
  <c r="Q1215" i="1"/>
  <c r="R1247" i="1"/>
  <c r="S1247" i="1" s="1"/>
  <c r="R1271" i="1"/>
  <c r="S1271" i="1" s="1"/>
  <c r="Q1343" i="1"/>
  <c r="Q1367" i="1"/>
  <c r="R1367" i="1" s="1"/>
  <c r="S1367" i="1" s="1"/>
  <c r="Q1379" i="1"/>
  <c r="R1379" i="1" s="1"/>
  <c r="S1379" i="1" s="1"/>
  <c r="R1395" i="1"/>
  <c r="S1395" i="1" s="1"/>
  <c r="R1490" i="1"/>
  <c r="S1490" i="1" s="1"/>
  <c r="R1518" i="1"/>
  <c r="S1518" i="1" s="1"/>
  <c r="Q1522" i="1"/>
  <c r="R1522" i="1" s="1"/>
  <c r="S1522" i="1" s="1"/>
  <c r="Q1600" i="1"/>
  <c r="R1600" i="1" s="1"/>
  <c r="S1600" i="1" s="1"/>
  <c r="Q1666" i="1"/>
  <c r="R1666" i="1" s="1"/>
  <c r="S1666" i="1" s="1"/>
  <c r="Q1733" i="1"/>
  <c r="R1733" i="1" s="1"/>
  <c r="S1733" i="1" s="1"/>
  <c r="R1826" i="1"/>
  <c r="S1826" i="1" s="1"/>
  <c r="Q1830" i="1"/>
  <c r="R1830" i="1" s="1"/>
  <c r="S1830" i="1" s="1"/>
  <c r="Q1834" i="1"/>
  <c r="Q1987" i="1"/>
  <c r="R1987" i="1" s="1"/>
  <c r="S1987" i="1" s="1"/>
  <c r="Q2000" i="1"/>
  <c r="R2000" i="1" s="1"/>
  <c r="S2000" i="1" s="1"/>
  <c r="R2017" i="1"/>
  <c r="S2017" i="1" s="1"/>
  <c r="Q2071" i="1"/>
  <c r="R2071" i="1" s="1"/>
  <c r="S2071" i="1" s="1"/>
  <c r="Q2316" i="1"/>
  <c r="R2316" i="1" s="1"/>
  <c r="S2316" i="1" s="1"/>
  <c r="R2348" i="1"/>
  <c r="S2348" i="1" s="1"/>
  <c r="Q2470" i="1"/>
  <c r="R2470" i="1" s="1"/>
  <c r="S2470" i="1" s="1"/>
  <c r="R2492" i="1"/>
  <c r="S2492" i="1" s="1"/>
  <c r="Q2575" i="1"/>
  <c r="R2575" i="1" s="1"/>
  <c r="S2575" i="1" s="1"/>
  <c r="Q2968" i="1"/>
  <c r="R2968" i="1" s="1"/>
  <c r="S2968" i="1" s="1"/>
  <c r="Q3069" i="1"/>
  <c r="R3069" i="1" s="1"/>
  <c r="S3069" i="1" s="1"/>
  <c r="Q3377" i="1"/>
  <c r="Q1180" i="1"/>
  <c r="R1180" i="1" s="1"/>
  <c r="S1180" i="1" s="1"/>
  <c r="R1220" i="1"/>
  <c r="S1220" i="1" s="1"/>
  <c r="R1307" i="1"/>
  <c r="S1307" i="1" s="1"/>
  <c r="Q1307" i="1"/>
  <c r="R1461" i="1"/>
  <c r="S1461" i="1" s="1"/>
  <c r="Q1822" i="1"/>
  <c r="R1822" i="1" s="1"/>
  <c r="S1822" i="1" s="1"/>
  <c r="R1917" i="1"/>
  <c r="S1917" i="1" s="1"/>
  <c r="R2036" i="1"/>
  <c r="S2036" i="1" s="1"/>
  <c r="R2063" i="1"/>
  <c r="S2063" i="1" s="1"/>
  <c r="Q2854" i="1"/>
  <c r="R2854" i="1" s="1"/>
  <c r="S2854" i="1" s="1"/>
  <c r="Q2876" i="1"/>
  <c r="R2876" i="1" s="1"/>
  <c r="S2876" i="1" s="1"/>
  <c r="Q3416" i="1"/>
  <c r="R3416" i="1"/>
  <c r="S3416" i="1" s="1"/>
  <c r="R1988" i="1"/>
  <c r="S1988" i="1" s="1"/>
  <c r="Q2063" i="1"/>
  <c r="Q2072" i="1"/>
  <c r="R2072" i="1" s="1"/>
  <c r="S2072" i="1" s="1"/>
  <c r="Q2100" i="1"/>
  <c r="R2100" i="1" s="1"/>
  <c r="S2100" i="1" s="1"/>
  <c r="Q2183" i="1"/>
  <c r="R2183" i="1" s="1"/>
  <c r="S2183" i="1" s="1"/>
  <c r="R2608" i="1"/>
  <c r="S2608" i="1" s="1"/>
  <c r="Q3885" i="1"/>
  <c r="R3885" i="1" s="1"/>
  <c r="S3885" i="1" s="1"/>
  <c r="Q866" i="1"/>
  <c r="R866" i="1" s="1"/>
  <c r="S866" i="1" s="1"/>
  <c r="R978" i="1"/>
  <c r="S978" i="1" s="1"/>
  <c r="R1115" i="1"/>
  <c r="S1115" i="1" s="1"/>
  <c r="Q1208" i="1"/>
  <c r="R1208" i="1" s="1"/>
  <c r="S1208" i="1" s="1"/>
  <c r="Q1216" i="1"/>
  <c r="R1216" i="1" s="1"/>
  <c r="S1216" i="1" s="1"/>
  <c r="R1335" i="1"/>
  <c r="S1335" i="1" s="1"/>
  <c r="R1433" i="1"/>
  <c r="S1433" i="1" s="1"/>
  <c r="Q1433" i="1"/>
  <c r="Q1523" i="1"/>
  <c r="R1548" i="1"/>
  <c r="S1548" i="1" s="1"/>
  <c r="Q1552" i="1"/>
  <c r="R1692" i="1"/>
  <c r="S1692" i="1" s="1"/>
  <c r="R1734" i="1"/>
  <c r="S1734" i="1" s="1"/>
  <c r="R1827" i="1"/>
  <c r="S1827" i="1" s="1"/>
  <c r="Q1913" i="1"/>
  <c r="R1952" i="1"/>
  <c r="S1952" i="1" s="1"/>
  <c r="Q1952" i="1"/>
  <c r="Q1956" i="1"/>
  <c r="R1956" i="1" s="1"/>
  <c r="S1956" i="1" s="1"/>
  <c r="Q1970" i="1"/>
  <c r="R1970" i="1" s="1"/>
  <c r="S1970" i="1" s="1"/>
  <c r="Q2001" i="1"/>
  <c r="R2001" i="1" s="1"/>
  <c r="S2001" i="1" s="1"/>
  <c r="R2137" i="1"/>
  <c r="S2137" i="1" s="1"/>
  <c r="Q2160" i="1"/>
  <c r="R2160" i="1" s="1"/>
  <c r="S2160" i="1" s="1"/>
  <c r="Q2174" i="1"/>
  <c r="R2174" i="1" s="1"/>
  <c r="S2174" i="1" s="1"/>
  <c r="Q2197" i="1"/>
  <c r="R2197" i="1" s="1"/>
  <c r="S2197" i="1" s="1"/>
  <c r="Q2448" i="1"/>
  <c r="R2448" i="1" s="1"/>
  <c r="S2448" i="1" s="1"/>
  <c r="Q2471" i="1"/>
  <c r="R2471" i="1" s="1"/>
  <c r="S2471" i="1" s="1"/>
  <c r="Q2567" i="1"/>
  <c r="R2567" i="1" s="1"/>
  <c r="S2567" i="1" s="1"/>
  <c r="Q2608" i="1"/>
  <c r="Q2908" i="1"/>
  <c r="R2908" i="1" s="1"/>
  <c r="S2908" i="1" s="1"/>
  <c r="Q2927" i="1"/>
  <c r="R2927" i="1" s="1"/>
  <c r="S2927" i="1" s="1"/>
  <c r="Q2941" i="1"/>
  <c r="R2941" i="1" s="1"/>
  <c r="S2941" i="1" s="1"/>
  <c r="Q2964" i="1"/>
  <c r="R2964" i="1" s="1"/>
  <c r="S2964" i="1" s="1"/>
  <c r="Q3807" i="1"/>
  <c r="R3807" i="1"/>
  <c r="S3807" i="1" s="1"/>
  <c r="Q3837" i="1"/>
  <c r="R3837" i="1" s="1"/>
  <c r="S3837" i="1" s="1"/>
  <c r="R1852" i="1"/>
  <c r="S1852" i="1" s="1"/>
  <c r="Q5" i="1"/>
  <c r="R5" i="1" s="1"/>
  <c r="S5" i="1" s="1"/>
  <c r="Q29" i="1"/>
  <c r="R29" i="1" s="1"/>
  <c r="S29" i="1" s="1"/>
  <c r="Q53" i="1"/>
  <c r="R53" i="1" s="1"/>
  <c r="S53" i="1" s="1"/>
  <c r="Q77" i="1"/>
  <c r="R77" i="1" s="1"/>
  <c r="S77" i="1" s="1"/>
  <c r="Q101" i="1"/>
  <c r="R101" i="1" s="1"/>
  <c r="S101" i="1" s="1"/>
  <c r="Q125" i="1"/>
  <c r="R125" i="1" s="1"/>
  <c r="S125" i="1" s="1"/>
  <c r="Q149" i="1"/>
  <c r="R149" i="1" s="1"/>
  <c r="S149" i="1" s="1"/>
  <c r="Q173" i="1"/>
  <c r="R173" i="1" s="1"/>
  <c r="S173" i="1" s="1"/>
  <c r="Q197" i="1"/>
  <c r="R197" i="1" s="1"/>
  <c r="S197" i="1" s="1"/>
  <c r="Q221" i="1"/>
  <c r="R221" i="1" s="1"/>
  <c r="S221" i="1" s="1"/>
  <c r="Q245" i="1"/>
  <c r="Q269" i="1"/>
  <c r="Q293" i="1"/>
  <c r="Q317" i="1"/>
  <c r="R811" i="1"/>
  <c r="S811" i="1" s="1"/>
  <c r="Q937" i="1"/>
  <c r="R937" i="1" s="1"/>
  <c r="S937" i="1" s="1"/>
  <c r="R1027" i="1"/>
  <c r="S1027" i="1" s="1"/>
  <c r="R1157" i="1"/>
  <c r="S1157" i="1" s="1"/>
  <c r="R1256" i="1"/>
  <c r="S1256" i="1" s="1"/>
  <c r="R1340" i="1"/>
  <c r="S1340" i="1" s="1"/>
  <c r="Q1340" i="1"/>
  <c r="Q1445" i="1"/>
  <c r="R1445" i="1" s="1"/>
  <c r="S1445" i="1" s="1"/>
  <c r="R1474" i="1"/>
  <c r="S1474" i="1" s="1"/>
  <c r="Q1483" i="1"/>
  <c r="R1483" i="1" s="1"/>
  <c r="S1483" i="1" s="1"/>
  <c r="R1696" i="1"/>
  <c r="S1696" i="1" s="1"/>
  <c r="Q1810" i="1"/>
  <c r="R1810" i="1" s="1"/>
  <c r="S1810" i="1" s="1"/>
  <c r="R1909" i="1"/>
  <c r="S1909" i="1" s="1"/>
  <c r="Q2059" i="1"/>
  <c r="R2059" i="1" s="1"/>
  <c r="S2059" i="1" s="1"/>
  <c r="Q2179" i="1"/>
  <c r="R2179" i="1" s="1"/>
  <c r="S2179" i="1" s="1"/>
  <c r="R2430" i="1"/>
  <c r="S2430" i="1" s="1"/>
  <c r="Q2724" i="1"/>
  <c r="R2724" i="1" s="1"/>
  <c r="S2724" i="1" s="1"/>
  <c r="R2795" i="1"/>
  <c r="S2795" i="1" s="1"/>
  <c r="Q2795" i="1"/>
  <c r="Q3048" i="1"/>
  <c r="R3048" i="1" s="1"/>
  <c r="S3048" i="1" s="1"/>
  <c r="R3194" i="1"/>
  <c r="S3194" i="1" s="1"/>
  <c r="Q3208" i="1"/>
  <c r="R3208" i="1" s="1"/>
  <c r="S3208" i="1" s="1"/>
  <c r="Q3358" i="1"/>
  <c r="R3358" i="1" s="1"/>
  <c r="S3358" i="1" s="1"/>
  <c r="R1601" i="1"/>
  <c r="S1601" i="1" s="1"/>
  <c r="Q1601" i="1"/>
  <c r="R1626" i="1"/>
  <c r="S1626" i="1" s="1"/>
  <c r="R1642" i="1"/>
  <c r="S1642" i="1" s="1"/>
  <c r="Q986" i="1"/>
  <c r="R986" i="1" s="1"/>
  <c r="S986" i="1" s="1"/>
  <c r="R1138" i="1"/>
  <c r="S1138" i="1" s="1"/>
  <c r="Q1169" i="1"/>
  <c r="R1169" i="1"/>
  <c r="S1169" i="1" s="1"/>
  <c r="R1244" i="1"/>
  <c r="S1244" i="1" s="1"/>
  <c r="R1527" i="1"/>
  <c r="S1527" i="1" s="1"/>
  <c r="R1544" i="1"/>
  <c r="S1544" i="1" s="1"/>
  <c r="R1593" i="1"/>
  <c r="S1593" i="1" s="1"/>
  <c r="R1618" i="1"/>
  <c r="S1618" i="1" s="1"/>
  <c r="Q3024" i="1"/>
  <c r="R3024" i="1" s="1"/>
  <c r="S3024" i="1" s="1"/>
  <c r="R1531" i="1"/>
  <c r="S1531" i="1" s="1"/>
  <c r="R1588" i="1"/>
  <c r="S1588" i="1" s="1"/>
  <c r="R1679" i="1"/>
  <c r="S1679" i="1" s="1"/>
  <c r="R859" i="1"/>
  <c r="S859" i="1" s="1"/>
  <c r="R1284" i="1"/>
  <c r="S1284" i="1" s="1"/>
  <c r="Q1408" i="1"/>
  <c r="R1408" i="1" s="1"/>
  <c r="S1408" i="1" s="1"/>
  <c r="R1511" i="1"/>
  <c r="S1511" i="1" s="1"/>
  <c r="Q1511" i="1"/>
  <c r="Q1544" i="1"/>
  <c r="R1610" i="1"/>
  <c r="S1610" i="1" s="1"/>
  <c r="Q1618" i="1"/>
  <c r="Q1655" i="1"/>
  <c r="R1655" i="1" s="1"/>
  <c r="S1655" i="1" s="1"/>
  <c r="Q1722" i="1"/>
  <c r="R1722" i="1" s="1"/>
  <c r="S1722" i="1" s="1"/>
  <c r="R1862" i="1"/>
  <c r="S1862" i="1" s="1"/>
  <c r="R1905" i="1"/>
  <c r="S1905" i="1" s="1"/>
  <c r="Q1905" i="1"/>
  <c r="Q1944" i="1"/>
  <c r="R1944" i="1" s="1"/>
  <c r="S1944" i="1" s="1"/>
  <c r="R1997" i="1"/>
  <c r="S1997" i="1" s="1"/>
  <c r="Q2050" i="1"/>
  <c r="R2050" i="1" s="1"/>
  <c r="S2050" i="1" s="1"/>
  <c r="R2064" i="1"/>
  <c r="S2064" i="1" s="1"/>
  <c r="R2668" i="1"/>
  <c r="S2668" i="1" s="1"/>
  <c r="R2710" i="1"/>
  <c r="S2710" i="1" s="1"/>
  <c r="Q2791" i="1"/>
  <c r="R2791" i="1"/>
  <c r="S2791" i="1" s="1"/>
  <c r="R3019" i="1"/>
  <c r="S3019" i="1" s="1"/>
  <c r="Q3038" i="1"/>
  <c r="R3038" i="1" s="1"/>
  <c r="S3038" i="1" s="1"/>
  <c r="Q3227" i="1"/>
  <c r="R3227" i="1" s="1"/>
  <c r="S3227" i="1" s="1"/>
  <c r="Q1313" i="1"/>
  <c r="R1313" i="1" s="1"/>
  <c r="S1313" i="1" s="1"/>
  <c r="R1837" i="1"/>
  <c r="S1837" i="1" s="1"/>
  <c r="Q2259" i="1"/>
  <c r="R2259" i="1" s="1"/>
  <c r="S2259" i="1" s="1"/>
  <c r="Q2264" i="1"/>
  <c r="R2264" i="1" s="1"/>
  <c r="S2264" i="1" s="1"/>
  <c r="Q2435" i="1"/>
  <c r="R2435" i="1" s="1"/>
  <c r="S2435" i="1" s="1"/>
  <c r="Q2444" i="1"/>
  <c r="R2444" i="1" s="1"/>
  <c r="S2444" i="1" s="1"/>
  <c r="R2476" i="1"/>
  <c r="S2476" i="1" s="1"/>
  <c r="Q2607" i="1"/>
  <c r="R2607" i="1" s="1"/>
  <c r="S2607" i="1" s="1"/>
  <c r="Q2666" i="1"/>
  <c r="R2666" i="1" s="1"/>
  <c r="S2666" i="1" s="1"/>
  <c r="Q2830" i="1"/>
  <c r="R2830" i="1" s="1"/>
  <c r="S2830" i="1" s="1"/>
  <c r="R3865" i="1"/>
  <c r="S3865" i="1" s="1"/>
  <c r="R3879" i="1"/>
  <c r="S3879" i="1" s="1"/>
  <c r="Q3879" i="1"/>
  <c r="Q1284" i="1"/>
  <c r="R1302" i="1"/>
  <c r="S1302" i="1" s="1"/>
  <c r="Q1335" i="1"/>
  <c r="Q1339" i="1"/>
  <c r="Q1427" i="1"/>
  <c r="R1427" i="1" s="1"/>
  <c r="S1427" i="1" s="1"/>
  <c r="Q1456" i="1"/>
  <c r="R1456" i="1" s="1"/>
  <c r="S1456" i="1" s="1"/>
  <c r="Q1460" i="1"/>
  <c r="Q1537" i="1"/>
  <c r="R1537" i="1" s="1"/>
  <c r="S1537" i="1" s="1"/>
  <c r="Q1548" i="1"/>
  <c r="Q1581" i="1"/>
  <c r="Q1592" i="1"/>
  <c r="Q1625" i="1"/>
  <c r="R1625" i="1" s="1"/>
  <c r="S1625" i="1" s="1"/>
  <c r="Q1636" i="1"/>
  <c r="R1636" i="1" s="1"/>
  <c r="S1636" i="1" s="1"/>
  <c r="Q1658" i="1"/>
  <c r="R1658" i="1" s="1"/>
  <c r="S1658" i="1" s="1"/>
  <c r="Q1725" i="1"/>
  <c r="Q1740" i="1"/>
  <c r="R1740" i="1" s="1"/>
  <c r="S1740" i="1" s="1"/>
  <c r="Q1751" i="1"/>
  <c r="R1751" i="1" s="1"/>
  <c r="S1751" i="1" s="1"/>
  <c r="Q1770" i="1"/>
  <c r="R1770" i="1" s="1"/>
  <c r="S1770" i="1" s="1"/>
  <c r="Q1781" i="1"/>
  <c r="R1781" i="1" s="1"/>
  <c r="S1781" i="1" s="1"/>
  <c r="Q1792" i="1"/>
  <c r="R1792" i="1" s="1"/>
  <c r="S1792" i="1" s="1"/>
  <c r="Q1796" i="1"/>
  <c r="R1796" i="1" s="1"/>
  <c r="S1796" i="1" s="1"/>
  <c r="Q1826" i="1"/>
  <c r="Q1837" i="1"/>
  <c r="Q1857" i="1"/>
  <c r="R1857" i="1" s="1"/>
  <c r="S1857" i="1" s="1"/>
  <c r="Q1861" i="1"/>
  <c r="R1861" i="1" s="1"/>
  <c r="S1861" i="1" s="1"/>
  <c r="Q1928" i="1"/>
  <c r="R1928" i="1" s="1"/>
  <c r="S1928" i="1" s="1"/>
  <c r="R2002" i="1"/>
  <c r="S2002" i="1" s="1"/>
  <c r="Q2043" i="1"/>
  <c r="R2043" i="1" s="1"/>
  <c r="S2043" i="1" s="1"/>
  <c r="Q2198" i="1"/>
  <c r="R2198" i="1" s="1"/>
  <c r="S2198" i="1" s="1"/>
  <c r="Q2277" i="1"/>
  <c r="R2277" i="1" s="1"/>
  <c r="S2277" i="1" s="1"/>
  <c r="R2308" i="1"/>
  <c r="S2308" i="1" s="1"/>
  <c r="Q2412" i="1"/>
  <c r="R2412" i="1" s="1"/>
  <c r="S2412" i="1" s="1"/>
  <c r="Q2458" i="1"/>
  <c r="R2458" i="1" s="1"/>
  <c r="S2458" i="1" s="1"/>
  <c r="Q2476" i="1"/>
  <c r="Q3052" i="1"/>
  <c r="R3052" i="1" s="1"/>
  <c r="S3052" i="1" s="1"/>
  <c r="R3125" i="1"/>
  <c r="S3125" i="1" s="1"/>
  <c r="R3139" i="1"/>
  <c r="S3139" i="1" s="1"/>
  <c r="Q3139" i="1"/>
  <c r="Q3149" i="1"/>
  <c r="R3149" i="1"/>
  <c r="S3149" i="1" s="1"/>
  <c r="Q3173" i="1"/>
  <c r="Q3496" i="1"/>
  <c r="R3496" i="1"/>
  <c r="S3496" i="1" s="1"/>
  <c r="Q3689" i="1"/>
  <c r="R3689" i="1" s="1"/>
  <c r="S3689" i="1" s="1"/>
  <c r="Q3865" i="1"/>
  <c r="Q3923" i="1"/>
  <c r="R3923" i="1" s="1"/>
  <c r="S3923" i="1" s="1"/>
  <c r="Q4154" i="1"/>
  <c r="R4154" i="1" s="1"/>
  <c r="S4154" i="1" s="1"/>
  <c r="R1295" i="1"/>
  <c r="S1295" i="1" s="1"/>
  <c r="R1306" i="1"/>
  <c r="S1306" i="1" s="1"/>
  <c r="Q1361" i="1"/>
  <c r="R1361" i="1" s="1"/>
  <c r="S1361" i="1" s="1"/>
  <c r="Q1559" i="1"/>
  <c r="R1559" i="1" s="1"/>
  <c r="S1559" i="1" s="1"/>
  <c r="Q1570" i="1"/>
  <c r="R1570" i="1" s="1"/>
  <c r="S1570" i="1" s="1"/>
  <c r="R1614" i="1"/>
  <c r="S1614" i="1" s="1"/>
  <c r="R1710" i="1"/>
  <c r="S1710" i="1" s="1"/>
  <c r="R1755" i="1"/>
  <c r="S1755" i="1" s="1"/>
  <c r="R1849" i="1"/>
  <c r="S1849" i="1" s="1"/>
  <c r="Q2002" i="1"/>
  <c r="Q2006" i="1"/>
  <c r="R2006" i="1" s="1"/>
  <c r="S2006" i="1" s="1"/>
  <c r="R2010" i="1"/>
  <c r="S2010" i="1" s="1"/>
  <c r="Q2018" i="1"/>
  <c r="R2018" i="1" s="1"/>
  <c r="S2018" i="1" s="1"/>
  <c r="R2051" i="1"/>
  <c r="S2051" i="1" s="1"/>
  <c r="R2120" i="1"/>
  <c r="S2120" i="1" s="1"/>
  <c r="Q2172" i="1"/>
  <c r="R2172" i="1" s="1"/>
  <c r="S2172" i="1" s="1"/>
  <c r="Q2177" i="1"/>
  <c r="R2177" i="1" s="1"/>
  <c r="S2177" i="1" s="1"/>
  <c r="R2216" i="1"/>
  <c r="S2216" i="1" s="1"/>
  <c r="Q2308" i="1"/>
  <c r="Q2421" i="1"/>
  <c r="R2421" i="1" s="1"/>
  <c r="S2421" i="1" s="1"/>
  <c r="R2544" i="1"/>
  <c r="S2544" i="1" s="1"/>
  <c r="Q2584" i="1"/>
  <c r="R2584" i="1" s="1"/>
  <c r="S2584" i="1" s="1"/>
  <c r="Q2843" i="1"/>
  <c r="R2843" i="1" s="1"/>
  <c r="S2843" i="1" s="1"/>
  <c r="Q2971" i="1"/>
  <c r="R2971" i="1" s="1"/>
  <c r="S2971" i="1" s="1"/>
  <c r="R2985" i="1"/>
  <c r="S2985" i="1" s="1"/>
  <c r="Q3296" i="1"/>
  <c r="R3296" i="1" s="1"/>
  <c r="S3296" i="1" s="1"/>
  <c r="R3812" i="1"/>
  <c r="S3812" i="1" s="1"/>
  <c r="R1707" i="1"/>
  <c r="S1707" i="1" s="1"/>
  <c r="R1793" i="1"/>
  <c r="S1793" i="1" s="1"/>
  <c r="R1823" i="1"/>
  <c r="S1823" i="1" s="1"/>
  <c r="Q1929" i="1"/>
  <c r="R1929" i="1" s="1"/>
  <c r="S1929" i="1" s="1"/>
  <c r="R2003" i="1"/>
  <c r="S2003" i="1" s="1"/>
  <c r="R2112" i="1"/>
  <c r="S2112" i="1" s="1"/>
  <c r="R2173" i="1"/>
  <c r="S2173" i="1" s="1"/>
  <c r="Q2230" i="1"/>
  <c r="R2230" i="1" s="1"/>
  <c r="S2230" i="1" s="1"/>
  <c r="Q2243" i="1"/>
  <c r="R2243" i="1" s="1"/>
  <c r="S2243" i="1" s="1"/>
  <c r="Q2318" i="1"/>
  <c r="R2318" i="1" s="1"/>
  <c r="S2318" i="1" s="1"/>
  <c r="Q2422" i="1"/>
  <c r="R2422" i="1" s="1"/>
  <c r="S2422" i="1" s="1"/>
  <c r="R2967" i="1"/>
  <c r="S2967" i="1" s="1"/>
  <c r="Q2972" i="1"/>
  <c r="R2972" i="1" s="1"/>
  <c r="S2972" i="1" s="1"/>
  <c r="R3035" i="1"/>
  <c r="S3035" i="1" s="1"/>
  <c r="Q2077" i="1"/>
  <c r="R2077" i="1" s="1"/>
  <c r="S2077" i="1" s="1"/>
  <c r="Q2208" i="1"/>
  <c r="R2208" i="1" s="1"/>
  <c r="S2208" i="1" s="1"/>
  <c r="Q2287" i="1"/>
  <c r="R2287" i="1" s="1"/>
  <c r="S2287" i="1" s="1"/>
  <c r="Q2350" i="1"/>
  <c r="R2350" i="1" s="1"/>
  <c r="S2350" i="1" s="1"/>
  <c r="Q2395" i="1"/>
  <c r="R2395" i="1" s="1"/>
  <c r="S2395" i="1" s="1"/>
  <c r="R2459" i="1"/>
  <c r="S2459" i="1" s="1"/>
  <c r="Q2459" i="1"/>
  <c r="Q2549" i="1"/>
  <c r="R2549" i="1" s="1"/>
  <c r="S2549" i="1" s="1"/>
  <c r="R2558" i="1"/>
  <c r="S2558" i="1" s="1"/>
  <c r="Q2613" i="1"/>
  <c r="R2613" i="1" s="1"/>
  <c r="S2613" i="1" s="1"/>
  <c r="Q2767" i="1"/>
  <c r="R2767" i="1" s="1"/>
  <c r="S2767" i="1" s="1"/>
  <c r="R2925" i="1"/>
  <c r="S2925" i="1" s="1"/>
  <c r="Q2939" i="1"/>
  <c r="R2939" i="1" s="1"/>
  <c r="S2939" i="1" s="1"/>
  <c r="R3112" i="1"/>
  <c r="S3112" i="1" s="1"/>
  <c r="Q1417" i="1"/>
  <c r="R1417" i="1" s="1"/>
  <c r="S1417" i="1" s="1"/>
  <c r="Q1428" i="1"/>
  <c r="R1428" i="1" s="1"/>
  <c r="S1428" i="1" s="1"/>
  <c r="R1450" i="1"/>
  <c r="S1450" i="1" s="1"/>
  <c r="Q1461" i="1"/>
  <c r="Q1472" i="1"/>
  <c r="R1472" i="1" s="1"/>
  <c r="S1472" i="1" s="1"/>
  <c r="R1505" i="1"/>
  <c r="S1505" i="1" s="1"/>
  <c r="Q1505" i="1"/>
  <c r="Q1516" i="1"/>
  <c r="R1516" i="1" s="1"/>
  <c r="S1516" i="1" s="1"/>
  <c r="Q1538" i="1"/>
  <c r="R1538" i="1" s="1"/>
  <c r="S1538" i="1" s="1"/>
  <c r="Q1582" i="1"/>
  <c r="R1582" i="1" s="1"/>
  <c r="S1582" i="1" s="1"/>
  <c r="Q1593" i="1"/>
  <c r="Q1637" i="1"/>
  <c r="R1637" i="1" s="1"/>
  <c r="S1637" i="1" s="1"/>
  <c r="Q1659" i="1"/>
  <c r="R1659" i="1" s="1"/>
  <c r="S1659" i="1" s="1"/>
  <c r="Q1674" i="1"/>
  <c r="R1674" i="1" s="1"/>
  <c r="S1674" i="1" s="1"/>
  <c r="Q1715" i="1"/>
  <c r="R1715" i="1" s="1"/>
  <c r="S1715" i="1" s="1"/>
  <c r="Q1726" i="1"/>
  <c r="R1726" i="1" s="1"/>
  <c r="S1726" i="1" s="1"/>
  <c r="Q1756" i="1"/>
  <c r="R1756" i="1" s="1"/>
  <c r="S1756" i="1" s="1"/>
  <c r="Q1767" i="1"/>
  <c r="R1767" i="1" s="1"/>
  <c r="S1767" i="1" s="1"/>
  <c r="Q1771" i="1"/>
  <c r="R1782" i="1"/>
  <c r="S1782" i="1" s="1"/>
  <c r="Q1827" i="1"/>
  <c r="Q1842" i="1"/>
  <c r="R1842" i="1" s="1"/>
  <c r="S1842" i="1" s="1"/>
  <c r="Q1850" i="1"/>
  <c r="Q1862" i="1"/>
  <c r="R1882" i="1"/>
  <c r="S1882" i="1" s="1"/>
  <c r="R1921" i="1"/>
  <c r="S1921" i="1" s="1"/>
  <c r="Q1958" i="1"/>
  <c r="R1958" i="1" s="1"/>
  <c r="S1958" i="1" s="1"/>
  <c r="Q2023" i="1"/>
  <c r="Q2036" i="1"/>
  <c r="Q2052" i="1"/>
  <c r="Q2056" i="1"/>
  <c r="R2056" i="1" s="1"/>
  <c r="S2056" i="1" s="1"/>
  <c r="R2152" i="1"/>
  <c r="S2152" i="1" s="1"/>
  <c r="Q2222" i="1"/>
  <c r="R2222" i="1" s="1"/>
  <c r="S2222" i="1" s="1"/>
  <c r="Q2239" i="1"/>
  <c r="R2239" i="1" s="1"/>
  <c r="S2239" i="1" s="1"/>
  <c r="Q2400" i="1"/>
  <c r="R2400" i="1" s="1"/>
  <c r="S2400" i="1" s="1"/>
  <c r="Q2558" i="1"/>
  <c r="R2568" i="1"/>
  <c r="S2568" i="1" s="1"/>
  <c r="Q2728" i="1"/>
  <c r="R2728" i="1" s="1"/>
  <c r="S2728" i="1" s="1"/>
  <c r="R2889" i="1"/>
  <c r="S2889" i="1" s="1"/>
  <c r="Q3303" i="1"/>
  <c r="R3303" i="1" s="1"/>
  <c r="S3303" i="1" s="1"/>
  <c r="Q3390" i="1"/>
  <c r="R3390" i="1" s="1"/>
  <c r="S3390" i="1" s="1"/>
  <c r="Q3443" i="1"/>
  <c r="R3443" i="1" s="1"/>
  <c r="S3443" i="1" s="1"/>
  <c r="Q3475" i="1"/>
  <c r="R3475" i="1"/>
  <c r="S3475" i="1" s="1"/>
  <c r="Q3617" i="1"/>
  <c r="R3617" i="1" s="1"/>
  <c r="S3617" i="1" s="1"/>
  <c r="Q1069" i="1"/>
  <c r="Q1101" i="1"/>
  <c r="Q1133" i="1"/>
  <c r="Q1151" i="1"/>
  <c r="R1151" i="1" s="1"/>
  <c r="S1151" i="1" s="1"/>
  <c r="Q1162" i="1"/>
  <c r="R1162" i="1" s="1"/>
  <c r="S1162" i="1" s="1"/>
  <c r="Q1220" i="1"/>
  <c r="Q1249" i="1"/>
  <c r="Q1318" i="1"/>
  <c r="Q1329" i="1"/>
  <c r="R1329" i="1" s="1"/>
  <c r="S1329" i="1" s="1"/>
  <c r="Q1373" i="1"/>
  <c r="Q1395" i="1"/>
  <c r="Q1410" i="1"/>
  <c r="Q1439" i="1"/>
  <c r="R1439" i="1" s="1"/>
  <c r="S1439" i="1" s="1"/>
  <c r="Q1450" i="1"/>
  <c r="R1494" i="1"/>
  <c r="S1494" i="1" s="1"/>
  <c r="Q1527" i="1"/>
  <c r="Q1531" i="1"/>
  <c r="Q1648" i="1"/>
  <c r="Q1652" i="1"/>
  <c r="R1652" i="1" s="1"/>
  <c r="S1652" i="1" s="1"/>
  <c r="Q1685" i="1"/>
  <c r="Q1696" i="1"/>
  <c r="Q1700" i="1"/>
  <c r="R1700" i="1" s="1"/>
  <c r="S1700" i="1" s="1"/>
  <c r="Q1786" i="1"/>
  <c r="R1786" i="1" s="1"/>
  <c r="S1786" i="1" s="1"/>
  <c r="Q2455" i="1"/>
  <c r="R2455" i="1" s="1"/>
  <c r="S2455" i="1" s="1"/>
  <c r="Q2522" i="1"/>
  <c r="R2522" i="1" s="1"/>
  <c r="S2522" i="1" s="1"/>
  <c r="Q3000" i="1"/>
  <c r="R3000" i="1" s="1"/>
  <c r="S3000" i="1" s="1"/>
  <c r="R3245" i="1"/>
  <c r="S3245" i="1" s="1"/>
  <c r="Q3371" i="1"/>
  <c r="R3371" i="1" s="1"/>
  <c r="S3371" i="1" s="1"/>
  <c r="Q3438" i="1"/>
  <c r="R3438" i="1" s="1"/>
  <c r="S3438" i="1" s="1"/>
  <c r="R1231" i="1"/>
  <c r="S1231" i="1" s="1"/>
  <c r="R1487" i="1"/>
  <c r="S1487" i="1" s="1"/>
  <c r="R1498" i="1"/>
  <c r="S1498" i="1" s="1"/>
  <c r="Q1553" i="1"/>
  <c r="R1553" i="1" s="1"/>
  <c r="S1553" i="1" s="1"/>
  <c r="R1775" i="1"/>
  <c r="S1775" i="1" s="1"/>
  <c r="R1874" i="1"/>
  <c r="S1874" i="1" s="1"/>
  <c r="R1898" i="1"/>
  <c r="S1898" i="1" s="1"/>
  <c r="R1930" i="1"/>
  <c r="S1930" i="1" s="1"/>
  <c r="R2028" i="1"/>
  <c r="S2028" i="1" s="1"/>
  <c r="Q2028" i="1"/>
  <c r="R2099" i="1"/>
  <c r="S2099" i="1" s="1"/>
  <c r="Q2148" i="1"/>
  <c r="R2148" i="1" s="1"/>
  <c r="S2148" i="1" s="1"/>
  <c r="Q2387" i="1"/>
  <c r="R2387" i="1" s="1"/>
  <c r="S2387" i="1" s="1"/>
  <c r="R2414" i="1"/>
  <c r="S2414" i="1" s="1"/>
  <c r="R2428" i="1"/>
  <c r="S2428" i="1" s="1"/>
  <c r="Q2701" i="1"/>
  <c r="R2701" i="1" s="1"/>
  <c r="S2701" i="1" s="1"/>
  <c r="R2800" i="1"/>
  <c r="S2800" i="1" s="1"/>
  <c r="Q2963" i="1"/>
  <c r="R2963" i="1" s="1"/>
  <c r="S2963" i="1" s="1"/>
  <c r="Q3405" i="1"/>
  <c r="R3405" i="1" s="1"/>
  <c r="S3405" i="1" s="1"/>
  <c r="R1972" i="1"/>
  <c r="S1972" i="1" s="1"/>
  <c r="R2068" i="1"/>
  <c r="S2068" i="1" s="1"/>
  <c r="Q2195" i="1"/>
  <c r="R2195" i="1" s="1"/>
  <c r="S2195" i="1" s="1"/>
  <c r="R2220" i="1"/>
  <c r="S2220" i="1" s="1"/>
  <c r="Q2300" i="1"/>
  <c r="R2300" i="1" s="1"/>
  <c r="S2300" i="1" s="1"/>
  <c r="R2338" i="1"/>
  <c r="S2338" i="1" s="1"/>
  <c r="Q2338" i="1"/>
  <c r="R2375" i="1"/>
  <c r="S2375" i="1" s="1"/>
  <c r="Q2375" i="1"/>
  <c r="R2782" i="1"/>
  <c r="S2782" i="1" s="1"/>
  <c r="Q2847" i="1"/>
  <c r="R2847" i="1" s="1"/>
  <c r="S2847" i="1" s="1"/>
  <c r="Q2860" i="1"/>
  <c r="R2860" i="1" s="1"/>
  <c r="S2860" i="1" s="1"/>
  <c r="Q3013" i="1"/>
  <c r="R3013" i="1" s="1"/>
  <c r="S3013" i="1" s="1"/>
  <c r="Q3085" i="1"/>
  <c r="R3085" i="1" s="1"/>
  <c r="S3085" i="1" s="1"/>
  <c r="Q3258" i="1"/>
  <c r="R3258" i="1" s="1"/>
  <c r="S3258" i="1" s="1"/>
  <c r="R3368" i="1"/>
  <c r="S3368" i="1" s="1"/>
  <c r="R3783" i="1"/>
  <c r="S3783" i="1" s="1"/>
  <c r="Q1953" i="1"/>
  <c r="R1953" i="1" s="1"/>
  <c r="S1953" i="1" s="1"/>
  <c r="Q2406" i="1"/>
  <c r="R2406" i="1" s="1"/>
  <c r="S2406" i="1" s="1"/>
  <c r="R2503" i="1"/>
  <c r="S2503" i="1" s="1"/>
  <c r="R2552" i="1"/>
  <c r="S2552" i="1" s="1"/>
  <c r="Q2552" i="1"/>
  <c r="Q2708" i="1"/>
  <c r="R2708" i="1" s="1"/>
  <c r="S2708" i="1" s="1"/>
  <c r="Q2901" i="1"/>
  <c r="R2901" i="1" s="1"/>
  <c r="S2901" i="1" s="1"/>
  <c r="R2937" i="1"/>
  <c r="S2937" i="1" s="1"/>
  <c r="R3216" i="1"/>
  <c r="S3216" i="1" s="1"/>
  <c r="Q3273" i="1"/>
  <c r="R3273" i="1"/>
  <c r="S3273" i="1" s="1"/>
  <c r="Q3359" i="1"/>
  <c r="R3359" i="1" s="1"/>
  <c r="S3359" i="1" s="1"/>
  <c r="R3407" i="1"/>
  <c r="S3407" i="1" s="1"/>
  <c r="Q3407" i="1"/>
  <c r="Q3477" i="1"/>
  <c r="R3477" i="1" s="1"/>
  <c r="S3477" i="1" s="1"/>
  <c r="Q3531" i="1"/>
  <c r="R3531" i="1"/>
  <c r="S3531" i="1" s="1"/>
  <c r="Q3686" i="1"/>
  <c r="R3686" i="1" s="1"/>
  <c r="S3686" i="1" s="1"/>
  <c r="Q1904" i="1"/>
  <c r="R1904" i="1" s="1"/>
  <c r="S1904" i="1" s="1"/>
  <c r="Q1988" i="1"/>
  <c r="Q2030" i="1"/>
  <c r="Q2041" i="1"/>
  <c r="R2041" i="1" s="1"/>
  <c r="S2041" i="1" s="1"/>
  <c r="Q2076" i="1"/>
  <c r="R2076" i="1" s="1"/>
  <c r="S2076" i="1" s="1"/>
  <c r="Q2109" i="1"/>
  <c r="R2109" i="1" s="1"/>
  <c r="S2109" i="1" s="1"/>
  <c r="Q2126" i="1"/>
  <c r="R2126" i="1" s="1"/>
  <c r="S2126" i="1" s="1"/>
  <c r="R2134" i="1"/>
  <c r="S2134" i="1" s="1"/>
  <c r="R2146" i="1"/>
  <c r="S2146" i="1" s="1"/>
  <c r="Q2204" i="1"/>
  <c r="R2204" i="1" s="1"/>
  <c r="S2204" i="1" s="1"/>
  <c r="Q2212" i="1"/>
  <c r="R2212" i="1" s="1"/>
  <c r="S2212" i="1" s="1"/>
  <c r="R2249" i="1"/>
  <c r="S2249" i="1" s="1"/>
  <c r="Q2262" i="1"/>
  <c r="R2262" i="1" s="1"/>
  <c r="S2262" i="1" s="1"/>
  <c r="Q2301" i="1"/>
  <c r="R2301" i="1" s="1"/>
  <c r="S2301" i="1" s="1"/>
  <c r="Q2358" i="1"/>
  <c r="R2358" i="1" s="1"/>
  <c r="S2358" i="1" s="1"/>
  <c r="Q2424" i="1"/>
  <c r="R2424" i="1" s="1"/>
  <c r="S2424" i="1" s="1"/>
  <c r="Q2516" i="1"/>
  <c r="R2516" i="1" s="1"/>
  <c r="S2516" i="1" s="1"/>
  <c r="Q2534" i="1"/>
  <c r="R2534" i="1" s="1"/>
  <c r="S2534" i="1" s="1"/>
  <c r="Q2574" i="1"/>
  <c r="Q2587" i="1"/>
  <c r="R2587" i="1" s="1"/>
  <c r="S2587" i="1" s="1"/>
  <c r="Q2596" i="1"/>
  <c r="R2596" i="1" s="1"/>
  <c r="S2596" i="1" s="1"/>
  <c r="Q2757" i="1"/>
  <c r="R2757" i="1" s="1"/>
  <c r="S2757" i="1" s="1"/>
  <c r="Q2892" i="1"/>
  <c r="R2892" i="1" s="1"/>
  <c r="S2892" i="1" s="1"/>
  <c r="R2923" i="1"/>
  <c r="S2923" i="1" s="1"/>
  <c r="Q2923" i="1"/>
  <c r="Q2937" i="1"/>
  <c r="R3108" i="1"/>
  <c r="S3108" i="1" s="1"/>
  <c r="Q3151" i="1"/>
  <c r="R3151" i="1"/>
  <c r="S3151" i="1" s="1"/>
  <c r="R3278" i="1"/>
  <c r="S3278" i="1" s="1"/>
  <c r="Q3278" i="1"/>
  <c r="Q3311" i="1"/>
  <c r="R3311" i="1" s="1"/>
  <c r="S3311" i="1" s="1"/>
  <c r="Q3364" i="1"/>
  <c r="R3364" i="1" s="1"/>
  <c r="S3364" i="1" s="1"/>
  <c r="Q3383" i="1"/>
  <c r="R3383" i="1"/>
  <c r="S3383" i="1" s="1"/>
  <c r="Q3581" i="1"/>
  <c r="R3581" i="1" s="1"/>
  <c r="S3581" i="1" s="1"/>
  <c r="R3760" i="1"/>
  <c r="S3760" i="1" s="1"/>
  <c r="Q3779" i="1"/>
  <c r="R3779" i="1" s="1"/>
  <c r="S3779" i="1" s="1"/>
  <c r="Q1697" i="1"/>
  <c r="Q1721" i="1"/>
  <c r="R1721" i="1" s="1"/>
  <c r="S1721" i="1" s="1"/>
  <c r="Q1745" i="1"/>
  <c r="R1745" i="1" s="1"/>
  <c r="S1745" i="1" s="1"/>
  <c r="Q1769" i="1"/>
  <c r="R1769" i="1" s="1"/>
  <c r="S1769" i="1" s="1"/>
  <c r="Q1793" i="1"/>
  <c r="Q1817" i="1"/>
  <c r="R1817" i="1" s="1"/>
  <c r="S1817" i="1" s="1"/>
  <c r="Q1845" i="1"/>
  <c r="R1845" i="1" s="1"/>
  <c r="S1845" i="1" s="1"/>
  <c r="Q1938" i="1"/>
  <c r="R1938" i="1" s="1"/>
  <c r="S1938" i="1" s="1"/>
  <c r="Q1957" i="1"/>
  <c r="R1961" i="1"/>
  <c r="S1961" i="1" s="1"/>
  <c r="Q1961" i="1"/>
  <c r="Q1999" i="1"/>
  <c r="R2105" i="1"/>
  <c r="S2105" i="1" s="1"/>
  <c r="Q2134" i="1"/>
  <c r="R2196" i="1"/>
  <c r="S2196" i="1" s="1"/>
  <c r="Q2349" i="1"/>
  <c r="R2349" i="1" s="1"/>
  <c r="S2349" i="1" s="1"/>
  <c r="Q2376" i="1"/>
  <c r="R2380" i="1"/>
  <c r="S2380" i="1" s="1"/>
  <c r="Q2861" i="1"/>
  <c r="R2861" i="1" s="1"/>
  <c r="S2861" i="1" s="1"/>
  <c r="Q2960" i="1"/>
  <c r="R2960" i="1" s="1"/>
  <c r="S2960" i="1" s="1"/>
  <c r="R3316" i="1"/>
  <c r="S3316" i="1" s="1"/>
  <c r="Q3316" i="1"/>
  <c r="R3345" i="1"/>
  <c r="S3345" i="1" s="1"/>
  <c r="Q3345" i="1"/>
  <c r="Q3369" i="1"/>
  <c r="R3369" i="1" s="1"/>
  <c r="S3369" i="1" s="1"/>
  <c r="R3505" i="1"/>
  <c r="S3505" i="1" s="1"/>
  <c r="R3595" i="1"/>
  <c r="S3595" i="1" s="1"/>
  <c r="Q1856" i="1"/>
  <c r="R1856" i="1" s="1"/>
  <c r="S1856" i="1" s="1"/>
  <c r="Q2171" i="1"/>
  <c r="R2171" i="1" s="1"/>
  <c r="S2171" i="1" s="1"/>
  <c r="R2271" i="1"/>
  <c r="S2271" i="1" s="1"/>
  <c r="Q2271" i="1"/>
  <c r="R2319" i="1"/>
  <c r="S2319" i="1" s="1"/>
  <c r="Q2319" i="1"/>
  <c r="Q2323" i="1"/>
  <c r="R2323" i="1" s="1"/>
  <c r="S2323" i="1" s="1"/>
  <c r="Q2451" i="1"/>
  <c r="R2451" i="1" s="1"/>
  <c r="S2451" i="1" s="1"/>
  <c r="R2614" i="1"/>
  <c r="S2614" i="1" s="1"/>
  <c r="R2631" i="1"/>
  <c r="S2631" i="1" s="1"/>
  <c r="Q2675" i="1"/>
  <c r="R2675" i="1"/>
  <c r="S2675" i="1" s="1"/>
  <c r="Q2865" i="1"/>
  <c r="R2865" i="1" s="1"/>
  <c r="S2865" i="1" s="1"/>
  <c r="Q2951" i="1"/>
  <c r="R2951" i="1" s="1"/>
  <c r="S2951" i="1" s="1"/>
  <c r="R1897" i="1"/>
  <c r="S1897" i="1" s="1"/>
  <c r="Q1946" i="1"/>
  <c r="R1946" i="1" s="1"/>
  <c r="S1946" i="1" s="1"/>
  <c r="R1969" i="1"/>
  <c r="S1969" i="1" s="1"/>
  <c r="Q1977" i="1"/>
  <c r="R1977" i="1" s="1"/>
  <c r="S1977" i="1" s="1"/>
  <c r="R2101" i="1"/>
  <c r="S2101" i="1" s="1"/>
  <c r="Q2101" i="1"/>
  <c r="Q2155" i="1"/>
  <c r="R2155" i="1" s="1"/>
  <c r="S2155" i="1" s="1"/>
  <c r="R2284" i="1"/>
  <c r="S2284" i="1" s="1"/>
  <c r="Q2371" i="1"/>
  <c r="R2371" i="1" s="1"/>
  <c r="S2371" i="1" s="1"/>
  <c r="R2504" i="1"/>
  <c r="S2504" i="1" s="1"/>
  <c r="Q2544" i="1"/>
  <c r="Q2566" i="1"/>
  <c r="R2566" i="1" s="1"/>
  <c r="S2566" i="1" s="1"/>
  <c r="Q2605" i="1"/>
  <c r="R2605" i="1" s="1"/>
  <c r="S2605" i="1" s="1"/>
  <c r="Q2614" i="1"/>
  <c r="R2627" i="1"/>
  <c r="S2627" i="1" s="1"/>
  <c r="Q2631" i="1"/>
  <c r="R2714" i="1"/>
  <c r="S2714" i="1" s="1"/>
  <c r="Q2806" i="1"/>
  <c r="R2806" i="1" s="1"/>
  <c r="S2806" i="1" s="1"/>
  <c r="Q2827" i="1"/>
  <c r="R2827" i="1" s="1"/>
  <c r="S2827" i="1" s="1"/>
  <c r="R2888" i="1"/>
  <c r="S2888" i="1" s="1"/>
  <c r="Q2997" i="1"/>
  <c r="R2997" i="1"/>
  <c r="S2997" i="1" s="1"/>
  <c r="R3240" i="1"/>
  <c r="S3240" i="1" s="1"/>
  <c r="Q3340" i="1"/>
  <c r="R3340" i="1" s="1"/>
  <c r="S3340" i="1" s="1"/>
  <c r="Q3460" i="1"/>
  <c r="R3460" i="1" s="1"/>
  <c r="S3460" i="1" s="1"/>
  <c r="Q3532" i="1"/>
  <c r="R3532" i="1" s="1"/>
  <c r="S3532" i="1" s="1"/>
  <c r="Q3633" i="1"/>
  <c r="R3633" i="1"/>
  <c r="S3633" i="1" s="1"/>
  <c r="Q2213" i="1"/>
  <c r="R2213" i="1" s="1"/>
  <c r="S2213" i="1" s="1"/>
  <c r="R2297" i="1"/>
  <c r="S2297" i="1" s="1"/>
  <c r="Q2302" i="1"/>
  <c r="R2302" i="1" s="1"/>
  <c r="S2302" i="1" s="1"/>
  <c r="R2340" i="1"/>
  <c r="S2340" i="1" s="1"/>
  <c r="R2345" i="1"/>
  <c r="S2345" i="1" s="1"/>
  <c r="Q2345" i="1"/>
  <c r="Q2411" i="1"/>
  <c r="R2411" i="1" s="1"/>
  <c r="S2411" i="1" s="1"/>
  <c r="Q2588" i="1"/>
  <c r="R2588" i="1" s="1"/>
  <c r="S2588" i="1" s="1"/>
  <c r="Q2597" i="1"/>
  <c r="R2597" i="1" s="1"/>
  <c r="S2597" i="1" s="1"/>
  <c r="Q2654" i="1"/>
  <c r="R2654" i="1" s="1"/>
  <c r="S2654" i="1" s="1"/>
  <c r="Q2810" i="1"/>
  <c r="R2810" i="1" s="1"/>
  <c r="S2810" i="1" s="1"/>
  <c r="R3037" i="1"/>
  <c r="S3037" i="1" s="1"/>
  <c r="R3217" i="1"/>
  <c r="S3217" i="1" s="1"/>
  <c r="R3288" i="1"/>
  <c r="S3288" i="1" s="1"/>
  <c r="Q3482" i="1"/>
  <c r="R3482" i="1"/>
  <c r="S3482" i="1" s="1"/>
  <c r="Q3692" i="1"/>
  <c r="R3692" i="1"/>
  <c r="S3692" i="1" s="1"/>
  <c r="R2405" i="1"/>
  <c r="S2405" i="1" s="1"/>
  <c r="Q2493" i="1"/>
  <c r="R2493" i="1" s="1"/>
  <c r="S2493" i="1" s="1"/>
  <c r="R2679" i="1"/>
  <c r="S2679" i="1" s="1"/>
  <c r="Q2679" i="1"/>
  <c r="R2815" i="1"/>
  <c r="S2815" i="1" s="1"/>
  <c r="Q2870" i="1"/>
  <c r="R2870" i="1" s="1"/>
  <c r="S2870" i="1" s="1"/>
  <c r="R2926" i="1"/>
  <c r="S2926" i="1" s="1"/>
  <c r="R3120" i="1"/>
  <c r="S3120" i="1" s="1"/>
  <c r="R3434" i="1"/>
  <c r="S3434" i="1" s="1"/>
  <c r="Q3857" i="1"/>
  <c r="R3857" i="1" s="1"/>
  <c r="S3857" i="1" s="1"/>
  <c r="Q2443" i="1"/>
  <c r="R2443" i="1" s="1"/>
  <c r="S2443" i="1" s="1"/>
  <c r="Q2460" i="1"/>
  <c r="R2460" i="1" s="1"/>
  <c r="S2460" i="1" s="1"/>
  <c r="R2485" i="1"/>
  <c r="S2485" i="1" s="1"/>
  <c r="R2489" i="1"/>
  <c r="S2489" i="1" s="1"/>
  <c r="Q2579" i="1"/>
  <c r="R2579" i="1"/>
  <c r="S2579" i="1" s="1"/>
  <c r="Q2589" i="1"/>
  <c r="R2589" i="1" s="1"/>
  <c r="S2589" i="1" s="1"/>
  <c r="Q2695" i="1"/>
  <c r="R2695" i="1" s="1"/>
  <c r="S2695" i="1" s="1"/>
  <c r="Q2900" i="1"/>
  <c r="R2900" i="1" s="1"/>
  <c r="S2900" i="1" s="1"/>
  <c r="Q2926" i="1"/>
  <c r="R2934" i="1"/>
  <c r="S2934" i="1" s="1"/>
  <c r="Q3120" i="1"/>
  <c r="Q3142" i="1"/>
  <c r="R3142" i="1" s="1"/>
  <c r="S3142" i="1" s="1"/>
  <c r="R3741" i="1"/>
  <c r="S3741" i="1" s="1"/>
  <c r="Q3741" i="1"/>
  <c r="R3828" i="1"/>
  <c r="S3828" i="1" s="1"/>
  <c r="Q3828" i="1"/>
  <c r="Q2721" i="1"/>
  <c r="R2721" i="1" s="1"/>
  <c r="S2721" i="1" s="1"/>
  <c r="R2798" i="1"/>
  <c r="S2798" i="1" s="1"/>
  <c r="Q2837" i="1"/>
  <c r="R2837" i="1" s="1"/>
  <c r="S2837" i="1" s="1"/>
  <c r="Q3116" i="1"/>
  <c r="R3116" i="1" s="1"/>
  <c r="S3116" i="1" s="1"/>
  <c r="Q3304" i="1"/>
  <c r="R3304" i="1"/>
  <c r="S3304" i="1" s="1"/>
  <c r="Q3843" i="1"/>
  <c r="R3843" i="1" s="1"/>
  <c r="S3843" i="1" s="1"/>
  <c r="R4131" i="1"/>
  <c r="S4131" i="1" s="1"/>
  <c r="Q3129" i="1"/>
  <c r="R3129" i="1" s="1"/>
  <c r="S3129" i="1" s="1"/>
  <c r="Q3299" i="1"/>
  <c r="R3299" i="1" s="1"/>
  <c r="S3299" i="1" s="1"/>
  <c r="Q3313" i="1"/>
  <c r="R3313" i="1" s="1"/>
  <c r="S3313" i="1" s="1"/>
  <c r="Q3540" i="1"/>
  <c r="R3540" i="1" s="1"/>
  <c r="S3540" i="1" s="1"/>
  <c r="R3550" i="1"/>
  <c r="S3550" i="1" s="1"/>
  <c r="Q3698" i="1"/>
  <c r="R3698" i="1"/>
  <c r="S3698" i="1" s="1"/>
  <c r="Q2024" i="1"/>
  <c r="R2024" i="1" s="1"/>
  <c r="S2024" i="1" s="1"/>
  <c r="R2113" i="1"/>
  <c r="S2113" i="1" s="1"/>
  <c r="R2267" i="1"/>
  <c r="S2267" i="1" s="1"/>
  <c r="Q2267" i="1"/>
  <c r="R2283" i="1"/>
  <c r="S2283" i="1" s="1"/>
  <c r="Q2317" i="1"/>
  <c r="R2317" i="1" s="1"/>
  <c r="S2317" i="1" s="1"/>
  <c r="R2486" i="1"/>
  <c r="S2486" i="1" s="1"/>
  <c r="Q2515" i="1"/>
  <c r="R2515" i="1" s="1"/>
  <c r="S2515" i="1" s="1"/>
  <c r="Q2520" i="1"/>
  <c r="R2520" i="1" s="1"/>
  <c r="S2520" i="1" s="1"/>
  <c r="R2533" i="1"/>
  <c r="S2533" i="1" s="1"/>
  <c r="Q2542" i="1"/>
  <c r="R2542" i="1" s="1"/>
  <c r="S2542" i="1" s="1"/>
  <c r="Q2645" i="1"/>
  <c r="R2645" i="1" s="1"/>
  <c r="S2645" i="1" s="1"/>
  <c r="R2884" i="1"/>
  <c r="S2884" i="1" s="1"/>
  <c r="R2958" i="1"/>
  <c r="S2958" i="1" s="1"/>
  <c r="Q2958" i="1"/>
  <c r="Q3112" i="1"/>
  <c r="Q3143" i="1"/>
  <c r="R3143" i="1" s="1"/>
  <c r="S3143" i="1" s="1"/>
  <c r="Q3271" i="1"/>
  <c r="R3271" i="1" s="1"/>
  <c r="S3271" i="1" s="1"/>
  <c r="R3294" i="1"/>
  <c r="S3294" i="1" s="1"/>
  <c r="Q3294" i="1"/>
  <c r="R3352" i="1"/>
  <c r="S3352" i="1" s="1"/>
  <c r="Q3394" i="1"/>
  <c r="R3394" i="1" s="1"/>
  <c r="S3394" i="1" s="1"/>
  <c r="Q3421" i="1"/>
  <c r="R3421" i="1" s="1"/>
  <c r="S3421" i="1" s="1"/>
  <c r="Q3550" i="1"/>
  <c r="Q4276" i="1"/>
  <c r="R4276" i="1" s="1"/>
  <c r="S4276" i="1" s="1"/>
  <c r="R2062" i="1"/>
  <c r="S2062" i="1" s="1"/>
  <c r="R2081" i="1"/>
  <c r="S2081" i="1" s="1"/>
  <c r="Q2081" i="1"/>
  <c r="Q2275" i="1"/>
  <c r="R2275" i="1" s="1"/>
  <c r="S2275" i="1" s="1"/>
  <c r="Q2292" i="1"/>
  <c r="R2292" i="1" s="1"/>
  <c r="S2292" i="1" s="1"/>
  <c r="R2309" i="1"/>
  <c r="S2309" i="1" s="1"/>
  <c r="Q2347" i="1"/>
  <c r="R2347" i="1" s="1"/>
  <c r="S2347" i="1" s="1"/>
  <c r="Q2364" i="1"/>
  <c r="R2364" i="1" s="1"/>
  <c r="S2364" i="1" s="1"/>
  <c r="Q2389" i="1"/>
  <c r="R2389" i="1" s="1"/>
  <c r="S2389" i="1" s="1"/>
  <c r="R2397" i="1"/>
  <c r="S2397" i="1" s="1"/>
  <c r="Q2486" i="1"/>
  <c r="Q2533" i="1"/>
  <c r="R2663" i="1"/>
  <c r="S2663" i="1" s="1"/>
  <c r="Q2884" i="1"/>
  <c r="R2893" i="1"/>
  <c r="S2893" i="1" s="1"/>
  <c r="Q3023" i="1"/>
  <c r="R3023" i="1" s="1"/>
  <c r="S3023" i="1" s="1"/>
  <c r="Q3067" i="1"/>
  <c r="R3067" i="1" s="1"/>
  <c r="S3067" i="1" s="1"/>
  <c r="R3072" i="1"/>
  <c r="S3072" i="1" s="1"/>
  <c r="Q3072" i="1"/>
  <c r="Q3108" i="1"/>
  <c r="Q3125" i="1"/>
  <c r="Q3234" i="1"/>
  <c r="R3234" i="1" s="1"/>
  <c r="S3234" i="1" s="1"/>
  <c r="Q3290" i="1"/>
  <c r="R3290" i="1"/>
  <c r="S3290" i="1" s="1"/>
  <c r="R3684" i="1"/>
  <c r="S3684" i="1" s="1"/>
  <c r="Q3824" i="1"/>
  <c r="R3824" i="1" s="1"/>
  <c r="S3824" i="1" s="1"/>
  <c r="R2263" i="1"/>
  <c r="S2263" i="1" s="1"/>
  <c r="Q2551" i="1"/>
  <c r="R2551" i="1" s="1"/>
  <c r="S2551" i="1" s="1"/>
  <c r="R2672" i="1"/>
  <c r="S2672" i="1" s="1"/>
  <c r="R2790" i="1"/>
  <c r="S2790" i="1" s="1"/>
  <c r="Q2893" i="1"/>
  <c r="Q2967" i="1"/>
  <c r="Q2980" i="1"/>
  <c r="R2980" i="1" s="1"/>
  <c r="S2980" i="1" s="1"/>
  <c r="R3117" i="1"/>
  <c r="S3117" i="1" s="1"/>
  <c r="R3153" i="1"/>
  <c r="S3153" i="1" s="1"/>
  <c r="Q3216" i="1"/>
  <c r="R3337" i="1"/>
  <c r="S3337" i="1" s="1"/>
  <c r="R3412" i="1"/>
  <c r="S3412" i="1" s="1"/>
  <c r="R3490" i="1"/>
  <c r="S3490" i="1" s="1"/>
  <c r="Q3684" i="1"/>
  <c r="R2436" i="1"/>
  <c r="S2436" i="1" s="1"/>
  <c r="Q2465" i="1"/>
  <c r="R2465" i="1" s="1"/>
  <c r="S2465" i="1" s="1"/>
  <c r="Q2764" i="1"/>
  <c r="R2764" i="1" s="1"/>
  <c r="S2764" i="1" s="1"/>
  <c r="Q2799" i="1"/>
  <c r="R2799" i="1" s="1"/>
  <c r="S2799" i="1" s="1"/>
  <c r="R2812" i="1"/>
  <c r="S2812" i="1" s="1"/>
  <c r="Q2880" i="1"/>
  <c r="R2880" i="1" s="1"/>
  <c r="S2880" i="1" s="1"/>
  <c r="R2976" i="1"/>
  <c r="S2976" i="1" s="1"/>
  <c r="R3002" i="1"/>
  <c r="S3002" i="1" s="1"/>
  <c r="Q3117" i="1"/>
  <c r="Q3153" i="1"/>
  <c r="Q3376" i="1"/>
  <c r="R3376" i="1" s="1"/>
  <c r="S3376" i="1" s="1"/>
  <c r="Q3412" i="1"/>
  <c r="R3431" i="1"/>
  <c r="S3431" i="1" s="1"/>
  <c r="Q4117" i="1"/>
  <c r="R4117" i="1"/>
  <c r="S4117" i="1" s="1"/>
  <c r="R2124" i="1"/>
  <c r="S2124" i="1" s="1"/>
  <c r="Q2526" i="1"/>
  <c r="R2526" i="1" s="1"/>
  <c r="S2526" i="1" s="1"/>
  <c r="Q2625" i="1"/>
  <c r="R2625" i="1" s="1"/>
  <c r="S2625" i="1" s="1"/>
  <c r="R2910" i="1"/>
  <c r="S2910" i="1" s="1"/>
  <c r="Q3045" i="1"/>
  <c r="R3045" i="1" s="1"/>
  <c r="S3045" i="1" s="1"/>
  <c r="Q3191" i="1"/>
  <c r="R3191" i="1"/>
  <c r="S3191" i="1" s="1"/>
  <c r="Q3249" i="1"/>
  <c r="R3249" i="1" s="1"/>
  <c r="S3249" i="1" s="1"/>
  <c r="R3263" i="1"/>
  <c r="S3263" i="1" s="1"/>
  <c r="Q3386" i="1"/>
  <c r="R3386" i="1" s="1"/>
  <c r="S3386" i="1" s="1"/>
  <c r="R3493" i="1"/>
  <c r="S3493" i="1" s="1"/>
  <c r="Q3498" i="1"/>
  <c r="R3498" i="1" s="1"/>
  <c r="S3498" i="1" s="1"/>
  <c r="Q4082" i="1"/>
  <c r="R4082" i="1" s="1"/>
  <c r="S4082" i="1" s="1"/>
  <c r="R4310" i="1"/>
  <c r="S4310" i="1" s="1"/>
  <c r="Q2048" i="1"/>
  <c r="R2048" i="1" s="1"/>
  <c r="S2048" i="1" s="1"/>
  <c r="Q2080" i="1"/>
  <c r="R2080" i="1" s="1"/>
  <c r="S2080" i="1" s="1"/>
  <c r="Q2102" i="1"/>
  <c r="R2102" i="1" s="1"/>
  <c r="S2102" i="1" s="1"/>
  <c r="Q2113" i="1"/>
  <c r="Q2124" i="1"/>
  <c r="Q2146" i="1"/>
  <c r="Q2176" i="1"/>
  <c r="R2221" i="1"/>
  <c r="S2221" i="1" s="1"/>
  <c r="Q2263" i="1"/>
  <c r="Q2286" i="1"/>
  <c r="R2286" i="1" s="1"/>
  <c r="S2286" i="1" s="1"/>
  <c r="Q2397" i="1"/>
  <c r="Q2429" i="1"/>
  <c r="R2429" i="1" s="1"/>
  <c r="S2429" i="1" s="1"/>
  <c r="R2441" i="1"/>
  <c r="S2441" i="1" s="1"/>
  <c r="Q2469" i="1"/>
  <c r="R2469" i="1" s="1"/>
  <c r="S2469" i="1" s="1"/>
  <c r="Q2637" i="1"/>
  <c r="R2783" i="1"/>
  <c r="S2783" i="1" s="1"/>
  <c r="Q2800" i="1"/>
  <c r="Q2816" i="1"/>
  <c r="Q2910" i="1"/>
  <c r="Q2934" i="1"/>
  <c r="Q2973" i="1"/>
  <c r="R2973" i="1" s="1"/>
  <c r="S2973" i="1" s="1"/>
  <c r="Q3054" i="1"/>
  <c r="R3054" i="1"/>
  <c r="S3054" i="1" s="1"/>
  <c r="Q3105" i="1"/>
  <c r="R3105" i="1" s="1"/>
  <c r="S3105" i="1" s="1"/>
  <c r="R3109" i="1"/>
  <c r="S3109" i="1" s="1"/>
  <c r="Q3109" i="1"/>
  <c r="Q3170" i="1"/>
  <c r="R3170" i="1" s="1"/>
  <c r="S3170" i="1" s="1"/>
  <c r="Q3263" i="1"/>
  <c r="Q3323" i="1"/>
  <c r="R3323" i="1" s="1"/>
  <c r="S3323" i="1" s="1"/>
  <c r="Q3493" i="1"/>
  <c r="Q3512" i="1"/>
  <c r="R3512" i="1" s="1"/>
  <c r="S3512" i="1" s="1"/>
  <c r="Q3525" i="1"/>
  <c r="R3525" i="1" s="1"/>
  <c r="S3525" i="1" s="1"/>
  <c r="Q4131" i="1"/>
  <c r="R2229" i="1"/>
  <c r="S2229" i="1" s="1"/>
  <c r="Q2747" i="1"/>
  <c r="R2747" i="1" s="1"/>
  <c r="S2747" i="1" s="1"/>
  <c r="Q2832" i="1"/>
  <c r="R2832" i="1" s="1"/>
  <c r="S2832" i="1" s="1"/>
  <c r="Q2853" i="1"/>
  <c r="R2853" i="1" s="1"/>
  <c r="S2853" i="1" s="1"/>
  <c r="R2894" i="1"/>
  <c r="S2894" i="1" s="1"/>
  <c r="Q2918" i="1"/>
  <c r="R2918" i="1" s="1"/>
  <c r="S2918" i="1" s="1"/>
  <c r="Q2947" i="1"/>
  <c r="R2947" i="1" s="1"/>
  <c r="S2947" i="1" s="1"/>
  <c r="R2956" i="1"/>
  <c r="S2956" i="1" s="1"/>
  <c r="R2982" i="1"/>
  <c r="S2982" i="1" s="1"/>
  <c r="Q2982" i="1"/>
  <c r="R3093" i="1"/>
  <c r="S3093" i="1" s="1"/>
  <c r="R3187" i="1"/>
  <c r="S3187" i="1" s="1"/>
  <c r="Q3360" i="1"/>
  <c r="R3360" i="1" s="1"/>
  <c r="S3360" i="1" s="1"/>
  <c r="R3489" i="1"/>
  <c r="S3489" i="1" s="1"/>
  <c r="R3521" i="1"/>
  <c r="S3521" i="1" s="1"/>
  <c r="R3592" i="1"/>
  <c r="S3592" i="1" s="1"/>
  <c r="Q3700" i="1"/>
  <c r="R3700" i="1" s="1"/>
  <c r="S3700" i="1" s="1"/>
  <c r="Q3876" i="1"/>
  <c r="R3876" i="1"/>
  <c r="S3876" i="1" s="1"/>
  <c r="Q4221" i="1"/>
  <c r="R4221" i="1" s="1"/>
  <c r="S4221" i="1" s="1"/>
  <c r="R2886" i="1"/>
  <c r="S2886" i="1" s="1"/>
  <c r="Q2886" i="1"/>
  <c r="R2903" i="1"/>
  <c r="S2903" i="1" s="1"/>
  <c r="R2974" i="1"/>
  <c r="S2974" i="1" s="1"/>
  <c r="R2978" i="1"/>
  <c r="S2978" i="1" s="1"/>
  <c r="Q3011" i="1"/>
  <c r="R3011" i="1" s="1"/>
  <c r="S3011" i="1" s="1"/>
  <c r="R3948" i="1"/>
  <c r="S3948" i="1" s="1"/>
  <c r="R3986" i="1"/>
  <c r="S3986" i="1" s="1"/>
  <c r="Q3986" i="1"/>
  <c r="R4014" i="1"/>
  <c r="S4014" i="1" s="1"/>
  <c r="Q4014" i="1"/>
  <c r="Q4211" i="1"/>
  <c r="R4211" i="1"/>
  <c r="S4211" i="1" s="1"/>
  <c r="Q4296" i="1"/>
  <c r="R4296" i="1"/>
  <c r="S4296" i="1" s="1"/>
  <c r="Q3896" i="1"/>
  <c r="R3896" i="1" s="1"/>
  <c r="S3896" i="1" s="1"/>
  <c r="R3982" i="1"/>
  <c r="S3982" i="1" s="1"/>
  <c r="R3996" i="1"/>
  <c r="S3996" i="1" s="1"/>
  <c r="Q4049" i="1"/>
  <c r="R4049" i="1" s="1"/>
  <c r="S4049" i="1" s="1"/>
  <c r="R2092" i="1"/>
  <c r="S2092" i="1" s="1"/>
  <c r="R2140" i="1"/>
  <c r="S2140" i="1" s="1"/>
  <c r="R2188" i="1"/>
  <c r="S2188" i="1" s="1"/>
  <c r="Q2314" i="1"/>
  <c r="R2314" i="1" s="1"/>
  <c r="S2314" i="1" s="1"/>
  <c r="Q2410" i="1"/>
  <c r="R2410" i="1" s="1"/>
  <c r="S2410" i="1" s="1"/>
  <c r="Q2680" i="1"/>
  <c r="R2680" i="1" s="1"/>
  <c r="S2680" i="1" s="1"/>
  <c r="R2707" i="1"/>
  <c r="S2707" i="1" s="1"/>
  <c r="Q2707" i="1"/>
  <c r="Q2732" i="1"/>
  <c r="R2732" i="1" s="1"/>
  <c r="S2732" i="1" s="1"/>
  <c r="R2821" i="1"/>
  <c r="S2821" i="1" s="1"/>
  <c r="R3033" i="1"/>
  <c r="S3033" i="1" s="1"/>
  <c r="R3047" i="1"/>
  <c r="S3047" i="1" s="1"/>
  <c r="Q3076" i="1"/>
  <c r="R3076" i="1" s="1"/>
  <c r="S3076" i="1" s="1"/>
  <c r="R3102" i="1"/>
  <c r="S3102" i="1" s="1"/>
  <c r="Q3140" i="1"/>
  <c r="R3140" i="1" s="1"/>
  <c r="S3140" i="1" s="1"/>
  <c r="R3167" i="1"/>
  <c r="S3167" i="1" s="1"/>
  <c r="Q3167" i="1"/>
  <c r="Q3201" i="1"/>
  <c r="R3201" i="1" s="1"/>
  <c r="S3201" i="1" s="1"/>
  <c r="Q3773" i="1"/>
  <c r="R3773" i="1" s="1"/>
  <c r="S3773" i="1" s="1"/>
  <c r="Q3820" i="1"/>
  <c r="R3820" i="1" s="1"/>
  <c r="S3820" i="1" s="1"/>
  <c r="Q3892" i="1"/>
  <c r="R3892" i="1" s="1"/>
  <c r="S3892" i="1" s="1"/>
  <c r="Q3982" i="1"/>
  <c r="Q3996" i="1"/>
  <c r="Q4010" i="1"/>
  <c r="R4010" i="1" s="1"/>
  <c r="S4010" i="1" s="1"/>
  <c r="R4109" i="1"/>
  <c r="S4109" i="1" s="1"/>
  <c r="Q4302" i="1"/>
  <c r="R4302" i="1" s="1"/>
  <c r="S4302" i="1" s="1"/>
  <c r="Q2218" i="1"/>
  <c r="R2218" i="1" s="1"/>
  <c r="S2218" i="1" s="1"/>
  <c r="Q2249" i="1"/>
  <c r="R2268" i="1"/>
  <c r="S2268" i="1" s="1"/>
  <c r="Q2291" i="1"/>
  <c r="R2291" i="1" s="1"/>
  <c r="S2291" i="1" s="1"/>
  <c r="Q2295" i="1"/>
  <c r="R2295" i="1" s="1"/>
  <c r="S2295" i="1" s="1"/>
  <c r="R2359" i="1"/>
  <c r="S2359" i="1" s="1"/>
  <c r="Q2359" i="1"/>
  <c r="Q2503" i="1"/>
  <c r="Q2519" i="1"/>
  <c r="R2519" i="1" s="1"/>
  <c r="S2519" i="1" s="1"/>
  <c r="R2557" i="1"/>
  <c r="S2557" i="1" s="1"/>
  <c r="Q2684" i="1"/>
  <c r="R2684" i="1" s="1"/>
  <c r="S2684" i="1" s="1"/>
  <c r="R2692" i="1"/>
  <c r="S2692" i="1" s="1"/>
  <c r="Q2696" i="1"/>
  <c r="R2696" i="1" s="1"/>
  <c r="S2696" i="1" s="1"/>
  <c r="Q2712" i="1"/>
  <c r="R2712" i="1" s="1"/>
  <c r="S2712" i="1" s="1"/>
  <c r="Q2720" i="1"/>
  <c r="Q2740" i="1"/>
  <c r="R2740" i="1" s="1"/>
  <c r="S2740" i="1" s="1"/>
  <c r="Q2752" i="1"/>
  <c r="R2752" i="1" s="1"/>
  <c r="S2752" i="1" s="1"/>
  <c r="R2768" i="1"/>
  <c r="S2768" i="1" s="1"/>
  <c r="Q2772" i="1"/>
  <c r="R2772" i="1" s="1"/>
  <c r="S2772" i="1" s="1"/>
  <c r="Q2805" i="1"/>
  <c r="R2805" i="1" s="1"/>
  <c r="S2805" i="1" s="1"/>
  <c r="Q2821" i="1"/>
  <c r="Q2915" i="1"/>
  <c r="R2915" i="1" s="1"/>
  <c r="S2915" i="1" s="1"/>
  <c r="Q3033" i="1"/>
  <c r="Q3047" i="1"/>
  <c r="R3059" i="1"/>
  <c r="S3059" i="1" s="1"/>
  <c r="Q3102" i="1"/>
  <c r="Q3136" i="1"/>
  <c r="R3136" i="1" s="1"/>
  <c r="S3136" i="1" s="1"/>
  <c r="R3393" i="1"/>
  <c r="S3393" i="1" s="1"/>
  <c r="R3509" i="1"/>
  <c r="S3509" i="1" s="1"/>
  <c r="Q3580" i="1"/>
  <c r="R3580" i="1" s="1"/>
  <c r="S3580" i="1" s="1"/>
  <c r="Q3598" i="1"/>
  <c r="R3598" i="1" s="1"/>
  <c r="S3598" i="1" s="1"/>
  <c r="Q3620" i="1"/>
  <c r="R3620" i="1" s="1"/>
  <c r="S3620" i="1" s="1"/>
  <c r="Q3643" i="1"/>
  <c r="R3643" i="1"/>
  <c r="S3643" i="1" s="1"/>
  <c r="Q3720" i="1"/>
  <c r="R3720" i="1" s="1"/>
  <c r="S3720" i="1" s="1"/>
  <c r="Q3868" i="1"/>
  <c r="R3868" i="1" s="1"/>
  <c r="S3868" i="1" s="1"/>
  <c r="Q3940" i="1"/>
  <c r="R3940" i="1" s="1"/>
  <c r="S3940" i="1" s="1"/>
  <c r="R3987" i="1"/>
  <c r="S3987" i="1" s="1"/>
  <c r="Q4006" i="1"/>
  <c r="R4006" i="1" s="1"/>
  <c r="S4006" i="1" s="1"/>
  <c r="Q4123" i="1"/>
  <c r="R4123" i="1" s="1"/>
  <c r="S4123" i="1" s="1"/>
  <c r="R2107" i="1"/>
  <c r="S2107" i="1" s="1"/>
  <c r="Q2107" i="1"/>
  <c r="Q2203" i="1"/>
  <c r="R2203" i="1" s="1"/>
  <c r="S2203" i="1" s="1"/>
  <c r="R2207" i="1"/>
  <c r="S2207" i="1" s="1"/>
  <c r="R2276" i="1"/>
  <c r="S2276" i="1" s="1"/>
  <c r="R2303" i="1"/>
  <c r="S2303" i="1" s="1"/>
  <c r="Q2363" i="1"/>
  <c r="R2363" i="1" s="1"/>
  <c r="S2363" i="1" s="1"/>
  <c r="R2415" i="1"/>
  <c r="S2415" i="1" s="1"/>
  <c r="R2536" i="1"/>
  <c r="S2536" i="1" s="1"/>
  <c r="Q2768" i="1"/>
  <c r="R2936" i="1"/>
  <c r="S2936" i="1" s="1"/>
  <c r="R2949" i="1"/>
  <c r="S2949" i="1" s="1"/>
  <c r="R3029" i="1"/>
  <c r="S3029" i="1" s="1"/>
  <c r="Q3211" i="1"/>
  <c r="R3211" i="1" s="1"/>
  <c r="S3211" i="1" s="1"/>
  <c r="R3256" i="1"/>
  <c r="S3256" i="1" s="1"/>
  <c r="R3279" i="1"/>
  <c r="S3279" i="1" s="1"/>
  <c r="R3302" i="1"/>
  <c r="S3302" i="1" s="1"/>
  <c r="Q3302" i="1"/>
  <c r="R3478" i="1"/>
  <c r="S3478" i="1" s="1"/>
  <c r="Q3541" i="1"/>
  <c r="R3541" i="1" s="1"/>
  <c r="S3541" i="1" s="1"/>
  <c r="R3568" i="1"/>
  <c r="S3568" i="1" s="1"/>
  <c r="Q3730" i="1"/>
  <c r="R3730" i="1" s="1"/>
  <c r="S3730" i="1" s="1"/>
  <c r="R2932" i="1"/>
  <c r="S2932" i="1" s="1"/>
  <c r="Q2996" i="1"/>
  <c r="R2996" i="1" s="1"/>
  <c r="S2996" i="1" s="1"/>
  <c r="Q3044" i="1"/>
  <c r="R3044" i="1" s="1"/>
  <c r="S3044" i="1" s="1"/>
  <c r="R3077" i="1"/>
  <c r="S3077" i="1" s="1"/>
  <c r="Q3077" i="1"/>
  <c r="Q3298" i="1"/>
  <c r="R3298" i="1" s="1"/>
  <c r="S3298" i="1" s="1"/>
  <c r="Q3691" i="1"/>
  <c r="R3691" i="1" s="1"/>
  <c r="S3691" i="1" s="1"/>
  <c r="Q3752" i="1"/>
  <c r="R3752" i="1" s="1"/>
  <c r="S3752" i="1" s="1"/>
  <c r="Q3856" i="1"/>
  <c r="R3856" i="1"/>
  <c r="S3856" i="1" s="1"/>
  <c r="R4201" i="1"/>
  <c r="S4201" i="1" s="1"/>
  <c r="R4325" i="1"/>
  <c r="S4325" i="1" s="1"/>
  <c r="Q2339" i="1"/>
  <c r="R2339" i="1" s="1"/>
  <c r="S2339" i="1" s="1"/>
  <c r="R2388" i="1"/>
  <c r="S2388" i="1" s="1"/>
  <c r="Q2671" i="1"/>
  <c r="R2671" i="1" s="1"/>
  <c r="S2671" i="1" s="1"/>
  <c r="Q2733" i="1"/>
  <c r="R2733" i="1" s="1"/>
  <c r="S2733" i="1" s="1"/>
  <c r="Q2783" i="1"/>
  <c r="Q2798" i="1"/>
  <c r="Q2813" i="1"/>
  <c r="R2813" i="1" s="1"/>
  <c r="S2813" i="1" s="1"/>
  <c r="Q2925" i="1"/>
  <c r="Q2932" i="1"/>
  <c r="Q2981" i="1"/>
  <c r="R2981" i="1" s="1"/>
  <c r="S2981" i="1" s="1"/>
  <c r="R3004" i="1"/>
  <c r="S3004" i="1" s="1"/>
  <c r="Q3020" i="1"/>
  <c r="R3020" i="1" s="1"/>
  <c r="S3020" i="1" s="1"/>
  <c r="Q3159" i="1"/>
  <c r="R3229" i="1"/>
  <c r="S3229" i="1" s="1"/>
  <c r="R3255" i="1"/>
  <c r="S3255" i="1" s="1"/>
  <c r="R3426" i="1"/>
  <c r="S3426" i="1" s="1"/>
  <c r="Q3500" i="1"/>
  <c r="R3500" i="1" s="1"/>
  <c r="S3500" i="1" s="1"/>
  <c r="Q3504" i="1"/>
  <c r="R3504" i="1" s="1"/>
  <c r="S3504" i="1" s="1"/>
  <c r="R4085" i="1"/>
  <c r="S4085" i="1" s="1"/>
  <c r="Q4085" i="1"/>
  <c r="Q4325" i="1"/>
  <c r="Q2388" i="1"/>
  <c r="Q2644" i="1"/>
  <c r="R2644" i="1" s="1"/>
  <c r="S2644" i="1" s="1"/>
  <c r="Q2725" i="1"/>
  <c r="R2725" i="1" s="1"/>
  <c r="S2725" i="1" s="1"/>
  <c r="R2828" i="1"/>
  <c r="S2828" i="1" s="1"/>
  <c r="Q2828" i="1"/>
  <c r="Q2848" i="1"/>
  <c r="R2848" i="1" s="1"/>
  <c r="S2848" i="1" s="1"/>
  <c r="R2867" i="1"/>
  <c r="S2867" i="1" s="1"/>
  <c r="Q2867" i="1"/>
  <c r="Q2902" i="1"/>
  <c r="R2902" i="1" s="1"/>
  <c r="S2902" i="1" s="1"/>
  <c r="Q2965" i="1"/>
  <c r="R2965" i="1" s="1"/>
  <c r="S2965" i="1" s="1"/>
  <c r="Q3012" i="1"/>
  <c r="R3012" i="1" s="1"/>
  <c r="S3012" i="1" s="1"/>
  <c r="Q3028" i="1"/>
  <c r="R3028" i="1" s="1"/>
  <c r="S3028" i="1" s="1"/>
  <c r="Q3032" i="1"/>
  <c r="R3032" i="1" s="1"/>
  <c r="S3032" i="1" s="1"/>
  <c r="R3122" i="1"/>
  <c r="S3122" i="1" s="1"/>
  <c r="R3155" i="1"/>
  <c r="S3155" i="1" s="1"/>
  <c r="R3163" i="1"/>
  <c r="S3163" i="1" s="1"/>
  <c r="R3343" i="1"/>
  <c r="S3343" i="1" s="1"/>
  <c r="R3413" i="1"/>
  <c r="S3413" i="1" s="1"/>
  <c r="R3422" i="1"/>
  <c r="S3422" i="1" s="1"/>
  <c r="Q3426" i="1"/>
  <c r="Q3448" i="1"/>
  <c r="R3448" i="1" s="1"/>
  <c r="S3448" i="1" s="1"/>
  <c r="Q3676" i="1"/>
  <c r="R3676" i="1" s="1"/>
  <c r="S3676" i="1" s="1"/>
  <c r="Q4162" i="1"/>
  <c r="R4162" i="1" s="1"/>
  <c r="S4162" i="1" s="1"/>
  <c r="Q4232" i="1"/>
  <c r="R4232" i="1" s="1"/>
  <c r="S4232" i="1" s="1"/>
  <c r="Q4301" i="1"/>
  <c r="R4301" i="1" s="1"/>
  <c r="S4301" i="1" s="1"/>
  <c r="R2718" i="1"/>
  <c r="S2718" i="1" s="1"/>
  <c r="Q2745" i="1"/>
  <c r="R2745" i="1" s="1"/>
  <c r="S2745" i="1" s="1"/>
  <c r="R2989" i="1"/>
  <c r="S2989" i="1" s="1"/>
  <c r="Q3168" i="1"/>
  <c r="R3168" i="1" s="1"/>
  <c r="S3168" i="1" s="1"/>
  <c r="R3176" i="1"/>
  <c r="S3176" i="1" s="1"/>
  <c r="Q3221" i="1"/>
  <c r="R3221" i="1" s="1"/>
  <c r="S3221" i="1" s="1"/>
  <c r="Q3397" i="1"/>
  <c r="R3397" i="1" s="1"/>
  <c r="S3397" i="1" s="1"/>
  <c r="R3418" i="1"/>
  <c r="S3418" i="1" s="1"/>
  <c r="R3513" i="1"/>
  <c r="S3513" i="1" s="1"/>
  <c r="Q3880" i="1"/>
  <c r="R3880" i="1"/>
  <c r="S3880" i="1" s="1"/>
  <c r="Q4173" i="1"/>
  <c r="R4173" i="1" s="1"/>
  <c r="S4173" i="1" s="1"/>
  <c r="Q2509" i="1"/>
  <c r="R2509" i="1" s="1"/>
  <c r="S2509" i="1" s="1"/>
  <c r="R2540" i="1"/>
  <c r="S2540" i="1" s="1"/>
  <c r="Q2540" i="1"/>
  <c r="R3050" i="1"/>
  <c r="S3050" i="1" s="1"/>
  <c r="R3269" i="1"/>
  <c r="S3269" i="1" s="1"/>
  <c r="R3322" i="1"/>
  <c r="S3322" i="1" s="1"/>
  <c r="Q3349" i="1"/>
  <c r="R3349" i="1" s="1"/>
  <c r="S3349" i="1" s="1"/>
  <c r="R3414" i="1"/>
  <c r="S3414" i="1" s="1"/>
  <c r="R3436" i="1"/>
  <c r="S3436" i="1" s="1"/>
  <c r="Q3488" i="1"/>
  <c r="R3488" i="1" s="1"/>
  <c r="S3488" i="1" s="1"/>
  <c r="R3735" i="1"/>
  <c r="S3735" i="1" s="1"/>
  <c r="R2116" i="1"/>
  <c r="S2116" i="1" s="1"/>
  <c r="R2244" i="1"/>
  <c r="S2244" i="1" s="1"/>
  <c r="Q2333" i="1"/>
  <c r="R2333" i="1" s="1"/>
  <c r="S2333" i="1" s="1"/>
  <c r="Q2348" i="1"/>
  <c r="R2404" i="1"/>
  <c r="S2404" i="1" s="1"/>
  <c r="Q2564" i="1"/>
  <c r="R2564" i="1" s="1"/>
  <c r="S2564" i="1" s="1"/>
  <c r="Q2649" i="1"/>
  <c r="R2649" i="1" s="1"/>
  <c r="S2649" i="1" s="1"/>
  <c r="Q2780" i="1"/>
  <c r="R2780" i="1" s="1"/>
  <c r="S2780" i="1" s="1"/>
  <c r="R2845" i="1"/>
  <c r="S2845" i="1" s="1"/>
  <c r="R3046" i="1"/>
  <c r="S3046" i="1" s="1"/>
  <c r="Q3046" i="1"/>
  <c r="Q3062" i="1"/>
  <c r="R3062" i="1" s="1"/>
  <c r="S3062" i="1" s="1"/>
  <c r="R3087" i="1"/>
  <c r="S3087" i="1" s="1"/>
  <c r="Q3119" i="1"/>
  <c r="R3119" i="1" s="1"/>
  <c r="S3119" i="1" s="1"/>
  <c r="R3282" i="1"/>
  <c r="S3282" i="1" s="1"/>
  <c r="Q3282" i="1"/>
  <c r="R3318" i="1"/>
  <c r="S3318" i="1" s="1"/>
  <c r="R3432" i="1"/>
  <c r="S3432" i="1" s="1"/>
  <c r="R3497" i="1"/>
  <c r="S3497" i="1" s="1"/>
  <c r="Q3672" i="1"/>
  <c r="R3672" i="1" s="1"/>
  <c r="S3672" i="1" s="1"/>
  <c r="Q4106" i="1"/>
  <c r="R4106" i="1" s="1"/>
  <c r="S4106" i="1" s="1"/>
  <c r="Q4174" i="1"/>
  <c r="R4174" i="1" s="1"/>
  <c r="S4174" i="1" s="1"/>
  <c r="Q4203" i="1"/>
  <c r="R4203" i="1" s="1"/>
  <c r="S4203" i="1" s="1"/>
  <c r="Q2419" i="1"/>
  <c r="R2419" i="1" s="1"/>
  <c r="S2419" i="1" s="1"/>
  <c r="R2556" i="1"/>
  <c r="S2556" i="1" s="1"/>
  <c r="R2572" i="1"/>
  <c r="S2572" i="1" s="1"/>
  <c r="R2773" i="1"/>
  <c r="S2773" i="1" s="1"/>
  <c r="R2954" i="1"/>
  <c r="S2954" i="1" s="1"/>
  <c r="R2990" i="1"/>
  <c r="S2990" i="1" s="1"/>
  <c r="Q3087" i="1"/>
  <c r="R3103" i="1"/>
  <c r="S3103" i="1" s="1"/>
  <c r="R3144" i="1"/>
  <c r="S3144" i="1" s="1"/>
  <c r="Q3152" i="1"/>
  <c r="R3152" i="1" s="1"/>
  <c r="S3152" i="1" s="1"/>
  <c r="R3181" i="1"/>
  <c r="S3181" i="1" s="1"/>
  <c r="R3214" i="1"/>
  <c r="S3214" i="1" s="1"/>
  <c r="Q3222" i="1"/>
  <c r="R3222" i="1" s="1"/>
  <c r="S3222" i="1" s="1"/>
  <c r="R3226" i="1"/>
  <c r="S3226" i="1" s="1"/>
  <c r="Q3318" i="1"/>
  <c r="R3327" i="1"/>
  <c r="S3327" i="1" s="1"/>
  <c r="Q3327" i="1"/>
  <c r="Q3432" i="1"/>
  <c r="R3463" i="1"/>
  <c r="S3463" i="1" s="1"/>
  <c r="Q3497" i="1"/>
  <c r="R3535" i="1"/>
  <c r="S3535" i="1" s="1"/>
  <c r="R3545" i="1"/>
  <c r="S3545" i="1" s="1"/>
  <c r="Q3549" i="1"/>
  <c r="R3549" i="1" s="1"/>
  <c r="S3549" i="1" s="1"/>
  <c r="R3636" i="1"/>
  <c r="S3636" i="1" s="1"/>
  <c r="Q3678" i="1"/>
  <c r="R3678" i="1" s="1"/>
  <c r="S3678" i="1" s="1"/>
  <c r="R3769" i="1"/>
  <c r="S3769" i="1" s="1"/>
  <c r="R3816" i="1"/>
  <c r="S3816" i="1" s="1"/>
  <c r="R3905" i="1"/>
  <c r="S3905" i="1" s="1"/>
  <c r="R3975" i="1"/>
  <c r="S3975" i="1" s="1"/>
  <c r="Q2660" i="1"/>
  <c r="R2660" i="1" s="1"/>
  <c r="S2660" i="1" s="1"/>
  <c r="R2788" i="1"/>
  <c r="S2788" i="1" s="1"/>
  <c r="R2869" i="1"/>
  <c r="S2869" i="1" s="1"/>
  <c r="Q3068" i="1"/>
  <c r="R3068" i="1" s="1"/>
  <c r="S3068" i="1" s="1"/>
  <c r="Q3148" i="1"/>
  <c r="R3148" i="1" s="1"/>
  <c r="S3148" i="1" s="1"/>
  <c r="R3250" i="1"/>
  <c r="S3250" i="1" s="1"/>
  <c r="R3270" i="1"/>
  <c r="S3270" i="1" s="1"/>
  <c r="Q3561" i="1"/>
  <c r="R3561" i="1" s="1"/>
  <c r="S3561" i="1" s="1"/>
  <c r="R3573" i="1"/>
  <c r="S3573" i="1" s="1"/>
  <c r="Q3706" i="1"/>
  <c r="R3706" i="1" s="1"/>
  <c r="S3706" i="1" s="1"/>
  <c r="R3761" i="1"/>
  <c r="S3761" i="1" s="1"/>
  <c r="Q3784" i="1"/>
  <c r="R3784" i="1" s="1"/>
  <c r="S3784" i="1" s="1"/>
  <c r="R3964" i="1"/>
  <c r="S3964" i="1" s="1"/>
  <c r="Q4141" i="1"/>
  <c r="R4141" i="1" s="1"/>
  <c r="S4141" i="1" s="1"/>
  <c r="Q4150" i="1"/>
  <c r="R4150" i="1" s="1"/>
  <c r="S4150" i="1" s="1"/>
  <c r="R4306" i="1"/>
  <c r="S4306" i="1" s="1"/>
  <c r="R4330" i="1"/>
  <c r="S4330" i="1" s="1"/>
  <c r="R2548" i="1"/>
  <c r="S2548" i="1" s="1"/>
  <c r="R2653" i="1"/>
  <c r="S2653" i="1" s="1"/>
  <c r="R2836" i="1"/>
  <c r="S2836" i="1" s="1"/>
  <c r="Q2891" i="1"/>
  <c r="R2891" i="1" s="1"/>
  <c r="S2891" i="1" s="1"/>
  <c r="Q2924" i="1"/>
  <c r="R2924" i="1" s="1"/>
  <c r="S2924" i="1" s="1"/>
  <c r="R3133" i="1"/>
  <c r="S3133" i="1" s="1"/>
  <c r="R3202" i="1"/>
  <c r="S3202" i="1" s="1"/>
  <c r="R3266" i="1"/>
  <c r="S3266" i="1" s="1"/>
  <c r="Q3362" i="1"/>
  <c r="R3362" i="1" s="1"/>
  <c r="S3362" i="1" s="1"/>
  <c r="R3577" i="1"/>
  <c r="S3577" i="1" s="1"/>
  <c r="R3756" i="1"/>
  <c r="S3756" i="1" s="1"/>
  <c r="Q3932" i="1"/>
  <c r="R3932" i="1" s="1"/>
  <c r="S3932" i="1" s="1"/>
  <c r="Q4040" i="1"/>
  <c r="R4040" i="1" s="1"/>
  <c r="S4040" i="1" s="1"/>
  <c r="Q4136" i="1"/>
  <c r="R4136" i="1" s="1"/>
  <c r="S4136" i="1" s="1"/>
  <c r="Q4311" i="1"/>
  <c r="R4311" i="1" s="1"/>
  <c r="S4311" i="1" s="1"/>
  <c r="Q4335" i="1"/>
  <c r="R4335" i="1" s="1"/>
  <c r="S4335" i="1" s="1"/>
  <c r="R2917" i="1"/>
  <c r="S2917" i="1" s="1"/>
  <c r="R3061" i="1"/>
  <c r="S3061" i="1" s="1"/>
  <c r="R3141" i="1"/>
  <c r="S3141" i="1" s="1"/>
  <c r="R3246" i="1"/>
  <c r="S3246" i="1" s="1"/>
  <c r="Q3246" i="1"/>
  <c r="R3287" i="1"/>
  <c r="S3287" i="1" s="1"/>
  <c r="Q3320" i="1"/>
  <c r="R3320" i="1" s="1"/>
  <c r="S3320" i="1" s="1"/>
  <c r="Q3440" i="1"/>
  <c r="R3440" i="1" s="1"/>
  <c r="S3440" i="1" s="1"/>
  <c r="Q3457" i="1"/>
  <c r="R3457" i="1" s="1"/>
  <c r="S3457" i="1" s="1"/>
  <c r="R3530" i="1"/>
  <c r="S3530" i="1" s="1"/>
  <c r="Q3544" i="1"/>
  <c r="R3544" i="1" s="1"/>
  <c r="S3544" i="1" s="1"/>
  <c r="R3565" i="1"/>
  <c r="S3565" i="1" s="1"/>
  <c r="Q3616" i="1"/>
  <c r="R3616" i="1" s="1"/>
  <c r="S3616" i="1" s="1"/>
  <c r="R3780" i="1"/>
  <c r="S3780" i="1" s="1"/>
  <c r="Q3859" i="1"/>
  <c r="R3859" i="1" s="1"/>
  <c r="S3859" i="1" s="1"/>
  <c r="Q3872" i="1"/>
  <c r="R3872" i="1" s="1"/>
  <c r="S3872" i="1" s="1"/>
  <c r="Q3891" i="1"/>
  <c r="R3891" i="1" s="1"/>
  <c r="S3891" i="1" s="1"/>
  <c r="R3950" i="1"/>
  <c r="S3950" i="1" s="1"/>
  <c r="R4321" i="1"/>
  <c r="S4321" i="1" s="1"/>
  <c r="Q2987" i="1"/>
  <c r="R2987" i="1" s="1"/>
  <c r="S2987" i="1" s="1"/>
  <c r="Q3164" i="1"/>
  <c r="R3164" i="1" s="1"/>
  <c r="S3164" i="1" s="1"/>
  <c r="R3195" i="1"/>
  <c r="S3195" i="1" s="1"/>
  <c r="Q3325" i="1"/>
  <c r="R3325" i="1" s="1"/>
  <c r="S3325" i="1" s="1"/>
  <c r="Q3400" i="1"/>
  <c r="R3400" i="1" s="1"/>
  <c r="S3400" i="1" s="1"/>
  <c r="R3553" i="1"/>
  <c r="S3553" i="1" s="1"/>
  <c r="Q3608" i="1"/>
  <c r="R3608" i="1" s="1"/>
  <c r="S3608" i="1" s="1"/>
  <c r="R3612" i="1"/>
  <c r="S3612" i="1" s="1"/>
  <c r="R3831" i="1"/>
  <c r="S3831" i="1" s="1"/>
  <c r="Q3924" i="1"/>
  <c r="R3924" i="1" s="1"/>
  <c r="S3924" i="1" s="1"/>
  <c r="Q3933" i="1"/>
  <c r="R3933" i="1" s="1"/>
  <c r="S3933" i="1" s="1"/>
  <c r="R4099" i="1"/>
  <c r="S4099" i="1" s="1"/>
  <c r="Q4099" i="1"/>
  <c r="R4156" i="1"/>
  <c r="S4156" i="1" s="1"/>
  <c r="Q4156" i="1"/>
  <c r="R4166" i="1"/>
  <c r="S4166" i="1" s="1"/>
  <c r="Q4195" i="1"/>
  <c r="R4195" i="1" s="1"/>
  <c r="S4195" i="1" s="1"/>
  <c r="Q4239" i="1"/>
  <c r="R4239" i="1" s="1"/>
  <c r="S4239" i="1" s="1"/>
  <c r="R4254" i="1"/>
  <c r="S4254" i="1" s="1"/>
  <c r="Q4254" i="1"/>
  <c r="Q3979" i="1"/>
  <c r="R3979" i="1" s="1"/>
  <c r="S3979" i="1" s="1"/>
  <c r="R4230" i="1"/>
  <c r="S4230" i="1" s="1"/>
  <c r="R4342" i="1"/>
  <c r="S4342" i="1" s="1"/>
  <c r="R2723" i="1"/>
  <c r="S2723" i="1" s="1"/>
  <c r="Q2723" i="1"/>
  <c r="R2756" i="1"/>
  <c r="S2756" i="1" s="1"/>
  <c r="Q2756" i="1"/>
  <c r="Q2804" i="1"/>
  <c r="R2804" i="1" s="1"/>
  <c r="S2804" i="1" s="1"/>
  <c r="R3021" i="1"/>
  <c r="S3021" i="1" s="1"/>
  <c r="Q3092" i="1"/>
  <c r="R3092" i="1" s="1"/>
  <c r="S3092" i="1" s="1"/>
  <c r="R3157" i="1"/>
  <c r="S3157" i="1" s="1"/>
  <c r="R3207" i="1"/>
  <c r="S3207" i="1" s="1"/>
  <c r="R3215" i="1"/>
  <c r="S3215" i="1" s="1"/>
  <c r="Q3536" i="1"/>
  <c r="R3536" i="1" s="1"/>
  <c r="S3536" i="1" s="1"/>
  <c r="R3566" i="1"/>
  <c r="S3566" i="1" s="1"/>
  <c r="Q3648" i="1"/>
  <c r="R3648" i="1" s="1"/>
  <c r="S3648" i="1" s="1"/>
  <c r="Q3735" i="1"/>
  <c r="Q3739" i="1"/>
  <c r="R3739" i="1" s="1"/>
  <c r="S3739" i="1" s="1"/>
  <c r="Q3748" i="1"/>
  <c r="R3748" i="1" s="1"/>
  <c r="S3748" i="1" s="1"/>
  <c r="R3804" i="1"/>
  <c r="S3804" i="1" s="1"/>
  <c r="Q3809" i="1"/>
  <c r="R3809" i="1" s="1"/>
  <c r="S3809" i="1" s="1"/>
  <c r="R4051" i="1"/>
  <c r="S4051" i="1" s="1"/>
  <c r="Q4051" i="1"/>
  <c r="Q4230" i="1"/>
  <c r="Q4245" i="1"/>
  <c r="R4245" i="1" s="1"/>
  <c r="S4245" i="1" s="1"/>
  <c r="Q4283" i="1"/>
  <c r="R4283" i="1" s="1"/>
  <c r="S4283" i="1" s="1"/>
  <c r="Q4298" i="1"/>
  <c r="R4298" i="1" s="1"/>
  <c r="S4298" i="1" s="1"/>
  <c r="Q2636" i="1"/>
  <c r="R2636" i="1" s="1"/>
  <c r="S2636" i="1" s="1"/>
  <c r="R2749" i="1"/>
  <c r="S2749" i="1" s="1"/>
  <c r="Q2771" i="1"/>
  <c r="R2771" i="1" s="1"/>
  <c r="S2771" i="1" s="1"/>
  <c r="R2797" i="1"/>
  <c r="S2797" i="1" s="1"/>
  <c r="Q3021" i="1"/>
  <c r="R3165" i="1"/>
  <c r="S3165" i="1" s="1"/>
  <c r="R3184" i="1"/>
  <c r="S3184" i="1" s="1"/>
  <c r="R3243" i="1"/>
  <c r="S3243" i="1" s="1"/>
  <c r="Q3392" i="1"/>
  <c r="R3392" i="1" s="1"/>
  <c r="S3392" i="1" s="1"/>
  <c r="R3613" i="1"/>
  <c r="S3613" i="1" s="1"/>
  <c r="Q3680" i="1"/>
  <c r="R3680" i="1" s="1"/>
  <c r="S3680" i="1" s="1"/>
  <c r="R3717" i="1"/>
  <c r="S3717" i="1" s="1"/>
  <c r="R3731" i="1"/>
  <c r="S3731" i="1" s="1"/>
  <c r="R3744" i="1"/>
  <c r="S3744" i="1" s="1"/>
  <c r="R3795" i="1"/>
  <c r="S3795" i="1" s="1"/>
  <c r="Q4086" i="1"/>
  <c r="R4086" i="1" s="1"/>
  <c r="S4086" i="1" s="1"/>
  <c r="Q4090" i="1"/>
  <c r="R4090" i="1" s="1"/>
  <c r="S4090" i="1" s="1"/>
  <c r="R2524" i="1"/>
  <c r="S2524" i="1" s="1"/>
  <c r="R2629" i="1"/>
  <c r="S2629" i="1" s="1"/>
  <c r="R2716" i="1"/>
  <c r="S2716" i="1" s="1"/>
  <c r="Q2819" i="1"/>
  <c r="R2819" i="1" s="1"/>
  <c r="S2819" i="1" s="1"/>
  <c r="Q2852" i="1"/>
  <c r="R2852" i="1" s="1"/>
  <c r="S2852" i="1" s="1"/>
  <c r="Q3100" i="1"/>
  <c r="R3100" i="1" s="1"/>
  <c r="S3100" i="1" s="1"/>
  <c r="R3188" i="1"/>
  <c r="S3188" i="1" s="1"/>
  <c r="Q3239" i="1"/>
  <c r="R3239" i="1" s="1"/>
  <c r="S3239" i="1" s="1"/>
  <c r="R3384" i="1"/>
  <c r="S3384" i="1" s="1"/>
  <c r="Q3454" i="1"/>
  <c r="R3454" i="1" s="1"/>
  <c r="S3454" i="1" s="1"/>
  <c r="R3657" i="1"/>
  <c r="S3657" i="1" s="1"/>
  <c r="Q3675" i="1"/>
  <c r="R3675" i="1" s="1"/>
  <c r="S3675" i="1" s="1"/>
  <c r="Q3763" i="1"/>
  <c r="R3763" i="1" s="1"/>
  <c r="S3763" i="1" s="1"/>
  <c r="Q3832" i="1"/>
  <c r="R3832" i="1"/>
  <c r="S3832" i="1" s="1"/>
  <c r="R3883" i="1"/>
  <c r="S3883" i="1" s="1"/>
  <c r="Q3920" i="1"/>
  <c r="R3920" i="1" s="1"/>
  <c r="S3920" i="1" s="1"/>
  <c r="Q4032" i="1"/>
  <c r="R4032" i="1"/>
  <c r="S4032" i="1" s="1"/>
  <c r="R4037" i="1"/>
  <c r="S4037" i="1" s="1"/>
  <c r="Q4037" i="1"/>
  <c r="Q4071" i="1"/>
  <c r="R4071" i="1" s="1"/>
  <c r="S4071" i="1" s="1"/>
  <c r="Q4152" i="1"/>
  <c r="R4152" i="1" s="1"/>
  <c r="S4152" i="1" s="1"/>
  <c r="Q4225" i="1"/>
  <c r="R4225" i="1" s="1"/>
  <c r="S4225" i="1" s="1"/>
  <c r="R3514" i="1"/>
  <c r="S3514" i="1" s="1"/>
  <c r="Q3644" i="1"/>
  <c r="R3644" i="1" s="1"/>
  <c r="S3644" i="1" s="1"/>
  <c r="R3723" i="1"/>
  <c r="S3723" i="1" s="1"/>
  <c r="Q3740" i="1"/>
  <c r="R3740" i="1" s="1"/>
  <c r="S3740" i="1" s="1"/>
  <c r="R3907" i="1"/>
  <c r="S3907" i="1" s="1"/>
  <c r="Q4132" i="1"/>
  <c r="R4132" i="1" s="1"/>
  <c r="S4132" i="1" s="1"/>
  <c r="Q4179" i="1"/>
  <c r="R4179" i="1"/>
  <c r="S4179" i="1" s="1"/>
  <c r="R3293" i="1"/>
  <c r="S3293" i="1" s="1"/>
  <c r="R3342" i="1"/>
  <c r="S3342" i="1" s="1"/>
  <c r="R3679" i="1"/>
  <c r="S3679" i="1" s="1"/>
  <c r="Q3710" i="1"/>
  <c r="R3710" i="1" s="1"/>
  <c r="S3710" i="1" s="1"/>
  <c r="R3732" i="1"/>
  <c r="S3732" i="1" s="1"/>
  <c r="Q3736" i="1"/>
  <c r="R3736" i="1"/>
  <c r="S3736" i="1" s="1"/>
  <c r="R3808" i="1"/>
  <c r="S3808" i="1" s="1"/>
  <c r="Q3821" i="1"/>
  <c r="R3821" i="1" s="1"/>
  <c r="S3821" i="1" s="1"/>
  <c r="Q3907" i="1"/>
  <c r="R3916" i="1"/>
  <c r="S3916" i="1" s="1"/>
  <c r="Q3956" i="1"/>
  <c r="R3956" i="1" s="1"/>
  <c r="S3956" i="1" s="1"/>
  <c r="R3960" i="1"/>
  <c r="S3960" i="1" s="1"/>
  <c r="Q4110" i="1"/>
  <c r="R4110" i="1" s="1"/>
  <c r="S4110" i="1" s="1"/>
  <c r="R4212" i="1"/>
  <c r="S4212" i="1" s="1"/>
  <c r="R4246" i="1"/>
  <c r="S4246" i="1" s="1"/>
  <c r="Q4246" i="1"/>
  <c r="R4269" i="1"/>
  <c r="S4269" i="1" s="1"/>
  <c r="Q4269" i="1"/>
  <c r="Q3293" i="1"/>
  <c r="R3297" i="1"/>
  <c r="S3297" i="1" s="1"/>
  <c r="Q3301" i="1"/>
  <c r="R3301" i="1" s="1"/>
  <c r="S3301" i="1" s="1"/>
  <c r="Q3342" i="1"/>
  <c r="R3399" i="1"/>
  <c r="S3399" i="1" s="1"/>
  <c r="R3406" i="1"/>
  <c r="S3406" i="1" s="1"/>
  <c r="R3574" i="1"/>
  <c r="S3574" i="1" s="1"/>
  <c r="Q3674" i="1"/>
  <c r="R3674" i="1"/>
  <c r="S3674" i="1" s="1"/>
  <c r="Q3759" i="1"/>
  <c r="R3759" i="1"/>
  <c r="S3759" i="1" s="1"/>
  <c r="R3817" i="1"/>
  <c r="S3817" i="1" s="1"/>
  <c r="Q3884" i="1"/>
  <c r="R3884" i="1" s="1"/>
  <c r="S3884" i="1" s="1"/>
  <c r="R3997" i="1"/>
  <c r="S3997" i="1" s="1"/>
  <c r="R4068" i="1"/>
  <c r="S4068" i="1" s="1"/>
  <c r="R4184" i="1"/>
  <c r="S4184" i="1" s="1"/>
  <c r="Q4212" i="1"/>
  <c r="R4260" i="1"/>
  <c r="S4260" i="1" s="1"/>
  <c r="R4265" i="1"/>
  <c r="S4265" i="1" s="1"/>
  <c r="Q4274" i="1"/>
  <c r="R4274" i="1" s="1"/>
  <c r="S4274" i="1" s="1"/>
  <c r="Q3373" i="1"/>
  <c r="R3373" i="1" s="1"/>
  <c r="S3373" i="1" s="1"/>
  <c r="Q3445" i="1"/>
  <c r="R3445" i="1" s="1"/>
  <c r="S3445" i="1" s="1"/>
  <c r="R3538" i="1"/>
  <c r="S3538" i="1" s="1"/>
  <c r="R3645" i="1"/>
  <c r="S3645" i="1" s="1"/>
  <c r="R4016" i="1"/>
  <c r="S4016" i="1" s="1"/>
  <c r="Q4054" i="1"/>
  <c r="R4054" i="1" s="1"/>
  <c r="S4054" i="1" s="1"/>
  <c r="R4147" i="1"/>
  <c r="S4147" i="1" s="1"/>
  <c r="R4284" i="1"/>
  <c r="S4284" i="1" s="1"/>
  <c r="R3261" i="1"/>
  <c r="S3261" i="1" s="1"/>
  <c r="Q3604" i="1"/>
  <c r="R3604" i="1" s="1"/>
  <c r="S3604" i="1" s="1"/>
  <c r="Q3637" i="1"/>
  <c r="R3637" i="1" s="1"/>
  <c r="S3637" i="1" s="1"/>
  <c r="Q3836" i="1"/>
  <c r="R3836" i="1" s="1"/>
  <c r="S3836" i="1" s="1"/>
  <c r="R3989" i="1"/>
  <c r="S3989" i="1" s="1"/>
  <c r="R4204" i="1"/>
  <c r="S4204" i="1" s="1"/>
  <c r="Q4204" i="1"/>
  <c r="Q3035" i="1"/>
  <c r="Q3059" i="1"/>
  <c r="Q3083" i="1"/>
  <c r="Q3107" i="1"/>
  <c r="R3107" i="1" s="1"/>
  <c r="S3107" i="1" s="1"/>
  <c r="Q3131" i="1"/>
  <c r="R3131" i="1" s="1"/>
  <c r="S3131" i="1" s="1"/>
  <c r="Q3155" i="1"/>
  <c r="Q3179" i="1"/>
  <c r="R3179" i="1" s="1"/>
  <c r="S3179" i="1" s="1"/>
  <c r="Q3186" i="1"/>
  <c r="R3186" i="1" s="1"/>
  <c r="S3186" i="1" s="1"/>
  <c r="Q3193" i="1"/>
  <c r="R3193" i="1" s="1"/>
  <c r="S3193" i="1" s="1"/>
  <c r="Q3207" i="1"/>
  <c r="Q3214" i="1"/>
  <c r="Q3232" i="1"/>
  <c r="R3232" i="1" s="1"/>
  <c r="S3232" i="1" s="1"/>
  <c r="Q3243" i="1"/>
  <c r="Q3254" i="1"/>
  <c r="R3254" i="1" s="1"/>
  <c r="S3254" i="1" s="1"/>
  <c r="Q3261" i="1"/>
  <c r="R3276" i="1"/>
  <c r="S3276" i="1" s="1"/>
  <c r="Q3287" i="1"/>
  <c r="Q3347" i="1"/>
  <c r="R3347" i="1" s="1"/>
  <c r="S3347" i="1" s="1"/>
  <c r="Q3351" i="1"/>
  <c r="R3351" i="1" s="1"/>
  <c r="S3351" i="1" s="1"/>
  <c r="R3396" i="1"/>
  <c r="S3396" i="1" s="1"/>
  <c r="Q3415" i="1"/>
  <c r="R3415" i="1" s="1"/>
  <c r="S3415" i="1" s="1"/>
  <c r="R3430" i="1"/>
  <c r="S3430" i="1" s="1"/>
  <c r="Q3434" i="1"/>
  <c r="Q3453" i="1"/>
  <c r="R3453" i="1" s="1"/>
  <c r="S3453" i="1" s="1"/>
  <c r="Q3559" i="1"/>
  <c r="R3559" i="1" s="1"/>
  <c r="S3559" i="1" s="1"/>
  <c r="Q3612" i="1"/>
  <c r="R3629" i="1"/>
  <c r="S3629" i="1" s="1"/>
  <c r="R3662" i="1"/>
  <c r="S3662" i="1" s="1"/>
  <c r="R3778" i="1"/>
  <c r="S3778" i="1" s="1"/>
  <c r="R3787" i="1"/>
  <c r="S3787" i="1" s="1"/>
  <c r="R3922" i="1"/>
  <c r="S3922" i="1" s="1"/>
  <c r="R3247" i="1"/>
  <c r="S3247" i="1" s="1"/>
  <c r="R3317" i="1"/>
  <c r="S3317" i="1" s="1"/>
  <c r="R3423" i="1"/>
  <c r="S3423" i="1" s="1"/>
  <c r="R3461" i="1"/>
  <c r="S3461" i="1" s="1"/>
  <c r="R3621" i="1"/>
  <c r="S3621" i="1" s="1"/>
  <c r="R3654" i="1"/>
  <c r="S3654" i="1" s="1"/>
  <c r="R3931" i="1"/>
  <c r="S3931" i="1" s="1"/>
  <c r="Q3944" i="1"/>
  <c r="R3944" i="1" s="1"/>
  <c r="S3944" i="1" s="1"/>
  <c r="Q4280" i="1"/>
  <c r="R4280" i="1" s="1"/>
  <c r="S4280" i="1" s="1"/>
  <c r="R3366" i="1"/>
  <c r="S3366" i="1" s="1"/>
  <c r="R3447" i="1"/>
  <c r="S3447" i="1" s="1"/>
  <c r="R3524" i="1"/>
  <c r="S3524" i="1" s="1"/>
  <c r="R3589" i="1"/>
  <c r="S3589" i="1" s="1"/>
  <c r="Q3589" i="1"/>
  <c r="R3597" i="1"/>
  <c r="S3597" i="1" s="1"/>
  <c r="Q3668" i="1"/>
  <c r="R3668" i="1" s="1"/>
  <c r="S3668" i="1" s="1"/>
  <c r="Q3677" i="1"/>
  <c r="R3677" i="1" s="1"/>
  <c r="S3677" i="1" s="1"/>
  <c r="Q3715" i="1"/>
  <c r="R3715" i="1" s="1"/>
  <c r="S3715" i="1" s="1"/>
  <c r="R3758" i="1"/>
  <c r="S3758" i="1" s="1"/>
  <c r="R3796" i="1"/>
  <c r="S3796" i="1" s="1"/>
  <c r="Q3796" i="1"/>
  <c r="R3800" i="1"/>
  <c r="S3800" i="1" s="1"/>
  <c r="Q3800" i="1"/>
  <c r="Q3928" i="1"/>
  <c r="R3928" i="1"/>
  <c r="S3928" i="1" s="1"/>
  <c r="R4061" i="1"/>
  <c r="S4061" i="1" s="1"/>
  <c r="Q4262" i="1"/>
  <c r="R4262" i="1" s="1"/>
  <c r="S4262" i="1" s="1"/>
  <c r="R4326" i="1"/>
  <c r="S4326" i="1" s="1"/>
  <c r="Q4326" i="1"/>
  <c r="R3543" i="1"/>
  <c r="S3543" i="1" s="1"/>
  <c r="Q3543" i="1"/>
  <c r="R3724" i="1"/>
  <c r="S3724" i="1" s="1"/>
  <c r="R3728" i="1"/>
  <c r="S3728" i="1" s="1"/>
  <c r="R3869" i="1"/>
  <c r="S3869" i="1" s="1"/>
  <c r="R4011" i="1"/>
  <c r="S4011" i="1" s="1"/>
  <c r="R4020" i="1"/>
  <c r="S4020" i="1" s="1"/>
  <c r="R4038" i="1"/>
  <c r="S4038" i="1" s="1"/>
  <c r="R4097" i="1"/>
  <c r="S4097" i="1" s="1"/>
  <c r="R4227" i="1"/>
  <c r="S4227" i="1" s="1"/>
  <c r="R4241" i="1"/>
  <c r="S4241" i="1" s="1"/>
  <c r="Q3788" i="1"/>
  <c r="R3788" i="1" s="1"/>
  <c r="S3788" i="1" s="1"/>
  <c r="R3835" i="1"/>
  <c r="S3835" i="1" s="1"/>
  <c r="R3980" i="1"/>
  <c r="S3980" i="1" s="1"/>
  <c r="Q3980" i="1"/>
  <c r="Q3998" i="1"/>
  <c r="R3998" i="1" s="1"/>
  <c r="S3998" i="1" s="1"/>
  <c r="R4025" i="1"/>
  <c r="S4025" i="1" s="1"/>
  <c r="R4029" i="1"/>
  <c r="S4029" i="1" s="1"/>
  <c r="R4142" i="1"/>
  <c r="S4142" i="1" s="1"/>
  <c r="R4263" i="1"/>
  <c r="S4263" i="1" s="1"/>
  <c r="Q3742" i="1"/>
  <c r="R3742" i="1" s="1"/>
  <c r="S3742" i="1" s="1"/>
  <c r="Q3844" i="1"/>
  <c r="R3844" i="1" s="1"/>
  <c r="S3844" i="1" s="1"/>
  <c r="Q3848" i="1"/>
  <c r="R3848" i="1" s="1"/>
  <c r="S3848" i="1" s="1"/>
  <c r="R3874" i="1"/>
  <c r="S3874" i="1" s="1"/>
  <c r="R3955" i="1"/>
  <c r="S3955" i="1" s="1"/>
  <c r="R4155" i="1"/>
  <c r="S4155" i="1" s="1"/>
  <c r="Q4155" i="1"/>
  <c r="Q4250" i="1"/>
  <c r="R4250" i="1" s="1"/>
  <c r="S4250" i="1" s="1"/>
  <c r="Q4309" i="1"/>
  <c r="R4309" i="1" s="1"/>
  <c r="S4309" i="1" s="1"/>
  <c r="Q3665" i="1"/>
  <c r="R3665" i="1" s="1"/>
  <c r="S3665" i="1" s="1"/>
  <c r="R3772" i="1"/>
  <c r="S3772" i="1" s="1"/>
  <c r="R3776" i="1"/>
  <c r="S3776" i="1" s="1"/>
  <c r="R3840" i="1"/>
  <c r="S3840" i="1" s="1"/>
  <c r="R3904" i="1"/>
  <c r="S3904" i="1" s="1"/>
  <c r="R3934" i="1"/>
  <c r="S3934" i="1" s="1"/>
  <c r="Q3955" i="1"/>
  <c r="R4021" i="1"/>
  <c r="S4021" i="1" s="1"/>
  <c r="Q4107" i="1"/>
  <c r="R4107" i="1" s="1"/>
  <c r="S4107" i="1" s="1"/>
  <c r="R4129" i="1"/>
  <c r="S4129" i="1" s="1"/>
  <c r="R4169" i="1"/>
  <c r="S4169" i="1" s="1"/>
  <c r="Q4282" i="1"/>
  <c r="R4282" i="1" s="1"/>
  <c r="S4282" i="1" s="1"/>
  <c r="R4291" i="1"/>
  <c r="S4291" i="1" s="1"/>
  <c r="Q4300" i="1"/>
  <c r="R4300" i="1" s="1"/>
  <c r="S4300" i="1" s="1"/>
  <c r="R3503" i="1"/>
  <c r="S3503" i="1" s="1"/>
  <c r="R3518" i="1"/>
  <c r="S3518" i="1" s="1"/>
  <c r="R3661" i="1"/>
  <c r="S3661" i="1" s="1"/>
  <c r="R3789" i="1"/>
  <c r="S3789" i="1" s="1"/>
  <c r="Q3789" i="1"/>
  <c r="R3375" i="1"/>
  <c r="S3375" i="1" s="1"/>
  <c r="R3437" i="1"/>
  <c r="S3437" i="1" s="1"/>
  <c r="Q3518" i="1"/>
  <c r="R3630" i="1"/>
  <c r="S3630" i="1" s="1"/>
  <c r="Q3630" i="1"/>
  <c r="Q3661" i="1"/>
  <c r="R3704" i="1"/>
  <c r="S3704" i="1" s="1"/>
  <c r="R3721" i="1"/>
  <c r="S3721" i="1" s="1"/>
  <c r="R3768" i="1"/>
  <c r="S3768" i="1" s="1"/>
  <c r="R3811" i="1"/>
  <c r="S3811" i="1" s="1"/>
  <c r="R3900" i="1"/>
  <c r="S3900" i="1" s="1"/>
  <c r="R3913" i="1"/>
  <c r="S3913" i="1" s="1"/>
  <c r="Q3917" i="1"/>
  <c r="R3917" i="1" s="1"/>
  <c r="S3917" i="1" s="1"/>
  <c r="Q3981" i="1"/>
  <c r="R3981" i="1" s="1"/>
  <c r="S3981" i="1" s="1"/>
  <c r="Q4044" i="1"/>
  <c r="R4044" i="1" s="1"/>
  <c r="S4044" i="1" s="1"/>
  <c r="Q4094" i="1"/>
  <c r="R4094" i="1" s="1"/>
  <c r="S4094" i="1" s="1"/>
  <c r="Q4138" i="1"/>
  <c r="R4138" i="1" s="1"/>
  <c r="S4138" i="1" s="1"/>
  <c r="R4160" i="1"/>
  <c r="S4160" i="1" s="1"/>
  <c r="R4273" i="1"/>
  <c r="S4273" i="1" s="1"/>
  <c r="Q4273" i="1"/>
  <c r="Q4278" i="1"/>
  <c r="R4278" i="1" s="1"/>
  <c r="S4278" i="1" s="1"/>
  <c r="Q3556" i="1"/>
  <c r="R3556" i="1" s="1"/>
  <c r="S3556" i="1" s="1"/>
  <c r="R3701" i="1"/>
  <c r="S3701" i="1" s="1"/>
  <c r="R4057" i="1"/>
  <c r="S4057" i="1" s="1"/>
  <c r="Q3669" i="1"/>
  <c r="R3669" i="1" s="1"/>
  <c r="S3669" i="1" s="1"/>
  <c r="R3965" i="1"/>
  <c r="S3965" i="1" s="1"/>
  <c r="Q4091" i="1"/>
  <c r="R4091" i="1"/>
  <c r="S4091" i="1" s="1"/>
  <c r="Q4108" i="1"/>
  <c r="R4108" i="1" s="1"/>
  <c r="S4108" i="1" s="1"/>
  <c r="R4158" i="1"/>
  <c r="S4158" i="1" s="1"/>
  <c r="R4297" i="1"/>
  <c r="S4297" i="1" s="1"/>
  <c r="Q4310" i="1"/>
  <c r="Q4318" i="1"/>
  <c r="Q4322" i="1"/>
  <c r="R4322" i="1" s="1"/>
  <c r="S4322" i="1" s="1"/>
  <c r="R3596" i="1"/>
  <c r="S3596" i="1" s="1"/>
  <c r="Q3596" i="1"/>
  <c r="R3953" i="1"/>
  <c r="S3953" i="1" s="1"/>
  <c r="Q4019" i="1"/>
  <c r="R4019" i="1"/>
  <c r="S4019" i="1" s="1"/>
  <c r="Q4036" i="1"/>
  <c r="R4036" i="1" s="1"/>
  <c r="S4036" i="1" s="1"/>
  <c r="Q4062" i="1"/>
  <c r="R4062" i="1" s="1"/>
  <c r="S4062" i="1" s="1"/>
  <c r="R4133" i="1"/>
  <c r="S4133" i="1" s="1"/>
  <c r="R4171" i="1"/>
  <c r="S4171" i="1" s="1"/>
  <c r="Q4171" i="1"/>
  <c r="Q4226" i="1"/>
  <c r="R4226" i="1" s="1"/>
  <c r="S4226" i="1" s="1"/>
  <c r="R4272" i="1"/>
  <c r="S4272" i="1" s="1"/>
  <c r="R4293" i="1"/>
  <c r="S4293" i="1" s="1"/>
  <c r="R4003" i="1"/>
  <c r="S4003" i="1" s="1"/>
  <c r="Q4058" i="1"/>
  <c r="R4058" i="1" s="1"/>
  <c r="S4058" i="1" s="1"/>
  <c r="R4180" i="1"/>
  <c r="S4180" i="1" s="1"/>
  <c r="R4205" i="1"/>
  <c r="S4205" i="1" s="1"/>
  <c r="R4323" i="1"/>
  <c r="S4323" i="1" s="1"/>
  <c r="Q3962" i="1"/>
  <c r="R3962" i="1" s="1"/>
  <c r="S3962" i="1" s="1"/>
  <c r="R3970" i="1"/>
  <c r="S3970" i="1" s="1"/>
  <c r="Q4084" i="1"/>
  <c r="R4084" i="1" s="1"/>
  <c r="S4084" i="1" s="1"/>
  <c r="Q4337" i="1"/>
  <c r="R4337" i="1" s="1"/>
  <c r="S4337" i="1" s="1"/>
  <c r="Q3758" i="1"/>
  <c r="Q3790" i="1"/>
  <c r="R3790" i="1" s="1"/>
  <c r="S3790" i="1" s="1"/>
  <c r="Q3806" i="1"/>
  <c r="R3806" i="1" s="1"/>
  <c r="S3806" i="1" s="1"/>
  <c r="Q3838" i="1"/>
  <c r="R3838" i="1" s="1"/>
  <c r="S3838" i="1" s="1"/>
  <c r="Q3854" i="1"/>
  <c r="R3854" i="1" s="1"/>
  <c r="S3854" i="1" s="1"/>
  <c r="Q3886" i="1"/>
  <c r="R3886" i="1" s="1"/>
  <c r="S3886" i="1" s="1"/>
  <c r="Q3902" i="1"/>
  <c r="Q3934" i="1"/>
  <c r="Q3950" i="1"/>
  <c r="Q3987" i="1"/>
  <c r="Q4016" i="1"/>
  <c r="R4067" i="1"/>
  <c r="S4067" i="1" s="1"/>
  <c r="R4193" i="1"/>
  <c r="S4193" i="1" s="1"/>
  <c r="Q4197" i="1"/>
  <c r="R4197" i="1" s="1"/>
  <c r="S4197" i="1" s="1"/>
  <c r="Q4286" i="1"/>
  <c r="R4286" i="1" s="1"/>
  <c r="S4286" i="1" s="1"/>
  <c r="R3501" i="1"/>
  <c r="S3501" i="1" s="1"/>
  <c r="Q3652" i="1"/>
  <c r="R3652" i="1" s="1"/>
  <c r="S3652" i="1" s="1"/>
  <c r="R3718" i="1"/>
  <c r="S3718" i="1" s="1"/>
  <c r="R3726" i="1"/>
  <c r="S3726" i="1" s="1"/>
  <c r="Q3770" i="1"/>
  <c r="R3770" i="1" s="1"/>
  <c r="S3770" i="1" s="1"/>
  <c r="Q3818" i="1"/>
  <c r="R3818" i="1"/>
  <c r="S3818" i="1" s="1"/>
  <c r="Q3866" i="1"/>
  <c r="R3866" i="1"/>
  <c r="S3866" i="1" s="1"/>
  <c r="Q3914" i="1"/>
  <c r="R3914" i="1"/>
  <c r="S3914" i="1" s="1"/>
  <c r="R4033" i="1"/>
  <c r="S4033" i="1" s="1"/>
  <c r="Q4033" i="1"/>
  <c r="R4046" i="1"/>
  <c r="S4046" i="1" s="1"/>
  <c r="Q4164" i="1"/>
  <c r="R4164" i="1" s="1"/>
  <c r="S4164" i="1" s="1"/>
  <c r="R4189" i="1"/>
  <c r="S4189" i="1" s="1"/>
  <c r="Q4193" i="1"/>
  <c r="Q4206" i="1"/>
  <c r="R4206" i="1" s="1"/>
  <c r="S4206" i="1" s="1"/>
  <c r="R4060" i="1"/>
  <c r="S4060" i="1" s="1"/>
  <c r="R4075" i="1"/>
  <c r="S4075" i="1" s="1"/>
  <c r="Q4178" i="1"/>
  <c r="R4178" i="1" s="1"/>
  <c r="S4178" i="1" s="1"/>
  <c r="R4331" i="1"/>
  <c r="S4331" i="1" s="1"/>
  <c r="Q4331" i="1"/>
  <c r="R3995" i="1"/>
  <c r="S3995" i="1" s="1"/>
  <c r="R4056" i="1"/>
  <c r="S4056" i="1" s="1"/>
  <c r="Q4060" i="1"/>
  <c r="Q4075" i="1"/>
  <c r="Q4083" i="1"/>
  <c r="R4083" i="1" s="1"/>
  <c r="S4083" i="1" s="1"/>
  <c r="R4121" i="1"/>
  <c r="S4121" i="1" s="1"/>
  <c r="Q4140" i="1"/>
  <c r="R4140" i="1" s="1"/>
  <c r="S4140" i="1" s="1"/>
  <c r="Q4182" i="1"/>
  <c r="R4182" i="1" s="1"/>
  <c r="S4182" i="1" s="1"/>
  <c r="Q4201" i="1"/>
  <c r="Q4205" i="1"/>
  <c r="R4285" i="1"/>
  <c r="S4285" i="1" s="1"/>
  <c r="Q4304" i="1"/>
  <c r="R4304" i="1" s="1"/>
  <c r="S4304" i="1" s="1"/>
  <c r="R4346" i="1"/>
  <c r="S4346" i="1" s="1"/>
  <c r="R3988" i="1"/>
  <c r="S3988" i="1" s="1"/>
  <c r="Q4121" i="1"/>
  <c r="R4163" i="1"/>
  <c r="S4163" i="1" s="1"/>
  <c r="R4224" i="1"/>
  <c r="S4224" i="1" s="1"/>
  <c r="Q4228" i="1"/>
  <c r="R4228" i="1" s="1"/>
  <c r="S4228" i="1" s="1"/>
  <c r="Q4243" i="1"/>
  <c r="R4243" i="1" s="1"/>
  <c r="S4243" i="1" s="1"/>
  <c r="R4289" i="1"/>
  <c r="S4289" i="1" s="1"/>
  <c r="R4336" i="1"/>
  <c r="S4336" i="1" s="1"/>
  <c r="R4341" i="1"/>
  <c r="S4341" i="1" s="1"/>
  <c r="Q4341" i="1"/>
  <c r="R3737" i="1"/>
  <c r="S3737" i="1" s="1"/>
  <c r="R3785" i="1"/>
  <c r="S3785" i="1" s="1"/>
  <c r="R3833" i="1"/>
  <c r="S3833" i="1" s="1"/>
  <c r="R3881" i="1"/>
  <c r="S3881" i="1" s="1"/>
  <c r="R3929" i="1"/>
  <c r="S3929" i="1" s="1"/>
  <c r="R3977" i="1"/>
  <c r="S3977" i="1" s="1"/>
  <c r="R4217" i="1"/>
  <c r="S4217" i="1" s="1"/>
  <c r="R4324" i="1"/>
  <c r="S4324" i="1" s="1"/>
  <c r="R4332" i="1"/>
  <c r="S4332" i="1" s="1"/>
  <c r="R4145" i="1"/>
  <c r="S4145" i="1" s="1"/>
  <c r="R4252" i="1"/>
  <c r="S4252" i="1" s="1"/>
  <c r="R4267" i="1"/>
  <c r="S4267" i="1" s="1"/>
  <c r="R3683" i="1"/>
  <c r="S3683" i="1" s="1"/>
  <c r="Q3694" i="1"/>
  <c r="R3694" i="1" s="1"/>
  <c r="S3694" i="1" s="1"/>
  <c r="R3712" i="1"/>
  <c r="S3712" i="1" s="1"/>
  <c r="Q3723" i="1"/>
  <c r="Q3756" i="1"/>
  <c r="Q3778" i="1"/>
  <c r="Q3804" i="1"/>
  <c r="Q3826" i="1"/>
  <c r="R3826" i="1" s="1"/>
  <c r="S3826" i="1" s="1"/>
  <c r="Q3852" i="1"/>
  <c r="R3852" i="1" s="1"/>
  <c r="S3852" i="1" s="1"/>
  <c r="Q3874" i="1"/>
  <c r="Q3900" i="1"/>
  <c r="Q3922" i="1"/>
  <c r="Q3948" i="1"/>
  <c r="Q3970" i="1"/>
  <c r="Q3985" i="1"/>
  <c r="R3985" i="1" s="1"/>
  <c r="S3985" i="1" s="1"/>
  <c r="Q3989" i="1"/>
  <c r="Q4023" i="1"/>
  <c r="R4023" i="1" s="1"/>
  <c r="S4023" i="1" s="1"/>
  <c r="Q4042" i="1"/>
  <c r="R4042" i="1" s="1"/>
  <c r="S4042" i="1" s="1"/>
  <c r="Q4046" i="1"/>
  <c r="Q4126" i="1"/>
  <c r="R4126" i="1" s="1"/>
  <c r="S4126" i="1" s="1"/>
  <c r="R4012" i="1"/>
  <c r="S4012" i="1" s="1"/>
  <c r="R4027" i="1"/>
  <c r="S4027" i="1" s="1"/>
  <c r="R4069" i="1"/>
  <c r="S4069" i="1" s="1"/>
  <c r="Q4130" i="1"/>
  <c r="R4130" i="1" s="1"/>
  <c r="S4130" i="1" s="1"/>
  <c r="R4134" i="1"/>
  <c r="S4134" i="1" s="1"/>
  <c r="Q4313" i="1"/>
  <c r="R4313" i="1" s="1"/>
  <c r="S4313" i="1" s="1"/>
  <c r="Q4333" i="1"/>
  <c r="R4333" i="1" s="1"/>
  <c r="S4333" i="1" s="1"/>
  <c r="R4345" i="1"/>
  <c r="S4345" i="1" s="1"/>
  <c r="Q4342" i="1"/>
  <c r="Q4346" i="1"/>
  <c r="Q4336" i="1"/>
  <c r="Q4343" i="1"/>
  <c r="Q4340" i="1"/>
  <c r="R4340" i="1" s="1"/>
  <c r="S4340" i="1" s="1"/>
  <c r="Q4347" i="1"/>
  <c r="R4347" i="1" s="1"/>
  <c r="S4347" i="1" s="1"/>
  <c r="Q4348" i="1"/>
  <c r="R4348" i="1" s="1"/>
  <c r="S4348" i="1" s="1"/>
  <c r="Q4338" i="1"/>
  <c r="R4338" i="1" s="1"/>
  <c r="S4338" i="1" s="1"/>
</calcChain>
</file>

<file path=xl/sharedStrings.xml><?xml version="1.0" encoding="utf-8"?>
<sst xmlns="http://schemas.openxmlformats.org/spreadsheetml/2006/main" count="26997" uniqueCount="210">
  <si>
    <t>E-commerce sales and traffic fake dataset</t>
  </si>
  <si>
    <t>Daily fake data for AV, HA, IT and MX. AOV, CVR, gross revenue, discount value and net revenue are formula-based.</t>
  </si>
  <si>
    <t>Date</t>
  </si>
  <si>
    <t>Month</t>
  </si>
  <si>
    <t>Week</t>
  </si>
  <si>
    <t>Division</t>
  </si>
  <si>
    <t>Category</t>
  </si>
  <si>
    <t>Product</t>
  </si>
  <si>
    <t>Channel</t>
  </si>
  <si>
    <t>Retailer</t>
  </si>
  <si>
    <t>Traffic</t>
  </si>
  <si>
    <t>Product Page Views</t>
  </si>
  <si>
    <t>Add to Cart</t>
  </si>
  <si>
    <t>Orders</t>
  </si>
  <si>
    <t>Units Sold</t>
  </si>
  <si>
    <t>Average Selling Price</t>
  </si>
  <si>
    <t>Gross Revenue</t>
  </si>
  <si>
    <t>Discount %</t>
  </si>
  <si>
    <t>Discount Value</t>
  </si>
  <si>
    <t>Net Revenue</t>
  </si>
  <si>
    <t>AOV</t>
  </si>
  <si>
    <t>CVR</t>
  </si>
  <si>
    <t>Promo ID</t>
  </si>
  <si>
    <t>Stock Status</t>
  </si>
  <si>
    <t>MX</t>
  </si>
  <si>
    <t>Smartphone</t>
  </si>
  <si>
    <t>Galaxy S Series 256GB</t>
  </si>
  <si>
    <t>Retailer e-store</t>
  </si>
  <si>
    <t>MediaWorld</t>
  </si>
  <si>
    <t>In Stock</t>
  </si>
  <si>
    <t>Galaxy A Series 128GB</t>
  </si>
  <si>
    <t>Direct E-commerce</t>
  </si>
  <si>
    <t>Samsung.com</t>
  </si>
  <si>
    <t>Galaxy Z Fold Series</t>
  </si>
  <si>
    <t>Tablet</t>
  </si>
  <si>
    <t>Galaxy Tab S Series</t>
  </si>
  <si>
    <t>Marketplace</t>
  </si>
  <si>
    <t>Amazon</t>
  </si>
  <si>
    <t>Wearable</t>
  </si>
  <si>
    <t>Galaxy Watch Series</t>
  </si>
  <si>
    <t>Audio Accessories</t>
  </si>
  <si>
    <t>Galaxy Buds Series</t>
  </si>
  <si>
    <t>AV</t>
  </si>
  <si>
    <t>TV</t>
  </si>
  <si>
    <t>Neo QLED 55 inch</t>
  </si>
  <si>
    <t>Unieuro</t>
  </si>
  <si>
    <t>OLED 65 inch</t>
  </si>
  <si>
    <t>Crystal UHD 50 inch</t>
  </si>
  <si>
    <t>Euronics</t>
  </si>
  <si>
    <t>Projector</t>
  </si>
  <si>
    <t>Lifestyle Projector</t>
  </si>
  <si>
    <t>Soundbar</t>
  </si>
  <si>
    <t>Soundbar Q Series</t>
  </si>
  <si>
    <t>HA</t>
  </si>
  <si>
    <t>Refrigeration</t>
  </si>
  <si>
    <t>Bespoke Refrigerator</t>
  </si>
  <si>
    <t>Laundry</t>
  </si>
  <si>
    <t>EcoBubble Washing Machine</t>
  </si>
  <si>
    <t>Heat Pump Dryer</t>
  </si>
  <si>
    <t>Kitchen</t>
  </si>
  <si>
    <t>Bespoke Oven</t>
  </si>
  <si>
    <t>Cleaning</t>
  </si>
  <si>
    <t>Jet Vacuum Cleaner</t>
  </si>
  <si>
    <t>Expert</t>
  </si>
  <si>
    <t>Air Care</t>
  </si>
  <si>
    <t>WindFree Air Conditioner</t>
  </si>
  <si>
    <t>IT</t>
  </si>
  <si>
    <t>Monitor</t>
  </si>
  <si>
    <t>Odyssey Gaming Monitor</t>
  </si>
  <si>
    <t>Smart Monitor 32 inch</t>
  </si>
  <si>
    <t>ViewFinity Monitor 27 inch</t>
  </si>
  <si>
    <t>Storage</t>
  </si>
  <si>
    <t>Portable SSD 1TB</t>
  </si>
  <si>
    <t>Laptop</t>
  </si>
  <si>
    <t>Business Laptop Series</t>
  </si>
  <si>
    <t>Memory Card 256GB</t>
  </si>
  <si>
    <t>Accessories</t>
  </si>
  <si>
    <t>Tablet Keyboard Cover</t>
  </si>
  <si>
    <t>Low Stock</t>
  </si>
  <si>
    <t>P001</t>
  </si>
  <si>
    <t>P002</t>
  </si>
  <si>
    <t>Out of Stock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</si>
  <si>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</si>
  <si>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</si>
  <si>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</si>
  <si>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</si>
  <si>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</si>
  <si>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</si>
  <si>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</si>
  <si>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</si>
  <si>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</si>
  <si>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</si>
  <si>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</si>
  <si>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</si>
  <si>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</si>
  <si>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</si>
  <si>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</si>
  <si>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</si>
  <si>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</si>
  <si>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</si>
  <si>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Product master</t>
  </si>
  <si>
    <t>Fake Samsung-style product catalogue used to classify Sales_Data by division, category and price band.</t>
  </si>
  <si>
    <t>SKU</t>
  </si>
  <si>
    <t>Subcategory</t>
  </si>
  <si>
    <t>List Price</t>
  </si>
  <si>
    <t>Price Band</t>
  </si>
  <si>
    <t>MX-S-256</t>
  </si>
  <si>
    <t>Premium</t>
  </si>
  <si>
    <t>High</t>
  </si>
  <si>
    <t>MX-A-128</t>
  </si>
  <si>
    <t>Mid-range</t>
  </si>
  <si>
    <t>Mid</t>
  </si>
  <si>
    <t>MX-ZFOLD</t>
  </si>
  <si>
    <t>Foldable</t>
  </si>
  <si>
    <t>MX-TABS</t>
  </si>
  <si>
    <t>Premium Tablet</t>
  </si>
  <si>
    <t>MX-WATCH</t>
  </si>
  <si>
    <t>Smartwatch</t>
  </si>
  <si>
    <t>MX-BUDS</t>
  </si>
  <si>
    <t>Earbuds</t>
  </si>
  <si>
    <t>Low</t>
  </si>
  <si>
    <t>AV-NQ55</t>
  </si>
  <si>
    <t>Premium TV</t>
  </si>
  <si>
    <t>AV-OLED65</t>
  </si>
  <si>
    <t>AV-CU50</t>
  </si>
  <si>
    <t>Mainstream TV</t>
  </si>
  <si>
    <t>AV-PROJ</t>
  </si>
  <si>
    <t>Lifestyle</t>
  </si>
  <si>
    <t>AV-SBQ</t>
  </si>
  <si>
    <t>Premium Audio</t>
  </si>
  <si>
    <t>HA-FRIDGE</t>
  </si>
  <si>
    <t>Bespoke</t>
  </si>
  <si>
    <t>HA-WASH</t>
  </si>
  <si>
    <t>Washing Machine</t>
  </si>
  <si>
    <t>HA-DRYER</t>
  </si>
  <si>
    <t>Dryer</t>
  </si>
  <si>
    <t>HA-OVEN</t>
  </si>
  <si>
    <t>Oven</t>
  </si>
  <si>
    <t>HA-VACUUM</t>
  </si>
  <si>
    <t>Vacuum</t>
  </si>
  <si>
    <t>HA-AC</t>
  </si>
  <si>
    <t>Air Conditioner</t>
  </si>
  <si>
    <t>IT-ODY</t>
  </si>
  <si>
    <t>Gaming</t>
  </si>
  <si>
    <t>IT-SM32</t>
  </si>
  <si>
    <t>Smart Monitor</t>
  </si>
  <si>
    <t>IT-VF27</t>
  </si>
  <si>
    <t>Productivity</t>
  </si>
  <si>
    <t>IT-SSD1</t>
  </si>
  <si>
    <t>Portable SSD</t>
  </si>
  <si>
    <t>IT-LAPTOP</t>
  </si>
  <si>
    <t>Business</t>
  </si>
  <si>
    <t>IT-MEM256</t>
  </si>
  <si>
    <t>Memory Card</t>
  </si>
  <si>
    <t>MX-KEYCOVER</t>
  </si>
  <si>
    <t>Tablet Accessory</t>
  </si>
  <si>
    <t>Promotion calendar</t>
  </si>
  <si>
    <t>Fake promotional calendar for promo/control tower analysis. Connect Promo ID to Sales_Data.</t>
  </si>
  <si>
    <t>Promo Name</t>
  </si>
  <si>
    <t>Start Date</t>
  </si>
  <si>
    <t>End Date</t>
  </si>
  <si>
    <t>Promo Type</t>
  </si>
  <si>
    <t>Status</t>
  </si>
  <si>
    <t>New Year Mobile Deals</t>
  </si>
  <si>
    <t>Discount</t>
  </si>
  <si>
    <t>Closed</t>
  </si>
  <si>
    <t>Winter TV Upgrade</t>
  </si>
  <si>
    <t>Cashback</t>
  </si>
  <si>
    <t>Laundry Winter Promo</t>
  </si>
  <si>
    <t>Monitor Productivity Week</t>
  </si>
  <si>
    <t>Bundle</t>
  </si>
  <si>
    <t>Galaxy Ecosystem Week</t>
  </si>
  <si>
    <t>Soundbar Bundle Promo</t>
  </si>
  <si>
    <t>Bespoke Home Week</t>
  </si>
  <si>
    <t>Storage Flash Sales</t>
  </si>
  <si>
    <t>Spring Smartphone Push</t>
  </si>
  <si>
    <t>Trade-in</t>
  </si>
  <si>
    <t>Spring Cleaning Deals</t>
  </si>
  <si>
    <t>Gaming Monitor Boost</t>
  </si>
  <si>
    <t>Big Screen Month</t>
  </si>
  <si>
    <t>Tablet Study Promo</t>
  </si>
  <si>
    <t>Kitchen Upgrade</t>
  </si>
  <si>
    <t>Projector Lifestyle Push</t>
  </si>
  <si>
    <t>Laptop Business Weeks</t>
  </si>
  <si>
    <t>Summer Galaxy Week</t>
  </si>
  <si>
    <t>Air Care Early Summer</t>
  </si>
  <si>
    <t>Accessories Bundle</t>
  </si>
  <si>
    <t>June Home Entertainment</t>
  </si>
  <si>
    <t>Monthly targets</t>
  </si>
  <si>
    <t>Fake monthly targets by division. Use these to calculate Revenue vs Target, Orders vs Target, CVR gap and AOV gap in Power BI.</t>
  </si>
  <si>
    <t>Target Revenue</t>
  </si>
  <si>
    <t>Target Orders</t>
  </si>
  <si>
    <t>Target CVR</t>
  </si>
  <si>
    <t>Target AOV</t>
  </si>
  <si>
    <t>2025-01</t>
  </si>
  <si>
    <t>2025-02</t>
  </si>
  <si>
    <t>2025-03</t>
  </si>
  <si>
    <t>2025-04</t>
  </si>
  <si>
    <t>2025-05</t>
  </si>
  <si>
    <t>2025-06</t>
  </si>
  <si>
    <t>Retailer/channel mapping</t>
  </si>
  <si>
    <t>Fake retailer mapping used to analyse direct e-commerce vs marketplace vs retailer e-store performance.</t>
  </si>
  <si>
    <t>Channel Type</t>
  </si>
  <si>
    <t>Online/Offline</t>
  </si>
  <si>
    <t>Region</t>
  </si>
  <si>
    <t>Strategic Priority</t>
  </si>
  <si>
    <t>Online</t>
  </si>
  <si>
    <t>Italy</t>
  </si>
  <si>
    <t>Omnichannel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</si>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</sst>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€\ #,##0"/>
    <numFmt numFmtId="165" formatCode="yyyy\-mm\-dd"/>
    <numFmt numFmtId="166" formatCode="\€\ #,##0.00"/>
  </numFmts>
  <fonts count="5">
    <font>
      <sz val="11"/>
      <name val="Carlito"/>
    </font>
    <font>
      <b/>
      <sz val="14"/>
      <color rgb="FF1428A0"/>
      <name val="Carlito"/>
    </font>
    <font>
      <i/>
      <sz val="11"/>
      <color rgb="FF475569"/>
      <name val="Carlito"/>
    </font>
    <font>
      <b/>
      <sz val="11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F8FAFC"/>
      </patternFill>
    </fill>
    <fill>
      <patternFill patternType="solid">
        <fgColor rgb="FF1428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164" fontId="0" fillId="0" borderId="0" xfId="1" applyNumberFormat="1" applyFont="1"/>
    <xf numFmtId="165" fontId="0" fillId="0" borderId="0" xfId="1" applyNumberFormat="1" applyFont="1"/>
    <xf numFmtId="9" fontId="0" fillId="0" borderId="0" xfId="1" applyNumberFormat="1" applyFont="1"/>
    <xf numFmtId="3" fontId="0" fillId="0" borderId="0" xfId="1" applyNumberFormat="1" applyFont="1"/>
    <xf numFmtId="10" fontId="0" fillId="0" borderId="0" xfId="1" applyNumberFormat="1" applyFont="1"/>
    <xf numFmtId="166" fontId="0" fillId="0" borderId="0" xfId="1" applyNumberFormat="1" applyFont="1"/>
    <xf numFmtId="0" fontId="1" fillId="2" borderId="0" xfId="1" applyFont="1" applyFill="1" applyAlignment="1">
      <alignment horizontal="left" vertical="center"/>
    </xf>
    <xf numFmtId="0" fontId="0" fillId="0" borderId="0" xfId="0"/>
    <xf numFmtId="0" fontId="2" fillId="3" borderId="0" xfId="1" applyFont="1" applyFill="1" applyAlignment="1">
      <alignment wrapText="1"/>
    </xf>
  </cellXfs>
  <cellStyles count="2">
    <cellStyle name="Normal" xfId="1" xr:uid="{00000000-0005-0000-0000-000000000000}"/>
    <cellStyle name="Normale" xfId="0" builtinId="0"/>
  </cellStyles>
  <dxfs count="1">
    <dxf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SalesDataTable" displayName="SalesDataTable" ref="A4:V4348">
  <tableColumns count="22">
    <tableColumn id="1" xr3:uid="{00000000-0010-0000-0000-000001000000}" name="Date"/>
    <tableColumn id="2" xr3:uid="{00000000-0010-0000-0000-000002000000}" name="Month"/>
    <tableColumn id="3" xr3:uid="{00000000-0010-0000-0000-000003000000}" name="Week"/>
    <tableColumn id="4" xr3:uid="{00000000-0010-0000-0000-000004000000}" name="Division"/>
    <tableColumn id="5" xr3:uid="{00000000-0010-0000-0000-000005000000}" name="Category"/>
    <tableColumn id="6" xr3:uid="{00000000-0010-0000-0000-000006000000}" name="Product"/>
    <tableColumn id="7" xr3:uid="{00000000-0010-0000-0000-000007000000}" name="Channel"/>
    <tableColumn id="8" xr3:uid="{00000000-0010-0000-0000-000008000000}" name="Retailer"/>
    <tableColumn id="9" xr3:uid="{00000000-0010-0000-0000-000009000000}" name="Traffic"/>
    <tableColumn id="10" xr3:uid="{00000000-0010-0000-0000-00000A000000}" name="Product Page Views"/>
    <tableColumn id="11" xr3:uid="{00000000-0010-0000-0000-00000B000000}" name="Add to Cart"/>
    <tableColumn id="12" xr3:uid="{00000000-0010-0000-0000-00000C000000}" name="Orders"/>
    <tableColumn id="13" xr3:uid="{00000000-0010-0000-0000-00000D000000}" name="Units Sold"/>
    <tableColumn id="14" xr3:uid="{00000000-0010-0000-0000-00000E000000}" name="Average Selling Price"/>
    <tableColumn id="15" xr3:uid="{00000000-0010-0000-0000-00000F000000}" name="Gross Revenue"/>
    <tableColumn id="16" xr3:uid="{00000000-0010-0000-0000-000010000000}" name="Discount %"/>
    <tableColumn id="17" xr3:uid="{00000000-0010-0000-0000-000011000000}" name="Discount Value"/>
    <tableColumn id="18" xr3:uid="{00000000-0010-0000-0000-000012000000}" name="Net Revenue"/>
    <tableColumn id="19" xr3:uid="{00000000-0010-0000-0000-000013000000}" name="AOV"/>
    <tableColumn id="20" xr3:uid="{00000000-0010-0000-0000-000014000000}" name="CVR"/>
    <tableColumn id="21" xr3:uid="{00000000-0010-0000-0000-000015000000}" name="Promo ID"/>
    <tableColumn id="22" xr3:uid="{00000000-0010-0000-0000-000016000000}" name="Stock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ProductsTable" displayName="ProductsTable" ref="A4:G28">
  <tableColumns count="7">
    <tableColumn id="1" xr3:uid="{00000000-0010-0000-0100-000001000000}" name="Product"/>
    <tableColumn id="2" xr3:uid="{00000000-0010-0000-0100-000002000000}" name="SKU"/>
    <tableColumn id="3" xr3:uid="{00000000-0010-0000-0100-000003000000}" name="Division"/>
    <tableColumn id="4" xr3:uid="{00000000-0010-0000-0100-000004000000}" name="Category"/>
    <tableColumn id="5" xr3:uid="{00000000-0010-0000-0100-000005000000}" name="Subcategory"/>
    <tableColumn id="6" xr3:uid="{00000000-0010-0000-0100-000006000000}" name="List Price"/>
    <tableColumn id="7" xr3:uid="{00000000-0010-0000-0100-000007000000}" name="Price Ban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PromotionsTable" displayName="PromotionsTable" ref="A4:I24">
  <tableColumns count="9">
    <tableColumn id="1" xr3:uid="{00000000-0010-0000-0200-000001000000}" name="Promo ID"/>
    <tableColumn id="2" xr3:uid="{00000000-0010-0000-0200-000002000000}" name="Promo Name"/>
    <tableColumn id="3" xr3:uid="{00000000-0010-0000-0200-000003000000}" name="Start Date"/>
    <tableColumn id="4" xr3:uid="{00000000-0010-0000-0200-000004000000}" name="End Date"/>
    <tableColumn id="5" xr3:uid="{00000000-0010-0000-0200-000005000000}" name="Division"/>
    <tableColumn id="6" xr3:uid="{00000000-0010-0000-0200-000006000000}" name="Category"/>
    <tableColumn id="7" xr3:uid="{00000000-0010-0000-0200-000007000000}" name="Promo Type"/>
    <tableColumn id="8" xr3:uid="{00000000-0010-0000-0200-000008000000}" name="Discount %"/>
    <tableColumn id="9" xr3:uid="{00000000-0010-0000-0200-000009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rgetsTable" displayName="TargetsTable" ref="A4:F28">
  <tableColumns count="6">
    <tableColumn id="1" xr3:uid="{00000000-0010-0000-0300-000001000000}" name="Month"/>
    <tableColumn id="2" xr3:uid="{00000000-0010-0000-0300-000002000000}" name="Division"/>
    <tableColumn id="3" xr3:uid="{00000000-0010-0000-0300-000003000000}" name="Target Revenue"/>
    <tableColumn id="4" xr3:uid="{00000000-0010-0000-0300-000004000000}" name="Target Orders"/>
    <tableColumn id="5" xr3:uid="{00000000-0010-0000-0300-000005000000}" name="Target CVR"/>
    <tableColumn id="6" xr3:uid="{00000000-0010-0000-0300-000006000000}" name="Target AOV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RetailersTable" displayName="RetailersTable" ref="A4:E10">
  <tableColumns count="5">
    <tableColumn id="1" xr3:uid="{00000000-0010-0000-0400-000001000000}" name="Retailer"/>
    <tableColumn id="2" xr3:uid="{00000000-0010-0000-0400-000002000000}" name="Channel Type"/>
    <tableColumn id="3" xr3:uid="{00000000-0010-0000-0400-000003000000}" name="Online/Offline"/>
    <tableColumn id="4" xr3:uid="{00000000-0010-0000-0400-000004000000}" name="Region"/>
    <tableColumn id="5" xr3:uid="{00000000-0010-0000-0400-000005000000}" name="Strategic 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348"/>
  <sheetViews>
    <sheetView tabSelected="1" topLeftCell="M1135" workbookViewId="0">
      <selection activeCell="O5" sqref="O5"/>
    </sheetView>
  </sheetViews>
  <sheetFormatPr defaultRowHeight="13.5"/>
  <cols>
    <col min="1" max="2" width="12" customWidth="1"/>
    <col min="3" max="4" width="10" customWidth="1"/>
    <col min="5" max="5" width="18" customWidth="1"/>
    <col min="6" max="6" width="28" customWidth="1"/>
    <col min="7" max="7" width="22" customWidth="1"/>
    <col min="8" max="8" width="18" customWidth="1"/>
    <col min="9" max="9" width="12" customWidth="1"/>
    <col min="10" max="10" width="18" customWidth="1"/>
    <col min="11" max="11" width="14" customWidth="1"/>
    <col min="12" max="13" width="12" customWidth="1"/>
    <col min="14" max="14" width="18" customWidth="1"/>
    <col min="15" max="15" width="16" customWidth="1"/>
    <col min="16" max="16" width="12" customWidth="1"/>
    <col min="17" max="18" width="16" customWidth="1"/>
    <col min="19" max="21" width="12" customWidth="1"/>
    <col min="22" max="22" width="14" customWidth="1"/>
  </cols>
  <sheetData>
    <row r="1" spans="1:22" ht="17.649999999999999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13.9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4" spans="1:22" ht="27.7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</row>
    <row r="5" spans="1:22">
      <c r="A5" s="3">
        <v>45658</v>
      </c>
      <c r="B5" t="str">
        <f t="shared" ref="B5:B68" si="0">TEXT(A5,"yyyy-mm")</f>
        <v>yyyy-01</v>
      </c>
      <c r="C5">
        <f t="shared" ref="C5:C68" si="1">WEEKNUM(A5,2)</f>
        <v>1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s="5">
        <v>1380</v>
      </c>
      <c r="J5" s="5">
        <v>761</v>
      </c>
      <c r="K5" s="5">
        <v>116</v>
      </c>
      <c r="L5" s="5">
        <v>32</v>
      </c>
      <c r="M5" s="5">
        <v>32</v>
      </c>
      <c r="N5" s="7">
        <v>960.95</v>
      </c>
      <c r="O5" s="7">
        <f t="shared" ref="O5:O68" si="2">M5*N5</f>
        <v>30750.400000000001</v>
      </c>
      <c r="P5" s="4">
        <v>0</v>
      </c>
      <c r="Q5" s="7">
        <f t="shared" ref="Q5:Q68" si="3">O5*P5</f>
        <v>0</v>
      </c>
      <c r="R5" s="7">
        <f t="shared" ref="R5:R68" si="4">O5-Q5</f>
        <v>30750.400000000001</v>
      </c>
      <c r="S5" s="7">
        <f t="shared" ref="S5:S68" si="5">IFERROR(R5/L5,0)</f>
        <v>960.95</v>
      </c>
      <c r="T5" s="6">
        <f t="shared" ref="T5:T68" si="6">IFERROR(L5/I5,0)</f>
        <v>2.318840579710145E-2</v>
      </c>
      <c r="V5" t="s">
        <v>29</v>
      </c>
    </row>
    <row r="6" spans="1:22">
      <c r="A6" s="3">
        <v>45658</v>
      </c>
      <c r="B6" t="str">
        <f t="shared" si="0"/>
        <v>yyyy-01</v>
      </c>
      <c r="C6">
        <f t="shared" si="1"/>
        <v>1</v>
      </c>
      <c r="D6" t="s">
        <v>24</v>
      </c>
      <c r="E6" t="s">
        <v>25</v>
      </c>
      <c r="F6" t="s">
        <v>30</v>
      </c>
      <c r="G6" t="s">
        <v>31</v>
      </c>
      <c r="H6" t="s">
        <v>32</v>
      </c>
      <c r="I6" s="5">
        <v>1773</v>
      </c>
      <c r="J6" s="5">
        <v>936</v>
      </c>
      <c r="K6" s="5">
        <v>118</v>
      </c>
      <c r="L6" s="5">
        <v>30</v>
      </c>
      <c r="M6" s="5">
        <v>30</v>
      </c>
      <c r="N6" s="7">
        <v>388.32</v>
      </c>
      <c r="O6" s="7">
        <f t="shared" si="2"/>
        <v>11649.6</v>
      </c>
      <c r="P6" s="4">
        <v>0</v>
      </c>
      <c r="Q6" s="7">
        <f t="shared" si="3"/>
        <v>0</v>
      </c>
      <c r="R6" s="7">
        <f t="shared" si="4"/>
        <v>11649.6</v>
      </c>
      <c r="S6" s="7">
        <f t="shared" si="5"/>
        <v>388.32</v>
      </c>
      <c r="T6" s="6">
        <f t="shared" si="6"/>
        <v>1.6920473773265651E-2</v>
      </c>
      <c r="V6" t="s">
        <v>29</v>
      </c>
    </row>
    <row r="7" spans="1:22">
      <c r="A7" s="3">
        <v>45658</v>
      </c>
      <c r="B7" t="str">
        <f t="shared" si="0"/>
        <v>yyyy-01</v>
      </c>
      <c r="C7">
        <f t="shared" si="1"/>
        <v>1</v>
      </c>
      <c r="D7" t="s">
        <v>24</v>
      </c>
      <c r="E7" t="s">
        <v>25</v>
      </c>
      <c r="F7" t="s">
        <v>33</v>
      </c>
      <c r="G7" t="s">
        <v>27</v>
      </c>
      <c r="H7" t="s">
        <v>28</v>
      </c>
      <c r="I7" s="5">
        <v>1492</v>
      </c>
      <c r="J7" s="5">
        <v>904</v>
      </c>
      <c r="K7" s="5">
        <v>112</v>
      </c>
      <c r="L7" s="5">
        <v>26</v>
      </c>
      <c r="M7" s="5">
        <v>26</v>
      </c>
      <c r="N7" s="7">
        <v>1768.05</v>
      </c>
      <c r="O7" s="7">
        <f t="shared" si="2"/>
        <v>45969.299999999996</v>
      </c>
      <c r="P7" s="4">
        <v>0</v>
      </c>
      <c r="Q7" s="7">
        <f t="shared" si="3"/>
        <v>0</v>
      </c>
      <c r="R7" s="7">
        <f t="shared" si="4"/>
        <v>45969.299999999996</v>
      </c>
      <c r="S7" s="7">
        <f t="shared" si="5"/>
        <v>1768.0499999999997</v>
      </c>
      <c r="T7" s="6">
        <f t="shared" si="6"/>
        <v>1.7426273458445041E-2</v>
      </c>
      <c r="V7" t="s">
        <v>29</v>
      </c>
    </row>
    <row r="8" spans="1:22">
      <c r="A8" s="3">
        <v>45658</v>
      </c>
      <c r="B8" t="str">
        <f t="shared" si="0"/>
        <v>yyyy-01</v>
      </c>
      <c r="C8">
        <f t="shared" si="1"/>
        <v>1</v>
      </c>
      <c r="D8" t="s">
        <v>24</v>
      </c>
      <c r="E8" t="s">
        <v>34</v>
      </c>
      <c r="F8" t="s">
        <v>35</v>
      </c>
      <c r="G8" t="s">
        <v>36</v>
      </c>
      <c r="H8" t="s">
        <v>37</v>
      </c>
      <c r="I8" s="5">
        <v>1081</v>
      </c>
      <c r="J8" s="5">
        <v>832</v>
      </c>
      <c r="K8" s="5">
        <v>98</v>
      </c>
      <c r="L8" s="5">
        <v>25</v>
      </c>
      <c r="M8" s="5">
        <v>25</v>
      </c>
      <c r="N8" s="7">
        <v>883.46</v>
      </c>
      <c r="O8" s="7">
        <f t="shared" si="2"/>
        <v>22086.5</v>
      </c>
      <c r="P8" s="4">
        <v>0</v>
      </c>
      <c r="Q8" s="7">
        <f t="shared" si="3"/>
        <v>0</v>
      </c>
      <c r="R8" s="7">
        <f t="shared" si="4"/>
        <v>22086.5</v>
      </c>
      <c r="S8" s="7">
        <f t="shared" si="5"/>
        <v>883.46</v>
      </c>
      <c r="T8" s="6">
        <f t="shared" si="6"/>
        <v>2.3126734505087881E-2</v>
      </c>
      <c r="V8" t="s">
        <v>29</v>
      </c>
    </row>
    <row r="9" spans="1:22">
      <c r="A9" s="3">
        <v>45658</v>
      </c>
      <c r="B9" t="str">
        <f t="shared" si="0"/>
        <v>yyyy-01</v>
      </c>
      <c r="C9">
        <f t="shared" si="1"/>
        <v>1</v>
      </c>
      <c r="D9" t="s">
        <v>24</v>
      </c>
      <c r="E9" t="s">
        <v>38</v>
      </c>
      <c r="F9" t="s">
        <v>39</v>
      </c>
      <c r="G9" t="s">
        <v>27</v>
      </c>
      <c r="H9" t="s">
        <v>28</v>
      </c>
      <c r="I9" s="5">
        <v>827</v>
      </c>
      <c r="J9" s="5">
        <v>610</v>
      </c>
      <c r="K9" s="5">
        <v>39</v>
      </c>
      <c r="L9" s="5">
        <v>13</v>
      </c>
      <c r="M9" s="5">
        <v>13</v>
      </c>
      <c r="N9" s="7">
        <v>317.42</v>
      </c>
      <c r="O9" s="7">
        <f t="shared" si="2"/>
        <v>4126.46</v>
      </c>
      <c r="P9" s="4">
        <v>0.05</v>
      </c>
      <c r="Q9" s="7">
        <f t="shared" si="3"/>
        <v>206.32300000000001</v>
      </c>
      <c r="R9" s="7">
        <f t="shared" si="4"/>
        <v>3920.1370000000002</v>
      </c>
      <c r="S9" s="7">
        <f t="shared" si="5"/>
        <v>301.54900000000004</v>
      </c>
      <c r="T9" s="6">
        <f t="shared" si="6"/>
        <v>1.5719467956469165E-2</v>
      </c>
      <c r="V9" t="s">
        <v>29</v>
      </c>
    </row>
    <row r="10" spans="1:22">
      <c r="A10" s="3">
        <v>45658</v>
      </c>
      <c r="B10" t="str">
        <f t="shared" si="0"/>
        <v>yyyy-01</v>
      </c>
      <c r="C10">
        <f t="shared" si="1"/>
        <v>1</v>
      </c>
      <c r="D10" t="s">
        <v>24</v>
      </c>
      <c r="E10" t="s">
        <v>40</v>
      </c>
      <c r="F10" t="s">
        <v>41</v>
      </c>
      <c r="G10" t="s">
        <v>31</v>
      </c>
      <c r="H10" t="s">
        <v>32</v>
      </c>
      <c r="I10" s="5">
        <v>649</v>
      </c>
      <c r="J10" s="5">
        <v>428</v>
      </c>
      <c r="K10" s="5">
        <v>40</v>
      </c>
      <c r="L10" s="5">
        <v>16</v>
      </c>
      <c r="M10" s="5">
        <v>20</v>
      </c>
      <c r="N10" s="7">
        <v>179.38</v>
      </c>
      <c r="O10" s="7">
        <f t="shared" si="2"/>
        <v>3587.6</v>
      </c>
      <c r="P10" s="4">
        <v>0</v>
      </c>
      <c r="Q10" s="7">
        <f t="shared" si="3"/>
        <v>0</v>
      </c>
      <c r="R10" s="7">
        <f t="shared" si="4"/>
        <v>3587.6</v>
      </c>
      <c r="S10" s="7">
        <f t="shared" si="5"/>
        <v>224.22499999999999</v>
      </c>
      <c r="T10" s="6">
        <f t="shared" si="6"/>
        <v>2.465331278890601E-2</v>
      </c>
      <c r="V10" t="s">
        <v>29</v>
      </c>
    </row>
    <row r="11" spans="1:22">
      <c r="A11" s="3">
        <v>45658</v>
      </c>
      <c r="B11" t="str">
        <f t="shared" si="0"/>
        <v>yyyy-01</v>
      </c>
      <c r="C11">
        <f t="shared" si="1"/>
        <v>1</v>
      </c>
      <c r="D11" t="s">
        <v>42</v>
      </c>
      <c r="E11" t="s">
        <v>43</v>
      </c>
      <c r="F11" t="s">
        <v>44</v>
      </c>
      <c r="G11" t="s">
        <v>27</v>
      </c>
      <c r="H11" t="s">
        <v>45</v>
      </c>
      <c r="I11" s="5">
        <v>450</v>
      </c>
      <c r="J11" s="5">
        <v>256</v>
      </c>
      <c r="K11" s="5">
        <v>30</v>
      </c>
      <c r="L11" s="5">
        <v>6</v>
      </c>
      <c r="M11" s="5">
        <v>6</v>
      </c>
      <c r="N11" s="7">
        <v>1290.45</v>
      </c>
      <c r="O11" s="7">
        <f t="shared" si="2"/>
        <v>7742.7000000000007</v>
      </c>
      <c r="P11" s="4">
        <v>0</v>
      </c>
      <c r="Q11" s="7">
        <f t="shared" si="3"/>
        <v>0</v>
      </c>
      <c r="R11" s="7">
        <f t="shared" si="4"/>
        <v>7742.7000000000007</v>
      </c>
      <c r="S11" s="7">
        <f t="shared" si="5"/>
        <v>1290.45</v>
      </c>
      <c r="T11" s="6">
        <f t="shared" si="6"/>
        <v>1.3333333333333334E-2</v>
      </c>
      <c r="V11" t="s">
        <v>29</v>
      </c>
    </row>
    <row r="12" spans="1:22">
      <c r="A12" s="3">
        <v>45658</v>
      </c>
      <c r="B12" t="str">
        <f t="shared" si="0"/>
        <v>yyyy-01</v>
      </c>
      <c r="C12">
        <f t="shared" si="1"/>
        <v>1</v>
      </c>
      <c r="D12" t="s">
        <v>42</v>
      </c>
      <c r="E12" t="s">
        <v>43</v>
      </c>
      <c r="F12" t="s">
        <v>46</v>
      </c>
      <c r="G12" t="s">
        <v>27</v>
      </c>
      <c r="H12" t="s">
        <v>45</v>
      </c>
      <c r="I12" s="5">
        <v>489</v>
      </c>
      <c r="J12" s="5">
        <v>259</v>
      </c>
      <c r="K12" s="5">
        <v>17</v>
      </c>
      <c r="L12" s="5">
        <v>6</v>
      </c>
      <c r="M12" s="5">
        <v>6</v>
      </c>
      <c r="N12" s="7">
        <v>2235.4499999999998</v>
      </c>
      <c r="O12" s="7">
        <f t="shared" si="2"/>
        <v>13412.699999999999</v>
      </c>
      <c r="P12" s="4">
        <v>0</v>
      </c>
      <c r="Q12" s="7">
        <f t="shared" si="3"/>
        <v>0</v>
      </c>
      <c r="R12" s="7">
        <f t="shared" si="4"/>
        <v>13412.699999999999</v>
      </c>
      <c r="S12" s="7">
        <f t="shared" si="5"/>
        <v>2235.4499999999998</v>
      </c>
      <c r="T12" s="6">
        <f t="shared" si="6"/>
        <v>1.2269938650306749E-2</v>
      </c>
      <c r="V12" t="s">
        <v>29</v>
      </c>
    </row>
    <row r="13" spans="1:22">
      <c r="A13" s="3">
        <v>45658</v>
      </c>
      <c r="B13" t="str">
        <f t="shared" si="0"/>
        <v>yyyy-01</v>
      </c>
      <c r="C13">
        <f t="shared" si="1"/>
        <v>1</v>
      </c>
      <c r="D13" t="s">
        <v>42</v>
      </c>
      <c r="E13" t="s">
        <v>43</v>
      </c>
      <c r="F13" t="s">
        <v>47</v>
      </c>
      <c r="G13" t="s">
        <v>27</v>
      </c>
      <c r="H13" t="s">
        <v>48</v>
      </c>
      <c r="I13" s="5">
        <v>239</v>
      </c>
      <c r="J13" s="5">
        <v>171</v>
      </c>
      <c r="K13" s="5">
        <v>17</v>
      </c>
      <c r="L13" s="5">
        <v>3</v>
      </c>
      <c r="M13" s="5">
        <v>3</v>
      </c>
      <c r="N13" s="7">
        <v>594.41</v>
      </c>
      <c r="O13" s="7">
        <f t="shared" si="2"/>
        <v>1783.23</v>
      </c>
      <c r="P13" s="4">
        <v>0</v>
      </c>
      <c r="Q13" s="7">
        <f t="shared" si="3"/>
        <v>0</v>
      </c>
      <c r="R13" s="7">
        <f t="shared" si="4"/>
        <v>1783.23</v>
      </c>
      <c r="S13" s="7">
        <f t="shared" si="5"/>
        <v>594.41</v>
      </c>
      <c r="T13" s="6">
        <f t="shared" si="6"/>
        <v>1.2552301255230125E-2</v>
      </c>
      <c r="V13" t="s">
        <v>29</v>
      </c>
    </row>
    <row r="14" spans="1:22">
      <c r="A14" s="3">
        <v>45658</v>
      </c>
      <c r="B14" t="str">
        <f t="shared" si="0"/>
        <v>yyyy-01</v>
      </c>
      <c r="C14">
        <f t="shared" si="1"/>
        <v>1</v>
      </c>
      <c r="D14" t="s">
        <v>42</v>
      </c>
      <c r="E14" t="s">
        <v>49</v>
      </c>
      <c r="F14" t="s">
        <v>50</v>
      </c>
      <c r="G14" t="s">
        <v>27</v>
      </c>
      <c r="H14" t="s">
        <v>45</v>
      </c>
      <c r="I14" s="5">
        <v>128</v>
      </c>
      <c r="J14" s="5">
        <v>82</v>
      </c>
      <c r="K14" s="5">
        <v>10</v>
      </c>
      <c r="L14" s="5">
        <v>2</v>
      </c>
      <c r="M14" s="5">
        <v>2</v>
      </c>
      <c r="N14" s="7">
        <v>964.49</v>
      </c>
      <c r="O14" s="7">
        <f t="shared" si="2"/>
        <v>1928.98</v>
      </c>
      <c r="P14" s="4">
        <v>0</v>
      </c>
      <c r="Q14" s="7">
        <f t="shared" si="3"/>
        <v>0</v>
      </c>
      <c r="R14" s="7">
        <f t="shared" si="4"/>
        <v>1928.98</v>
      </c>
      <c r="S14" s="7">
        <f t="shared" si="5"/>
        <v>964.49</v>
      </c>
      <c r="T14" s="6">
        <f t="shared" si="6"/>
        <v>1.5625E-2</v>
      </c>
      <c r="V14" t="s">
        <v>29</v>
      </c>
    </row>
    <row r="15" spans="1:22">
      <c r="A15" s="3">
        <v>45658</v>
      </c>
      <c r="B15" t="str">
        <f t="shared" si="0"/>
        <v>yyyy-01</v>
      </c>
      <c r="C15">
        <f t="shared" si="1"/>
        <v>1</v>
      </c>
      <c r="D15" t="s">
        <v>42</v>
      </c>
      <c r="E15" t="s">
        <v>51</v>
      </c>
      <c r="F15" t="s">
        <v>52</v>
      </c>
      <c r="G15" t="s">
        <v>31</v>
      </c>
      <c r="H15" t="s">
        <v>32</v>
      </c>
      <c r="I15" s="5">
        <v>324</v>
      </c>
      <c r="J15" s="5">
        <v>228</v>
      </c>
      <c r="K15" s="5">
        <v>18</v>
      </c>
      <c r="L15" s="5">
        <v>4</v>
      </c>
      <c r="M15" s="5">
        <v>4</v>
      </c>
      <c r="N15" s="7">
        <v>584.08000000000004</v>
      </c>
      <c r="O15" s="7">
        <f t="shared" si="2"/>
        <v>2336.3200000000002</v>
      </c>
      <c r="P15" s="4">
        <v>0</v>
      </c>
      <c r="Q15" s="7">
        <f t="shared" si="3"/>
        <v>0</v>
      </c>
      <c r="R15" s="7">
        <f t="shared" si="4"/>
        <v>2336.3200000000002</v>
      </c>
      <c r="S15" s="7">
        <f t="shared" si="5"/>
        <v>584.08000000000004</v>
      </c>
      <c r="T15" s="6">
        <f t="shared" si="6"/>
        <v>1.2345679012345678E-2</v>
      </c>
      <c r="V15" t="s">
        <v>29</v>
      </c>
    </row>
    <row r="16" spans="1:22">
      <c r="A16" s="3">
        <v>45658</v>
      </c>
      <c r="B16" t="str">
        <f t="shared" si="0"/>
        <v>yyyy-01</v>
      </c>
      <c r="C16">
        <f t="shared" si="1"/>
        <v>1</v>
      </c>
      <c r="D16" t="s">
        <v>53</v>
      </c>
      <c r="E16" t="s">
        <v>54</v>
      </c>
      <c r="F16" t="s">
        <v>55</v>
      </c>
      <c r="G16" t="s">
        <v>27</v>
      </c>
      <c r="H16" t="s">
        <v>28</v>
      </c>
      <c r="I16" s="5">
        <v>194</v>
      </c>
      <c r="J16" s="5">
        <v>107</v>
      </c>
      <c r="K16" s="5">
        <v>13</v>
      </c>
      <c r="L16" s="5">
        <v>3</v>
      </c>
      <c r="M16" s="5">
        <v>3</v>
      </c>
      <c r="N16" s="7">
        <v>1273.55</v>
      </c>
      <c r="O16" s="7">
        <f t="shared" si="2"/>
        <v>3820.6499999999996</v>
      </c>
      <c r="P16" s="4">
        <v>0</v>
      </c>
      <c r="Q16" s="7">
        <f t="shared" si="3"/>
        <v>0</v>
      </c>
      <c r="R16" s="7">
        <f t="shared" si="4"/>
        <v>3820.6499999999996</v>
      </c>
      <c r="S16" s="7">
        <f t="shared" si="5"/>
        <v>1273.55</v>
      </c>
      <c r="T16" s="6">
        <f t="shared" si="6"/>
        <v>1.5463917525773196E-2</v>
      </c>
      <c r="V16" t="s">
        <v>29</v>
      </c>
    </row>
    <row r="17" spans="1:22">
      <c r="A17" s="3">
        <v>45658</v>
      </c>
      <c r="B17" t="str">
        <f t="shared" si="0"/>
        <v>yyyy-01</v>
      </c>
      <c r="C17">
        <f t="shared" si="1"/>
        <v>1</v>
      </c>
      <c r="D17" t="s">
        <v>53</v>
      </c>
      <c r="E17" t="s">
        <v>56</v>
      </c>
      <c r="F17" t="s">
        <v>57</v>
      </c>
      <c r="G17" t="s">
        <v>36</v>
      </c>
      <c r="H17" t="s">
        <v>37</v>
      </c>
      <c r="I17" s="5">
        <v>266</v>
      </c>
      <c r="J17" s="5">
        <v>160</v>
      </c>
      <c r="K17" s="5">
        <v>18</v>
      </c>
      <c r="L17" s="5">
        <v>3</v>
      </c>
      <c r="M17" s="5">
        <v>3</v>
      </c>
      <c r="N17" s="7">
        <v>758.16</v>
      </c>
      <c r="O17" s="7">
        <f t="shared" si="2"/>
        <v>2274.48</v>
      </c>
      <c r="P17" s="4">
        <v>0</v>
      </c>
      <c r="Q17" s="7">
        <f t="shared" si="3"/>
        <v>0</v>
      </c>
      <c r="R17" s="7">
        <f t="shared" si="4"/>
        <v>2274.48</v>
      </c>
      <c r="S17" s="7">
        <f t="shared" si="5"/>
        <v>758.16</v>
      </c>
      <c r="T17" s="6">
        <f t="shared" si="6"/>
        <v>1.1278195488721804E-2</v>
      </c>
      <c r="V17" t="s">
        <v>29</v>
      </c>
    </row>
    <row r="18" spans="1:22">
      <c r="A18" s="3">
        <v>45658</v>
      </c>
      <c r="B18" t="str">
        <f t="shared" si="0"/>
        <v>yyyy-01</v>
      </c>
      <c r="C18">
        <f t="shared" si="1"/>
        <v>1</v>
      </c>
      <c r="D18" t="s">
        <v>53</v>
      </c>
      <c r="E18" t="s">
        <v>56</v>
      </c>
      <c r="F18" t="s">
        <v>58</v>
      </c>
      <c r="G18" t="s">
        <v>36</v>
      </c>
      <c r="H18" t="s">
        <v>37</v>
      </c>
      <c r="I18" s="5">
        <v>188</v>
      </c>
      <c r="J18" s="5">
        <v>109</v>
      </c>
      <c r="K18" s="5">
        <v>13</v>
      </c>
      <c r="L18" s="5">
        <v>2</v>
      </c>
      <c r="M18" s="5">
        <v>2</v>
      </c>
      <c r="N18" s="7">
        <v>912.8</v>
      </c>
      <c r="O18" s="7">
        <f t="shared" si="2"/>
        <v>1825.6</v>
      </c>
      <c r="P18" s="4">
        <v>0.05</v>
      </c>
      <c r="Q18" s="7">
        <f t="shared" si="3"/>
        <v>91.28</v>
      </c>
      <c r="R18" s="7">
        <f t="shared" si="4"/>
        <v>1734.32</v>
      </c>
      <c r="S18" s="7">
        <f t="shared" si="5"/>
        <v>867.16</v>
      </c>
      <c r="T18" s="6">
        <f t="shared" si="6"/>
        <v>1.0638297872340425E-2</v>
      </c>
      <c r="V18" t="s">
        <v>29</v>
      </c>
    </row>
    <row r="19" spans="1:22">
      <c r="A19" s="3">
        <v>45658</v>
      </c>
      <c r="B19" t="str">
        <f t="shared" si="0"/>
        <v>yyyy-01</v>
      </c>
      <c r="C19">
        <f t="shared" si="1"/>
        <v>1</v>
      </c>
      <c r="D19" t="s">
        <v>53</v>
      </c>
      <c r="E19" t="s">
        <v>59</v>
      </c>
      <c r="F19" t="s">
        <v>60</v>
      </c>
      <c r="G19" t="s">
        <v>27</v>
      </c>
      <c r="H19" t="s">
        <v>48</v>
      </c>
      <c r="I19" s="5">
        <v>144</v>
      </c>
      <c r="J19" s="5">
        <v>114</v>
      </c>
      <c r="K19" s="5">
        <v>6</v>
      </c>
      <c r="L19" s="5">
        <v>2</v>
      </c>
      <c r="M19" s="5">
        <v>2</v>
      </c>
      <c r="N19" s="7">
        <v>707.86</v>
      </c>
      <c r="O19" s="7">
        <f t="shared" si="2"/>
        <v>1415.72</v>
      </c>
      <c r="P19" s="4">
        <v>0.03</v>
      </c>
      <c r="Q19" s="7">
        <f t="shared" si="3"/>
        <v>42.471600000000002</v>
      </c>
      <c r="R19" s="7">
        <f t="shared" si="4"/>
        <v>1373.2483999999999</v>
      </c>
      <c r="S19" s="7">
        <f t="shared" si="5"/>
        <v>686.62419999999997</v>
      </c>
      <c r="T19" s="6">
        <f t="shared" si="6"/>
        <v>1.3888888888888888E-2</v>
      </c>
      <c r="V19" t="s">
        <v>29</v>
      </c>
    </row>
    <row r="20" spans="1:22">
      <c r="A20" s="3">
        <v>45658</v>
      </c>
      <c r="B20" t="str">
        <f t="shared" si="0"/>
        <v>yyyy-01</v>
      </c>
      <c r="C20">
        <f t="shared" si="1"/>
        <v>1</v>
      </c>
      <c r="D20" t="s">
        <v>53</v>
      </c>
      <c r="E20" t="s">
        <v>61</v>
      </c>
      <c r="F20" t="s">
        <v>62</v>
      </c>
      <c r="G20" t="s">
        <v>27</v>
      </c>
      <c r="H20" t="s">
        <v>63</v>
      </c>
      <c r="I20" s="5">
        <v>112</v>
      </c>
      <c r="J20" s="5">
        <v>86</v>
      </c>
      <c r="K20" s="5">
        <v>7</v>
      </c>
      <c r="L20" s="5">
        <v>2</v>
      </c>
      <c r="M20" s="5">
        <v>2</v>
      </c>
      <c r="N20" s="7">
        <v>498.79</v>
      </c>
      <c r="O20" s="7">
        <f t="shared" si="2"/>
        <v>997.58</v>
      </c>
      <c r="P20" s="4">
        <v>0</v>
      </c>
      <c r="Q20" s="7">
        <f t="shared" si="3"/>
        <v>0</v>
      </c>
      <c r="R20" s="7">
        <f t="shared" si="4"/>
        <v>997.58</v>
      </c>
      <c r="S20" s="7">
        <f t="shared" si="5"/>
        <v>498.79</v>
      </c>
      <c r="T20" s="6">
        <f t="shared" si="6"/>
        <v>1.7857142857142856E-2</v>
      </c>
      <c r="V20" t="s">
        <v>29</v>
      </c>
    </row>
    <row r="21" spans="1:22">
      <c r="A21" s="3">
        <v>45658</v>
      </c>
      <c r="B21" t="str">
        <f t="shared" si="0"/>
        <v>yyyy-01</v>
      </c>
      <c r="C21">
        <f t="shared" si="1"/>
        <v>1</v>
      </c>
      <c r="D21" t="s">
        <v>53</v>
      </c>
      <c r="E21" t="s">
        <v>64</v>
      </c>
      <c r="F21" t="s">
        <v>65</v>
      </c>
      <c r="G21" t="s">
        <v>27</v>
      </c>
      <c r="H21" t="s">
        <v>63</v>
      </c>
      <c r="I21" s="5">
        <v>149</v>
      </c>
      <c r="J21" s="5">
        <v>87</v>
      </c>
      <c r="K21" s="5">
        <v>8</v>
      </c>
      <c r="L21" s="5">
        <v>2</v>
      </c>
      <c r="M21" s="5">
        <v>2</v>
      </c>
      <c r="N21" s="7">
        <v>781.98</v>
      </c>
      <c r="O21" s="7">
        <f t="shared" si="2"/>
        <v>1563.96</v>
      </c>
      <c r="P21" s="4">
        <v>0</v>
      </c>
      <c r="Q21" s="7">
        <f t="shared" si="3"/>
        <v>0</v>
      </c>
      <c r="R21" s="7">
        <f t="shared" si="4"/>
        <v>1563.96</v>
      </c>
      <c r="S21" s="7">
        <f t="shared" si="5"/>
        <v>781.98</v>
      </c>
      <c r="T21" s="6">
        <f t="shared" si="6"/>
        <v>1.3422818791946308E-2</v>
      </c>
      <c r="V21" t="s">
        <v>29</v>
      </c>
    </row>
    <row r="22" spans="1:22">
      <c r="A22" s="3">
        <v>45658</v>
      </c>
      <c r="B22" t="str">
        <f t="shared" si="0"/>
        <v>yyyy-01</v>
      </c>
      <c r="C22">
        <f t="shared" si="1"/>
        <v>1</v>
      </c>
      <c r="D22" t="s">
        <v>66</v>
      </c>
      <c r="E22" t="s">
        <v>67</v>
      </c>
      <c r="F22" t="s">
        <v>68</v>
      </c>
      <c r="G22" t="s">
        <v>27</v>
      </c>
      <c r="H22" t="s">
        <v>63</v>
      </c>
      <c r="I22" s="5">
        <v>209</v>
      </c>
      <c r="J22" s="5">
        <v>166</v>
      </c>
      <c r="K22" s="5">
        <v>11</v>
      </c>
      <c r="L22" s="5">
        <v>4</v>
      </c>
      <c r="M22" s="5">
        <v>4</v>
      </c>
      <c r="N22" s="7">
        <v>671.92</v>
      </c>
      <c r="O22" s="7">
        <f t="shared" si="2"/>
        <v>2687.68</v>
      </c>
      <c r="P22" s="4">
        <v>0.05</v>
      </c>
      <c r="Q22" s="7">
        <f t="shared" si="3"/>
        <v>134.38399999999999</v>
      </c>
      <c r="R22" s="7">
        <f t="shared" si="4"/>
        <v>2553.2959999999998</v>
      </c>
      <c r="S22" s="7">
        <f t="shared" si="5"/>
        <v>638.32399999999996</v>
      </c>
      <c r="T22" s="6">
        <f t="shared" si="6"/>
        <v>1.9138755980861243E-2</v>
      </c>
      <c r="V22" t="s">
        <v>29</v>
      </c>
    </row>
    <row r="23" spans="1:22">
      <c r="A23" s="3">
        <v>45658</v>
      </c>
      <c r="B23" t="str">
        <f t="shared" si="0"/>
        <v>yyyy-01</v>
      </c>
      <c r="C23">
        <f t="shared" si="1"/>
        <v>1</v>
      </c>
      <c r="D23" t="s">
        <v>66</v>
      </c>
      <c r="E23" t="s">
        <v>67</v>
      </c>
      <c r="F23" t="s">
        <v>69</v>
      </c>
      <c r="G23" t="s">
        <v>27</v>
      </c>
      <c r="H23" t="s">
        <v>28</v>
      </c>
      <c r="I23" s="5">
        <v>393</v>
      </c>
      <c r="J23" s="5">
        <v>232</v>
      </c>
      <c r="K23" s="5">
        <v>41</v>
      </c>
      <c r="L23" s="5">
        <v>9</v>
      </c>
      <c r="M23" s="5">
        <v>9</v>
      </c>
      <c r="N23" s="7">
        <v>388.74</v>
      </c>
      <c r="O23" s="7">
        <f t="shared" si="2"/>
        <v>3498.66</v>
      </c>
      <c r="P23" s="4">
        <v>0.03</v>
      </c>
      <c r="Q23" s="7">
        <f t="shared" si="3"/>
        <v>104.95979999999999</v>
      </c>
      <c r="R23" s="7">
        <f t="shared" si="4"/>
        <v>3393.7001999999998</v>
      </c>
      <c r="S23" s="7">
        <f t="shared" si="5"/>
        <v>377.07779999999997</v>
      </c>
      <c r="T23" s="6">
        <f t="shared" si="6"/>
        <v>2.2900763358778626E-2</v>
      </c>
      <c r="V23" t="s">
        <v>29</v>
      </c>
    </row>
    <row r="24" spans="1:22">
      <c r="A24" s="3">
        <v>45658</v>
      </c>
      <c r="B24" t="str">
        <f t="shared" si="0"/>
        <v>yyyy-01</v>
      </c>
      <c r="C24">
        <f t="shared" si="1"/>
        <v>1</v>
      </c>
      <c r="D24" t="s">
        <v>66</v>
      </c>
      <c r="E24" t="s">
        <v>67</v>
      </c>
      <c r="F24" t="s">
        <v>70</v>
      </c>
      <c r="G24" t="s">
        <v>27</v>
      </c>
      <c r="H24" t="s">
        <v>45</v>
      </c>
      <c r="I24" s="5">
        <v>326</v>
      </c>
      <c r="J24" s="5">
        <v>242</v>
      </c>
      <c r="K24" s="5">
        <v>26</v>
      </c>
      <c r="L24" s="5">
        <v>7</v>
      </c>
      <c r="M24" s="5">
        <v>7</v>
      </c>
      <c r="N24" s="7">
        <v>344.94</v>
      </c>
      <c r="O24" s="7">
        <f t="shared" si="2"/>
        <v>2414.58</v>
      </c>
      <c r="P24" s="4">
        <v>0</v>
      </c>
      <c r="Q24" s="7">
        <f t="shared" si="3"/>
        <v>0</v>
      </c>
      <c r="R24" s="7">
        <f t="shared" si="4"/>
        <v>2414.58</v>
      </c>
      <c r="S24" s="7">
        <f t="shared" si="5"/>
        <v>344.94</v>
      </c>
      <c r="T24" s="6">
        <f t="shared" si="6"/>
        <v>2.1472392638036811E-2</v>
      </c>
      <c r="V24" t="s">
        <v>29</v>
      </c>
    </row>
    <row r="25" spans="1:22">
      <c r="A25" s="3">
        <v>45658</v>
      </c>
      <c r="B25" t="str">
        <f t="shared" si="0"/>
        <v>yyyy-01</v>
      </c>
      <c r="C25">
        <f t="shared" si="1"/>
        <v>1</v>
      </c>
      <c r="D25" t="s">
        <v>66</v>
      </c>
      <c r="E25" t="s">
        <v>71</v>
      </c>
      <c r="F25" t="s">
        <v>72</v>
      </c>
      <c r="G25" t="s">
        <v>36</v>
      </c>
      <c r="H25" t="s">
        <v>37</v>
      </c>
      <c r="I25" s="5">
        <v>277</v>
      </c>
      <c r="J25" s="5">
        <v>184</v>
      </c>
      <c r="K25" s="5">
        <v>24</v>
      </c>
      <c r="L25" s="5">
        <v>6</v>
      </c>
      <c r="M25" s="5">
        <v>6</v>
      </c>
      <c r="N25" s="7">
        <v>126.96</v>
      </c>
      <c r="O25" s="7">
        <f t="shared" si="2"/>
        <v>761.76</v>
      </c>
      <c r="P25" s="4">
        <v>0</v>
      </c>
      <c r="Q25" s="7">
        <f t="shared" si="3"/>
        <v>0</v>
      </c>
      <c r="R25" s="7">
        <f t="shared" si="4"/>
        <v>761.76</v>
      </c>
      <c r="S25" s="7">
        <f t="shared" si="5"/>
        <v>126.96</v>
      </c>
      <c r="T25" s="6">
        <f t="shared" si="6"/>
        <v>2.1660649819494584E-2</v>
      </c>
      <c r="V25" t="s">
        <v>29</v>
      </c>
    </row>
    <row r="26" spans="1:22">
      <c r="A26" s="3">
        <v>45658</v>
      </c>
      <c r="B26" t="str">
        <f t="shared" si="0"/>
        <v>yyyy-01</v>
      </c>
      <c r="C26">
        <f t="shared" si="1"/>
        <v>1</v>
      </c>
      <c r="D26" t="s">
        <v>66</v>
      </c>
      <c r="E26" t="s">
        <v>73</v>
      </c>
      <c r="F26" t="s">
        <v>74</v>
      </c>
      <c r="G26" t="s">
        <v>36</v>
      </c>
      <c r="H26" t="s">
        <v>37</v>
      </c>
      <c r="I26" s="5">
        <v>223</v>
      </c>
      <c r="J26" s="5">
        <v>129</v>
      </c>
      <c r="K26" s="5">
        <v>13</v>
      </c>
      <c r="L26" s="5">
        <v>4</v>
      </c>
      <c r="M26" s="5">
        <v>4</v>
      </c>
      <c r="N26" s="7">
        <v>1169.01</v>
      </c>
      <c r="O26" s="7">
        <f t="shared" si="2"/>
        <v>4676.04</v>
      </c>
      <c r="P26" s="4">
        <v>0</v>
      </c>
      <c r="Q26" s="7">
        <f t="shared" si="3"/>
        <v>0</v>
      </c>
      <c r="R26" s="7">
        <f t="shared" si="4"/>
        <v>4676.04</v>
      </c>
      <c r="S26" s="7">
        <f t="shared" si="5"/>
        <v>1169.01</v>
      </c>
      <c r="T26" s="6">
        <f t="shared" si="6"/>
        <v>1.7937219730941704E-2</v>
      </c>
      <c r="V26" t="s">
        <v>29</v>
      </c>
    </row>
    <row r="27" spans="1:22">
      <c r="A27" s="3">
        <v>45658</v>
      </c>
      <c r="B27" t="str">
        <f t="shared" si="0"/>
        <v>yyyy-01</v>
      </c>
      <c r="C27">
        <f t="shared" si="1"/>
        <v>1</v>
      </c>
      <c r="D27" t="s">
        <v>66</v>
      </c>
      <c r="E27" t="s">
        <v>71</v>
      </c>
      <c r="F27" t="s">
        <v>75</v>
      </c>
      <c r="G27" t="s">
        <v>27</v>
      </c>
      <c r="H27" t="s">
        <v>63</v>
      </c>
      <c r="I27" s="5">
        <v>220</v>
      </c>
      <c r="J27" s="5">
        <v>158</v>
      </c>
      <c r="K27" s="5">
        <v>8</v>
      </c>
      <c r="L27" s="5">
        <v>4</v>
      </c>
      <c r="M27" s="5">
        <v>5</v>
      </c>
      <c r="N27" s="7">
        <v>37.99</v>
      </c>
      <c r="O27" s="7">
        <f t="shared" si="2"/>
        <v>189.95000000000002</v>
      </c>
      <c r="P27" s="4">
        <v>0</v>
      </c>
      <c r="Q27" s="7">
        <f t="shared" si="3"/>
        <v>0</v>
      </c>
      <c r="R27" s="7">
        <f t="shared" si="4"/>
        <v>189.95000000000002</v>
      </c>
      <c r="S27" s="7">
        <f t="shared" si="5"/>
        <v>47.487500000000004</v>
      </c>
      <c r="T27" s="6">
        <f t="shared" si="6"/>
        <v>1.8181818181818181E-2</v>
      </c>
      <c r="V27" t="s">
        <v>29</v>
      </c>
    </row>
    <row r="28" spans="1:22">
      <c r="A28" s="3">
        <v>45658</v>
      </c>
      <c r="B28" t="str">
        <f t="shared" si="0"/>
        <v>yyyy-01</v>
      </c>
      <c r="C28">
        <f t="shared" si="1"/>
        <v>1</v>
      </c>
      <c r="D28" t="s">
        <v>24</v>
      </c>
      <c r="E28" t="s">
        <v>76</v>
      </c>
      <c r="F28" t="s">
        <v>77</v>
      </c>
      <c r="G28" t="s">
        <v>36</v>
      </c>
      <c r="H28" t="s">
        <v>37</v>
      </c>
      <c r="I28" s="5">
        <v>523</v>
      </c>
      <c r="J28" s="5">
        <v>336</v>
      </c>
      <c r="K28" s="5">
        <v>40</v>
      </c>
      <c r="L28" s="5">
        <v>8</v>
      </c>
      <c r="M28" s="5">
        <v>9</v>
      </c>
      <c r="N28" s="7">
        <v>200.4</v>
      </c>
      <c r="O28" s="7">
        <f t="shared" si="2"/>
        <v>1803.6000000000001</v>
      </c>
      <c r="P28" s="4">
        <v>0</v>
      </c>
      <c r="Q28" s="7">
        <f t="shared" si="3"/>
        <v>0</v>
      </c>
      <c r="R28" s="7">
        <f t="shared" si="4"/>
        <v>1803.6000000000001</v>
      </c>
      <c r="S28" s="7">
        <f t="shared" si="5"/>
        <v>225.45000000000002</v>
      </c>
      <c r="T28" s="6">
        <f t="shared" si="6"/>
        <v>1.5296367112810707E-2</v>
      </c>
      <c r="V28" t="s">
        <v>29</v>
      </c>
    </row>
    <row r="29" spans="1:22">
      <c r="A29" s="3">
        <v>45659</v>
      </c>
      <c r="B29" t="str">
        <f t="shared" si="0"/>
        <v>yyyy-01</v>
      </c>
      <c r="C29">
        <f t="shared" si="1"/>
        <v>1</v>
      </c>
      <c r="D29" t="s">
        <v>24</v>
      </c>
      <c r="E29" t="s">
        <v>25</v>
      </c>
      <c r="F29" t="s">
        <v>26</v>
      </c>
      <c r="G29" t="s">
        <v>36</v>
      </c>
      <c r="H29" t="s">
        <v>37</v>
      </c>
      <c r="I29" s="5">
        <v>1459</v>
      </c>
      <c r="J29" s="5">
        <v>1058</v>
      </c>
      <c r="K29" s="5">
        <v>77</v>
      </c>
      <c r="L29" s="5">
        <v>30</v>
      </c>
      <c r="M29" s="5">
        <v>30</v>
      </c>
      <c r="N29" s="7">
        <v>962.55</v>
      </c>
      <c r="O29" s="7">
        <f t="shared" si="2"/>
        <v>28876.5</v>
      </c>
      <c r="P29" s="4">
        <v>0</v>
      </c>
      <c r="Q29" s="7">
        <f t="shared" si="3"/>
        <v>0</v>
      </c>
      <c r="R29" s="7">
        <f t="shared" si="4"/>
        <v>28876.5</v>
      </c>
      <c r="S29" s="7">
        <f t="shared" si="5"/>
        <v>962.55</v>
      </c>
      <c r="T29" s="6">
        <f t="shared" si="6"/>
        <v>2.0562028786840301E-2</v>
      </c>
      <c r="V29" t="s">
        <v>29</v>
      </c>
    </row>
    <row r="30" spans="1:22">
      <c r="A30" s="3">
        <v>45659</v>
      </c>
      <c r="B30" t="str">
        <f t="shared" si="0"/>
        <v>yyyy-01</v>
      </c>
      <c r="C30">
        <f t="shared" si="1"/>
        <v>1</v>
      </c>
      <c r="D30" t="s">
        <v>24</v>
      </c>
      <c r="E30" t="s">
        <v>25</v>
      </c>
      <c r="F30" t="s">
        <v>30</v>
      </c>
      <c r="G30" t="s">
        <v>27</v>
      </c>
      <c r="H30" t="s">
        <v>45</v>
      </c>
      <c r="I30" s="5">
        <v>921</v>
      </c>
      <c r="J30" s="5">
        <v>495</v>
      </c>
      <c r="K30" s="5">
        <v>70</v>
      </c>
      <c r="L30" s="5">
        <v>20</v>
      </c>
      <c r="M30" s="5">
        <v>20</v>
      </c>
      <c r="N30" s="7">
        <v>386.81</v>
      </c>
      <c r="O30" s="7">
        <f t="shared" si="2"/>
        <v>7736.2</v>
      </c>
      <c r="P30" s="4">
        <v>0</v>
      </c>
      <c r="Q30" s="7">
        <f t="shared" si="3"/>
        <v>0</v>
      </c>
      <c r="R30" s="7">
        <f t="shared" si="4"/>
        <v>7736.2</v>
      </c>
      <c r="S30" s="7">
        <f t="shared" si="5"/>
        <v>386.81</v>
      </c>
      <c r="T30" s="6">
        <f t="shared" si="6"/>
        <v>2.1715526601520086E-2</v>
      </c>
      <c r="V30" t="s">
        <v>29</v>
      </c>
    </row>
    <row r="31" spans="1:22">
      <c r="A31" s="3">
        <v>45659</v>
      </c>
      <c r="B31" t="str">
        <f t="shared" si="0"/>
        <v>yyyy-01</v>
      </c>
      <c r="C31">
        <f t="shared" si="1"/>
        <v>1</v>
      </c>
      <c r="D31" t="s">
        <v>24</v>
      </c>
      <c r="E31" t="s">
        <v>25</v>
      </c>
      <c r="F31" t="s">
        <v>33</v>
      </c>
      <c r="G31" t="s">
        <v>27</v>
      </c>
      <c r="H31" t="s">
        <v>63</v>
      </c>
      <c r="I31" s="5">
        <v>1033</v>
      </c>
      <c r="J31" s="5">
        <v>813</v>
      </c>
      <c r="K31" s="5">
        <v>96</v>
      </c>
      <c r="L31" s="5">
        <v>20</v>
      </c>
      <c r="M31" s="5">
        <v>20</v>
      </c>
      <c r="N31" s="7">
        <v>1789.53</v>
      </c>
      <c r="O31" s="7">
        <f t="shared" si="2"/>
        <v>35790.6</v>
      </c>
      <c r="P31" s="4">
        <v>0</v>
      </c>
      <c r="Q31" s="7">
        <f t="shared" si="3"/>
        <v>0</v>
      </c>
      <c r="R31" s="7">
        <f t="shared" si="4"/>
        <v>35790.6</v>
      </c>
      <c r="S31" s="7">
        <f t="shared" si="5"/>
        <v>1789.53</v>
      </c>
      <c r="T31" s="6">
        <f t="shared" si="6"/>
        <v>1.9361084220716359E-2</v>
      </c>
      <c r="V31" t="s">
        <v>29</v>
      </c>
    </row>
    <row r="32" spans="1:22">
      <c r="A32" s="3">
        <v>45659</v>
      </c>
      <c r="B32" t="str">
        <f t="shared" si="0"/>
        <v>yyyy-01</v>
      </c>
      <c r="C32">
        <f t="shared" si="1"/>
        <v>1</v>
      </c>
      <c r="D32" t="s">
        <v>24</v>
      </c>
      <c r="E32" t="s">
        <v>34</v>
      </c>
      <c r="F32" t="s">
        <v>35</v>
      </c>
      <c r="G32" t="s">
        <v>31</v>
      </c>
      <c r="H32" t="s">
        <v>32</v>
      </c>
      <c r="I32" s="5">
        <v>1062</v>
      </c>
      <c r="J32" s="5">
        <v>744</v>
      </c>
      <c r="K32" s="5">
        <v>106</v>
      </c>
      <c r="L32" s="5">
        <v>22</v>
      </c>
      <c r="M32" s="5">
        <v>22</v>
      </c>
      <c r="N32" s="7">
        <v>901.67</v>
      </c>
      <c r="O32" s="7">
        <f t="shared" si="2"/>
        <v>19836.739999999998</v>
      </c>
      <c r="P32" s="4">
        <v>0</v>
      </c>
      <c r="Q32" s="7">
        <f t="shared" si="3"/>
        <v>0</v>
      </c>
      <c r="R32" s="7">
        <f t="shared" si="4"/>
        <v>19836.739999999998</v>
      </c>
      <c r="S32" s="7">
        <f t="shared" si="5"/>
        <v>901.67</v>
      </c>
      <c r="T32" s="6">
        <f t="shared" si="6"/>
        <v>2.0715630885122412E-2</v>
      </c>
      <c r="V32" t="s">
        <v>29</v>
      </c>
    </row>
    <row r="33" spans="1:22">
      <c r="A33" s="3">
        <v>45659</v>
      </c>
      <c r="B33" t="str">
        <f t="shared" si="0"/>
        <v>yyyy-01</v>
      </c>
      <c r="C33">
        <f t="shared" si="1"/>
        <v>1</v>
      </c>
      <c r="D33" t="s">
        <v>24</v>
      </c>
      <c r="E33" t="s">
        <v>38</v>
      </c>
      <c r="F33" t="s">
        <v>39</v>
      </c>
      <c r="G33" t="s">
        <v>31</v>
      </c>
      <c r="H33" t="s">
        <v>32</v>
      </c>
      <c r="I33" s="5">
        <v>785</v>
      </c>
      <c r="J33" s="5">
        <v>634</v>
      </c>
      <c r="K33" s="5">
        <v>57</v>
      </c>
      <c r="L33" s="5">
        <v>20</v>
      </c>
      <c r="M33" s="5">
        <v>20</v>
      </c>
      <c r="N33" s="7">
        <v>326.95</v>
      </c>
      <c r="O33" s="7">
        <f t="shared" si="2"/>
        <v>6539</v>
      </c>
      <c r="P33" s="4">
        <v>0</v>
      </c>
      <c r="Q33" s="7">
        <f t="shared" si="3"/>
        <v>0</v>
      </c>
      <c r="R33" s="7">
        <f t="shared" si="4"/>
        <v>6539</v>
      </c>
      <c r="S33" s="7">
        <f t="shared" si="5"/>
        <v>326.95</v>
      </c>
      <c r="T33" s="6">
        <f t="shared" si="6"/>
        <v>2.5477707006369428E-2</v>
      </c>
      <c r="V33" t="s">
        <v>29</v>
      </c>
    </row>
    <row r="34" spans="1:22">
      <c r="A34" s="3">
        <v>45659</v>
      </c>
      <c r="B34" t="str">
        <f t="shared" si="0"/>
        <v>yyyy-01</v>
      </c>
      <c r="C34">
        <f t="shared" si="1"/>
        <v>1</v>
      </c>
      <c r="D34" t="s">
        <v>24</v>
      </c>
      <c r="E34" t="s">
        <v>40</v>
      </c>
      <c r="F34" t="s">
        <v>41</v>
      </c>
      <c r="G34" t="s">
        <v>31</v>
      </c>
      <c r="H34" t="s">
        <v>32</v>
      </c>
      <c r="I34" s="5">
        <v>664</v>
      </c>
      <c r="J34" s="5">
        <v>399</v>
      </c>
      <c r="K34" s="5">
        <v>79</v>
      </c>
      <c r="L34" s="5">
        <v>17</v>
      </c>
      <c r="M34" s="5">
        <v>20</v>
      </c>
      <c r="N34" s="7">
        <v>173.53</v>
      </c>
      <c r="O34" s="7">
        <f t="shared" si="2"/>
        <v>3470.6</v>
      </c>
      <c r="P34" s="4">
        <v>0.03</v>
      </c>
      <c r="Q34" s="7">
        <f t="shared" si="3"/>
        <v>104.11799999999999</v>
      </c>
      <c r="R34" s="7">
        <f t="shared" si="4"/>
        <v>3366.482</v>
      </c>
      <c r="S34" s="7">
        <f t="shared" si="5"/>
        <v>198.02835294117648</v>
      </c>
      <c r="T34" s="6">
        <f t="shared" si="6"/>
        <v>2.5602409638554216E-2</v>
      </c>
      <c r="V34" t="s">
        <v>29</v>
      </c>
    </row>
    <row r="35" spans="1:22">
      <c r="A35" s="3">
        <v>45659</v>
      </c>
      <c r="B35" t="str">
        <f t="shared" si="0"/>
        <v>yyyy-01</v>
      </c>
      <c r="C35">
        <f t="shared" si="1"/>
        <v>1</v>
      </c>
      <c r="D35" t="s">
        <v>42</v>
      </c>
      <c r="E35" t="s">
        <v>43</v>
      </c>
      <c r="F35" t="s">
        <v>44</v>
      </c>
      <c r="G35" t="s">
        <v>27</v>
      </c>
      <c r="H35" t="s">
        <v>48</v>
      </c>
      <c r="I35" s="5">
        <v>442</v>
      </c>
      <c r="J35" s="5">
        <v>302</v>
      </c>
      <c r="K35" s="5">
        <v>35</v>
      </c>
      <c r="L35" s="5">
        <v>7</v>
      </c>
      <c r="M35" s="5">
        <v>7</v>
      </c>
      <c r="N35" s="7">
        <v>1255.1099999999999</v>
      </c>
      <c r="O35" s="7">
        <f t="shared" si="2"/>
        <v>8785.7699999999986</v>
      </c>
      <c r="P35" s="4">
        <v>0.05</v>
      </c>
      <c r="Q35" s="7">
        <f t="shared" si="3"/>
        <v>439.28849999999994</v>
      </c>
      <c r="R35" s="7">
        <f t="shared" si="4"/>
        <v>8346.4814999999981</v>
      </c>
      <c r="S35" s="7">
        <f t="shared" si="5"/>
        <v>1192.3544999999997</v>
      </c>
      <c r="T35" s="6">
        <f t="shared" si="6"/>
        <v>1.5837104072398189E-2</v>
      </c>
      <c r="V35" t="s">
        <v>29</v>
      </c>
    </row>
    <row r="36" spans="1:22">
      <c r="A36" s="3">
        <v>45659</v>
      </c>
      <c r="B36" t="str">
        <f t="shared" si="0"/>
        <v>yyyy-01</v>
      </c>
      <c r="C36">
        <f t="shared" si="1"/>
        <v>1</v>
      </c>
      <c r="D36" t="s">
        <v>42</v>
      </c>
      <c r="E36" t="s">
        <v>43</v>
      </c>
      <c r="F36" t="s">
        <v>46</v>
      </c>
      <c r="G36" t="s">
        <v>27</v>
      </c>
      <c r="H36" t="s">
        <v>48</v>
      </c>
      <c r="I36" s="5">
        <v>338</v>
      </c>
      <c r="J36" s="5">
        <v>186</v>
      </c>
      <c r="K36" s="5">
        <v>16</v>
      </c>
      <c r="L36" s="5">
        <v>5</v>
      </c>
      <c r="M36" s="5">
        <v>5</v>
      </c>
      <c r="N36" s="7">
        <v>2205.7199999999998</v>
      </c>
      <c r="O36" s="7">
        <f t="shared" si="2"/>
        <v>11028.599999999999</v>
      </c>
      <c r="P36" s="4">
        <v>0</v>
      </c>
      <c r="Q36" s="7">
        <f t="shared" si="3"/>
        <v>0</v>
      </c>
      <c r="R36" s="7">
        <f t="shared" si="4"/>
        <v>11028.599999999999</v>
      </c>
      <c r="S36" s="7">
        <f t="shared" si="5"/>
        <v>2205.7199999999998</v>
      </c>
      <c r="T36" s="6">
        <f t="shared" si="6"/>
        <v>1.4792899408284023E-2</v>
      </c>
      <c r="V36" t="s">
        <v>29</v>
      </c>
    </row>
    <row r="37" spans="1:22">
      <c r="A37" s="3">
        <v>45659</v>
      </c>
      <c r="B37" t="str">
        <f t="shared" si="0"/>
        <v>yyyy-01</v>
      </c>
      <c r="C37">
        <f t="shared" si="1"/>
        <v>1</v>
      </c>
      <c r="D37" t="s">
        <v>42</v>
      </c>
      <c r="E37" t="s">
        <v>43</v>
      </c>
      <c r="F37" t="s">
        <v>47</v>
      </c>
      <c r="G37" t="s">
        <v>31</v>
      </c>
      <c r="H37" t="s">
        <v>32</v>
      </c>
      <c r="I37" s="5">
        <v>470</v>
      </c>
      <c r="J37" s="5">
        <v>376</v>
      </c>
      <c r="K37" s="5">
        <v>40</v>
      </c>
      <c r="L37" s="5">
        <v>5</v>
      </c>
      <c r="M37" s="5">
        <v>5</v>
      </c>
      <c r="N37" s="7">
        <v>576.62</v>
      </c>
      <c r="O37" s="7">
        <f t="shared" si="2"/>
        <v>2883.1</v>
      </c>
      <c r="P37" s="4">
        <v>0.05</v>
      </c>
      <c r="Q37" s="7">
        <f t="shared" si="3"/>
        <v>144.155</v>
      </c>
      <c r="R37" s="7">
        <f t="shared" si="4"/>
        <v>2738.9449999999997</v>
      </c>
      <c r="S37" s="7">
        <f t="shared" si="5"/>
        <v>547.78899999999999</v>
      </c>
      <c r="T37" s="6">
        <f t="shared" si="6"/>
        <v>1.0638297872340425E-2</v>
      </c>
      <c r="V37" t="s">
        <v>29</v>
      </c>
    </row>
    <row r="38" spans="1:22">
      <c r="A38" s="3">
        <v>45659</v>
      </c>
      <c r="B38" t="str">
        <f t="shared" si="0"/>
        <v>yyyy-01</v>
      </c>
      <c r="C38">
        <f t="shared" si="1"/>
        <v>1</v>
      </c>
      <c r="D38" t="s">
        <v>42</v>
      </c>
      <c r="E38" t="s">
        <v>49</v>
      </c>
      <c r="F38" t="s">
        <v>50</v>
      </c>
      <c r="G38" t="s">
        <v>36</v>
      </c>
      <c r="H38" t="s">
        <v>37</v>
      </c>
      <c r="I38" s="5">
        <v>154</v>
      </c>
      <c r="J38" s="5">
        <v>92</v>
      </c>
      <c r="K38" s="5">
        <v>7</v>
      </c>
      <c r="L38" s="5">
        <v>2</v>
      </c>
      <c r="M38" s="5">
        <v>2</v>
      </c>
      <c r="N38" s="7">
        <v>959.62</v>
      </c>
      <c r="O38" s="7">
        <f t="shared" si="2"/>
        <v>1919.24</v>
      </c>
      <c r="P38" s="4">
        <v>0</v>
      </c>
      <c r="Q38" s="7">
        <f t="shared" si="3"/>
        <v>0</v>
      </c>
      <c r="R38" s="7">
        <f t="shared" si="4"/>
        <v>1919.24</v>
      </c>
      <c r="S38" s="7">
        <f t="shared" si="5"/>
        <v>959.62</v>
      </c>
      <c r="T38" s="6">
        <f t="shared" si="6"/>
        <v>1.2987012987012988E-2</v>
      </c>
      <c r="V38" t="s">
        <v>29</v>
      </c>
    </row>
    <row r="39" spans="1:22">
      <c r="A39" s="3">
        <v>45659</v>
      </c>
      <c r="B39" t="str">
        <f t="shared" si="0"/>
        <v>yyyy-01</v>
      </c>
      <c r="C39">
        <f t="shared" si="1"/>
        <v>1</v>
      </c>
      <c r="D39" t="s">
        <v>42</v>
      </c>
      <c r="E39" t="s">
        <v>51</v>
      </c>
      <c r="F39" t="s">
        <v>52</v>
      </c>
      <c r="G39" t="s">
        <v>31</v>
      </c>
      <c r="H39" t="s">
        <v>32</v>
      </c>
      <c r="I39" s="5">
        <v>210</v>
      </c>
      <c r="J39" s="5">
        <v>147</v>
      </c>
      <c r="K39" s="5">
        <v>10</v>
      </c>
      <c r="L39" s="5">
        <v>2</v>
      </c>
      <c r="M39" s="5">
        <v>2</v>
      </c>
      <c r="N39" s="7">
        <v>607.35</v>
      </c>
      <c r="O39" s="7">
        <f t="shared" si="2"/>
        <v>1214.7</v>
      </c>
      <c r="P39" s="4">
        <v>0.05</v>
      </c>
      <c r="Q39" s="7">
        <f t="shared" si="3"/>
        <v>60.735000000000007</v>
      </c>
      <c r="R39" s="7">
        <f t="shared" si="4"/>
        <v>1153.9650000000001</v>
      </c>
      <c r="S39" s="7">
        <f t="shared" si="5"/>
        <v>576.98250000000007</v>
      </c>
      <c r="T39" s="6">
        <f t="shared" si="6"/>
        <v>9.5238095238095247E-3</v>
      </c>
      <c r="V39" t="s">
        <v>29</v>
      </c>
    </row>
    <row r="40" spans="1:22">
      <c r="A40" s="3">
        <v>45659</v>
      </c>
      <c r="B40" t="str">
        <f t="shared" si="0"/>
        <v>yyyy-01</v>
      </c>
      <c r="C40">
        <f t="shared" si="1"/>
        <v>1</v>
      </c>
      <c r="D40" t="s">
        <v>53</v>
      </c>
      <c r="E40" t="s">
        <v>54</v>
      </c>
      <c r="F40" t="s">
        <v>55</v>
      </c>
      <c r="G40" t="s">
        <v>27</v>
      </c>
      <c r="H40" t="s">
        <v>45</v>
      </c>
      <c r="I40" s="5">
        <v>135</v>
      </c>
      <c r="J40" s="5">
        <v>78</v>
      </c>
      <c r="K40" s="5">
        <v>8</v>
      </c>
      <c r="L40" s="5">
        <v>1</v>
      </c>
      <c r="M40" s="5">
        <v>1</v>
      </c>
      <c r="N40" s="7">
        <v>1315.95</v>
      </c>
      <c r="O40" s="7">
        <f t="shared" si="2"/>
        <v>1315.95</v>
      </c>
      <c r="P40" s="4">
        <v>0</v>
      </c>
      <c r="Q40" s="7">
        <f t="shared" si="3"/>
        <v>0</v>
      </c>
      <c r="R40" s="7">
        <f t="shared" si="4"/>
        <v>1315.95</v>
      </c>
      <c r="S40" s="7">
        <f t="shared" si="5"/>
        <v>1315.95</v>
      </c>
      <c r="T40" s="6">
        <f t="shared" si="6"/>
        <v>7.4074074074074077E-3</v>
      </c>
      <c r="V40" t="s">
        <v>29</v>
      </c>
    </row>
    <row r="41" spans="1:22">
      <c r="A41" s="3">
        <v>45659</v>
      </c>
      <c r="B41" t="str">
        <f t="shared" si="0"/>
        <v>yyyy-01</v>
      </c>
      <c r="C41">
        <f t="shared" si="1"/>
        <v>1</v>
      </c>
      <c r="D41" t="s">
        <v>53</v>
      </c>
      <c r="E41" t="s">
        <v>56</v>
      </c>
      <c r="F41" t="s">
        <v>57</v>
      </c>
      <c r="G41" t="s">
        <v>36</v>
      </c>
      <c r="H41" t="s">
        <v>37</v>
      </c>
      <c r="I41" s="5">
        <v>226</v>
      </c>
      <c r="J41" s="5">
        <v>128</v>
      </c>
      <c r="K41" s="5">
        <v>9</v>
      </c>
      <c r="L41" s="5">
        <v>3</v>
      </c>
      <c r="M41" s="5">
        <v>3</v>
      </c>
      <c r="N41" s="7">
        <v>727.1</v>
      </c>
      <c r="O41" s="7">
        <f t="shared" si="2"/>
        <v>2181.3000000000002</v>
      </c>
      <c r="P41" s="4">
        <v>0.03</v>
      </c>
      <c r="Q41" s="7">
        <f t="shared" si="3"/>
        <v>65.439000000000007</v>
      </c>
      <c r="R41" s="7">
        <f t="shared" si="4"/>
        <v>2115.8610000000003</v>
      </c>
      <c r="S41" s="7">
        <f t="shared" si="5"/>
        <v>705.28700000000015</v>
      </c>
      <c r="T41" s="6">
        <f t="shared" si="6"/>
        <v>1.3274336283185841E-2</v>
      </c>
      <c r="V41" t="s">
        <v>29</v>
      </c>
    </row>
    <row r="42" spans="1:22">
      <c r="A42" s="3">
        <v>45659</v>
      </c>
      <c r="B42" t="str">
        <f t="shared" si="0"/>
        <v>yyyy-01</v>
      </c>
      <c r="C42">
        <f t="shared" si="1"/>
        <v>1</v>
      </c>
      <c r="D42" t="s">
        <v>53</v>
      </c>
      <c r="E42" t="s">
        <v>56</v>
      </c>
      <c r="F42" t="s">
        <v>58</v>
      </c>
      <c r="G42" t="s">
        <v>27</v>
      </c>
      <c r="H42" t="s">
        <v>63</v>
      </c>
      <c r="I42" s="5">
        <v>127</v>
      </c>
      <c r="J42" s="5">
        <v>100</v>
      </c>
      <c r="K42" s="5">
        <v>10</v>
      </c>
      <c r="L42" s="5">
        <v>2</v>
      </c>
      <c r="M42" s="5">
        <v>2</v>
      </c>
      <c r="N42" s="7">
        <v>868.87</v>
      </c>
      <c r="O42" s="7">
        <f t="shared" si="2"/>
        <v>1737.74</v>
      </c>
      <c r="P42" s="4">
        <v>0</v>
      </c>
      <c r="Q42" s="7">
        <f t="shared" si="3"/>
        <v>0</v>
      </c>
      <c r="R42" s="7">
        <f t="shared" si="4"/>
        <v>1737.74</v>
      </c>
      <c r="S42" s="7">
        <f t="shared" si="5"/>
        <v>868.87</v>
      </c>
      <c r="T42" s="6">
        <f t="shared" si="6"/>
        <v>1.5748031496062992E-2</v>
      </c>
      <c r="V42" t="s">
        <v>29</v>
      </c>
    </row>
    <row r="43" spans="1:22">
      <c r="A43" s="3">
        <v>45659</v>
      </c>
      <c r="B43" t="str">
        <f t="shared" si="0"/>
        <v>yyyy-01</v>
      </c>
      <c r="C43">
        <f t="shared" si="1"/>
        <v>1</v>
      </c>
      <c r="D43" t="s">
        <v>53</v>
      </c>
      <c r="E43" t="s">
        <v>59</v>
      </c>
      <c r="F43" t="s">
        <v>60</v>
      </c>
      <c r="G43" t="s">
        <v>27</v>
      </c>
      <c r="H43" t="s">
        <v>48</v>
      </c>
      <c r="I43" s="5">
        <v>115</v>
      </c>
      <c r="J43" s="5">
        <v>70</v>
      </c>
      <c r="K43" s="5">
        <v>5</v>
      </c>
      <c r="L43" s="5">
        <v>2</v>
      </c>
      <c r="M43" s="5">
        <v>2</v>
      </c>
      <c r="N43" s="7">
        <v>679.14</v>
      </c>
      <c r="O43" s="7">
        <f t="shared" si="2"/>
        <v>1358.28</v>
      </c>
      <c r="P43" s="4">
        <v>0</v>
      </c>
      <c r="Q43" s="7">
        <f t="shared" si="3"/>
        <v>0</v>
      </c>
      <c r="R43" s="7">
        <f t="shared" si="4"/>
        <v>1358.28</v>
      </c>
      <c r="S43" s="7">
        <f t="shared" si="5"/>
        <v>679.14</v>
      </c>
      <c r="T43" s="6">
        <f t="shared" si="6"/>
        <v>1.7391304347826087E-2</v>
      </c>
      <c r="V43" t="s">
        <v>29</v>
      </c>
    </row>
    <row r="44" spans="1:22">
      <c r="A44" s="3">
        <v>45659</v>
      </c>
      <c r="B44" t="str">
        <f t="shared" si="0"/>
        <v>yyyy-01</v>
      </c>
      <c r="C44">
        <f t="shared" si="1"/>
        <v>1</v>
      </c>
      <c r="D44" t="s">
        <v>53</v>
      </c>
      <c r="E44" t="s">
        <v>61</v>
      </c>
      <c r="F44" t="s">
        <v>62</v>
      </c>
      <c r="G44" t="s">
        <v>36</v>
      </c>
      <c r="H44" t="s">
        <v>37</v>
      </c>
      <c r="I44" s="5">
        <v>139</v>
      </c>
      <c r="J44" s="5">
        <v>84</v>
      </c>
      <c r="K44" s="5">
        <v>10</v>
      </c>
      <c r="L44" s="5">
        <v>2</v>
      </c>
      <c r="M44" s="5">
        <v>2</v>
      </c>
      <c r="N44" s="7">
        <v>495.09</v>
      </c>
      <c r="O44" s="7">
        <f t="shared" si="2"/>
        <v>990.18</v>
      </c>
      <c r="P44" s="4">
        <v>0</v>
      </c>
      <c r="Q44" s="7">
        <f t="shared" si="3"/>
        <v>0</v>
      </c>
      <c r="R44" s="7">
        <f t="shared" si="4"/>
        <v>990.18</v>
      </c>
      <c r="S44" s="7">
        <f t="shared" si="5"/>
        <v>495.09</v>
      </c>
      <c r="T44" s="6">
        <f t="shared" si="6"/>
        <v>1.4388489208633094E-2</v>
      </c>
      <c r="V44" t="s">
        <v>29</v>
      </c>
    </row>
    <row r="45" spans="1:22">
      <c r="A45" s="3">
        <v>45659</v>
      </c>
      <c r="B45" t="str">
        <f t="shared" si="0"/>
        <v>yyyy-01</v>
      </c>
      <c r="C45">
        <f t="shared" si="1"/>
        <v>1</v>
      </c>
      <c r="D45" t="s">
        <v>53</v>
      </c>
      <c r="E45" t="s">
        <v>64</v>
      </c>
      <c r="F45" t="s">
        <v>65</v>
      </c>
      <c r="G45" t="s">
        <v>27</v>
      </c>
      <c r="H45" t="s">
        <v>63</v>
      </c>
      <c r="I45" s="5">
        <v>132</v>
      </c>
      <c r="J45" s="5">
        <v>108</v>
      </c>
      <c r="K45" s="5">
        <v>7</v>
      </c>
      <c r="L45" s="5">
        <v>1</v>
      </c>
      <c r="M45" s="5">
        <v>1</v>
      </c>
      <c r="N45" s="7">
        <v>804.74</v>
      </c>
      <c r="O45" s="7">
        <f t="shared" si="2"/>
        <v>804.74</v>
      </c>
      <c r="P45" s="4">
        <v>0</v>
      </c>
      <c r="Q45" s="7">
        <f t="shared" si="3"/>
        <v>0</v>
      </c>
      <c r="R45" s="7">
        <f t="shared" si="4"/>
        <v>804.74</v>
      </c>
      <c r="S45" s="7">
        <f t="shared" si="5"/>
        <v>804.74</v>
      </c>
      <c r="T45" s="6">
        <f t="shared" si="6"/>
        <v>7.575757575757576E-3</v>
      </c>
      <c r="V45" t="s">
        <v>29</v>
      </c>
    </row>
    <row r="46" spans="1:22">
      <c r="A46" s="3">
        <v>45659</v>
      </c>
      <c r="B46" t="str">
        <f t="shared" si="0"/>
        <v>yyyy-01</v>
      </c>
      <c r="C46">
        <f t="shared" si="1"/>
        <v>1</v>
      </c>
      <c r="D46" t="s">
        <v>66</v>
      </c>
      <c r="E46" t="s">
        <v>67</v>
      </c>
      <c r="F46" t="s">
        <v>68</v>
      </c>
      <c r="G46" t="s">
        <v>36</v>
      </c>
      <c r="H46" t="s">
        <v>37</v>
      </c>
      <c r="I46" s="5">
        <v>433</v>
      </c>
      <c r="J46" s="5">
        <v>345</v>
      </c>
      <c r="K46" s="5">
        <v>26</v>
      </c>
      <c r="L46" s="5">
        <v>7</v>
      </c>
      <c r="M46" s="5">
        <v>7</v>
      </c>
      <c r="N46" s="7">
        <v>692.85</v>
      </c>
      <c r="O46" s="7">
        <f t="shared" si="2"/>
        <v>4849.95</v>
      </c>
      <c r="P46" s="4">
        <v>0.03</v>
      </c>
      <c r="Q46" s="7">
        <f t="shared" si="3"/>
        <v>145.49849999999998</v>
      </c>
      <c r="R46" s="7">
        <f t="shared" si="4"/>
        <v>4704.4515000000001</v>
      </c>
      <c r="S46" s="7">
        <f t="shared" si="5"/>
        <v>672.06450000000007</v>
      </c>
      <c r="T46" s="6">
        <f t="shared" si="6"/>
        <v>1.6166281755196306E-2</v>
      </c>
      <c r="V46" t="s">
        <v>29</v>
      </c>
    </row>
    <row r="47" spans="1:22">
      <c r="A47" s="3">
        <v>45659</v>
      </c>
      <c r="B47" t="str">
        <f t="shared" si="0"/>
        <v>yyyy-01</v>
      </c>
      <c r="C47">
        <f t="shared" si="1"/>
        <v>1</v>
      </c>
      <c r="D47" t="s">
        <v>66</v>
      </c>
      <c r="E47" t="s">
        <v>67</v>
      </c>
      <c r="F47" t="s">
        <v>69</v>
      </c>
      <c r="G47" t="s">
        <v>27</v>
      </c>
      <c r="H47" t="s">
        <v>45</v>
      </c>
      <c r="I47" s="5">
        <v>295</v>
      </c>
      <c r="J47" s="5">
        <v>186</v>
      </c>
      <c r="K47" s="5">
        <v>16</v>
      </c>
      <c r="L47" s="5">
        <v>4</v>
      </c>
      <c r="M47" s="5">
        <v>4</v>
      </c>
      <c r="N47" s="7">
        <v>390.56</v>
      </c>
      <c r="O47" s="7">
        <f t="shared" si="2"/>
        <v>1562.24</v>
      </c>
      <c r="P47" s="4">
        <v>0.05</v>
      </c>
      <c r="Q47" s="7">
        <f t="shared" si="3"/>
        <v>78.112000000000009</v>
      </c>
      <c r="R47" s="7">
        <f t="shared" si="4"/>
        <v>1484.1279999999999</v>
      </c>
      <c r="S47" s="7">
        <f t="shared" si="5"/>
        <v>371.03199999999998</v>
      </c>
      <c r="T47" s="6">
        <f t="shared" si="6"/>
        <v>1.3559322033898305E-2</v>
      </c>
      <c r="V47" t="s">
        <v>29</v>
      </c>
    </row>
    <row r="48" spans="1:22">
      <c r="A48" s="3">
        <v>45659</v>
      </c>
      <c r="B48" t="str">
        <f t="shared" si="0"/>
        <v>yyyy-01</v>
      </c>
      <c r="C48">
        <f t="shared" si="1"/>
        <v>1</v>
      </c>
      <c r="D48" t="s">
        <v>66</v>
      </c>
      <c r="E48" t="s">
        <v>67</v>
      </c>
      <c r="F48" t="s">
        <v>70</v>
      </c>
      <c r="G48" t="s">
        <v>27</v>
      </c>
      <c r="H48" t="s">
        <v>48</v>
      </c>
      <c r="I48" s="5">
        <v>200</v>
      </c>
      <c r="J48" s="5">
        <v>135</v>
      </c>
      <c r="K48" s="5">
        <v>13</v>
      </c>
      <c r="L48" s="5">
        <v>4</v>
      </c>
      <c r="M48" s="5">
        <v>4</v>
      </c>
      <c r="N48" s="7">
        <v>346.65</v>
      </c>
      <c r="O48" s="7">
        <f t="shared" si="2"/>
        <v>1386.6</v>
      </c>
      <c r="P48" s="4">
        <v>0.05</v>
      </c>
      <c r="Q48" s="7">
        <f t="shared" si="3"/>
        <v>69.33</v>
      </c>
      <c r="R48" s="7">
        <f t="shared" si="4"/>
        <v>1317.27</v>
      </c>
      <c r="S48" s="7">
        <f t="shared" si="5"/>
        <v>329.3175</v>
      </c>
      <c r="T48" s="6">
        <f t="shared" si="6"/>
        <v>0.02</v>
      </c>
      <c r="V48" t="s">
        <v>29</v>
      </c>
    </row>
    <row r="49" spans="1:22">
      <c r="A49" s="3">
        <v>45659</v>
      </c>
      <c r="B49" t="str">
        <f t="shared" si="0"/>
        <v>yyyy-01</v>
      </c>
      <c r="C49">
        <f t="shared" si="1"/>
        <v>1</v>
      </c>
      <c r="D49" t="s">
        <v>66</v>
      </c>
      <c r="E49" t="s">
        <v>71</v>
      </c>
      <c r="F49" t="s">
        <v>72</v>
      </c>
      <c r="G49" t="s">
        <v>31</v>
      </c>
      <c r="H49" t="s">
        <v>32</v>
      </c>
      <c r="I49" s="5">
        <v>301</v>
      </c>
      <c r="J49" s="5">
        <v>213</v>
      </c>
      <c r="K49" s="5">
        <v>18</v>
      </c>
      <c r="L49" s="5">
        <v>5</v>
      </c>
      <c r="M49" s="5">
        <v>6</v>
      </c>
      <c r="N49" s="7">
        <v>127.17</v>
      </c>
      <c r="O49" s="7">
        <f t="shared" si="2"/>
        <v>763.02</v>
      </c>
      <c r="P49" s="4">
        <v>0.05</v>
      </c>
      <c r="Q49" s="7">
        <f t="shared" si="3"/>
        <v>38.151000000000003</v>
      </c>
      <c r="R49" s="7">
        <f t="shared" si="4"/>
        <v>724.86900000000003</v>
      </c>
      <c r="S49" s="7">
        <f t="shared" si="5"/>
        <v>144.97380000000001</v>
      </c>
      <c r="T49" s="6">
        <f t="shared" si="6"/>
        <v>1.6611295681063124E-2</v>
      </c>
      <c r="V49" t="s">
        <v>29</v>
      </c>
    </row>
    <row r="50" spans="1:22">
      <c r="A50" s="3">
        <v>45659</v>
      </c>
      <c r="B50" t="str">
        <f t="shared" si="0"/>
        <v>yyyy-01</v>
      </c>
      <c r="C50">
        <f t="shared" si="1"/>
        <v>1</v>
      </c>
      <c r="D50" t="s">
        <v>66</v>
      </c>
      <c r="E50" t="s">
        <v>73</v>
      </c>
      <c r="F50" t="s">
        <v>74</v>
      </c>
      <c r="G50" t="s">
        <v>27</v>
      </c>
      <c r="H50" t="s">
        <v>28</v>
      </c>
      <c r="I50" s="5">
        <v>135</v>
      </c>
      <c r="J50" s="5">
        <v>88</v>
      </c>
      <c r="K50" s="5">
        <v>11</v>
      </c>
      <c r="L50" s="5">
        <v>3</v>
      </c>
      <c r="M50" s="5">
        <v>3</v>
      </c>
      <c r="N50" s="7">
        <v>1220.0899999999999</v>
      </c>
      <c r="O50" s="7">
        <f t="shared" si="2"/>
        <v>3660.2699999999995</v>
      </c>
      <c r="P50" s="4">
        <v>0.05</v>
      </c>
      <c r="Q50" s="7">
        <f t="shared" si="3"/>
        <v>183.01349999999999</v>
      </c>
      <c r="R50" s="7">
        <f t="shared" si="4"/>
        <v>3477.2564999999995</v>
      </c>
      <c r="S50" s="7">
        <f t="shared" si="5"/>
        <v>1159.0854999999999</v>
      </c>
      <c r="T50" s="6">
        <f t="shared" si="6"/>
        <v>2.2222222222222223E-2</v>
      </c>
      <c r="V50" t="s">
        <v>29</v>
      </c>
    </row>
    <row r="51" spans="1:22">
      <c r="A51" s="3">
        <v>45659</v>
      </c>
      <c r="B51" t="str">
        <f t="shared" si="0"/>
        <v>yyyy-01</v>
      </c>
      <c r="C51">
        <f t="shared" si="1"/>
        <v>1</v>
      </c>
      <c r="D51" t="s">
        <v>66</v>
      </c>
      <c r="E51" t="s">
        <v>71</v>
      </c>
      <c r="F51" t="s">
        <v>75</v>
      </c>
      <c r="G51" t="s">
        <v>27</v>
      </c>
      <c r="H51" t="s">
        <v>45</v>
      </c>
      <c r="I51" s="5">
        <v>210</v>
      </c>
      <c r="J51" s="5">
        <v>131</v>
      </c>
      <c r="K51" s="5">
        <v>21</v>
      </c>
      <c r="L51" s="5">
        <v>5</v>
      </c>
      <c r="M51" s="5">
        <v>6</v>
      </c>
      <c r="N51" s="7">
        <v>37.909999999999997</v>
      </c>
      <c r="O51" s="7">
        <f t="shared" si="2"/>
        <v>227.45999999999998</v>
      </c>
      <c r="P51" s="4">
        <v>0.05</v>
      </c>
      <c r="Q51" s="7">
        <f t="shared" si="3"/>
        <v>11.372999999999999</v>
      </c>
      <c r="R51" s="7">
        <f t="shared" si="4"/>
        <v>216.08699999999999</v>
      </c>
      <c r="S51" s="7">
        <f t="shared" si="5"/>
        <v>43.217399999999998</v>
      </c>
      <c r="T51" s="6">
        <f t="shared" si="6"/>
        <v>2.3809523809523808E-2</v>
      </c>
      <c r="V51" t="s">
        <v>29</v>
      </c>
    </row>
    <row r="52" spans="1:22">
      <c r="A52" s="3">
        <v>45659</v>
      </c>
      <c r="B52" t="str">
        <f t="shared" si="0"/>
        <v>yyyy-01</v>
      </c>
      <c r="C52">
        <f t="shared" si="1"/>
        <v>1</v>
      </c>
      <c r="D52" t="s">
        <v>24</v>
      </c>
      <c r="E52" t="s">
        <v>76</v>
      </c>
      <c r="F52" t="s">
        <v>77</v>
      </c>
      <c r="G52" t="s">
        <v>31</v>
      </c>
      <c r="H52" t="s">
        <v>32</v>
      </c>
      <c r="I52" s="5">
        <v>588</v>
      </c>
      <c r="J52" s="5">
        <v>417</v>
      </c>
      <c r="K52" s="5">
        <v>47</v>
      </c>
      <c r="L52" s="5">
        <v>14</v>
      </c>
      <c r="M52" s="5">
        <v>17</v>
      </c>
      <c r="N52" s="7">
        <v>199.62</v>
      </c>
      <c r="O52" s="7">
        <f t="shared" si="2"/>
        <v>3393.54</v>
      </c>
      <c r="P52" s="4">
        <v>0</v>
      </c>
      <c r="Q52" s="7">
        <f t="shared" si="3"/>
        <v>0</v>
      </c>
      <c r="R52" s="7">
        <f t="shared" si="4"/>
        <v>3393.54</v>
      </c>
      <c r="S52" s="7">
        <f t="shared" si="5"/>
        <v>242.39571428571429</v>
      </c>
      <c r="T52" s="6">
        <f t="shared" si="6"/>
        <v>2.3809523809523808E-2</v>
      </c>
      <c r="V52" t="s">
        <v>29</v>
      </c>
    </row>
    <row r="53" spans="1:22">
      <c r="A53" s="3">
        <v>45660</v>
      </c>
      <c r="B53" t="str">
        <f t="shared" si="0"/>
        <v>yyyy-01</v>
      </c>
      <c r="C53">
        <f t="shared" si="1"/>
        <v>1</v>
      </c>
      <c r="D53" t="s">
        <v>24</v>
      </c>
      <c r="E53" t="s">
        <v>25</v>
      </c>
      <c r="F53" t="s">
        <v>26</v>
      </c>
      <c r="G53" t="s">
        <v>36</v>
      </c>
      <c r="H53" t="s">
        <v>37</v>
      </c>
      <c r="I53" s="5">
        <v>1494</v>
      </c>
      <c r="J53" s="5">
        <v>1124</v>
      </c>
      <c r="K53" s="5">
        <v>83</v>
      </c>
      <c r="L53" s="5">
        <v>35</v>
      </c>
      <c r="M53" s="5">
        <v>35</v>
      </c>
      <c r="N53" s="7">
        <v>969.58</v>
      </c>
      <c r="O53" s="7">
        <f t="shared" si="2"/>
        <v>33935.300000000003</v>
      </c>
      <c r="P53" s="4">
        <v>0</v>
      </c>
      <c r="Q53" s="7">
        <f t="shared" si="3"/>
        <v>0</v>
      </c>
      <c r="R53" s="7">
        <f t="shared" si="4"/>
        <v>33935.300000000003</v>
      </c>
      <c r="S53" s="7">
        <f t="shared" si="5"/>
        <v>969.58</v>
      </c>
      <c r="T53" s="6">
        <f t="shared" si="6"/>
        <v>2.3427041499330656E-2</v>
      </c>
      <c r="V53" t="s">
        <v>29</v>
      </c>
    </row>
    <row r="54" spans="1:22">
      <c r="A54" s="3">
        <v>45660</v>
      </c>
      <c r="B54" t="str">
        <f t="shared" si="0"/>
        <v>yyyy-01</v>
      </c>
      <c r="C54">
        <f t="shared" si="1"/>
        <v>1</v>
      </c>
      <c r="D54" t="s">
        <v>24</v>
      </c>
      <c r="E54" t="s">
        <v>25</v>
      </c>
      <c r="F54" t="s">
        <v>30</v>
      </c>
      <c r="G54" t="s">
        <v>27</v>
      </c>
      <c r="H54" t="s">
        <v>63</v>
      </c>
      <c r="I54" s="5">
        <v>970</v>
      </c>
      <c r="J54" s="5">
        <v>672</v>
      </c>
      <c r="K54" s="5">
        <v>57</v>
      </c>
      <c r="L54" s="5">
        <v>24</v>
      </c>
      <c r="M54" s="5">
        <v>24</v>
      </c>
      <c r="N54" s="7">
        <v>394.16</v>
      </c>
      <c r="O54" s="7">
        <f t="shared" si="2"/>
        <v>9459.84</v>
      </c>
      <c r="P54" s="4">
        <v>0.03</v>
      </c>
      <c r="Q54" s="7">
        <f t="shared" si="3"/>
        <v>283.79519999999997</v>
      </c>
      <c r="R54" s="7">
        <f t="shared" si="4"/>
        <v>9176.0447999999997</v>
      </c>
      <c r="S54" s="7">
        <f t="shared" si="5"/>
        <v>382.33519999999999</v>
      </c>
      <c r="T54" s="6">
        <f t="shared" si="6"/>
        <v>2.4742268041237112E-2</v>
      </c>
      <c r="V54" t="s">
        <v>29</v>
      </c>
    </row>
    <row r="55" spans="1:22">
      <c r="A55" s="3">
        <v>45660</v>
      </c>
      <c r="B55" t="str">
        <f t="shared" si="0"/>
        <v>yyyy-01</v>
      </c>
      <c r="C55">
        <f t="shared" si="1"/>
        <v>1</v>
      </c>
      <c r="D55" t="s">
        <v>24</v>
      </c>
      <c r="E55" t="s">
        <v>25</v>
      </c>
      <c r="F55" t="s">
        <v>33</v>
      </c>
      <c r="G55" t="s">
        <v>27</v>
      </c>
      <c r="H55" t="s">
        <v>28</v>
      </c>
      <c r="I55" s="5">
        <v>1790</v>
      </c>
      <c r="J55" s="5">
        <v>1270</v>
      </c>
      <c r="K55" s="5">
        <v>144</v>
      </c>
      <c r="L55" s="5">
        <v>41</v>
      </c>
      <c r="M55" s="5">
        <v>41</v>
      </c>
      <c r="N55" s="7">
        <v>1786.18</v>
      </c>
      <c r="O55" s="7">
        <f t="shared" si="2"/>
        <v>73233.38</v>
      </c>
      <c r="P55" s="4">
        <v>0.03</v>
      </c>
      <c r="Q55" s="7">
        <f t="shared" si="3"/>
        <v>2197.0014000000001</v>
      </c>
      <c r="R55" s="7">
        <f t="shared" si="4"/>
        <v>71036.378600000011</v>
      </c>
      <c r="S55" s="7">
        <f t="shared" si="5"/>
        <v>1732.5946000000004</v>
      </c>
      <c r="T55" s="6">
        <f t="shared" si="6"/>
        <v>2.2905027932960894E-2</v>
      </c>
      <c r="V55" t="s">
        <v>29</v>
      </c>
    </row>
    <row r="56" spans="1:22">
      <c r="A56" s="3">
        <v>45660</v>
      </c>
      <c r="B56" t="str">
        <f t="shared" si="0"/>
        <v>yyyy-01</v>
      </c>
      <c r="C56">
        <f t="shared" si="1"/>
        <v>1</v>
      </c>
      <c r="D56" t="s">
        <v>24</v>
      </c>
      <c r="E56" t="s">
        <v>34</v>
      </c>
      <c r="F56" t="s">
        <v>35</v>
      </c>
      <c r="G56" t="s">
        <v>27</v>
      </c>
      <c r="H56" t="s">
        <v>48</v>
      </c>
      <c r="I56" s="5">
        <v>614</v>
      </c>
      <c r="J56" s="5">
        <v>404</v>
      </c>
      <c r="K56" s="5">
        <v>63</v>
      </c>
      <c r="L56" s="5">
        <v>14</v>
      </c>
      <c r="M56" s="5">
        <v>14</v>
      </c>
      <c r="N56" s="7">
        <v>904.99</v>
      </c>
      <c r="O56" s="7">
        <f t="shared" si="2"/>
        <v>12669.86</v>
      </c>
      <c r="P56" s="4">
        <v>0.05</v>
      </c>
      <c r="Q56" s="7">
        <f t="shared" si="3"/>
        <v>633.49300000000005</v>
      </c>
      <c r="R56" s="7">
        <f t="shared" si="4"/>
        <v>12036.367</v>
      </c>
      <c r="S56" s="7">
        <f t="shared" si="5"/>
        <v>859.7405</v>
      </c>
      <c r="T56" s="6">
        <f t="shared" si="6"/>
        <v>2.2801302931596091E-2</v>
      </c>
      <c r="V56" t="s">
        <v>29</v>
      </c>
    </row>
    <row r="57" spans="1:22">
      <c r="A57" s="3">
        <v>45660</v>
      </c>
      <c r="B57" t="str">
        <f t="shared" si="0"/>
        <v>yyyy-01</v>
      </c>
      <c r="C57">
        <f t="shared" si="1"/>
        <v>1</v>
      </c>
      <c r="D57" t="s">
        <v>24</v>
      </c>
      <c r="E57" t="s">
        <v>38</v>
      </c>
      <c r="F57" t="s">
        <v>39</v>
      </c>
      <c r="G57" t="s">
        <v>27</v>
      </c>
      <c r="H57" t="s">
        <v>28</v>
      </c>
      <c r="I57" s="5">
        <v>814</v>
      </c>
      <c r="J57" s="5">
        <v>491</v>
      </c>
      <c r="K57" s="5">
        <v>54</v>
      </c>
      <c r="L57" s="5">
        <v>15</v>
      </c>
      <c r="M57" s="5">
        <v>15</v>
      </c>
      <c r="N57" s="7">
        <v>320.41000000000003</v>
      </c>
      <c r="O57" s="7">
        <f t="shared" si="2"/>
        <v>4806.1500000000005</v>
      </c>
      <c r="P57" s="4">
        <v>0</v>
      </c>
      <c r="Q57" s="7">
        <f t="shared" si="3"/>
        <v>0</v>
      </c>
      <c r="R57" s="7">
        <f t="shared" si="4"/>
        <v>4806.1500000000005</v>
      </c>
      <c r="S57" s="7">
        <f t="shared" si="5"/>
        <v>320.41000000000003</v>
      </c>
      <c r="T57" s="6">
        <f t="shared" si="6"/>
        <v>1.8427518427518427E-2</v>
      </c>
      <c r="V57" t="s">
        <v>29</v>
      </c>
    </row>
    <row r="58" spans="1:22">
      <c r="A58" s="3">
        <v>45660</v>
      </c>
      <c r="B58" t="str">
        <f t="shared" si="0"/>
        <v>yyyy-01</v>
      </c>
      <c r="C58">
        <f t="shared" si="1"/>
        <v>1</v>
      </c>
      <c r="D58" t="s">
        <v>24</v>
      </c>
      <c r="E58" t="s">
        <v>40</v>
      </c>
      <c r="F58" t="s">
        <v>41</v>
      </c>
      <c r="G58" t="s">
        <v>27</v>
      </c>
      <c r="H58" t="s">
        <v>45</v>
      </c>
      <c r="I58" s="5">
        <v>614</v>
      </c>
      <c r="J58" s="5">
        <v>398</v>
      </c>
      <c r="K58" s="5">
        <v>37</v>
      </c>
      <c r="L58" s="5">
        <v>11</v>
      </c>
      <c r="M58" s="5">
        <v>14</v>
      </c>
      <c r="N58" s="7">
        <v>176.02</v>
      </c>
      <c r="O58" s="7">
        <f t="shared" si="2"/>
        <v>2464.2800000000002</v>
      </c>
      <c r="P58" s="4">
        <v>0.05</v>
      </c>
      <c r="Q58" s="7">
        <f t="shared" si="3"/>
        <v>123.21400000000001</v>
      </c>
      <c r="R58" s="7">
        <f t="shared" si="4"/>
        <v>2341.0660000000003</v>
      </c>
      <c r="S58" s="7">
        <f t="shared" si="5"/>
        <v>212.82418181818184</v>
      </c>
      <c r="T58" s="6">
        <f t="shared" si="6"/>
        <v>1.7915309446254073E-2</v>
      </c>
      <c r="V58" t="s">
        <v>29</v>
      </c>
    </row>
    <row r="59" spans="1:22">
      <c r="A59" s="3">
        <v>45660</v>
      </c>
      <c r="B59" t="str">
        <f t="shared" si="0"/>
        <v>yyyy-01</v>
      </c>
      <c r="C59">
        <f t="shared" si="1"/>
        <v>1</v>
      </c>
      <c r="D59" t="s">
        <v>42</v>
      </c>
      <c r="E59" t="s">
        <v>43</v>
      </c>
      <c r="F59" t="s">
        <v>44</v>
      </c>
      <c r="G59" t="s">
        <v>27</v>
      </c>
      <c r="H59" t="s">
        <v>45</v>
      </c>
      <c r="I59" s="5">
        <v>461</v>
      </c>
      <c r="J59" s="5">
        <v>307</v>
      </c>
      <c r="K59" s="5">
        <v>22</v>
      </c>
      <c r="L59" s="5">
        <v>6</v>
      </c>
      <c r="M59" s="5">
        <v>6</v>
      </c>
      <c r="N59" s="7">
        <v>1316.53</v>
      </c>
      <c r="O59" s="7">
        <f t="shared" si="2"/>
        <v>7899.18</v>
      </c>
      <c r="P59" s="4">
        <v>0.05</v>
      </c>
      <c r="Q59" s="7">
        <f t="shared" si="3"/>
        <v>394.95900000000006</v>
      </c>
      <c r="R59" s="7">
        <f t="shared" si="4"/>
        <v>7504.2210000000005</v>
      </c>
      <c r="S59" s="7">
        <f t="shared" si="5"/>
        <v>1250.7035000000001</v>
      </c>
      <c r="T59" s="6">
        <f t="shared" si="6"/>
        <v>1.3015184381778741E-2</v>
      </c>
      <c r="V59" t="s">
        <v>78</v>
      </c>
    </row>
    <row r="60" spans="1:22">
      <c r="A60" s="3">
        <v>45660</v>
      </c>
      <c r="B60" t="str">
        <f t="shared" si="0"/>
        <v>yyyy-01</v>
      </c>
      <c r="C60">
        <f t="shared" si="1"/>
        <v>1</v>
      </c>
      <c r="D60" t="s">
        <v>42</v>
      </c>
      <c r="E60" t="s">
        <v>43</v>
      </c>
      <c r="F60" t="s">
        <v>46</v>
      </c>
      <c r="G60" t="s">
        <v>27</v>
      </c>
      <c r="H60" t="s">
        <v>48</v>
      </c>
      <c r="I60" s="5">
        <v>301</v>
      </c>
      <c r="J60" s="5">
        <v>207</v>
      </c>
      <c r="K60" s="5">
        <v>13</v>
      </c>
      <c r="L60" s="5">
        <v>5</v>
      </c>
      <c r="M60" s="5">
        <v>5</v>
      </c>
      <c r="N60" s="7">
        <v>2168.54</v>
      </c>
      <c r="O60" s="7">
        <f t="shared" si="2"/>
        <v>10842.7</v>
      </c>
      <c r="P60" s="4">
        <v>0.03</v>
      </c>
      <c r="Q60" s="7">
        <f t="shared" si="3"/>
        <v>325.28100000000001</v>
      </c>
      <c r="R60" s="7">
        <f t="shared" si="4"/>
        <v>10517.419</v>
      </c>
      <c r="S60" s="7">
        <f t="shared" si="5"/>
        <v>2103.4838</v>
      </c>
      <c r="T60" s="6">
        <f t="shared" si="6"/>
        <v>1.6611295681063124E-2</v>
      </c>
      <c r="V60" t="s">
        <v>29</v>
      </c>
    </row>
    <row r="61" spans="1:22">
      <c r="A61" s="3">
        <v>45660</v>
      </c>
      <c r="B61" t="str">
        <f t="shared" si="0"/>
        <v>yyyy-01</v>
      </c>
      <c r="C61">
        <f t="shared" si="1"/>
        <v>1</v>
      </c>
      <c r="D61" t="s">
        <v>42</v>
      </c>
      <c r="E61" t="s">
        <v>43</v>
      </c>
      <c r="F61" t="s">
        <v>47</v>
      </c>
      <c r="G61" t="s">
        <v>31</v>
      </c>
      <c r="H61" t="s">
        <v>32</v>
      </c>
      <c r="I61" s="5">
        <v>569</v>
      </c>
      <c r="J61" s="5">
        <v>444</v>
      </c>
      <c r="K61" s="5">
        <v>49</v>
      </c>
      <c r="L61" s="5">
        <v>10</v>
      </c>
      <c r="M61" s="5">
        <v>10</v>
      </c>
      <c r="N61" s="7">
        <v>607.64</v>
      </c>
      <c r="O61" s="7">
        <f t="shared" si="2"/>
        <v>6076.4</v>
      </c>
      <c r="P61" s="4">
        <v>0</v>
      </c>
      <c r="Q61" s="7">
        <f t="shared" si="3"/>
        <v>0</v>
      </c>
      <c r="R61" s="7">
        <f t="shared" si="4"/>
        <v>6076.4</v>
      </c>
      <c r="S61" s="7">
        <f t="shared" si="5"/>
        <v>607.64</v>
      </c>
      <c r="T61" s="6">
        <f t="shared" si="6"/>
        <v>1.7574692442882251E-2</v>
      </c>
      <c r="V61" t="s">
        <v>29</v>
      </c>
    </row>
    <row r="62" spans="1:22">
      <c r="A62" s="3">
        <v>45660</v>
      </c>
      <c r="B62" t="str">
        <f t="shared" si="0"/>
        <v>yyyy-01</v>
      </c>
      <c r="C62">
        <f t="shared" si="1"/>
        <v>1</v>
      </c>
      <c r="D62" t="s">
        <v>42</v>
      </c>
      <c r="E62" t="s">
        <v>49</v>
      </c>
      <c r="F62" t="s">
        <v>50</v>
      </c>
      <c r="G62" t="s">
        <v>27</v>
      </c>
      <c r="H62" t="s">
        <v>28</v>
      </c>
      <c r="I62" s="5">
        <v>109</v>
      </c>
      <c r="J62" s="5">
        <v>78</v>
      </c>
      <c r="K62" s="5">
        <v>3</v>
      </c>
      <c r="L62" s="5">
        <v>1</v>
      </c>
      <c r="M62" s="5">
        <v>1</v>
      </c>
      <c r="N62" s="7">
        <v>981.76</v>
      </c>
      <c r="O62" s="7">
        <f t="shared" si="2"/>
        <v>981.76</v>
      </c>
      <c r="P62" s="4">
        <v>0.05</v>
      </c>
      <c r="Q62" s="7">
        <f t="shared" si="3"/>
        <v>49.088000000000001</v>
      </c>
      <c r="R62" s="7">
        <f t="shared" si="4"/>
        <v>932.67200000000003</v>
      </c>
      <c r="S62" s="7">
        <f t="shared" si="5"/>
        <v>932.67200000000003</v>
      </c>
      <c r="T62" s="6">
        <f t="shared" si="6"/>
        <v>9.1743119266055051E-3</v>
      </c>
      <c r="V62" t="s">
        <v>78</v>
      </c>
    </row>
    <row r="63" spans="1:22">
      <c r="A63" s="3">
        <v>45660</v>
      </c>
      <c r="B63" t="str">
        <f t="shared" si="0"/>
        <v>yyyy-01</v>
      </c>
      <c r="C63">
        <f t="shared" si="1"/>
        <v>1</v>
      </c>
      <c r="D63" t="s">
        <v>42</v>
      </c>
      <c r="E63" t="s">
        <v>51</v>
      </c>
      <c r="F63" t="s">
        <v>52</v>
      </c>
      <c r="G63" t="s">
        <v>31</v>
      </c>
      <c r="H63" t="s">
        <v>32</v>
      </c>
      <c r="I63" s="5">
        <v>315</v>
      </c>
      <c r="J63" s="5">
        <v>256</v>
      </c>
      <c r="K63" s="5">
        <v>20</v>
      </c>
      <c r="L63" s="5">
        <v>4</v>
      </c>
      <c r="M63" s="5">
        <v>4</v>
      </c>
      <c r="N63" s="7">
        <v>601.96</v>
      </c>
      <c r="O63" s="7">
        <f t="shared" si="2"/>
        <v>2407.84</v>
      </c>
      <c r="P63" s="4">
        <v>0</v>
      </c>
      <c r="Q63" s="7">
        <f t="shared" si="3"/>
        <v>0</v>
      </c>
      <c r="R63" s="7">
        <f t="shared" si="4"/>
        <v>2407.84</v>
      </c>
      <c r="S63" s="7">
        <f t="shared" si="5"/>
        <v>601.96</v>
      </c>
      <c r="T63" s="6">
        <f t="shared" si="6"/>
        <v>1.2698412698412698E-2</v>
      </c>
      <c r="V63" t="s">
        <v>29</v>
      </c>
    </row>
    <row r="64" spans="1:22">
      <c r="A64" s="3">
        <v>45660</v>
      </c>
      <c r="B64" t="str">
        <f t="shared" si="0"/>
        <v>yyyy-01</v>
      </c>
      <c r="C64">
        <f t="shared" si="1"/>
        <v>1</v>
      </c>
      <c r="D64" t="s">
        <v>53</v>
      </c>
      <c r="E64" t="s">
        <v>54</v>
      </c>
      <c r="F64" t="s">
        <v>55</v>
      </c>
      <c r="G64" t="s">
        <v>31</v>
      </c>
      <c r="H64" t="s">
        <v>32</v>
      </c>
      <c r="I64" s="5">
        <v>178</v>
      </c>
      <c r="J64" s="5">
        <v>96</v>
      </c>
      <c r="K64" s="5">
        <v>4</v>
      </c>
      <c r="L64" s="5">
        <v>2</v>
      </c>
      <c r="M64" s="5">
        <v>2</v>
      </c>
      <c r="N64" s="7">
        <v>1266.31</v>
      </c>
      <c r="O64" s="7">
        <f t="shared" si="2"/>
        <v>2532.62</v>
      </c>
      <c r="P64" s="4">
        <v>0</v>
      </c>
      <c r="Q64" s="7">
        <f t="shared" si="3"/>
        <v>0</v>
      </c>
      <c r="R64" s="7">
        <f t="shared" si="4"/>
        <v>2532.62</v>
      </c>
      <c r="S64" s="7">
        <f t="shared" si="5"/>
        <v>1266.31</v>
      </c>
      <c r="T64" s="6">
        <f t="shared" si="6"/>
        <v>1.1235955056179775E-2</v>
      </c>
      <c r="V64" t="s">
        <v>29</v>
      </c>
    </row>
    <row r="65" spans="1:22">
      <c r="A65" s="3">
        <v>45660</v>
      </c>
      <c r="B65" t="str">
        <f t="shared" si="0"/>
        <v>yyyy-01</v>
      </c>
      <c r="C65">
        <f t="shared" si="1"/>
        <v>1</v>
      </c>
      <c r="D65" t="s">
        <v>53</v>
      </c>
      <c r="E65" t="s">
        <v>56</v>
      </c>
      <c r="F65" t="s">
        <v>57</v>
      </c>
      <c r="G65" t="s">
        <v>27</v>
      </c>
      <c r="H65" t="s">
        <v>48</v>
      </c>
      <c r="I65" s="5">
        <v>170</v>
      </c>
      <c r="J65" s="5">
        <v>118</v>
      </c>
      <c r="K65" s="5">
        <v>12</v>
      </c>
      <c r="L65" s="5">
        <v>2</v>
      </c>
      <c r="M65" s="5">
        <v>2</v>
      </c>
      <c r="N65" s="7">
        <v>726.58</v>
      </c>
      <c r="O65" s="7">
        <f t="shared" si="2"/>
        <v>1453.16</v>
      </c>
      <c r="P65" s="4">
        <v>0.03</v>
      </c>
      <c r="Q65" s="7">
        <f t="shared" si="3"/>
        <v>43.594799999999999</v>
      </c>
      <c r="R65" s="7">
        <f t="shared" si="4"/>
        <v>1409.5652</v>
      </c>
      <c r="S65" s="7">
        <f t="shared" si="5"/>
        <v>704.7826</v>
      </c>
      <c r="T65" s="6">
        <f t="shared" si="6"/>
        <v>1.1764705882352941E-2</v>
      </c>
      <c r="V65" t="s">
        <v>29</v>
      </c>
    </row>
    <row r="66" spans="1:22">
      <c r="A66" s="3">
        <v>45660</v>
      </c>
      <c r="B66" t="str">
        <f t="shared" si="0"/>
        <v>yyyy-01</v>
      </c>
      <c r="C66">
        <f t="shared" si="1"/>
        <v>1</v>
      </c>
      <c r="D66" t="s">
        <v>53</v>
      </c>
      <c r="E66" t="s">
        <v>56</v>
      </c>
      <c r="F66" t="s">
        <v>58</v>
      </c>
      <c r="G66" t="s">
        <v>27</v>
      </c>
      <c r="H66" t="s">
        <v>28</v>
      </c>
      <c r="I66" s="5">
        <v>218</v>
      </c>
      <c r="J66" s="5">
        <v>165</v>
      </c>
      <c r="K66" s="5">
        <v>14</v>
      </c>
      <c r="L66" s="5">
        <v>2</v>
      </c>
      <c r="M66" s="5">
        <v>2</v>
      </c>
      <c r="N66" s="7">
        <v>913.14</v>
      </c>
      <c r="O66" s="7">
        <f t="shared" si="2"/>
        <v>1826.28</v>
      </c>
      <c r="P66" s="4">
        <v>0.05</v>
      </c>
      <c r="Q66" s="7">
        <f t="shared" si="3"/>
        <v>91.314000000000007</v>
      </c>
      <c r="R66" s="7">
        <f t="shared" si="4"/>
        <v>1734.9659999999999</v>
      </c>
      <c r="S66" s="7">
        <f t="shared" si="5"/>
        <v>867.48299999999995</v>
      </c>
      <c r="T66" s="6">
        <f t="shared" si="6"/>
        <v>9.1743119266055051E-3</v>
      </c>
      <c r="V66" t="s">
        <v>29</v>
      </c>
    </row>
    <row r="67" spans="1:22">
      <c r="A67" s="3">
        <v>45660</v>
      </c>
      <c r="B67" t="str">
        <f t="shared" si="0"/>
        <v>yyyy-01</v>
      </c>
      <c r="C67">
        <f t="shared" si="1"/>
        <v>1</v>
      </c>
      <c r="D67" t="s">
        <v>53</v>
      </c>
      <c r="E67" t="s">
        <v>59</v>
      </c>
      <c r="F67" t="s">
        <v>60</v>
      </c>
      <c r="G67" t="s">
        <v>27</v>
      </c>
      <c r="H67" t="s">
        <v>28</v>
      </c>
      <c r="I67" s="5">
        <v>136</v>
      </c>
      <c r="J67" s="5">
        <v>99</v>
      </c>
      <c r="K67" s="5">
        <v>10</v>
      </c>
      <c r="L67" s="5">
        <v>2</v>
      </c>
      <c r="M67" s="5">
        <v>2</v>
      </c>
      <c r="N67" s="7">
        <v>706.7</v>
      </c>
      <c r="O67" s="7">
        <f t="shared" si="2"/>
        <v>1413.4</v>
      </c>
      <c r="P67" s="4">
        <v>0</v>
      </c>
      <c r="Q67" s="7">
        <f t="shared" si="3"/>
        <v>0</v>
      </c>
      <c r="R67" s="7">
        <f t="shared" si="4"/>
        <v>1413.4</v>
      </c>
      <c r="S67" s="7">
        <f t="shared" si="5"/>
        <v>706.7</v>
      </c>
      <c r="T67" s="6">
        <f t="shared" si="6"/>
        <v>1.4705882352941176E-2</v>
      </c>
      <c r="V67" t="s">
        <v>29</v>
      </c>
    </row>
    <row r="68" spans="1:22">
      <c r="A68" s="3">
        <v>45660</v>
      </c>
      <c r="B68" t="str">
        <f t="shared" si="0"/>
        <v>yyyy-01</v>
      </c>
      <c r="C68">
        <f t="shared" si="1"/>
        <v>1</v>
      </c>
      <c r="D68" t="s">
        <v>53</v>
      </c>
      <c r="E68" t="s">
        <v>61</v>
      </c>
      <c r="F68" t="s">
        <v>62</v>
      </c>
      <c r="G68" t="s">
        <v>27</v>
      </c>
      <c r="H68" t="s">
        <v>28</v>
      </c>
      <c r="I68" s="5">
        <v>141</v>
      </c>
      <c r="J68" s="5">
        <v>98</v>
      </c>
      <c r="K68" s="5">
        <v>9</v>
      </c>
      <c r="L68" s="5">
        <v>1</v>
      </c>
      <c r="M68" s="5">
        <v>1</v>
      </c>
      <c r="N68" s="7">
        <v>481.1</v>
      </c>
      <c r="O68" s="7">
        <f t="shared" si="2"/>
        <v>481.1</v>
      </c>
      <c r="P68" s="4">
        <v>0</v>
      </c>
      <c r="Q68" s="7">
        <f t="shared" si="3"/>
        <v>0</v>
      </c>
      <c r="R68" s="7">
        <f t="shared" si="4"/>
        <v>481.1</v>
      </c>
      <c r="S68" s="7">
        <f t="shared" si="5"/>
        <v>481.1</v>
      </c>
      <c r="T68" s="6">
        <f t="shared" si="6"/>
        <v>7.0921985815602835E-3</v>
      </c>
      <c r="V68" t="s">
        <v>29</v>
      </c>
    </row>
    <row r="69" spans="1:22">
      <c r="A69" s="3">
        <v>45660</v>
      </c>
      <c r="B69" t="str">
        <f t="shared" ref="B69:B132" si="7">TEXT(A69,"yyyy-mm")</f>
        <v>yyyy-01</v>
      </c>
      <c r="C69">
        <f t="shared" ref="C69:C132" si="8">WEEKNUM(A69,2)</f>
        <v>1</v>
      </c>
      <c r="D69" t="s">
        <v>53</v>
      </c>
      <c r="E69" t="s">
        <v>64</v>
      </c>
      <c r="F69" t="s">
        <v>65</v>
      </c>
      <c r="G69" t="s">
        <v>27</v>
      </c>
      <c r="H69" t="s">
        <v>28</v>
      </c>
      <c r="I69" s="5">
        <v>194</v>
      </c>
      <c r="J69" s="5">
        <v>158</v>
      </c>
      <c r="K69" s="5">
        <v>15</v>
      </c>
      <c r="L69" s="5">
        <v>2</v>
      </c>
      <c r="M69" s="5">
        <v>2</v>
      </c>
      <c r="N69" s="7">
        <v>787.92</v>
      </c>
      <c r="O69" s="7">
        <f t="shared" ref="O69:O132" si="9">M69*N69</f>
        <v>1575.84</v>
      </c>
      <c r="P69" s="4">
        <v>0</v>
      </c>
      <c r="Q69" s="7">
        <f t="shared" ref="Q69:Q132" si="10">O69*P69</f>
        <v>0</v>
      </c>
      <c r="R69" s="7">
        <f t="shared" ref="R69:R132" si="11">O69-Q69</f>
        <v>1575.84</v>
      </c>
      <c r="S69" s="7">
        <f t="shared" ref="S69:S132" si="12">IFERROR(R69/L69,0)</f>
        <v>787.92</v>
      </c>
      <c r="T69" s="6">
        <f t="shared" ref="T69:T132" si="13">IFERROR(L69/I69,0)</f>
        <v>1.0309278350515464E-2</v>
      </c>
      <c r="V69" t="s">
        <v>29</v>
      </c>
    </row>
    <row r="70" spans="1:22">
      <c r="A70" s="3">
        <v>45660</v>
      </c>
      <c r="B70" t="str">
        <f t="shared" si="7"/>
        <v>yyyy-01</v>
      </c>
      <c r="C70">
        <f t="shared" si="8"/>
        <v>1</v>
      </c>
      <c r="D70" t="s">
        <v>66</v>
      </c>
      <c r="E70" t="s">
        <v>67</v>
      </c>
      <c r="F70" t="s">
        <v>68</v>
      </c>
      <c r="G70" t="s">
        <v>27</v>
      </c>
      <c r="H70" t="s">
        <v>45</v>
      </c>
      <c r="I70" s="5">
        <v>279</v>
      </c>
      <c r="J70" s="5">
        <v>214</v>
      </c>
      <c r="K70" s="5">
        <v>17</v>
      </c>
      <c r="L70" s="5">
        <v>5</v>
      </c>
      <c r="M70" s="5">
        <v>5</v>
      </c>
      <c r="N70" s="7">
        <v>701.7</v>
      </c>
      <c r="O70" s="7">
        <f t="shared" si="9"/>
        <v>3508.5</v>
      </c>
      <c r="P70" s="4">
        <v>0.05</v>
      </c>
      <c r="Q70" s="7">
        <f t="shared" si="10"/>
        <v>175.42500000000001</v>
      </c>
      <c r="R70" s="7">
        <f t="shared" si="11"/>
        <v>3333.0749999999998</v>
      </c>
      <c r="S70" s="7">
        <f t="shared" si="12"/>
        <v>666.61500000000001</v>
      </c>
      <c r="T70" s="6">
        <f t="shared" si="13"/>
        <v>1.7921146953405017E-2</v>
      </c>
      <c r="V70" t="s">
        <v>29</v>
      </c>
    </row>
    <row r="71" spans="1:22">
      <c r="A71" s="3">
        <v>45660</v>
      </c>
      <c r="B71" t="str">
        <f t="shared" si="7"/>
        <v>yyyy-01</v>
      </c>
      <c r="C71">
        <f t="shared" si="8"/>
        <v>1</v>
      </c>
      <c r="D71" t="s">
        <v>66</v>
      </c>
      <c r="E71" t="s">
        <v>67</v>
      </c>
      <c r="F71" t="s">
        <v>69</v>
      </c>
      <c r="G71" t="s">
        <v>36</v>
      </c>
      <c r="H71" t="s">
        <v>37</v>
      </c>
      <c r="I71" s="5">
        <v>457</v>
      </c>
      <c r="J71" s="5">
        <v>272</v>
      </c>
      <c r="K71" s="5">
        <v>31</v>
      </c>
      <c r="L71" s="5">
        <v>8</v>
      </c>
      <c r="M71" s="5">
        <v>8</v>
      </c>
      <c r="N71" s="7">
        <v>383.73</v>
      </c>
      <c r="O71" s="7">
        <f t="shared" si="9"/>
        <v>3069.84</v>
      </c>
      <c r="P71" s="4">
        <v>0</v>
      </c>
      <c r="Q71" s="7">
        <f t="shared" si="10"/>
        <v>0</v>
      </c>
      <c r="R71" s="7">
        <f t="shared" si="11"/>
        <v>3069.84</v>
      </c>
      <c r="S71" s="7">
        <f t="shared" si="12"/>
        <v>383.73</v>
      </c>
      <c r="T71" s="6">
        <f t="shared" si="13"/>
        <v>1.7505470459518599E-2</v>
      </c>
      <c r="V71" t="s">
        <v>29</v>
      </c>
    </row>
    <row r="72" spans="1:22">
      <c r="A72" s="3">
        <v>45660</v>
      </c>
      <c r="B72" t="str">
        <f t="shared" si="7"/>
        <v>yyyy-01</v>
      </c>
      <c r="C72">
        <f t="shared" si="8"/>
        <v>1</v>
      </c>
      <c r="D72" t="s">
        <v>66</v>
      </c>
      <c r="E72" t="s">
        <v>67</v>
      </c>
      <c r="F72" t="s">
        <v>70</v>
      </c>
      <c r="G72" t="s">
        <v>27</v>
      </c>
      <c r="H72" t="s">
        <v>48</v>
      </c>
      <c r="I72" s="5">
        <v>299</v>
      </c>
      <c r="J72" s="5">
        <v>188</v>
      </c>
      <c r="K72" s="5">
        <v>16</v>
      </c>
      <c r="L72" s="5">
        <v>5</v>
      </c>
      <c r="M72" s="5">
        <v>5</v>
      </c>
      <c r="N72" s="7">
        <v>353.47</v>
      </c>
      <c r="O72" s="7">
        <f t="shared" si="9"/>
        <v>1767.3500000000001</v>
      </c>
      <c r="P72" s="4">
        <v>0</v>
      </c>
      <c r="Q72" s="7">
        <f t="shared" si="10"/>
        <v>0</v>
      </c>
      <c r="R72" s="7">
        <f t="shared" si="11"/>
        <v>1767.3500000000001</v>
      </c>
      <c r="S72" s="7">
        <f t="shared" si="12"/>
        <v>353.47</v>
      </c>
      <c r="T72" s="6">
        <f t="shared" si="13"/>
        <v>1.6722408026755852E-2</v>
      </c>
      <c r="V72" t="s">
        <v>29</v>
      </c>
    </row>
    <row r="73" spans="1:22">
      <c r="A73" s="3">
        <v>45660</v>
      </c>
      <c r="B73" t="str">
        <f t="shared" si="7"/>
        <v>yyyy-01</v>
      </c>
      <c r="C73">
        <f t="shared" si="8"/>
        <v>1</v>
      </c>
      <c r="D73" t="s">
        <v>66</v>
      </c>
      <c r="E73" t="s">
        <v>71</v>
      </c>
      <c r="F73" t="s">
        <v>72</v>
      </c>
      <c r="G73" t="s">
        <v>27</v>
      </c>
      <c r="H73" t="s">
        <v>28</v>
      </c>
      <c r="I73" s="5">
        <v>356</v>
      </c>
      <c r="J73" s="5">
        <v>239</v>
      </c>
      <c r="K73" s="5">
        <v>29</v>
      </c>
      <c r="L73" s="5">
        <v>7</v>
      </c>
      <c r="M73" s="5">
        <v>8</v>
      </c>
      <c r="N73" s="7">
        <v>129.97999999999999</v>
      </c>
      <c r="O73" s="7">
        <f t="shared" si="9"/>
        <v>1039.8399999999999</v>
      </c>
      <c r="P73" s="4">
        <v>0.03</v>
      </c>
      <c r="Q73" s="7">
        <f t="shared" si="10"/>
        <v>31.195199999999996</v>
      </c>
      <c r="R73" s="7">
        <f t="shared" si="11"/>
        <v>1008.6447999999999</v>
      </c>
      <c r="S73" s="7">
        <f t="shared" si="12"/>
        <v>144.09211428571427</v>
      </c>
      <c r="T73" s="6">
        <f t="shared" si="13"/>
        <v>1.9662921348314606E-2</v>
      </c>
      <c r="V73" t="s">
        <v>29</v>
      </c>
    </row>
    <row r="74" spans="1:22">
      <c r="A74" s="3">
        <v>45660</v>
      </c>
      <c r="B74" t="str">
        <f t="shared" si="7"/>
        <v>yyyy-01</v>
      </c>
      <c r="C74">
        <f t="shared" si="8"/>
        <v>1</v>
      </c>
      <c r="D74" t="s">
        <v>66</v>
      </c>
      <c r="E74" t="s">
        <v>73</v>
      </c>
      <c r="F74" t="s">
        <v>74</v>
      </c>
      <c r="G74" t="s">
        <v>31</v>
      </c>
      <c r="H74" t="s">
        <v>32</v>
      </c>
      <c r="I74" s="5">
        <v>255</v>
      </c>
      <c r="J74" s="5">
        <v>151</v>
      </c>
      <c r="K74" s="5">
        <v>16</v>
      </c>
      <c r="L74" s="5">
        <v>5</v>
      </c>
      <c r="M74" s="5">
        <v>5</v>
      </c>
      <c r="N74" s="7">
        <v>1175.77</v>
      </c>
      <c r="O74" s="7">
        <f t="shared" si="9"/>
        <v>5878.85</v>
      </c>
      <c r="P74" s="4">
        <v>0</v>
      </c>
      <c r="Q74" s="7">
        <f t="shared" si="10"/>
        <v>0</v>
      </c>
      <c r="R74" s="7">
        <f t="shared" si="11"/>
        <v>5878.85</v>
      </c>
      <c r="S74" s="7">
        <f t="shared" si="12"/>
        <v>1175.77</v>
      </c>
      <c r="T74" s="6">
        <f t="shared" si="13"/>
        <v>1.9607843137254902E-2</v>
      </c>
      <c r="V74" t="s">
        <v>29</v>
      </c>
    </row>
    <row r="75" spans="1:22">
      <c r="A75" s="3">
        <v>45660</v>
      </c>
      <c r="B75" t="str">
        <f t="shared" si="7"/>
        <v>yyyy-01</v>
      </c>
      <c r="C75">
        <f t="shared" si="8"/>
        <v>1</v>
      </c>
      <c r="D75" t="s">
        <v>66</v>
      </c>
      <c r="E75" t="s">
        <v>71</v>
      </c>
      <c r="F75" t="s">
        <v>75</v>
      </c>
      <c r="G75" t="s">
        <v>27</v>
      </c>
      <c r="H75" t="s">
        <v>63</v>
      </c>
      <c r="I75" s="5">
        <v>203</v>
      </c>
      <c r="J75" s="5">
        <v>121</v>
      </c>
      <c r="K75" s="5">
        <v>8</v>
      </c>
      <c r="L75" s="5">
        <v>3</v>
      </c>
      <c r="M75" s="5">
        <v>4</v>
      </c>
      <c r="N75" s="7">
        <v>39.22</v>
      </c>
      <c r="O75" s="7">
        <f t="shared" si="9"/>
        <v>156.88</v>
      </c>
      <c r="P75" s="4">
        <v>0.03</v>
      </c>
      <c r="Q75" s="7">
        <f t="shared" si="10"/>
        <v>4.7063999999999995</v>
      </c>
      <c r="R75" s="7">
        <f t="shared" si="11"/>
        <v>152.17359999999999</v>
      </c>
      <c r="S75" s="7">
        <f t="shared" si="12"/>
        <v>50.724533333333333</v>
      </c>
      <c r="T75" s="6">
        <f t="shared" si="13"/>
        <v>1.4778325123152709E-2</v>
      </c>
      <c r="V75" t="s">
        <v>29</v>
      </c>
    </row>
    <row r="76" spans="1:22">
      <c r="A76" s="3">
        <v>45660</v>
      </c>
      <c r="B76" t="str">
        <f t="shared" si="7"/>
        <v>yyyy-01</v>
      </c>
      <c r="C76">
        <f t="shared" si="8"/>
        <v>1</v>
      </c>
      <c r="D76" t="s">
        <v>24</v>
      </c>
      <c r="E76" t="s">
        <v>76</v>
      </c>
      <c r="F76" t="s">
        <v>77</v>
      </c>
      <c r="G76" t="s">
        <v>31</v>
      </c>
      <c r="H76" t="s">
        <v>32</v>
      </c>
      <c r="I76" s="5">
        <v>532</v>
      </c>
      <c r="J76" s="5">
        <v>322</v>
      </c>
      <c r="K76" s="5">
        <v>47</v>
      </c>
      <c r="L76" s="5">
        <v>11</v>
      </c>
      <c r="M76" s="5">
        <v>15</v>
      </c>
      <c r="N76" s="7">
        <v>200.98</v>
      </c>
      <c r="O76" s="7">
        <f t="shared" si="9"/>
        <v>3014.7</v>
      </c>
      <c r="P76" s="4">
        <v>0</v>
      </c>
      <c r="Q76" s="7">
        <f t="shared" si="10"/>
        <v>0</v>
      </c>
      <c r="R76" s="7">
        <f t="shared" si="11"/>
        <v>3014.7</v>
      </c>
      <c r="S76" s="7">
        <f t="shared" si="12"/>
        <v>274.06363636363636</v>
      </c>
      <c r="T76" s="6">
        <f t="shared" si="13"/>
        <v>2.0676691729323307E-2</v>
      </c>
      <c r="V76" t="s">
        <v>29</v>
      </c>
    </row>
    <row r="77" spans="1:22">
      <c r="A77" s="3">
        <v>45661</v>
      </c>
      <c r="B77" t="str">
        <f t="shared" si="7"/>
        <v>yyyy-01</v>
      </c>
      <c r="C77">
        <f t="shared" si="8"/>
        <v>1</v>
      </c>
      <c r="D77" t="s">
        <v>24</v>
      </c>
      <c r="E77" t="s">
        <v>25</v>
      </c>
      <c r="F77" t="s">
        <v>26</v>
      </c>
      <c r="G77" t="s">
        <v>36</v>
      </c>
      <c r="H77" t="s">
        <v>37</v>
      </c>
      <c r="I77" s="5">
        <v>2000</v>
      </c>
      <c r="J77" s="5">
        <v>1210</v>
      </c>
      <c r="K77" s="5">
        <v>187</v>
      </c>
      <c r="L77" s="5">
        <v>51</v>
      </c>
      <c r="M77" s="5">
        <v>51</v>
      </c>
      <c r="N77" s="7">
        <v>966.61</v>
      </c>
      <c r="O77" s="7">
        <f t="shared" si="9"/>
        <v>49297.11</v>
      </c>
      <c r="P77" s="4">
        <v>0</v>
      </c>
      <c r="Q77" s="7">
        <f t="shared" si="10"/>
        <v>0</v>
      </c>
      <c r="R77" s="7">
        <f t="shared" si="11"/>
        <v>49297.11</v>
      </c>
      <c r="S77" s="7">
        <f t="shared" si="12"/>
        <v>966.61</v>
      </c>
      <c r="T77" s="6">
        <f t="shared" si="13"/>
        <v>2.5499999999999998E-2</v>
      </c>
      <c r="V77" t="s">
        <v>29</v>
      </c>
    </row>
    <row r="78" spans="1:22">
      <c r="A78" s="3">
        <v>45661</v>
      </c>
      <c r="B78" t="str">
        <f t="shared" si="7"/>
        <v>yyyy-01</v>
      </c>
      <c r="C78">
        <f t="shared" si="8"/>
        <v>1</v>
      </c>
      <c r="D78" t="s">
        <v>24</v>
      </c>
      <c r="E78" t="s">
        <v>25</v>
      </c>
      <c r="F78" t="s">
        <v>30</v>
      </c>
      <c r="G78" t="s">
        <v>27</v>
      </c>
      <c r="H78" t="s">
        <v>48</v>
      </c>
      <c r="I78" s="5">
        <v>1223</v>
      </c>
      <c r="J78" s="5">
        <v>640</v>
      </c>
      <c r="K78" s="5">
        <v>76</v>
      </c>
      <c r="L78" s="5">
        <v>22</v>
      </c>
      <c r="M78" s="5">
        <v>22</v>
      </c>
      <c r="N78" s="7">
        <v>406.15</v>
      </c>
      <c r="O78" s="7">
        <f t="shared" si="9"/>
        <v>8935.2999999999993</v>
      </c>
      <c r="P78" s="4">
        <v>0</v>
      </c>
      <c r="Q78" s="7">
        <f t="shared" si="10"/>
        <v>0</v>
      </c>
      <c r="R78" s="7">
        <f t="shared" si="11"/>
        <v>8935.2999999999993</v>
      </c>
      <c r="S78" s="7">
        <f t="shared" si="12"/>
        <v>406.15</v>
      </c>
      <c r="T78" s="6">
        <f t="shared" si="13"/>
        <v>1.7988552739165987E-2</v>
      </c>
      <c r="V78" t="s">
        <v>29</v>
      </c>
    </row>
    <row r="79" spans="1:22">
      <c r="A79" s="3">
        <v>45661</v>
      </c>
      <c r="B79" t="str">
        <f t="shared" si="7"/>
        <v>yyyy-01</v>
      </c>
      <c r="C79">
        <f t="shared" si="8"/>
        <v>1</v>
      </c>
      <c r="D79" t="s">
        <v>24</v>
      </c>
      <c r="E79" t="s">
        <v>25</v>
      </c>
      <c r="F79" t="s">
        <v>33</v>
      </c>
      <c r="G79" t="s">
        <v>36</v>
      </c>
      <c r="H79" t="s">
        <v>37</v>
      </c>
      <c r="I79" s="5">
        <v>1958</v>
      </c>
      <c r="J79" s="5">
        <v>1368</v>
      </c>
      <c r="K79" s="5">
        <v>143</v>
      </c>
      <c r="L79" s="5">
        <v>44</v>
      </c>
      <c r="M79" s="5">
        <v>44</v>
      </c>
      <c r="N79" s="7">
        <v>1829.49</v>
      </c>
      <c r="O79" s="7">
        <f t="shared" si="9"/>
        <v>80497.56</v>
      </c>
      <c r="P79" s="4">
        <v>0</v>
      </c>
      <c r="Q79" s="7">
        <f t="shared" si="10"/>
        <v>0</v>
      </c>
      <c r="R79" s="7">
        <f t="shared" si="11"/>
        <v>80497.56</v>
      </c>
      <c r="S79" s="7">
        <f t="shared" si="12"/>
        <v>1829.49</v>
      </c>
      <c r="T79" s="6">
        <f t="shared" si="13"/>
        <v>2.247191011235955E-2</v>
      </c>
      <c r="V79" t="s">
        <v>29</v>
      </c>
    </row>
    <row r="80" spans="1:22">
      <c r="A80" s="3">
        <v>45661</v>
      </c>
      <c r="B80" t="str">
        <f t="shared" si="7"/>
        <v>yyyy-01</v>
      </c>
      <c r="C80">
        <f t="shared" si="8"/>
        <v>1</v>
      </c>
      <c r="D80" t="s">
        <v>24</v>
      </c>
      <c r="E80" t="s">
        <v>34</v>
      </c>
      <c r="F80" t="s">
        <v>35</v>
      </c>
      <c r="G80" t="s">
        <v>31</v>
      </c>
      <c r="H80" t="s">
        <v>32</v>
      </c>
      <c r="I80" s="5">
        <v>1243</v>
      </c>
      <c r="J80" s="5">
        <v>940</v>
      </c>
      <c r="K80" s="5">
        <v>118</v>
      </c>
      <c r="L80" s="5">
        <v>27</v>
      </c>
      <c r="M80" s="5">
        <v>27</v>
      </c>
      <c r="N80" s="7">
        <v>891.23</v>
      </c>
      <c r="O80" s="7">
        <f t="shared" si="9"/>
        <v>24063.21</v>
      </c>
      <c r="P80" s="4">
        <v>0</v>
      </c>
      <c r="Q80" s="7">
        <f t="shared" si="10"/>
        <v>0</v>
      </c>
      <c r="R80" s="7">
        <f t="shared" si="11"/>
        <v>24063.21</v>
      </c>
      <c r="S80" s="7">
        <f t="shared" si="12"/>
        <v>891.23</v>
      </c>
      <c r="T80" s="6">
        <f t="shared" si="13"/>
        <v>2.1721641190667738E-2</v>
      </c>
      <c r="V80" t="s">
        <v>29</v>
      </c>
    </row>
    <row r="81" spans="1:22">
      <c r="A81" s="3">
        <v>45661</v>
      </c>
      <c r="B81" t="str">
        <f t="shared" si="7"/>
        <v>yyyy-01</v>
      </c>
      <c r="C81">
        <f t="shared" si="8"/>
        <v>1</v>
      </c>
      <c r="D81" t="s">
        <v>24</v>
      </c>
      <c r="E81" t="s">
        <v>38</v>
      </c>
      <c r="F81" t="s">
        <v>39</v>
      </c>
      <c r="G81" t="s">
        <v>36</v>
      </c>
      <c r="H81" t="s">
        <v>37</v>
      </c>
      <c r="I81" s="5">
        <v>779</v>
      </c>
      <c r="J81" s="5">
        <v>542</v>
      </c>
      <c r="K81" s="5">
        <v>59</v>
      </c>
      <c r="L81" s="5">
        <v>12</v>
      </c>
      <c r="M81" s="5">
        <v>12</v>
      </c>
      <c r="N81" s="7">
        <v>330.9</v>
      </c>
      <c r="O81" s="7">
        <f t="shared" si="9"/>
        <v>3970.7999999999997</v>
      </c>
      <c r="P81" s="4">
        <v>0</v>
      </c>
      <c r="Q81" s="7">
        <f t="shared" si="10"/>
        <v>0</v>
      </c>
      <c r="R81" s="7">
        <f t="shared" si="11"/>
        <v>3970.7999999999997</v>
      </c>
      <c r="S81" s="7">
        <f t="shared" si="12"/>
        <v>330.9</v>
      </c>
      <c r="T81" s="6">
        <f t="shared" si="13"/>
        <v>1.540436456996149E-2</v>
      </c>
      <c r="V81" t="s">
        <v>29</v>
      </c>
    </row>
    <row r="82" spans="1:22">
      <c r="A82" s="3">
        <v>45661</v>
      </c>
      <c r="B82" t="str">
        <f t="shared" si="7"/>
        <v>yyyy-01</v>
      </c>
      <c r="C82">
        <f t="shared" si="8"/>
        <v>1</v>
      </c>
      <c r="D82" t="s">
        <v>24</v>
      </c>
      <c r="E82" t="s">
        <v>40</v>
      </c>
      <c r="F82" t="s">
        <v>41</v>
      </c>
      <c r="G82" t="s">
        <v>27</v>
      </c>
      <c r="H82" t="s">
        <v>28</v>
      </c>
      <c r="I82" s="5">
        <v>659</v>
      </c>
      <c r="J82" s="5">
        <v>374</v>
      </c>
      <c r="K82" s="5">
        <v>24</v>
      </c>
      <c r="L82" s="5">
        <v>11</v>
      </c>
      <c r="M82" s="5">
        <v>13</v>
      </c>
      <c r="N82" s="7">
        <v>178.22</v>
      </c>
      <c r="O82" s="7">
        <f t="shared" si="9"/>
        <v>2316.86</v>
      </c>
      <c r="P82" s="4">
        <v>0</v>
      </c>
      <c r="Q82" s="7">
        <f t="shared" si="10"/>
        <v>0</v>
      </c>
      <c r="R82" s="7">
        <f t="shared" si="11"/>
        <v>2316.86</v>
      </c>
      <c r="S82" s="7">
        <f t="shared" si="12"/>
        <v>210.62363636363636</v>
      </c>
      <c r="T82" s="6">
        <f t="shared" si="13"/>
        <v>1.6691957511380879E-2</v>
      </c>
      <c r="V82" t="s">
        <v>29</v>
      </c>
    </row>
    <row r="83" spans="1:22">
      <c r="A83" s="3">
        <v>45661</v>
      </c>
      <c r="B83" t="str">
        <f t="shared" si="7"/>
        <v>yyyy-01</v>
      </c>
      <c r="C83">
        <f t="shared" si="8"/>
        <v>1</v>
      </c>
      <c r="D83" t="s">
        <v>42</v>
      </c>
      <c r="E83" t="s">
        <v>43</v>
      </c>
      <c r="F83" t="s">
        <v>44</v>
      </c>
      <c r="G83" t="s">
        <v>36</v>
      </c>
      <c r="H83" t="s">
        <v>37</v>
      </c>
      <c r="I83" s="5">
        <v>514</v>
      </c>
      <c r="J83" s="5">
        <v>278</v>
      </c>
      <c r="K83" s="5">
        <v>29</v>
      </c>
      <c r="L83" s="5">
        <v>6</v>
      </c>
      <c r="M83" s="5">
        <v>6</v>
      </c>
      <c r="N83" s="7">
        <v>1293.01</v>
      </c>
      <c r="O83" s="7">
        <f t="shared" si="9"/>
        <v>7758.0599999999995</v>
      </c>
      <c r="P83" s="4">
        <v>0</v>
      </c>
      <c r="Q83" s="7">
        <f t="shared" si="10"/>
        <v>0</v>
      </c>
      <c r="R83" s="7">
        <f t="shared" si="11"/>
        <v>7758.0599999999995</v>
      </c>
      <c r="S83" s="7">
        <f t="shared" si="12"/>
        <v>1293.01</v>
      </c>
      <c r="T83" s="6">
        <f t="shared" si="13"/>
        <v>1.1673151750972763E-2</v>
      </c>
      <c r="V83" t="s">
        <v>29</v>
      </c>
    </row>
    <row r="84" spans="1:22">
      <c r="A84" s="3">
        <v>45661</v>
      </c>
      <c r="B84" t="str">
        <f t="shared" si="7"/>
        <v>yyyy-01</v>
      </c>
      <c r="C84">
        <f t="shared" si="8"/>
        <v>1</v>
      </c>
      <c r="D84" t="s">
        <v>42</v>
      </c>
      <c r="E84" t="s">
        <v>43</v>
      </c>
      <c r="F84" t="s">
        <v>46</v>
      </c>
      <c r="G84" t="s">
        <v>27</v>
      </c>
      <c r="H84" t="s">
        <v>45</v>
      </c>
      <c r="I84" s="5">
        <v>583</v>
      </c>
      <c r="J84" s="5">
        <v>401</v>
      </c>
      <c r="K84" s="5">
        <v>43</v>
      </c>
      <c r="L84" s="5">
        <v>9</v>
      </c>
      <c r="M84" s="5">
        <v>9</v>
      </c>
      <c r="N84" s="7">
        <v>2120.46</v>
      </c>
      <c r="O84" s="7">
        <f t="shared" si="9"/>
        <v>19084.14</v>
      </c>
      <c r="P84" s="4">
        <v>0</v>
      </c>
      <c r="Q84" s="7">
        <f t="shared" si="10"/>
        <v>0</v>
      </c>
      <c r="R84" s="7">
        <f t="shared" si="11"/>
        <v>19084.14</v>
      </c>
      <c r="S84" s="7">
        <f t="shared" si="12"/>
        <v>2120.46</v>
      </c>
      <c r="T84" s="6">
        <f t="shared" si="13"/>
        <v>1.5437392795883362E-2</v>
      </c>
      <c r="V84" t="s">
        <v>29</v>
      </c>
    </row>
    <row r="85" spans="1:22">
      <c r="A85" s="3">
        <v>45661</v>
      </c>
      <c r="B85" t="str">
        <f t="shared" si="7"/>
        <v>yyyy-01</v>
      </c>
      <c r="C85">
        <f t="shared" si="8"/>
        <v>1</v>
      </c>
      <c r="D85" t="s">
        <v>42</v>
      </c>
      <c r="E85" t="s">
        <v>43</v>
      </c>
      <c r="F85" t="s">
        <v>47</v>
      </c>
      <c r="G85" t="s">
        <v>31</v>
      </c>
      <c r="H85" t="s">
        <v>32</v>
      </c>
      <c r="I85" s="5">
        <v>685</v>
      </c>
      <c r="J85" s="5">
        <v>449</v>
      </c>
      <c r="K85" s="5">
        <v>32</v>
      </c>
      <c r="L85" s="5">
        <v>10</v>
      </c>
      <c r="M85" s="5">
        <v>10</v>
      </c>
      <c r="N85" s="7">
        <v>584.82000000000005</v>
      </c>
      <c r="O85" s="7">
        <f t="shared" si="9"/>
        <v>5848.2000000000007</v>
      </c>
      <c r="P85" s="4">
        <v>0</v>
      </c>
      <c r="Q85" s="7">
        <f t="shared" si="10"/>
        <v>0</v>
      </c>
      <c r="R85" s="7">
        <f t="shared" si="11"/>
        <v>5848.2000000000007</v>
      </c>
      <c r="S85" s="7">
        <f t="shared" si="12"/>
        <v>584.82000000000005</v>
      </c>
      <c r="T85" s="6">
        <f t="shared" si="13"/>
        <v>1.4598540145985401E-2</v>
      </c>
      <c r="V85" t="s">
        <v>29</v>
      </c>
    </row>
    <row r="86" spans="1:22">
      <c r="A86" s="3">
        <v>45661</v>
      </c>
      <c r="B86" t="str">
        <f t="shared" si="7"/>
        <v>yyyy-01</v>
      </c>
      <c r="C86">
        <f t="shared" si="8"/>
        <v>1</v>
      </c>
      <c r="D86" t="s">
        <v>42</v>
      </c>
      <c r="E86" t="s">
        <v>49</v>
      </c>
      <c r="F86" t="s">
        <v>50</v>
      </c>
      <c r="G86" t="s">
        <v>27</v>
      </c>
      <c r="H86" t="s">
        <v>28</v>
      </c>
      <c r="I86" s="5">
        <v>111</v>
      </c>
      <c r="J86" s="5">
        <v>59</v>
      </c>
      <c r="K86" s="5">
        <v>6</v>
      </c>
      <c r="L86" s="5">
        <v>2</v>
      </c>
      <c r="M86" s="5">
        <v>2</v>
      </c>
      <c r="N86" s="7">
        <v>964.51</v>
      </c>
      <c r="O86" s="7">
        <f t="shared" si="9"/>
        <v>1929.02</v>
      </c>
      <c r="P86" s="4">
        <v>0</v>
      </c>
      <c r="Q86" s="7">
        <f t="shared" si="10"/>
        <v>0</v>
      </c>
      <c r="R86" s="7">
        <f t="shared" si="11"/>
        <v>1929.02</v>
      </c>
      <c r="S86" s="7">
        <f t="shared" si="12"/>
        <v>964.51</v>
      </c>
      <c r="T86" s="6">
        <f t="shared" si="13"/>
        <v>1.8018018018018018E-2</v>
      </c>
      <c r="V86" t="s">
        <v>29</v>
      </c>
    </row>
    <row r="87" spans="1:22">
      <c r="A87" s="3">
        <v>45661</v>
      </c>
      <c r="B87" t="str">
        <f t="shared" si="7"/>
        <v>yyyy-01</v>
      </c>
      <c r="C87">
        <f t="shared" si="8"/>
        <v>1</v>
      </c>
      <c r="D87" t="s">
        <v>42</v>
      </c>
      <c r="E87" t="s">
        <v>51</v>
      </c>
      <c r="F87" t="s">
        <v>52</v>
      </c>
      <c r="G87" t="s">
        <v>27</v>
      </c>
      <c r="H87" t="s">
        <v>63</v>
      </c>
      <c r="I87" s="5">
        <v>244</v>
      </c>
      <c r="J87" s="5">
        <v>189</v>
      </c>
      <c r="K87" s="5">
        <v>17</v>
      </c>
      <c r="L87" s="5">
        <v>4</v>
      </c>
      <c r="M87" s="5">
        <v>4</v>
      </c>
      <c r="N87" s="7">
        <v>593.69000000000005</v>
      </c>
      <c r="O87" s="7">
        <f t="shared" si="9"/>
        <v>2374.7600000000002</v>
      </c>
      <c r="P87" s="4">
        <v>0.03</v>
      </c>
      <c r="Q87" s="7">
        <f t="shared" si="10"/>
        <v>71.242800000000003</v>
      </c>
      <c r="R87" s="7">
        <f t="shared" si="11"/>
        <v>2303.5172000000002</v>
      </c>
      <c r="S87" s="7">
        <f t="shared" si="12"/>
        <v>575.87930000000006</v>
      </c>
      <c r="T87" s="6">
        <f t="shared" si="13"/>
        <v>1.6393442622950821E-2</v>
      </c>
      <c r="V87" t="s">
        <v>29</v>
      </c>
    </row>
    <row r="88" spans="1:22">
      <c r="A88" s="3">
        <v>45661</v>
      </c>
      <c r="B88" t="str">
        <f t="shared" si="7"/>
        <v>yyyy-01</v>
      </c>
      <c r="C88">
        <f t="shared" si="8"/>
        <v>1</v>
      </c>
      <c r="D88" t="s">
        <v>53</v>
      </c>
      <c r="E88" t="s">
        <v>54</v>
      </c>
      <c r="F88" t="s">
        <v>55</v>
      </c>
      <c r="G88" t="s">
        <v>36</v>
      </c>
      <c r="H88" t="s">
        <v>37</v>
      </c>
      <c r="I88" s="5">
        <v>206</v>
      </c>
      <c r="J88" s="5">
        <v>144</v>
      </c>
      <c r="K88" s="5">
        <v>7</v>
      </c>
      <c r="L88" s="5">
        <v>2</v>
      </c>
      <c r="M88" s="5">
        <v>2</v>
      </c>
      <c r="N88" s="7">
        <v>1274.1600000000001</v>
      </c>
      <c r="O88" s="7">
        <f t="shared" si="9"/>
        <v>2548.3200000000002</v>
      </c>
      <c r="P88" s="4">
        <v>0</v>
      </c>
      <c r="Q88" s="7">
        <f t="shared" si="10"/>
        <v>0</v>
      </c>
      <c r="R88" s="7">
        <f t="shared" si="11"/>
        <v>2548.3200000000002</v>
      </c>
      <c r="S88" s="7">
        <f t="shared" si="12"/>
        <v>1274.1600000000001</v>
      </c>
      <c r="T88" s="6">
        <f t="shared" si="13"/>
        <v>9.7087378640776691E-3</v>
      </c>
      <c r="V88" t="s">
        <v>29</v>
      </c>
    </row>
    <row r="89" spans="1:22">
      <c r="A89" s="3">
        <v>45661</v>
      </c>
      <c r="B89" t="str">
        <f t="shared" si="7"/>
        <v>yyyy-01</v>
      </c>
      <c r="C89">
        <f t="shared" si="8"/>
        <v>1</v>
      </c>
      <c r="D89" t="s">
        <v>53</v>
      </c>
      <c r="E89" t="s">
        <v>56</v>
      </c>
      <c r="F89" t="s">
        <v>57</v>
      </c>
      <c r="G89" t="s">
        <v>36</v>
      </c>
      <c r="H89" t="s">
        <v>37</v>
      </c>
      <c r="I89" s="5">
        <v>250</v>
      </c>
      <c r="J89" s="5">
        <v>168</v>
      </c>
      <c r="K89" s="5">
        <v>17</v>
      </c>
      <c r="L89" s="5">
        <v>3</v>
      </c>
      <c r="M89" s="5">
        <v>3</v>
      </c>
      <c r="N89" s="7">
        <v>720.69</v>
      </c>
      <c r="O89" s="7">
        <f t="shared" si="9"/>
        <v>2162.0700000000002</v>
      </c>
      <c r="P89" s="4">
        <v>0.05</v>
      </c>
      <c r="Q89" s="7">
        <f t="shared" si="10"/>
        <v>108.10350000000001</v>
      </c>
      <c r="R89" s="7">
        <f t="shared" si="11"/>
        <v>2053.9665</v>
      </c>
      <c r="S89" s="7">
        <f t="shared" si="12"/>
        <v>684.65549999999996</v>
      </c>
      <c r="T89" s="6">
        <f t="shared" si="13"/>
        <v>1.2E-2</v>
      </c>
      <c r="V89" t="s">
        <v>29</v>
      </c>
    </row>
    <row r="90" spans="1:22">
      <c r="A90" s="3">
        <v>45661</v>
      </c>
      <c r="B90" t="str">
        <f t="shared" si="7"/>
        <v>yyyy-01</v>
      </c>
      <c r="C90">
        <f t="shared" si="8"/>
        <v>1</v>
      </c>
      <c r="D90" t="s">
        <v>53</v>
      </c>
      <c r="E90" t="s">
        <v>56</v>
      </c>
      <c r="F90" t="s">
        <v>58</v>
      </c>
      <c r="G90" t="s">
        <v>31</v>
      </c>
      <c r="H90" t="s">
        <v>32</v>
      </c>
      <c r="I90" s="5">
        <v>284</v>
      </c>
      <c r="J90" s="5">
        <v>233</v>
      </c>
      <c r="K90" s="5">
        <v>28</v>
      </c>
      <c r="L90" s="5">
        <v>3</v>
      </c>
      <c r="M90" s="5">
        <v>3</v>
      </c>
      <c r="N90" s="7">
        <v>898.51</v>
      </c>
      <c r="O90" s="7">
        <f t="shared" si="9"/>
        <v>2695.5299999999997</v>
      </c>
      <c r="P90" s="4">
        <v>0</v>
      </c>
      <c r="Q90" s="7">
        <f t="shared" si="10"/>
        <v>0</v>
      </c>
      <c r="R90" s="7">
        <f t="shared" si="11"/>
        <v>2695.5299999999997</v>
      </c>
      <c r="S90" s="7">
        <f t="shared" si="12"/>
        <v>898.50999999999988</v>
      </c>
      <c r="T90" s="6">
        <f t="shared" si="13"/>
        <v>1.0563380281690141E-2</v>
      </c>
      <c r="V90" t="s">
        <v>29</v>
      </c>
    </row>
    <row r="91" spans="1:22">
      <c r="A91" s="3">
        <v>45661</v>
      </c>
      <c r="B91" t="str">
        <f t="shared" si="7"/>
        <v>yyyy-01</v>
      </c>
      <c r="C91">
        <f t="shared" si="8"/>
        <v>1</v>
      </c>
      <c r="D91" t="s">
        <v>53</v>
      </c>
      <c r="E91" t="s">
        <v>59</v>
      </c>
      <c r="F91" t="s">
        <v>60</v>
      </c>
      <c r="G91" t="s">
        <v>27</v>
      </c>
      <c r="H91" t="s">
        <v>28</v>
      </c>
      <c r="I91" s="5">
        <v>122</v>
      </c>
      <c r="J91" s="5">
        <v>82</v>
      </c>
      <c r="K91" s="5">
        <v>5</v>
      </c>
      <c r="L91" s="5">
        <v>1</v>
      </c>
      <c r="M91" s="5">
        <v>1</v>
      </c>
      <c r="N91" s="7">
        <v>676.53</v>
      </c>
      <c r="O91" s="7">
        <f t="shared" si="9"/>
        <v>676.53</v>
      </c>
      <c r="P91" s="4">
        <v>0</v>
      </c>
      <c r="Q91" s="7">
        <f t="shared" si="10"/>
        <v>0</v>
      </c>
      <c r="R91" s="7">
        <f t="shared" si="11"/>
        <v>676.53</v>
      </c>
      <c r="S91" s="7">
        <f t="shared" si="12"/>
        <v>676.53</v>
      </c>
      <c r="T91" s="6">
        <f t="shared" si="13"/>
        <v>8.1967213114754103E-3</v>
      </c>
      <c r="V91" t="s">
        <v>78</v>
      </c>
    </row>
    <row r="92" spans="1:22">
      <c r="A92" s="3">
        <v>45661</v>
      </c>
      <c r="B92" t="str">
        <f t="shared" si="7"/>
        <v>yyyy-01</v>
      </c>
      <c r="C92">
        <f t="shared" si="8"/>
        <v>1</v>
      </c>
      <c r="D92" t="s">
        <v>53</v>
      </c>
      <c r="E92" t="s">
        <v>61</v>
      </c>
      <c r="F92" t="s">
        <v>62</v>
      </c>
      <c r="G92" t="s">
        <v>36</v>
      </c>
      <c r="H92" t="s">
        <v>37</v>
      </c>
      <c r="I92" s="5">
        <v>180</v>
      </c>
      <c r="J92" s="5">
        <v>95</v>
      </c>
      <c r="K92" s="5">
        <v>9</v>
      </c>
      <c r="L92" s="5">
        <v>2</v>
      </c>
      <c r="M92" s="5">
        <v>2</v>
      </c>
      <c r="N92" s="7">
        <v>488.34</v>
      </c>
      <c r="O92" s="7">
        <f t="shared" si="9"/>
        <v>976.68</v>
      </c>
      <c r="P92" s="4">
        <v>0.05</v>
      </c>
      <c r="Q92" s="7">
        <f t="shared" si="10"/>
        <v>48.834000000000003</v>
      </c>
      <c r="R92" s="7">
        <f t="shared" si="11"/>
        <v>927.846</v>
      </c>
      <c r="S92" s="7">
        <f t="shared" si="12"/>
        <v>463.923</v>
      </c>
      <c r="T92" s="6">
        <f t="shared" si="13"/>
        <v>1.1111111111111112E-2</v>
      </c>
      <c r="V92" t="s">
        <v>29</v>
      </c>
    </row>
    <row r="93" spans="1:22">
      <c r="A93" s="3">
        <v>45661</v>
      </c>
      <c r="B93" t="str">
        <f t="shared" si="7"/>
        <v>yyyy-01</v>
      </c>
      <c r="C93">
        <f t="shared" si="8"/>
        <v>1</v>
      </c>
      <c r="D93" t="s">
        <v>53</v>
      </c>
      <c r="E93" t="s">
        <v>64</v>
      </c>
      <c r="F93" t="s">
        <v>65</v>
      </c>
      <c r="G93" t="s">
        <v>31</v>
      </c>
      <c r="H93" t="s">
        <v>32</v>
      </c>
      <c r="I93" s="5">
        <v>334</v>
      </c>
      <c r="J93" s="5">
        <v>221</v>
      </c>
      <c r="K93" s="5">
        <v>18</v>
      </c>
      <c r="L93" s="5">
        <v>3</v>
      </c>
      <c r="M93" s="5">
        <v>3</v>
      </c>
      <c r="N93" s="7">
        <v>801.39</v>
      </c>
      <c r="O93" s="7">
        <f t="shared" si="9"/>
        <v>2404.17</v>
      </c>
      <c r="P93" s="4">
        <v>0</v>
      </c>
      <c r="Q93" s="7">
        <f t="shared" si="10"/>
        <v>0</v>
      </c>
      <c r="R93" s="7">
        <f t="shared" si="11"/>
        <v>2404.17</v>
      </c>
      <c r="S93" s="7">
        <f t="shared" si="12"/>
        <v>801.39</v>
      </c>
      <c r="T93" s="6">
        <f t="shared" si="13"/>
        <v>8.9820359281437123E-3</v>
      </c>
      <c r="V93" t="s">
        <v>29</v>
      </c>
    </row>
    <row r="94" spans="1:22">
      <c r="A94" s="3">
        <v>45661</v>
      </c>
      <c r="B94" t="str">
        <f t="shared" si="7"/>
        <v>yyyy-01</v>
      </c>
      <c r="C94">
        <f t="shared" si="8"/>
        <v>1</v>
      </c>
      <c r="D94" t="s">
        <v>66</v>
      </c>
      <c r="E94" t="s">
        <v>67</v>
      </c>
      <c r="F94" t="s">
        <v>68</v>
      </c>
      <c r="G94" t="s">
        <v>27</v>
      </c>
      <c r="H94" t="s">
        <v>28</v>
      </c>
      <c r="I94" s="5">
        <v>364</v>
      </c>
      <c r="J94" s="5">
        <v>243</v>
      </c>
      <c r="K94" s="5">
        <v>24</v>
      </c>
      <c r="L94" s="5">
        <v>7</v>
      </c>
      <c r="M94" s="5">
        <v>7</v>
      </c>
      <c r="N94" s="7">
        <v>679.03</v>
      </c>
      <c r="O94" s="7">
        <f t="shared" si="9"/>
        <v>4753.21</v>
      </c>
      <c r="P94" s="4">
        <v>0</v>
      </c>
      <c r="Q94" s="7">
        <f t="shared" si="10"/>
        <v>0</v>
      </c>
      <c r="R94" s="7">
        <f t="shared" si="11"/>
        <v>4753.21</v>
      </c>
      <c r="S94" s="7">
        <f t="shared" si="12"/>
        <v>679.03</v>
      </c>
      <c r="T94" s="6">
        <f t="shared" si="13"/>
        <v>1.9230769230769232E-2</v>
      </c>
      <c r="V94" t="s">
        <v>29</v>
      </c>
    </row>
    <row r="95" spans="1:22">
      <c r="A95" s="3">
        <v>45661</v>
      </c>
      <c r="B95" t="str">
        <f t="shared" si="7"/>
        <v>yyyy-01</v>
      </c>
      <c r="C95">
        <f t="shared" si="8"/>
        <v>1</v>
      </c>
      <c r="D95" t="s">
        <v>66</v>
      </c>
      <c r="E95" t="s">
        <v>67</v>
      </c>
      <c r="F95" t="s">
        <v>69</v>
      </c>
      <c r="G95" t="s">
        <v>27</v>
      </c>
      <c r="H95" t="s">
        <v>28</v>
      </c>
      <c r="I95" s="5">
        <v>399</v>
      </c>
      <c r="J95" s="5">
        <v>305</v>
      </c>
      <c r="K95" s="5">
        <v>34</v>
      </c>
      <c r="L95" s="5">
        <v>7</v>
      </c>
      <c r="M95" s="5">
        <v>7</v>
      </c>
      <c r="N95" s="7">
        <v>402.68</v>
      </c>
      <c r="O95" s="7">
        <f t="shared" si="9"/>
        <v>2818.76</v>
      </c>
      <c r="P95" s="4">
        <v>0.05</v>
      </c>
      <c r="Q95" s="7">
        <f t="shared" si="10"/>
        <v>140.93800000000002</v>
      </c>
      <c r="R95" s="7">
        <f t="shared" si="11"/>
        <v>2677.8220000000001</v>
      </c>
      <c r="S95" s="7">
        <f t="shared" si="12"/>
        <v>382.54599999999999</v>
      </c>
      <c r="T95" s="6">
        <f t="shared" si="13"/>
        <v>1.7543859649122806E-2</v>
      </c>
      <c r="V95" t="s">
        <v>29</v>
      </c>
    </row>
    <row r="96" spans="1:22">
      <c r="A96" s="3">
        <v>45661</v>
      </c>
      <c r="B96" t="str">
        <f t="shared" si="7"/>
        <v>yyyy-01</v>
      </c>
      <c r="C96">
        <f t="shared" si="8"/>
        <v>1</v>
      </c>
      <c r="D96" t="s">
        <v>66</v>
      </c>
      <c r="E96" t="s">
        <v>67</v>
      </c>
      <c r="F96" t="s">
        <v>70</v>
      </c>
      <c r="G96" t="s">
        <v>36</v>
      </c>
      <c r="H96" t="s">
        <v>37</v>
      </c>
      <c r="I96" s="5">
        <v>368</v>
      </c>
      <c r="J96" s="5">
        <v>257</v>
      </c>
      <c r="K96" s="5">
        <v>32</v>
      </c>
      <c r="L96" s="5">
        <v>7</v>
      </c>
      <c r="M96" s="5">
        <v>7</v>
      </c>
      <c r="N96" s="7">
        <v>345.18</v>
      </c>
      <c r="O96" s="7">
        <f t="shared" si="9"/>
        <v>2416.2600000000002</v>
      </c>
      <c r="P96" s="4">
        <v>0</v>
      </c>
      <c r="Q96" s="7">
        <f t="shared" si="10"/>
        <v>0</v>
      </c>
      <c r="R96" s="7">
        <f t="shared" si="11"/>
        <v>2416.2600000000002</v>
      </c>
      <c r="S96" s="7">
        <f t="shared" si="12"/>
        <v>345.18</v>
      </c>
      <c r="T96" s="6">
        <f t="shared" si="13"/>
        <v>1.9021739130434784E-2</v>
      </c>
      <c r="V96" t="s">
        <v>29</v>
      </c>
    </row>
    <row r="97" spans="1:22">
      <c r="A97" s="3">
        <v>45661</v>
      </c>
      <c r="B97" t="str">
        <f t="shared" si="7"/>
        <v>yyyy-01</v>
      </c>
      <c r="C97">
        <f t="shared" si="8"/>
        <v>1</v>
      </c>
      <c r="D97" t="s">
        <v>66</v>
      </c>
      <c r="E97" t="s">
        <v>71</v>
      </c>
      <c r="F97" t="s">
        <v>72</v>
      </c>
      <c r="G97" t="s">
        <v>36</v>
      </c>
      <c r="H97" t="s">
        <v>37</v>
      </c>
      <c r="I97" s="5">
        <v>462</v>
      </c>
      <c r="J97" s="5">
        <v>380</v>
      </c>
      <c r="K97" s="5">
        <v>41</v>
      </c>
      <c r="L97" s="5">
        <v>7</v>
      </c>
      <c r="M97" s="5">
        <v>8</v>
      </c>
      <c r="N97" s="7">
        <v>126.3</v>
      </c>
      <c r="O97" s="7">
        <f t="shared" si="9"/>
        <v>1010.4</v>
      </c>
      <c r="P97" s="4">
        <v>0.03</v>
      </c>
      <c r="Q97" s="7">
        <f t="shared" si="10"/>
        <v>30.311999999999998</v>
      </c>
      <c r="R97" s="7">
        <f t="shared" si="11"/>
        <v>980.08799999999997</v>
      </c>
      <c r="S97" s="7">
        <f t="shared" si="12"/>
        <v>140.01257142857142</v>
      </c>
      <c r="T97" s="6">
        <f t="shared" si="13"/>
        <v>1.5151515151515152E-2</v>
      </c>
      <c r="V97" t="s">
        <v>29</v>
      </c>
    </row>
    <row r="98" spans="1:22">
      <c r="A98" s="3">
        <v>45661</v>
      </c>
      <c r="B98" t="str">
        <f t="shared" si="7"/>
        <v>yyyy-01</v>
      </c>
      <c r="C98">
        <f t="shared" si="8"/>
        <v>1</v>
      </c>
      <c r="D98" t="s">
        <v>66</v>
      </c>
      <c r="E98" t="s">
        <v>73</v>
      </c>
      <c r="F98" t="s">
        <v>74</v>
      </c>
      <c r="G98" t="s">
        <v>36</v>
      </c>
      <c r="H98" t="s">
        <v>37</v>
      </c>
      <c r="I98" s="5">
        <v>205</v>
      </c>
      <c r="J98" s="5">
        <v>148</v>
      </c>
      <c r="K98" s="5">
        <v>20</v>
      </c>
      <c r="L98" s="5">
        <v>4</v>
      </c>
      <c r="M98" s="5">
        <v>4</v>
      </c>
      <c r="N98" s="7">
        <v>1153.7</v>
      </c>
      <c r="O98" s="7">
        <f t="shared" si="9"/>
        <v>4614.8</v>
      </c>
      <c r="P98" s="4">
        <v>0</v>
      </c>
      <c r="Q98" s="7">
        <f t="shared" si="10"/>
        <v>0</v>
      </c>
      <c r="R98" s="7">
        <f t="shared" si="11"/>
        <v>4614.8</v>
      </c>
      <c r="S98" s="7">
        <f t="shared" si="12"/>
        <v>1153.7</v>
      </c>
      <c r="T98" s="6">
        <f t="shared" si="13"/>
        <v>1.9512195121951219E-2</v>
      </c>
      <c r="V98" t="s">
        <v>29</v>
      </c>
    </row>
    <row r="99" spans="1:22">
      <c r="A99" s="3">
        <v>45661</v>
      </c>
      <c r="B99" t="str">
        <f t="shared" si="7"/>
        <v>yyyy-01</v>
      </c>
      <c r="C99">
        <f t="shared" si="8"/>
        <v>1</v>
      </c>
      <c r="D99" t="s">
        <v>66</v>
      </c>
      <c r="E99" t="s">
        <v>71</v>
      </c>
      <c r="F99" t="s">
        <v>75</v>
      </c>
      <c r="G99" t="s">
        <v>27</v>
      </c>
      <c r="H99" t="s">
        <v>28</v>
      </c>
      <c r="I99" s="5">
        <v>408</v>
      </c>
      <c r="J99" s="5">
        <v>224</v>
      </c>
      <c r="K99" s="5">
        <v>18</v>
      </c>
      <c r="L99" s="5">
        <v>9</v>
      </c>
      <c r="M99" s="5">
        <v>12</v>
      </c>
      <c r="N99" s="7">
        <v>39.71</v>
      </c>
      <c r="O99" s="7">
        <f t="shared" si="9"/>
        <v>476.52</v>
      </c>
      <c r="P99" s="4">
        <v>0.03</v>
      </c>
      <c r="Q99" s="7">
        <f t="shared" si="10"/>
        <v>14.295599999999999</v>
      </c>
      <c r="R99" s="7">
        <f t="shared" si="11"/>
        <v>462.2244</v>
      </c>
      <c r="S99" s="7">
        <f t="shared" si="12"/>
        <v>51.358266666666665</v>
      </c>
      <c r="T99" s="6">
        <f t="shared" si="13"/>
        <v>2.2058823529411766E-2</v>
      </c>
      <c r="V99" t="s">
        <v>29</v>
      </c>
    </row>
    <row r="100" spans="1:22">
      <c r="A100" s="3">
        <v>45661</v>
      </c>
      <c r="B100" t="str">
        <f t="shared" si="7"/>
        <v>yyyy-01</v>
      </c>
      <c r="C100">
        <f t="shared" si="8"/>
        <v>1</v>
      </c>
      <c r="D100" t="s">
        <v>24</v>
      </c>
      <c r="E100" t="s">
        <v>76</v>
      </c>
      <c r="F100" t="s">
        <v>77</v>
      </c>
      <c r="G100" t="s">
        <v>31</v>
      </c>
      <c r="H100" t="s">
        <v>32</v>
      </c>
      <c r="I100" s="5">
        <v>787</v>
      </c>
      <c r="J100" s="5">
        <v>578</v>
      </c>
      <c r="K100" s="5">
        <v>77</v>
      </c>
      <c r="L100" s="5">
        <v>17</v>
      </c>
      <c r="M100" s="5">
        <v>22</v>
      </c>
      <c r="N100" s="7">
        <v>195.58</v>
      </c>
      <c r="O100" s="7">
        <f t="shared" si="9"/>
        <v>4302.76</v>
      </c>
      <c r="P100" s="4">
        <v>0</v>
      </c>
      <c r="Q100" s="7">
        <f t="shared" si="10"/>
        <v>0</v>
      </c>
      <c r="R100" s="7">
        <f t="shared" si="11"/>
        <v>4302.76</v>
      </c>
      <c r="S100" s="7">
        <f t="shared" si="12"/>
        <v>253.10352941176473</v>
      </c>
      <c r="T100" s="6">
        <f t="shared" si="13"/>
        <v>2.1601016518424398E-2</v>
      </c>
      <c r="V100" t="s">
        <v>29</v>
      </c>
    </row>
    <row r="101" spans="1:22">
      <c r="A101" s="3">
        <v>45662</v>
      </c>
      <c r="B101" t="str">
        <f t="shared" si="7"/>
        <v>yyyy-01</v>
      </c>
      <c r="C101">
        <f t="shared" si="8"/>
        <v>1</v>
      </c>
      <c r="D101" t="s">
        <v>24</v>
      </c>
      <c r="E101" t="s">
        <v>25</v>
      </c>
      <c r="F101" t="s">
        <v>26</v>
      </c>
      <c r="G101" t="s">
        <v>36</v>
      </c>
      <c r="H101" t="s">
        <v>37</v>
      </c>
      <c r="I101" s="5">
        <v>1373</v>
      </c>
      <c r="J101" s="5">
        <v>976</v>
      </c>
      <c r="K101" s="5">
        <v>97</v>
      </c>
      <c r="L101" s="5">
        <v>24</v>
      </c>
      <c r="M101" s="5">
        <v>24</v>
      </c>
      <c r="N101" s="7">
        <v>972.68</v>
      </c>
      <c r="O101" s="7">
        <f t="shared" si="9"/>
        <v>23344.32</v>
      </c>
      <c r="P101" s="4">
        <v>0.05</v>
      </c>
      <c r="Q101" s="7">
        <f t="shared" si="10"/>
        <v>1167.2160000000001</v>
      </c>
      <c r="R101" s="7">
        <f t="shared" si="11"/>
        <v>22177.103999999999</v>
      </c>
      <c r="S101" s="7">
        <f t="shared" si="12"/>
        <v>924.04599999999994</v>
      </c>
      <c r="T101" s="6">
        <f t="shared" si="13"/>
        <v>1.7479970866715221E-2</v>
      </c>
      <c r="V101" t="s">
        <v>29</v>
      </c>
    </row>
    <row r="102" spans="1:22">
      <c r="A102" s="3">
        <v>45662</v>
      </c>
      <c r="B102" t="str">
        <f t="shared" si="7"/>
        <v>yyyy-01</v>
      </c>
      <c r="C102">
        <f t="shared" si="8"/>
        <v>1</v>
      </c>
      <c r="D102" t="s">
        <v>24</v>
      </c>
      <c r="E102" t="s">
        <v>25</v>
      </c>
      <c r="F102" t="s">
        <v>30</v>
      </c>
      <c r="G102" t="s">
        <v>31</v>
      </c>
      <c r="H102" t="s">
        <v>32</v>
      </c>
      <c r="I102" s="5">
        <v>1861</v>
      </c>
      <c r="J102" s="5">
        <v>1373</v>
      </c>
      <c r="K102" s="5">
        <v>88</v>
      </c>
      <c r="L102" s="5">
        <v>30</v>
      </c>
      <c r="M102" s="5">
        <v>30</v>
      </c>
      <c r="N102" s="7">
        <v>383.73</v>
      </c>
      <c r="O102" s="7">
        <f t="shared" si="9"/>
        <v>11511.900000000001</v>
      </c>
      <c r="P102" s="4">
        <v>0</v>
      </c>
      <c r="Q102" s="7">
        <f t="shared" si="10"/>
        <v>0</v>
      </c>
      <c r="R102" s="7">
        <f t="shared" si="11"/>
        <v>11511.900000000001</v>
      </c>
      <c r="S102" s="7">
        <f t="shared" si="12"/>
        <v>383.73000000000008</v>
      </c>
      <c r="T102" s="6">
        <f t="shared" si="13"/>
        <v>1.6120365394948953E-2</v>
      </c>
      <c r="V102" t="s">
        <v>29</v>
      </c>
    </row>
    <row r="103" spans="1:22">
      <c r="A103" s="3">
        <v>45662</v>
      </c>
      <c r="B103" t="str">
        <f t="shared" si="7"/>
        <v>yyyy-01</v>
      </c>
      <c r="C103">
        <f t="shared" si="8"/>
        <v>1</v>
      </c>
      <c r="D103" t="s">
        <v>24</v>
      </c>
      <c r="E103" t="s">
        <v>25</v>
      </c>
      <c r="F103" t="s">
        <v>33</v>
      </c>
      <c r="G103" t="s">
        <v>36</v>
      </c>
      <c r="H103" t="s">
        <v>37</v>
      </c>
      <c r="I103" s="5">
        <v>1588</v>
      </c>
      <c r="J103" s="5">
        <v>1087</v>
      </c>
      <c r="K103" s="5">
        <v>149</v>
      </c>
      <c r="L103" s="5">
        <v>34</v>
      </c>
      <c r="M103" s="5">
        <v>34</v>
      </c>
      <c r="N103" s="7">
        <v>1735.56</v>
      </c>
      <c r="O103" s="7">
        <f t="shared" si="9"/>
        <v>59009.04</v>
      </c>
      <c r="P103" s="4">
        <v>0</v>
      </c>
      <c r="Q103" s="7">
        <f t="shared" si="10"/>
        <v>0</v>
      </c>
      <c r="R103" s="7">
        <f t="shared" si="11"/>
        <v>59009.04</v>
      </c>
      <c r="S103" s="7">
        <f t="shared" si="12"/>
        <v>1735.56</v>
      </c>
      <c r="T103" s="6">
        <f t="shared" si="13"/>
        <v>2.1410579345088162E-2</v>
      </c>
      <c r="V103" t="s">
        <v>29</v>
      </c>
    </row>
    <row r="104" spans="1:22">
      <c r="A104" s="3">
        <v>45662</v>
      </c>
      <c r="B104" t="str">
        <f t="shared" si="7"/>
        <v>yyyy-01</v>
      </c>
      <c r="C104">
        <f t="shared" si="8"/>
        <v>1</v>
      </c>
      <c r="D104" t="s">
        <v>24</v>
      </c>
      <c r="E104" t="s">
        <v>34</v>
      </c>
      <c r="F104" t="s">
        <v>35</v>
      </c>
      <c r="G104" t="s">
        <v>27</v>
      </c>
      <c r="H104" t="s">
        <v>48</v>
      </c>
      <c r="I104" s="5">
        <v>807</v>
      </c>
      <c r="J104" s="5">
        <v>544</v>
      </c>
      <c r="K104" s="5">
        <v>50</v>
      </c>
      <c r="L104" s="5">
        <v>17</v>
      </c>
      <c r="M104" s="5">
        <v>17</v>
      </c>
      <c r="N104" s="7">
        <v>887.83</v>
      </c>
      <c r="O104" s="7">
        <f t="shared" si="9"/>
        <v>15093.11</v>
      </c>
      <c r="P104" s="4">
        <v>0.03</v>
      </c>
      <c r="Q104" s="7">
        <f t="shared" si="10"/>
        <v>452.79329999999999</v>
      </c>
      <c r="R104" s="7">
        <f t="shared" si="11"/>
        <v>14640.316700000001</v>
      </c>
      <c r="S104" s="7">
        <f t="shared" si="12"/>
        <v>861.19510000000002</v>
      </c>
      <c r="T104" s="6">
        <f t="shared" si="13"/>
        <v>2.1065675340768277E-2</v>
      </c>
      <c r="V104" t="s">
        <v>29</v>
      </c>
    </row>
    <row r="105" spans="1:22">
      <c r="A105" s="3">
        <v>45662</v>
      </c>
      <c r="B105" t="str">
        <f t="shared" si="7"/>
        <v>yyyy-01</v>
      </c>
      <c r="C105">
        <f t="shared" si="8"/>
        <v>1</v>
      </c>
      <c r="D105" t="s">
        <v>24</v>
      </c>
      <c r="E105" t="s">
        <v>38</v>
      </c>
      <c r="F105" t="s">
        <v>39</v>
      </c>
      <c r="G105" t="s">
        <v>27</v>
      </c>
      <c r="H105" t="s">
        <v>45</v>
      </c>
      <c r="I105" s="5">
        <v>715</v>
      </c>
      <c r="J105" s="5">
        <v>469</v>
      </c>
      <c r="K105" s="5">
        <v>49</v>
      </c>
      <c r="L105" s="5">
        <v>13</v>
      </c>
      <c r="M105" s="5">
        <v>13</v>
      </c>
      <c r="N105" s="7">
        <v>324.22000000000003</v>
      </c>
      <c r="O105" s="7">
        <f t="shared" si="9"/>
        <v>4214.8600000000006</v>
      </c>
      <c r="P105" s="4">
        <v>0</v>
      </c>
      <c r="Q105" s="7">
        <f t="shared" si="10"/>
        <v>0</v>
      </c>
      <c r="R105" s="7">
        <f t="shared" si="11"/>
        <v>4214.8600000000006</v>
      </c>
      <c r="S105" s="7">
        <f t="shared" si="12"/>
        <v>324.22000000000003</v>
      </c>
      <c r="T105" s="6">
        <f t="shared" si="13"/>
        <v>1.8181818181818181E-2</v>
      </c>
      <c r="V105" t="s">
        <v>29</v>
      </c>
    </row>
    <row r="106" spans="1:22">
      <c r="A106" s="3">
        <v>45662</v>
      </c>
      <c r="B106" t="str">
        <f t="shared" si="7"/>
        <v>yyyy-01</v>
      </c>
      <c r="C106">
        <f t="shared" si="8"/>
        <v>1</v>
      </c>
      <c r="D106" t="s">
        <v>24</v>
      </c>
      <c r="E106" t="s">
        <v>40</v>
      </c>
      <c r="F106" t="s">
        <v>41</v>
      </c>
      <c r="G106" t="s">
        <v>36</v>
      </c>
      <c r="H106" t="s">
        <v>37</v>
      </c>
      <c r="I106" s="5">
        <v>725</v>
      </c>
      <c r="J106" s="5">
        <v>463</v>
      </c>
      <c r="K106" s="5">
        <v>41</v>
      </c>
      <c r="L106" s="5">
        <v>15</v>
      </c>
      <c r="M106" s="5">
        <v>18</v>
      </c>
      <c r="N106" s="7">
        <v>182.5</v>
      </c>
      <c r="O106" s="7">
        <f t="shared" si="9"/>
        <v>3285</v>
      </c>
      <c r="P106" s="4">
        <v>0</v>
      </c>
      <c r="Q106" s="7">
        <f t="shared" si="10"/>
        <v>0</v>
      </c>
      <c r="R106" s="7">
        <f t="shared" si="11"/>
        <v>3285</v>
      </c>
      <c r="S106" s="7">
        <f t="shared" si="12"/>
        <v>219</v>
      </c>
      <c r="T106" s="6">
        <f t="shared" si="13"/>
        <v>2.0689655172413793E-2</v>
      </c>
      <c r="V106" t="s">
        <v>29</v>
      </c>
    </row>
    <row r="107" spans="1:22">
      <c r="A107" s="3">
        <v>45662</v>
      </c>
      <c r="B107" t="str">
        <f t="shared" si="7"/>
        <v>yyyy-01</v>
      </c>
      <c r="C107">
        <f t="shared" si="8"/>
        <v>1</v>
      </c>
      <c r="D107" t="s">
        <v>42</v>
      </c>
      <c r="E107" t="s">
        <v>43</v>
      </c>
      <c r="F107" t="s">
        <v>44</v>
      </c>
      <c r="G107" t="s">
        <v>36</v>
      </c>
      <c r="H107" t="s">
        <v>37</v>
      </c>
      <c r="I107" s="5">
        <v>711</v>
      </c>
      <c r="J107" s="5">
        <v>541</v>
      </c>
      <c r="K107" s="5">
        <v>62</v>
      </c>
      <c r="L107" s="5">
        <v>13</v>
      </c>
      <c r="M107" s="5">
        <v>13</v>
      </c>
      <c r="N107" s="7">
        <v>1311.95</v>
      </c>
      <c r="O107" s="7">
        <f t="shared" si="9"/>
        <v>17055.350000000002</v>
      </c>
      <c r="P107" s="4">
        <v>0.05</v>
      </c>
      <c r="Q107" s="7">
        <f t="shared" si="10"/>
        <v>852.76750000000015</v>
      </c>
      <c r="R107" s="7">
        <f t="shared" si="11"/>
        <v>16202.582500000002</v>
      </c>
      <c r="S107" s="7">
        <f t="shared" si="12"/>
        <v>1246.3525000000002</v>
      </c>
      <c r="T107" s="6">
        <f t="shared" si="13"/>
        <v>1.8284106891701828E-2</v>
      </c>
      <c r="V107" t="s">
        <v>29</v>
      </c>
    </row>
    <row r="108" spans="1:22">
      <c r="A108" s="3">
        <v>45662</v>
      </c>
      <c r="B108" t="str">
        <f t="shared" si="7"/>
        <v>yyyy-01</v>
      </c>
      <c r="C108">
        <f t="shared" si="8"/>
        <v>1</v>
      </c>
      <c r="D108" t="s">
        <v>42</v>
      </c>
      <c r="E108" t="s">
        <v>43</v>
      </c>
      <c r="F108" t="s">
        <v>46</v>
      </c>
      <c r="G108" t="s">
        <v>27</v>
      </c>
      <c r="H108" t="s">
        <v>48</v>
      </c>
      <c r="I108" s="5">
        <v>396</v>
      </c>
      <c r="J108" s="5">
        <v>249</v>
      </c>
      <c r="K108" s="5">
        <v>23</v>
      </c>
      <c r="L108" s="5">
        <v>6</v>
      </c>
      <c r="M108" s="5">
        <v>6</v>
      </c>
      <c r="N108" s="7">
        <v>2206.16</v>
      </c>
      <c r="O108" s="7">
        <f t="shared" si="9"/>
        <v>13236.96</v>
      </c>
      <c r="P108" s="4">
        <v>0</v>
      </c>
      <c r="Q108" s="7">
        <f t="shared" si="10"/>
        <v>0</v>
      </c>
      <c r="R108" s="7">
        <f t="shared" si="11"/>
        <v>13236.96</v>
      </c>
      <c r="S108" s="7">
        <f t="shared" si="12"/>
        <v>2206.16</v>
      </c>
      <c r="T108" s="6">
        <f t="shared" si="13"/>
        <v>1.5151515151515152E-2</v>
      </c>
      <c r="V108" t="s">
        <v>29</v>
      </c>
    </row>
    <row r="109" spans="1:22">
      <c r="A109" s="3">
        <v>45662</v>
      </c>
      <c r="B109" t="str">
        <f t="shared" si="7"/>
        <v>yyyy-01</v>
      </c>
      <c r="C109">
        <f t="shared" si="8"/>
        <v>1</v>
      </c>
      <c r="D109" t="s">
        <v>42</v>
      </c>
      <c r="E109" t="s">
        <v>43</v>
      </c>
      <c r="F109" t="s">
        <v>47</v>
      </c>
      <c r="G109" t="s">
        <v>27</v>
      </c>
      <c r="H109" t="s">
        <v>28</v>
      </c>
      <c r="I109" s="5">
        <v>588</v>
      </c>
      <c r="J109" s="5">
        <v>362</v>
      </c>
      <c r="K109" s="5">
        <v>36</v>
      </c>
      <c r="L109" s="5">
        <v>8</v>
      </c>
      <c r="M109" s="5">
        <v>8</v>
      </c>
      <c r="N109" s="7">
        <v>578.28</v>
      </c>
      <c r="O109" s="7">
        <f t="shared" si="9"/>
        <v>4626.24</v>
      </c>
      <c r="P109" s="4">
        <v>0</v>
      </c>
      <c r="Q109" s="7">
        <f t="shared" si="10"/>
        <v>0</v>
      </c>
      <c r="R109" s="7">
        <f t="shared" si="11"/>
        <v>4626.24</v>
      </c>
      <c r="S109" s="7">
        <f t="shared" si="12"/>
        <v>578.28</v>
      </c>
      <c r="T109" s="6">
        <f t="shared" si="13"/>
        <v>1.3605442176870748E-2</v>
      </c>
      <c r="V109" t="s">
        <v>29</v>
      </c>
    </row>
    <row r="110" spans="1:22">
      <c r="A110" s="3">
        <v>45662</v>
      </c>
      <c r="B110" t="str">
        <f t="shared" si="7"/>
        <v>yyyy-01</v>
      </c>
      <c r="C110">
        <f t="shared" si="8"/>
        <v>1</v>
      </c>
      <c r="D110" t="s">
        <v>42</v>
      </c>
      <c r="E110" t="s">
        <v>49</v>
      </c>
      <c r="F110" t="s">
        <v>50</v>
      </c>
      <c r="G110" t="s">
        <v>36</v>
      </c>
      <c r="H110" t="s">
        <v>37</v>
      </c>
      <c r="I110" s="5">
        <v>152</v>
      </c>
      <c r="J110" s="5">
        <v>88</v>
      </c>
      <c r="K110" s="5">
        <v>14</v>
      </c>
      <c r="L110" s="5">
        <v>3</v>
      </c>
      <c r="M110" s="5">
        <v>3</v>
      </c>
      <c r="N110" s="7">
        <v>989.12</v>
      </c>
      <c r="O110" s="7">
        <f t="shared" si="9"/>
        <v>2967.36</v>
      </c>
      <c r="P110" s="4">
        <v>0.05</v>
      </c>
      <c r="Q110" s="7">
        <f t="shared" si="10"/>
        <v>148.36800000000002</v>
      </c>
      <c r="R110" s="7">
        <f t="shared" si="11"/>
        <v>2818.9920000000002</v>
      </c>
      <c r="S110" s="7">
        <f t="shared" si="12"/>
        <v>939.6640000000001</v>
      </c>
      <c r="T110" s="6">
        <f t="shared" si="13"/>
        <v>1.9736842105263157E-2</v>
      </c>
      <c r="V110" t="s">
        <v>29</v>
      </c>
    </row>
    <row r="111" spans="1:22">
      <c r="A111" s="3">
        <v>45662</v>
      </c>
      <c r="B111" t="str">
        <f t="shared" si="7"/>
        <v>yyyy-01</v>
      </c>
      <c r="C111">
        <f t="shared" si="8"/>
        <v>1</v>
      </c>
      <c r="D111" t="s">
        <v>42</v>
      </c>
      <c r="E111" t="s">
        <v>51</v>
      </c>
      <c r="F111" t="s">
        <v>52</v>
      </c>
      <c r="G111" t="s">
        <v>36</v>
      </c>
      <c r="H111" t="s">
        <v>37</v>
      </c>
      <c r="I111" s="5">
        <v>321</v>
      </c>
      <c r="J111" s="5">
        <v>247</v>
      </c>
      <c r="K111" s="5">
        <v>15</v>
      </c>
      <c r="L111" s="5">
        <v>5</v>
      </c>
      <c r="M111" s="5">
        <v>5</v>
      </c>
      <c r="N111" s="7">
        <v>609.65</v>
      </c>
      <c r="O111" s="7">
        <f t="shared" si="9"/>
        <v>3048.25</v>
      </c>
      <c r="P111" s="4">
        <v>0</v>
      </c>
      <c r="Q111" s="7">
        <f t="shared" si="10"/>
        <v>0</v>
      </c>
      <c r="R111" s="7">
        <f t="shared" si="11"/>
        <v>3048.25</v>
      </c>
      <c r="S111" s="7">
        <f t="shared" si="12"/>
        <v>609.65</v>
      </c>
      <c r="T111" s="6">
        <f t="shared" si="13"/>
        <v>1.5576323987538941E-2</v>
      </c>
      <c r="V111" t="s">
        <v>29</v>
      </c>
    </row>
    <row r="112" spans="1:22">
      <c r="A112" s="3">
        <v>45662</v>
      </c>
      <c r="B112" t="str">
        <f t="shared" si="7"/>
        <v>yyyy-01</v>
      </c>
      <c r="C112">
        <f t="shared" si="8"/>
        <v>1</v>
      </c>
      <c r="D112" t="s">
        <v>53</v>
      </c>
      <c r="E112" t="s">
        <v>54</v>
      </c>
      <c r="F112" t="s">
        <v>55</v>
      </c>
      <c r="G112" t="s">
        <v>31</v>
      </c>
      <c r="H112" t="s">
        <v>32</v>
      </c>
      <c r="I112" s="5">
        <v>184</v>
      </c>
      <c r="J112" s="5">
        <v>136</v>
      </c>
      <c r="K112" s="5">
        <v>15</v>
      </c>
      <c r="L112" s="5">
        <v>3</v>
      </c>
      <c r="M112" s="5">
        <v>3</v>
      </c>
      <c r="N112" s="7">
        <v>1275.55</v>
      </c>
      <c r="O112" s="7">
        <f t="shared" si="9"/>
        <v>3826.6499999999996</v>
      </c>
      <c r="P112" s="4">
        <v>0</v>
      </c>
      <c r="Q112" s="7">
        <f t="shared" si="10"/>
        <v>0</v>
      </c>
      <c r="R112" s="7">
        <f t="shared" si="11"/>
        <v>3826.6499999999996</v>
      </c>
      <c r="S112" s="7">
        <f t="shared" si="12"/>
        <v>1275.55</v>
      </c>
      <c r="T112" s="6">
        <f t="shared" si="13"/>
        <v>1.6304347826086956E-2</v>
      </c>
      <c r="V112" t="s">
        <v>29</v>
      </c>
    </row>
    <row r="113" spans="1:22">
      <c r="A113" s="3">
        <v>45662</v>
      </c>
      <c r="B113" t="str">
        <f t="shared" si="7"/>
        <v>yyyy-01</v>
      </c>
      <c r="C113">
        <f t="shared" si="8"/>
        <v>1</v>
      </c>
      <c r="D113" t="s">
        <v>53</v>
      </c>
      <c r="E113" t="s">
        <v>56</v>
      </c>
      <c r="F113" t="s">
        <v>57</v>
      </c>
      <c r="G113" t="s">
        <v>27</v>
      </c>
      <c r="H113" t="s">
        <v>45</v>
      </c>
      <c r="I113" s="5">
        <v>210</v>
      </c>
      <c r="J113" s="5">
        <v>157</v>
      </c>
      <c r="K113" s="5">
        <v>14</v>
      </c>
      <c r="L113" s="5">
        <v>2</v>
      </c>
      <c r="M113" s="5">
        <v>2</v>
      </c>
      <c r="N113" s="7">
        <v>735.73</v>
      </c>
      <c r="O113" s="7">
        <f t="shared" si="9"/>
        <v>1471.46</v>
      </c>
      <c r="P113" s="4">
        <v>0</v>
      </c>
      <c r="Q113" s="7">
        <f t="shared" si="10"/>
        <v>0</v>
      </c>
      <c r="R113" s="7">
        <f t="shared" si="11"/>
        <v>1471.46</v>
      </c>
      <c r="S113" s="7">
        <f t="shared" si="12"/>
        <v>735.73</v>
      </c>
      <c r="T113" s="6">
        <f t="shared" si="13"/>
        <v>9.5238095238095247E-3</v>
      </c>
      <c r="V113" t="s">
        <v>29</v>
      </c>
    </row>
    <row r="114" spans="1:22">
      <c r="A114" s="3">
        <v>45662</v>
      </c>
      <c r="B114" t="str">
        <f t="shared" si="7"/>
        <v>yyyy-01</v>
      </c>
      <c r="C114">
        <f t="shared" si="8"/>
        <v>1</v>
      </c>
      <c r="D114" t="s">
        <v>53</v>
      </c>
      <c r="E114" t="s">
        <v>56</v>
      </c>
      <c r="F114" t="s">
        <v>58</v>
      </c>
      <c r="G114" t="s">
        <v>27</v>
      </c>
      <c r="H114" t="s">
        <v>45</v>
      </c>
      <c r="I114" s="5">
        <v>210</v>
      </c>
      <c r="J114" s="5">
        <v>166</v>
      </c>
      <c r="K114" s="5">
        <v>10</v>
      </c>
      <c r="L114" s="5">
        <v>2</v>
      </c>
      <c r="M114" s="5">
        <v>2</v>
      </c>
      <c r="N114" s="7">
        <v>866.45</v>
      </c>
      <c r="O114" s="7">
        <f t="shared" si="9"/>
        <v>1732.9</v>
      </c>
      <c r="P114" s="4">
        <v>0</v>
      </c>
      <c r="Q114" s="7">
        <f t="shared" si="10"/>
        <v>0</v>
      </c>
      <c r="R114" s="7">
        <f t="shared" si="11"/>
        <v>1732.9</v>
      </c>
      <c r="S114" s="7">
        <f t="shared" si="12"/>
        <v>866.45</v>
      </c>
      <c r="T114" s="6">
        <f t="shared" si="13"/>
        <v>9.5238095238095247E-3</v>
      </c>
      <c r="V114" t="s">
        <v>78</v>
      </c>
    </row>
    <row r="115" spans="1:22">
      <c r="A115" s="3">
        <v>45662</v>
      </c>
      <c r="B115" t="str">
        <f t="shared" si="7"/>
        <v>yyyy-01</v>
      </c>
      <c r="C115">
        <f t="shared" si="8"/>
        <v>1</v>
      </c>
      <c r="D115" t="s">
        <v>53</v>
      </c>
      <c r="E115" t="s">
        <v>59</v>
      </c>
      <c r="F115" t="s">
        <v>60</v>
      </c>
      <c r="G115" t="s">
        <v>27</v>
      </c>
      <c r="H115" t="s">
        <v>48</v>
      </c>
      <c r="I115" s="5">
        <v>112</v>
      </c>
      <c r="J115" s="5">
        <v>91</v>
      </c>
      <c r="K115" s="5">
        <v>4</v>
      </c>
      <c r="L115" s="5">
        <v>1</v>
      </c>
      <c r="M115" s="5">
        <v>1</v>
      </c>
      <c r="N115" s="7">
        <v>708.25</v>
      </c>
      <c r="O115" s="7">
        <f t="shared" si="9"/>
        <v>708.25</v>
      </c>
      <c r="P115" s="4">
        <v>0.05</v>
      </c>
      <c r="Q115" s="7">
        <f t="shared" si="10"/>
        <v>35.412500000000001</v>
      </c>
      <c r="R115" s="7">
        <f t="shared" si="11"/>
        <v>672.83749999999998</v>
      </c>
      <c r="S115" s="7">
        <f t="shared" si="12"/>
        <v>672.83749999999998</v>
      </c>
      <c r="T115" s="6">
        <f t="shared" si="13"/>
        <v>8.9285714285714281E-3</v>
      </c>
      <c r="V115" t="s">
        <v>29</v>
      </c>
    </row>
    <row r="116" spans="1:22">
      <c r="A116" s="3">
        <v>45662</v>
      </c>
      <c r="B116" t="str">
        <f t="shared" si="7"/>
        <v>yyyy-01</v>
      </c>
      <c r="C116">
        <f t="shared" si="8"/>
        <v>1</v>
      </c>
      <c r="D116" t="s">
        <v>53</v>
      </c>
      <c r="E116" t="s">
        <v>61</v>
      </c>
      <c r="F116" t="s">
        <v>62</v>
      </c>
      <c r="G116" t="s">
        <v>31</v>
      </c>
      <c r="H116" t="s">
        <v>32</v>
      </c>
      <c r="I116" s="5">
        <v>209</v>
      </c>
      <c r="J116" s="5">
        <v>170</v>
      </c>
      <c r="K116" s="5">
        <v>15</v>
      </c>
      <c r="L116" s="5">
        <v>3</v>
      </c>
      <c r="M116" s="5">
        <v>3</v>
      </c>
      <c r="N116" s="7">
        <v>500.79</v>
      </c>
      <c r="O116" s="7">
        <f t="shared" si="9"/>
        <v>1502.3700000000001</v>
      </c>
      <c r="P116" s="4">
        <v>0</v>
      </c>
      <c r="Q116" s="7">
        <f t="shared" si="10"/>
        <v>0</v>
      </c>
      <c r="R116" s="7">
        <f t="shared" si="11"/>
        <v>1502.3700000000001</v>
      </c>
      <c r="S116" s="7">
        <f t="shared" si="12"/>
        <v>500.79</v>
      </c>
      <c r="T116" s="6">
        <f t="shared" si="13"/>
        <v>1.4354066985645933E-2</v>
      </c>
      <c r="V116" t="s">
        <v>29</v>
      </c>
    </row>
    <row r="117" spans="1:22">
      <c r="A117" s="3">
        <v>45662</v>
      </c>
      <c r="B117" t="str">
        <f t="shared" si="7"/>
        <v>yyyy-01</v>
      </c>
      <c r="C117">
        <f t="shared" si="8"/>
        <v>1</v>
      </c>
      <c r="D117" t="s">
        <v>53</v>
      </c>
      <c r="E117" t="s">
        <v>64</v>
      </c>
      <c r="F117" t="s">
        <v>65</v>
      </c>
      <c r="G117" t="s">
        <v>27</v>
      </c>
      <c r="H117" t="s">
        <v>48</v>
      </c>
      <c r="I117" s="5">
        <v>139</v>
      </c>
      <c r="J117" s="5">
        <v>113</v>
      </c>
      <c r="K117" s="5">
        <v>9</v>
      </c>
      <c r="L117" s="5">
        <v>1</v>
      </c>
      <c r="M117" s="5">
        <v>1</v>
      </c>
      <c r="N117" s="7">
        <v>812.61</v>
      </c>
      <c r="O117" s="7">
        <f t="shared" si="9"/>
        <v>812.61</v>
      </c>
      <c r="P117" s="4">
        <v>0.05</v>
      </c>
      <c r="Q117" s="7">
        <f t="shared" si="10"/>
        <v>40.630500000000005</v>
      </c>
      <c r="R117" s="7">
        <f t="shared" si="11"/>
        <v>771.97950000000003</v>
      </c>
      <c r="S117" s="7">
        <f t="shared" si="12"/>
        <v>771.97950000000003</v>
      </c>
      <c r="T117" s="6">
        <f t="shared" si="13"/>
        <v>7.1942446043165471E-3</v>
      </c>
      <c r="V117" t="s">
        <v>29</v>
      </c>
    </row>
    <row r="118" spans="1:22">
      <c r="A118" s="3">
        <v>45662</v>
      </c>
      <c r="B118" t="str">
        <f t="shared" si="7"/>
        <v>yyyy-01</v>
      </c>
      <c r="C118">
        <f t="shared" si="8"/>
        <v>1</v>
      </c>
      <c r="D118" t="s">
        <v>66</v>
      </c>
      <c r="E118" t="s">
        <v>67</v>
      </c>
      <c r="F118" t="s">
        <v>68</v>
      </c>
      <c r="G118" t="s">
        <v>27</v>
      </c>
      <c r="H118" t="s">
        <v>48</v>
      </c>
      <c r="I118" s="5">
        <v>291</v>
      </c>
      <c r="J118" s="5">
        <v>184</v>
      </c>
      <c r="K118" s="5">
        <v>28</v>
      </c>
      <c r="L118" s="5">
        <v>7</v>
      </c>
      <c r="M118" s="5">
        <v>7</v>
      </c>
      <c r="N118" s="7">
        <v>682.61</v>
      </c>
      <c r="O118" s="7">
        <f t="shared" si="9"/>
        <v>4778.2700000000004</v>
      </c>
      <c r="P118" s="4">
        <v>0</v>
      </c>
      <c r="Q118" s="7">
        <f t="shared" si="10"/>
        <v>0</v>
      </c>
      <c r="R118" s="7">
        <f t="shared" si="11"/>
        <v>4778.2700000000004</v>
      </c>
      <c r="S118" s="7">
        <f t="shared" si="12"/>
        <v>682.61</v>
      </c>
      <c r="T118" s="6">
        <f t="shared" si="13"/>
        <v>2.4054982817869417E-2</v>
      </c>
      <c r="V118" t="s">
        <v>29</v>
      </c>
    </row>
    <row r="119" spans="1:22">
      <c r="A119" s="3">
        <v>45662</v>
      </c>
      <c r="B119" t="str">
        <f t="shared" si="7"/>
        <v>yyyy-01</v>
      </c>
      <c r="C119">
        <f t="shared" si="8"/>
        <v>1</v>
      </c>
      <c r="D119" t="s">
        <v>66</v>
      </c>
      <c r="E119" t="s">
        <v>67</v>
      </c>
      <c r="F119" t="s">
        <v>69</v>
      </c>
      <c r="G119" t="s">
        <v>27</v>
      </c>
      <c r="H119" t="s">
        <v>63</v>
      </c>
      <c r="I119" s="5">
        <v>277</v>
      </c>
      <c r="J119" s="5">
        <v>227</v>
      </c>
      <c r="K119" s="5">
        <v>27</v>
      </c>
      <c r="L119" s="5">
        <v>4</v>
      </c>
      <c r="M119" s="5">
        <v>4</v>
      </c>
      <c r="N119" s="7">
        <v>401.88</v>
      </c>
      <c r="O119" s="7">
        <f t="shared" si="9"/>
        <v>1607.52</v>
      </c>
      <c r="P119" s="4">
        <v>0</v>
      </c>
      <c r="Q119" s="7">
        <f t="shared" si="10"/>
        <v>0</v>
      </c>
      <c r="R119" s="7">
        <f t="shared" si="11"/>
        <v>1607.52</v>
      </c>
      <c r="S119" s="7">
        <f t="shared" si="12"/>
        <v>401.88</v>
      </c>
      <c r="T119" s="6">
        <f t="shared" si="13"/>
        <v>1.444043321299639E-2</v>
      </c>
      <c r="V119" t="s">
        <v>29</v>
      </c>
    </row>
    <row r="120" spans="1:22">
      <c r="A120" s="3">
        <v>45662</v>
      </c>
      <c r="B120" t="str">
        <f t="shared" si="7"/>
        <v>yyyy-01</v>
      </c>
      <c r="C120">
        <f t="shared" si="8"/>
        <v>1</v>
      </c>
      <c r="D120" t="s">
        <v>66</v>
      </c>
      <c r="E120" t="s">
        <v>67</v>
      </c>
      <c r="F120" t="s">
        <v>70</v>
      </c>
      <c r="G120" t="s">
        <v>31</v>
      </c>
      <c r="H120" t="s">
        <v>32</v>
      </c>
      <c r="I120" s="5">
        <v>532</v>
      </c>
      <c r="J120" s="5">
        <v>312</v>
      </c>
      <c r="K120" s="5">
        <v>36</v>
      </c>
      <c r="L120" s="5">
        <v>12</v>
      </c>
      <c r="M120" s="5">
        <v>12</v>
      </c>
      <c r="N120" s="7">
        <v>353.9</v>
      </c>
      <c r="O120" s="7">
        <f t="shared" si="9"/>
        <v>4246.7999999999993</v>
      </c>
      <c r="P120" s="4">
        <v>0.03</v>
      </c>
      <c r="Q120" s="7">
        <f t="shared" si="10"/>
        <v>127.40399999999997</v>
      </c>
      <c r="R120" s="7">
        <f t="shared" si="11"/>
        <v>4119.3959999999997</v>
      </c>
      <c r="S120" s="7">
        <f t="shared" si="12"/>
        <v>343.28299999999996</v>
      </c>
      <c r="T120" s="6">
        <f t="shared" si="13"/>
        <v>2.2556390977443608E-2</v>
      </c>
      <c r="V120" t="s">
        <v>29</v>
      </c>
    </row>
    <row r="121" spans="1:22">
      <c r="A121" s="3">
        <v>45662</v>
      </c>
      <c r="B121" t="str">
        <f t="shared" si="7"/>
        <v>yyyy-01</v>
      </c>
      <c r="C121">
        <f t="shared" si="8"/>
        <v>1</v>
      </c>
      <c r="D121" t="s">
        <v>66</v>
      </c>
      <c r="E121" t="s">
        <v>71</v>
      </c>
      <c r="F121" t="s">
        <v>72</v>
      </c>
      <c r="G121" t="s">
        <v>31</v>
      </c>
      <c r="H121" t="s">
        <v>32</v>
      </c>
      <c r="I121" s="5">
        <v>291</v>
      </c>
      <c r="J121" s="5">
        <v>161</v>
      </c>
      <c r="K121" s="5">
        <v>14</v>
      </c>
      <c r="L121" s="5">
        <v>6</v>
      </c>
      <c r="M121" s="5">
        <v>8</v>
      </c>
      <c r="N121" s="7">
        <v>128.4</v>
      </c>
      <c r="O121" s="7">
        <f t="shared" si="9"/>
        <v>1027.2</v>
      </c>
      <c r="P121" s="4">
        <v>0</v>
      </c>
      <c r="Q121" s="7">
        <f t="shared" si="10"/>
        <v>0</v>
      </c>
      <c r="R121" s="7">
        <f t="shared" si="11"/>
        <v>1027.2</v>
      </c>
      <c r="S121" s="7">
        <f t="shared" si="12"/>
        <v>171.20000000000002</v>
      </c>
      <c r="T121" s="6">
        <f t="shared" si="13"/>
        <v>2.0618556701030927E-2</v>
      </c>
      <c r="V121" t="s">
        <v>29</v>
      </c>
    </row>
    <row r="122" spans="1:22">
      <c r="A122" s="3">
        <v>45662</v>
      </c>
      <c r="B122" t="str">
        <f t="shared" si="7"/>
        <v>yyyy-01</v>
      </c>
      <c r="C122">
        <f t="shared" si="8"/>
        <v>1</v>
      </c>
      <c r="D122" t="s">
        <v>66</v>
      </c>
      <c r="E122" t="s">
        <v>73</v>
      </c>
      <c r="F122" t="s">
        <v>74</v>
      </c>
      <c r="G122" t="s">
        <v>31</v>
      </c>
      <c r="H122" t="s">
        <v>32</v>
      </c>
      <c r="I122" s="5">
        <v>237</v>
      </c>
      <c r="J122" s="5">
        <v>177</v>
      </c>
      <c r="K122" s="5">
        <v>14</v>
      </c>
      <c r="L122" s="5">
        <v>3</v>
      </c>
      <c r="M122" s="5">
        <v>3</v>
      </c>
      <c r="N122" s="7">
        <v>1207.01</v>
      </c>
      <c r="O122" s="7">
        <f t="shared" si="9"/>
        <v>3621.0299999999997</v>
      </c>
      <c r="P122" s="4">
        <v>0</v>
      </c>
      <c r="Q122" s="7">
        <f t="shared" si="10"/>
        <v>0</v>
      </c>
      <c r="R122" s="7">
        <f t="shared" si="11"/>
        <v>3621.0299999999997</v>
      </c>
      <c r="S122" s="7">
        <f t="shared" si="12"/>
        <v>1207.01</v>
      </c>
      <c r="T122" s="6">
        <f t="shared" si="13"/>
        <v>1.2658227848101266E-2</v>
      </c>
      <c r="V122" t="s">
        <v>78</v>
      </c>
    </row>
    <row r="123" spans="1:22">
      <c r="A123" s="3">
        <v>45662</v>
      </c>
      <c r="B123" t="str">
        <f t="shared" si="7"/>
        <v>yyyy-01</v>
      </c>
      <c r="C123">
        <f t="shared" si="8"/>
        <v>1</v>
      </c>
      <c r="D123" t="s">
        <v>66</v>
      </c>
      <c r="E123" t="s">
        <v>71</v>
      </c>
      <c r="F123" t="s">
        <v>75</v>
      </c>
      <c r="G123" t="s">
        <v>27</v>
      </c>
      <c r="H123" t="s">
        <v>28</v>
      </c>
      <c r="I123" s="5">
        <v>343</v>
      </c>
      <c r="J123" s="5">
        <v>255</v>
      </c>
      <c r="K123" s="5">
        <v>32</v>
      </c>
      <c r="L123" s="5">
        <v>8</v>
      </c>
      <c r="M123" s="5">
        <v>10</v>
      </c>
      <c r="N123" s="7">
        <v>37.51</v>
      </c>
      <c r="O123" s="7">
        <f t="shared" si="9"/>
        <v>375.09999999999997</v>
      </c>
      <c r="P123" s="4">
        <v>0</v>
      </c>
      <c r="Q123" s="7">
        <f t="shared" si="10"/>
        <v>0</v>
      </c>
      <c r="R123" s="7">
        <f t="shared" si="11"/>
        <v>375.09999999999997</v>
      </c>
      <c r="S123" s="7">
        <f t="shared" si="12"/>
        <v>46.887499999999996</v>
      </c>
      <c r="T123" s="6">
        <f t="shared" si="13"/>
        <v>2.3323615160349854E-2</v>
      </c>
      <c r="V123" t="s">
        <v>29</v>
      </c>
    </row>
    <row r="124" spans="1:22">
      <c r="A124" s="3">
        <v>45662</v>
      </c>
      <c r="B124" t="str">
        <f t="shared" si="7"/>
        <v>yyyy-01</v>
      </c>
      <c r="C124">
        <f t="shared" si="8"/>
        <v>1</v>
      </c>
      <c r="D124" t="s">
        <v>24</v>
      </c>
      <c r="E124" t="s">
        <v>76</v>
      </c>
      <c r="F124" t="s">
        <v>77</v>
      </c>
      <c r="G124" t="s">
        <v>27</v>
      </c>
      <c r="H124" t="s">
        <v>63</v>
      </c>
      <c r="I124" s="5">
        <v>486</v>
      </c>
      <c r="J124" s="5">
        <v>268</v>
      </c>
      <c r="K124" s="5">
        <v>37</v>
      </c>
      <c r="L124" s="5">
        <v>11</v>
      </c>
      <c r="M124" s="5">
        <v>13</v>
      </c>
      <c r="N124" s="7">
        <v>192.81</v>
      </c>
      <c r="O124" s="7">
        <f t="shared" si="9"/>
        <v>2506.5300000000002</v>
      </c>
      <c r="P124" s="4">
        <v>0</v>
      </c>
      <c r="Q124" s="7">
        <f t="shared" si="10"/>
        <v>0</v>
      </c>
      <c r="R124" s="7">
        <f t="shared" si="11"/>
        <v>2506.5300000000002</v>
      </c>
      <c r="S124" s="7">
        <f t="shared" si="12"/>
        <v>227.86636363636364</v>
      </c>
      <c r="T124" s="6">
        <f t="shared" si="13"/>
        <v>2.2633744855967079E-2</v>
      </c>
      <c r="V124" t="s">
        <v>29</v>
      </c>
    </row>
    <row r="125" spans="1:22">
      <c r="A125" s="3">
        <v>45663</v>
      </c>
      <c r="B125" t="str">
        <f t="shared" si="7"/>
        <v>yyyy-01</v>
      </c>
      <c r="C125">
        <f t="shared" si="8"/>
        <v>2</v>
      </c>
      <c r="D125" t="s">
        <v>24</v>
      </c>
      <c r="E125" t="s">
        <v>25</v>
      </c>
      <c r="F125" t="s">
        <v>26</v>
      </c>
      <c r="G125" t="s">
        <v>31</v>
      </c>
      <c r="H125" t="s">
        <v>32</v>
      </c>
      <c r="I125" s="5">
        <v>1305</v>
      </c>
      <c r="J125" s="5">
        <v>832</v>
      </c>
      <c r="K125" s="5">
        <v>98</v>
      </c>
      <c r="L125" s="5">
        <v>34</v>
      </c>
      <c r="M125" s="5">
        <v>34</v>
      </c>
      <c r="N125" s="7">
        <v>984.83</v>
      </c>
      <c r="O125" s="7">
        <f t="shared" si="9"/>
        <v>33484.22</v>
      </c>
      <c r="P125" s="4">
        <v>0.12</v>
      </c>
      <c r="Q125" s="7">
        <f t="shared" si="10"/>
        <v>4018.1064000000001</v>
      </c>
      <c r="R125" s="7">
        <f t="shared" si="11"/>
        <v>29466.113600000001</v>
      </c>
      <c r="S125" s="7">
        <f t="shared" si="12"/>
        <v>866.65039999999999</v>
      </c>
      <c r="T125" s="6">
        <f t="shared" si="13"/>
        <v>2.6053639846743294E-2</v>
      </c>
      <c r="U125" t="s">
        <v>79</v>
      </c>
      <c r="V125" t="s">
        <v>29</v>
      </c>
    </row>
    <row r="126" spans="1:22">
      <c r="A126" s="3">
        <v>45663</v>
      </c>
      <c r="B126" t="str">
        <f t="shared" si="7"/>
        <v>yyyy-01</v>
      </c>
      <c r="C126">
        <f t="shared" si="8"/>
        <v>2</v>
      </c>
      <c r="D126" t="s">
        <v>24</v>
      </c>
      <c r="E126" t="s">
        <v>25</v>
      </c>
      <c r="F126" t="s">
        <v>30</v>
      </c>
      <c r="G126" t="s">
        <v>27</v>
      </c>
      <c r="H126" t="s">
        <v>45</v>
      </c>
      <c r="I126" s="5">
        <v>1094</v>
      </c>
      <c r="J126" s="5">
        <v>790</v>
      </c>
      <c r="K126" s="5">
        <v>121</v>
      </c>
      <c r="L126" s="5">
        <v>33</v>
      </c>
      <c r="M126" s="5">
        <v>33</v>
      </c>
      <c r="N126" s="7">
        <v>393.34</v>
      </c>
      <c r="O126" s="7">
        <f t="shared" si="9"/>
        <v>12980.22</v>
      </c>
      <c r="P126" s="4">
        <v>0.12</v>
      </c>
      <c r="Q126" s="7">
        <f t="shared" si="10"/>
        <v>1557.6263999999999</v>
      </c>
      <c r="R126" s="7">
        <f t="shared" si="11"/>
        <v>11422.5936</v>
      </c>
      <c r="S126" s="7">
        <f t="shared" si="12"/>
        <v>346.13920000000002</v>
      </c>
      <c r="T126" s="6">
        <f t="shared" si="13"/>
        <v>3.0164533820840951E-2</v>
      </c>
      <c r="U126" t="s">
        <v>79</v>
      </c>
      <c r="V126" t="s">
        <v>29</v>
      </c>
    </row>
    <row r="127" spans="1:22">
      <c r="A127" s="3">
        <v>45663</v>
      </c>
      <c r="B127" t="str">
        <f t="shared" si="7"/>
        <v>yyyy-01</v>
      </c>
      <c r="C127">
        <f t="shared" si="8"/>
        <v>2</v>
      </c>
      <c r="D127" t="s">
        <v>24</v>
      </c>
      <c r="E127" t="s">
        <v>25</v>
      </c>
      <c r="F127" t="s">
        <v>33</v>
      </c>
      <c r="G127" t="s">
        <v>27</v>
      </c>
      <c r="H127" t="s">
        <v>48</v>
      </c>
      <c r="I127" s="5">
        <v>1151</v>
      </c>
      <c r="J127" s="5">
        <v>858</v>
      </c>
      <c r="K127" s="5">
        <v>76</v>
      </c>
      <c r="L127" s="5">
        <v>26</v>
      </c>
      <c r="M127" s="5">
        <v>26</v>
      </c>
      <c r="N127" s="7">
        <v>1829.97</v>
      </c>
      <c r="O127" s="7">
        <f t="shared" si="9"/>
        <v>47579.22</v>
      </c>
      <c r="P127" s="4">
        <v>0.12</v>
      </c>
      <c r="Q127" s="7">
        <f t="shared" si="10"/>
        <v>5709.5064000000002</v>
      </c>
      <c r="R127" s="7">
        <f t="shared" si="11"/>
        <v>41869.713600000003</v>
      </c>
      <c r="S127" s="7">
        <f t="shared" si="12"/>
        <v>1610.3736000000001</v>
      </c>
      <c r="T127" s="6">
        <f t="shared" si="13"/>
        <v>2.2589052997393572E-2</v>
      </c>
      <c r="U127" t="s">
        <v>79</v>
      </c>
      <c r="V127" t="s">
        <v>29</v>
      </c>
    </row>
    <row r="128" spans="1:22">
      <c r="A128" s="3">
        <v>45663</v>
      </c>
      <c r="B128" t="str">
        <f t="shared" si="7"/>
        <v>yyyy-01</v>
      </c>
      <c r="C128">
        <f t="shared" si="8"/>
        <v>2</v>
      </c>
      <c r="D128" t="s">
        <v>24</v>
      </c>
      <c r="E128" t="s">
        <v>34</v>
      </c>
      <c r="F128" t="s">
        <v>35</v>
      </c>
      <c r="G128" t="s">
        <v>27</v>
      </c>
      <c r="H128" t="s">
        <v>45</v>
      </c>
      <c r="I128" s="5">
        <v>683</v>
      </c>
      <c r="J128" s="5">
        <v>531</v>
      </c>
      <c r="K128" s="5">
        <v>53</v>
      </c>
      <c r="L128" s="5">
        <v>8</v>
      </c>
      <c r="M128" s="5">
        <v>8</v>
      </c>
      <c r="N128" s="7">
        <v>906.83</v>
      </c>
      <c r="O128" s="7">
        <f t="shared" si="9"/>
        <v>7254.64</v>
      </c>
      <c r="P128" s="4">
        <v>0</v>
      </c>
      <c r="Q128" s="7">
        <f t="shared" si="10"/>
        <v>0</v>
      </c>
      <c r="R128" s="7">
        <f t="shared" si="11"/>
        <v>7254.64</v>
      </c>
      <c r="S128" s="7">
        <f t="shared" si="12"/>
        <v>906.83</v>
      </c>
      <c r="T128" s="6">
        <f t="shared" si="13"/>
        <v>1.171303074670571E-2</v>
      </c>
      <c r="V128" t="s">
        <v>78</v>
      </c>
    </row>
    <row r="129" spans="1:22">
      <c r="A129" s="3">
        <v>45663</v>
      </c>
      <c r="B129" t="str">
        <f t="shared" si="7"/>
        <v>yyyy-01</v>
      </c>
      <c r="C129">
        <f t="shared" si="8"/>
        <v>2</v>
      </c>
      <c r="D129" t="s">
        <v>24</v>
      </c>
      <c r="E129" t="s">
        <v>38</v>
      </c>
      <c r="F129" t="s">
        <v>39</v>
      </c>
      <c r="G129" t="s">
        <v>27</v>
      </c>
      <c r="H129" t="s">
        <v>28</v>
      </c>
      <c r="I129" s="5">
        <v>582</v>
      </c>
      <c r="J129" s="5">
        <v>376</v>
      </c>
      <c r="K129" s="5">
        <v>68</v>
      </c>
      <c r="L129" s="5">
        <v>14</v>
      </c>
      <c r="M129" s="5">
        <v>14</v>
      </c>
      <c r="N129" s="7">
        <v>333.92</v>
      </c>
      <c r="O129" s="7">
        <f t="shared" si="9"/>
        <v>4674.88</v>
      </c>
      <c r="P129" s="4">
        <v>0.03</v>
      </c>
      <c r="Q129" s="7">
        <f t="shared" si="10"/>
        <v>140.24639999999999</v>
      </c>
      <c r="R129" s="7">
        <f t="shared" si="11"/>
        <v>4534.6336000000001</v>
      </c>
      <c r="S129" s="7">
        <f t="shared" si="12"/>
        <v>323.9024</v>
      </c>
      <c r="T129" s="6">
        <f t="shared" si="13"/>
        <v>2.4054982817869417E-2</v>
      </c>
      <c r="V129" t="s">
        <v>29</v>
      </c>
    </row>
    <row r="130" spans="1:22">
      <c r="A130" s="3">
        <v>45663</v>
      </c>
      <c r="B130" t="str">
        <f t="shared" si="7"/>
        <v>yyyy-01</v>
      </c>
      <c r="C130">
        <f t="shared" si="8"/>
        <v>2</v>
      </c>
      <c r="D130" t="s">
        <v>24</v>
      </c>
      <c r="E130" t="s">
        <v>40</v>
      </c>
      <c r="F130" t="s">
        <v>41</v>
      </c>
      <c r="G130" t="s">
        <v>31</v>
      </c>
      <c r="H130" t="s">
        <v>32</v>
      </c>
      <c r="I130" s="5">
        <v>700</v>
      </c>
      <c r="J130" s="5">
        <v>440</v>
      </c>
      <c r="K130" s="5">
        <v>41</v>
      </c>
      <c r="L130" s="5">
        <v>15</v>
      </c>
      <c r="M130" s="5">
        <v>17</v>
      </c>
      <c r="N130" s="7">
        <v>173</v>
      </c>
      <c r="O130" s="7">
        <f t="shared" si="9"/>
        <v>2941</v>
      </c>
      <c r="P130" s="4">
        <v>0</v>
      </c>
      <c r="Q130" s="7">
        <f t="shared" si="10"/>
        <v>0</v>
      </c>
      <c r="R130" s="7">
        <f t="shared" si="11"/>
        <v>2941</v>
      </c>
      <c r="S130" s="7">
        <f t="shared" si="12"/>
        <v>196.06666666666666</v>
      </c>
      <c r="T130" s="6">
        <f t="shared" si="13"/>
        <v>2.1428571428571429E-2</v>
      </c>
      <c r="V130" t="s">
        <v>29</v>
      </c>
    </row>
    <row r="131" spans="1:22">
      <c r="A131" s="3">
        <v>45663</v>
      </c>
      <c r="B131" t="str">
        <f t="shared" si="7"/>
        <v>yyyy-01</v>
      </c>
      <c r="C131">
        <f t="shared" si="8"/>
        <v>2</v>
      </c>
      <c r="D131" t="s">
        <v>42</v>
      </c>
      <c r="E131" t="s">
        <v>43</v>
      </c>
      <c r="F131" t="s">
        <v>44</v>
      </c>
      <c r="G131" t="s">
        <v>27</v>
      </c>
      <c r="H131" t="s">
        <v>48</v>
      </c>
      <c r="I131" s="5">
        <v>341</v>
      </c>
      <c r="J131" s="5">
        <v>222</v>
      </c>
      <c r="K131" s="5">
        <v>22</v>
      </c>
      <c r="L131" s="5">
        <v>5</v>
      </c>
      <c r="M131" s="5">
        <v>5</v>
      </c>
      <c r="N131" s="7">
        <v>1299.6500000000001</v>
      </c>
      <c r="O131" s="7">
        <f t="shared" si="9"/>
        <v>6498.25</v>
      </c>
      <c r="P131" s="4">
        <v>0</v>
      </c>
      <c r="Q131" s="7">
        <f t="shared" si="10"/>
        <v>0</v>
      </c>
      <c r="R131" s="7">
        <f t="shared" si="11"/>
        <v>6498.25</v>
      </c>
      <c r="S131" s="7">
        <f t="shared" si="12"/>
        <v>1299.6500000000001</v>
      </c>
      <c r="T131" s="6">
        <f t="shared" si="13"/>
        <v>1.466275659824047E-2</v>
      </c>
      <c r="V131" t="s">
        <v>29</v>
      </c>
    </row>
    <row r="132" spans="1:22">
      <c r="A132" s="3">
        <v>45663</v>
      </c>
      <c r="B132" t="str">
        <f t="shared" si="7"/>
        <v>yyyy-01</v>
      </c>
      <c r="C132">
        <f t="shared" si="8"/>
        <v>2</v>
      </c>
      <c r="D132" t="s">
        <v>42</v>
      </c>
      <c r="E132" t="s">
        <v>43</v>
      </c>
      <c r="F132" t="s">
        <v>46</v>
      </c>
      <c r="G132" t="s">
        <v>27</v>
      </c>
      <c r="H132" t="s">
        <v>28</v>
      </c>
      <c r="I132" s="5">
        <v>493</v>
      </c>
      <c r="J132" s="5">
        <v>383</v>
      </c>
      <c r="K132" s="5">
        <v>37</v>
      </c>
      <c r="L132" s="5">
        <v>6</v>
      </c>
      <c r="M132" s="5">
        <v>6</v>
      </c>
      <c r="N132" s="7">
        <v>2151.81</v>
      </c>
      <c r="O132" s="7">
        <f t="shared" si="9"/>
        <v>12910.86</v>
      </c>
      <c r="P132" s="4">
        <v>0.03</v>
      </c>
      <c r="Q132" s="7">
        <f t="shared" si="10"/>
        <v>387.32580000000002</v>
      </c>
      <c r="R132" s="7">
        <f t="shared" si="11"/>
        <v>12523.5342</v>
      </c>
      <c r="S132" s="7">
        <f t="shared" si="12"/>
        <v>2087.2557000000002</v>
      </c>
      <c r="T132" s="6">
        <f t="shared" si="13"/>
        <v>1.2170385395537525E-2</v>
      </c>
      <c r="V132" t="s">
        <v>29</v>
      </c>
    </row>
    <row r="133" spans="1:22">
      <c r="A133" s="3">
        <v>45663</v>
      </c>
      <c r="B133" t="str">
        <f t="shared" ref="B133:B196" si="14">TEXT(A133,"yyyy-mm")</f>
        <v>yyyy-01</v>
      </c>
      <c r="C133">
        <f t="shared" ref="C133:C196" si="15">WEEKNUM(A133,2)</f>
        <v>2</v>
      </c>
      <c r="D133" t="s">
        <v>42</v>
      </c>
      <c r="E133" t="s">
        <v>43</v>
      </c>
      <c r="F133" t="s">
        <v>47</v>
      </c>
      <c r="G133" t="s">
        <v>36</v>
      </c>
      <c r="H133" t="s">
        <v>37</v>
      </c>
      <c r="I133" s="5">
        <v>555</v>
      </c>
      <c r="J133" s="5">
        <v>300</v>
      </c>
      <c r="K133" s="5">
        <v>44</v>
      </c>
      <c r="L133" s="5">
        <v>9</v>
      </c>
      <c r="M133" s="5">
        <v>9</v>
      </c>
      <c r="N133" s="7">
        <v>594.11</v>
      </c>
      <c r="O133" s="7">
        <f t="shared" ref="O133:O196" si="16">M133*N133</f>
        <v>5346.99</v>
      </c>
      <c r="P133" s="4">
        <v>0</v>
      </c>
      <c r="Q133" s="7">
        <f t="shared" ref="Q133:Q196" si="17">O133*P133</f>
        <v>0</v>
      </c>
      <c r="R133" s="7">
        <f t="shared" ref="R133:R196" si="18">O133-Q133</f>
        <v>5346.99</v>
      </c>
      <c r="S133" s="7">
        <f t="shared" ref="S133:S196" si="19">IFERROR(R133/L133,0)</f>
        <v>594.11</v>
      </c>
      <c r="T133" s="6">
        <f t="shared" ref="T133:T196" si="20">IFERROR(L133/I133,0)</f>
        <v>1.6216216216216217E-2</v>
      </c>
      <c r="V133" t="s">
        <v>29</v>
      </c>
    </row>
    <row r="134" spans="1:22">
      <c r="A134" s="3">
        <v>45663</v>
      </c>
      <c r="B134" t="str">
        <f t="shared" si="14"/>
        <v>yyyy-01</v>
      </c>
      <c r="C134">
        <f t="shared" si="15"/>
        <v>2</v>
      </c>
      <c r="D134" t="s">
        <v>42</v>
      </c>
      <c r="E134" t="s">
        <v>49</v>
      </c>
      <c r="F134" t="s">
        <v>50</v>
      </c>
      <c r="G134" t="s">
        <v>36</v>
      </c>
      <c r="H134" t="s">
        <v>37</v>
      </c>
      <c r="I134" s="5">
        <v>182</v>
      </c>
      <c r="J134" s="5">
        <v>115</v>
      </c>
      <c r="K134" s="5">
        <v>13</v>
      </c>
      <c r="L134" s="5">
        <v>3</v>
      </c>
      <c r="M134" s="5">
        <v>3</v>
      </c>
      <c r="N134" s="7">
        <v>964.13</v>
      </c>
      <c r="O134" s="7">
        <f t="shared" si="16"/>
        <v>2892.39</v>
      </c>
      <c r="P134" s="4">
        <v>0</v>
      </c>
      <c r="Q134" s="7">
        <f t="shared" si="17"/>
        <v>0</v>
      </c>
      <c r="R134" s="7">
        <f t="shared" si="18"/>
        <v>2892.39</v>
      </c>
      <c r="S134" s="7">
        <f t="shared" si="19"/>
        <v>964.13</v>
      </c>
      <c r="T134" s="6">
        <f t="shared" si="20"/>
        <v>1.6483516483516484E-2</v>
      </c>
      <c r="V134" t="s">
        <v>29</v>
      </c>
    </row>
    <row r="135" spans="1:22">
      <c r="A135" s="3">
        <v>45663</v>
      </c>
      <c r="B135" t="str">
        <f t="shared" si="14"/>
        <v>yyyy-01</v>
      </c>
      <c r="C135">
        <f t="shared" si="15"/>
        <v>2</v>
      </c>
      <c r="D135" t="s">
        <v>42</v>
      </c>
      <c r="E135" t="s">
        <v>51</v>
      </c>
      <c r="F135" t="s">
        <v>52</v>
      </c>
      <c r="G135" t="s">
        <v>31</v>
      </c>
      <c r="H135" t="s">
        <v>32</v>
      </c>
      <c r="I135" s="5">
        <v>306</v>
      </c>
      <c r="J135" s="5">
        <v>201</v>
      </c>
      <c r="K135" s="5">
        <v>15</v>
      </c>
      <c r="L135" s="5">
        <v>4</v>
      </c>
      <c r="M135" s="5">
        <v>4</v>
      </c>
      <c r="N135" s="7">
        <v>582.79</v>
      </c>
      <c r="O135" s="7">
        <f t="shared" si="16"/>
        <v>2331.16</v>
      </c>
      <c r="P135" s="4">
        <v>0</v>
      </c>
      <c r="Q135" s="7">
        <f t="shared" si="17"/>
        <v>0</v>
      </c>
      <c r="R135" s="7">
        <f t="shared" si="18"/>
        <v>2331.16</v>
      </c>
      <c r="S135" s="7">
        <f t="shared" si="19"/>
        <v>582.79</v>
      </c>
      <c r="T135" s="6">
        <f t="shared" si="20"/>
        <v>1.3071895424836602E-2</v>
      </c>
      <c r="V135" t="s">
        <v>29</v>
      </c>
    </row>
    <row r="136" spans="1:22">
      <c r="A136" s="3">
        <v>45663</v>
      </c>
      <c r="B136" t="str">
        <f t="shared" si="14"/>
        <v>yyyy-01</v>
      </c>
      <c r="C136">
        <f t="shared" si="15"/>
        <v>2</v>
      </c>
      <c r="D136" t="s">
        <v>53</v>
      </c>
      <c r="E136" t="s">
        <v>54</v>
      </c>
      <c r="F136" t="s">
        <v>55</v>
      </c>
      <c r="G136" t="s">
        <v>27</v>
      </c>
      <c r="H136" t="s">
        <v>28</v>
      </c>
      <c r="I136" s="5">
        <v>166</v>
      </c>
      <c r="J136" s="5">
        <v>100</v>
      </c>
      <c r="K136" s="5">
        <v>9</v>
      </c>
      <c r="L136" s="5">
        <v>2</v>
      </c>
      <c r="M136" s="5">
        <v>2</v>
      </c>
      <c r="N136" s="7">
        <v>1250.58</v>
      </c>
      <c r="O136" s="7">
        <f t="shared" si="16"/>
        <v>2501.16</v>
      </c>
      <c r="P136" s="4">
        <v>0</v>
      </c>
      <c r="Q136" s="7">
        <f t="shared" si="17"/>
        <v>0</v>
      </c>
      <c r="R136" s="7">
        <f t="shared" si="18"/>
        <v>2501.16</v>
      </c>
      <c r="S136" s="7">
        <f t="shared" si="19"/>
        <v>1250.58</v>
      </c>
      <c r="T136" s="6">
        <f t="shared" si="20"/>
        <v>1.2048192771084338E-2</v>
      </c>
      <c r="V136" t="s">
        <v>29</v>
      </c>
    </row>
    <row r="137" spans="1:22">
      <c r="A137" s="3">
        <v>45663</v>
      </c>
      <c r="B137" t="str">
        <f t="shared" si="14"/>
        <v>yyyy-01</v>
      </c>
      <c r="C137">
        <f t="shared" si="15"/>
        <v>2</v>
      </c>
      <c r="D137" t="s">
        <v>53</v>
      </c>
      <c r="E137" t="s">
        <v>56</v>
      </c>
      <c r="F137" t="s">
        <v>57</v>
      </c>
      <c r="G137" t="s">
        <v>36</v>
      </c>
      <c r="H137" t="s">
        <v>37</v>
      </c>
      <c r="I137" s="5">
        <v>227</v>
      </c>
      <c r="J137" s="5">
        <v>172</v>
      </c>
      <c r="K137" s="5">
        <v>9</v>
      </c>
      <c r="L137" s="5">
        <v>2</v>
      </c>
      <c r="M137" s="5">
        <v>2</v>
      </c>
      <c r="N137" s="7">
        <v>741.39</v>
      </c>
      <c r="O137" s="7">
        <f t="shared" si="16"/>
        <v>1482.78</v>
      </c>
      <c r="P137" s="4">
        <v>0.03</v>
      </c>
      <c r="Q137" s="7">
        <f t="shared" si="17"/>
        <v>44.483399999999996</v>
      </c>
      <c r="R137" s="7">
        <f t="shared" si="18"/>
        <v>1438.2965999999999</v>
      </c>
      <c r="S137" s="7">
        <f t="shared" si="19"/>
        <v>719.14829999999995</v>
      </c>
      <c r="T137" s="6">
        <f t="shared" si="20"/>
        <v>8.8105726872246704E-3</v>
      </c>
      <c r="V137" t="s">
        <v>78</v>
      </c>
    </row>
    <row r="138" spans="1:22">
      <c r="A138" s="3">
        <v>45663</v>
      </c>
      <c r="B138" t="str">
        <f t="shared" si="14"/>
        <v>yyyy-01</v>
      </c>
      <c r="C138">
        <f t="shared" si="15"/>
        <v>2</v>
      </c>
      <c r="D138" t="s">
        <v>53</v>
      </c>
      <c r="E138" t="s">
        <v>56</v>
      </c>
      <c r="F138" t="s">
        <v>58</v>
      </c>
      <c r="G138" t="s">
        <v>36</v>
      </c>
      <c r="H138" t="s">
        <v>37</v>
      </c>
      <c r="I138" s="5">
        <v>277</v>
      </c>
      <c r="J138" s="5">
        <v>204</v>
      </c>
      <c r="K138" s="5">
        <v>21</v>
      </c>
      <c r="L138" s="5">
        <v>3</v>
      </c>
      <c r="M138" s="5">
        <v>3</v>
      </c>
      <c r="N138" s="7">
        <v>866.93</v>
      </c>
      <c r="O138" s="7">
        <f t="shared" si="16"/>
        <v>2600.79</v>
      </c>
      <c r="P138" s="4">
        <v>0</v>
      </c>
      <c r="Q138" s="7">
        <f t="shared" si="17"/>
        <v>0</v>
      </c>
      <c r="R138" s="7">
        <f t="shared" si="18"/>
        <v>2600.79</v>
      </c>
      <c r="S138" s="7">
        <f t="shared" si="19"/>
        <v>866.93</v>
      </c>
      <c r="T138" s="6">
        <f t="shared" si="20"/>
        <v>1.0830324909747292E-2</v>
      </c>
      <c r="V138" t="s">
        <v>29</v>
      </c>
    </row>
    <row r="139" spans="1:22">
      <c r="A139" s="3">
        <v>45663</v>
      </c>
      <c r="B139" t="str">
        <f t="shared" si="14"/>
        <v>yyyy-01</v>
      </c>
      <c r="C139">
        <f t="shared" si="15"/>
        <v>2</v>
      </c>
      <c r="D139" t="s">
        <v>53</v>
      </c>
      <c r="E139" t="s">
        <v>59</v>
      </c>
      <c r="F139" t="s">
        <v>60</v>
      </c>
      <c r="G139" t="s">
        <v>27</v>
      </c>
      <c r="H139" t="s">
        <v>48</v>
      </c>
      <c r="I139" s="5">
        <v>101</v>
      </c>
      <c r="J139" s="5">
        <v>62</v>
      </c>
      <c r="K139" s="5">
        <v>6</v>
      </c>
      <c r="L139" s="5">
        <v>1</v>
      </c>
      <c r="M139" s="5">
        <v>1</v>
      </c>
      <c r="N139" s="7">
        <v>683.18</v>
      </c>
      <c r="O139" s="7">
        <f t="shared" si="16"/>
        <v>683.18</v>
      </c>
      <c r="P139" s="4">
        <v>0</v>
      </c>
      <c r="Q139" s="7">
        <f t="shared" si="17"/>
        <v>0</v>
      </c>
      <c r="R139" s="7">
        <f t="shared" si="18"/>
        <v>683.18</v>
      </c>
      <c r="S139" s="7">
        <f t="shared" si="19"/>
        <v>683.18</v>
      </c>
      <c r="T139" s="6">
        <f t="shared" si="20"/>
        <v>9.9009900990099011E-3</v>
      </c>
      <c r="V139" t="s">
        <v>29</v>
      </c>
    </row>
    <row r="140" spans="1:22">
      <c r="A140" s="3">
        <v>45663</v>
      </c>
      <c r="B140" t="str">
        <f t="shared" si="14"/>
        <v>yyyy-01</v>
      </c>
      <c r="C140">
        <f t="shared" si="15"/>
        <v>2</v>
      </c>
      <c r="D140" t="s">
        <v>53</v>
      </c>
      <c r="E140" t="s">
        <v>61</v>
      </c>
      <c r="F140" t="s">
        <v>62</v>
      </c>
      <c r="G140" t="s">
        <v>36</v>
      </c>
      <c r="H140" t="s">
        <v>37</v>
      </c>
      <c r="I140" s="5">
        <v>167</v>
      </c>
      <c r="J140" s="5">
        <v>135</v>
      </c>
      <c r="K140" s="5">
        <v>9</v>
      </c>
      <c r="L140" s="5">
        <v>2</v>
      </c>
      <c r="M140" s="5">
        <v>2</v>
      </c>
      <c r="N140" s="7">
        <v>492.12</v>
      </c>
      <c r="O140" s="7">
        <f t="shared" si="16"/>
        <v>984.24</v>
      </c>
      <c r="P140" s="4">
        <v>0</v>
      </c>
      <c r="Q140" s="7">
        <f t="shared" si="17"/>
        <v>0</v>
      </c>
      <c r="R140" s="7">
        <f t="shared" si="18"/>
        <v>984.24</v>
      </c>
      <c r="S140" s="7">
        <f t="shared" si="19"/>
        <v>492.12</v>
      </c>
      <c r="T140" s="6">
        <f t="shared" si="20"/>
        <v>1.1976047904191617E-2</v>
      </c>
      <c r="V140" t="s">
        <v>29</v>
      </c>
    </row>
    <row r="141" spans="1:22">
      <c r="A141" s="3">
        <v>45663</v>
      </c>
      <c r="B141" t="str">
        <f t="shared" si="14"/>
        <v>yyyy-01</v>
      </c>
      <c r="C141">
        <f t="shared" si="15"/>
        <v>2</v>
      </c>
      <c r="D141" t="s">
        <v>53</v>
      </c>
      <c r="E141" t="s">
        <v>64</v>
      </c>
      <c r="F141" t="s">
        <v>65</v>
      </c>
      <c r="G141" t="s">
        <v>31</v>
      </c>
      <c r="H141" t="s">
        <v>32</v>
      </c>
      <c r="I141" s="5">
        <v>190</v>
      </c>
      <c r="J141" s="5">
        <v>117</v>
      </c>
      <c r="K141" s="5">
        <v>6</v>
      </c>
      <c r="L141" s="5">
        <v>2</v>
      </c>
      <c r="M141" s="5">
        <v>2</v>
      </c>
      <c r="N141" s="7">
        <v>791.51</v>
      </c>
      <c r="O141" s="7">
        <f t="shared" si="16"/>
        <v>1583.02</v>
      </c>
      <c r="P141" s="4">
        <v>0</v>
      </c>
      <c r="Q141" s="7">
        <f t="shared" si="17"/>
        <v>0</v>
      </c>
      <c r="R141" s="7">
        <f t="shared" si="18"/>
        <v>1583.02</v>
      </c>
      <c r="S141" s="7">
        <f t="shared" si="19"/>
        <v>791.51</v>
      </c>
      <c r="T141" s="6">
        <f t="shared" si="20"/>
        <v>1.0526315789473684E-2</v>
      </c>
      <c r="V141" t="s">
        <v>29</v>
      </c>
    </row>
    <row r="142" spans="1:22">
      <c r="A142" s="3">
        <v>45663</v>
      </c>
      <c r="B142" t="str">
        <f t="shared" si="14"/>
        <v>yyyy-01</v>
      </c>
      <c r="C142">
        <f t="shared" si="15"/>
        <v>2</v>
      </c>
      <c r="D142" t="s">
        <v>66</v>
      </c>
      <c r="E142" t="s">
        <v>67</v>
      </c>
      <c r="F142" t="s">
        <v>68</v>
      </c>
      <c r="G142" t="s">
        <v>31</v>
      </c>
      <c r="H142" t="s">
        <v>32</v>
      </c>
      <c r="I142" s="5">
        <v>384</v>
      </c>
      <c r="J142" s="5">
        <v>292</v>
      </c>
      <c r="K142" s="5">
        <v>34</v>
      </c>
      <c r="L142" s="5">
        <v>7</v>
      </c>
      <c r="M142" s="5">
        <v>7</v>
      </c>
      <c r="N142" s="7">
        <v>677.23</v>
      </c>
      <c r="O142" s="7">
        <f t="shared" si="16"/>
        <v>4740.6100000000006</v>
      </c>
      <c r="P142" s="4">
        <v>0.03</v>
      </c>
      <c r="Q142" s="7">
        <f t="shared" si="17"/>
        <v>142.2183</v>
      </c>
      <c r="R142" s="7">
        <f t="shared" si="18"/>
        <v>4598.3917000000001</v>
      </c>
      <c r="S142" s="7">
        <f t="shared" si="19"/>
        <v>656.91309999999999</v>
      </c>
      <c r="T142" s="6">
        <f t="shared" si="20"/>
        <v>1.8229166666666668E-2</v>
      </c>
      <c r="V142" t="s">
        <v>29</v>
      </c>
    </row>
    <row r="143" spans="1:22">
      <c r="A143" s="3">
        <v>45663</v>
      </c>
      <c r="B143" t="str">
        <f t="shared" si="14"/>
        <v>yyyy-01</v>
      </c>
      <c r="C143">
        <f t="shared" si="15"/>
        <v>2</v>
      </c>
      <c r="D143" t="s">
        <v>66</v>
      </c>
      <c r="E143" t="s">
        <v>67</v>
      </c>
      <c r="F143" t="s">
        <v>69</v>
      </c>
      <c r="G143" t="s">
        <v>31</v>
      </c>
      <c r="H143" t="s">
        <v>32</v>
      </c>
      <c r="I143" s="5">
        <v>313</v>
      </c>
      <c r="J143" s="5">
        <v>226</v>
      </c>
      <c r="K143" s="5">
        <v>22</v>
      </c>
      <c r="L143" s="5">
        <v>5</v>
      </c>
      <c r="M143" s="5">
        <v>5</v>
      </c>
      <c r="N143" s="7">
        <v>401.1</v>
      </c>
      <c r="O143" s="7">
        <f t="shared" si="16"/>
        <v>2005.5</v>
      </c>
      <c r="P143" s="4">
        <v>0</v>
      </c>
      <c r="Q143" s="7">
        <f t="shared" si="17"/>
        <v>0</v>
      </c>
      <c r="R143" s="7">
        <f t="shared" si="18"/>
        <v>2005.5</v>
      </c>
      <c r="S143" s="7">
        <f t="shared" si="19"/>
        <v>401.1</v>
      </c>
      <c r="T143" s="6">
        <f t="shared" si="20"/>
        <v>1.5974440894568689E-2</v>
      </c>
      <c r="V143" t="s">
        <v>29</v>
      </c>
    </row>
    <row r="144" spans="1:22">
      <c r="A144" s="3">
        <v>45663</v>
      </c>
      <c r="B144" t="str">
        <f t="shared" si="14"/>
        <v>yyyy-01</v>
      </c>
      <c r="C144">
        <f t="shared" si="15"/>
        <v>2</v>
      </c>
      <c r="D144" t="s">
        <v>66</v>
      </c>
      <c r="E144" t="s">
        <v>67</v>
      </c>
      <c r="F144" t="s">
        <v>70</v>
      </c>
      <c r="G144" t="s">
        <v>27</v>
      </c>
      <c r="H144" t="s">
        <v>45</v>
      </c>
      <c r="I144" s="5">
        <v>253</v>
      </c>
      <c r="J144" s="5">
        <v>200</v>
      </c>
      <c r="K144" s="5">
        <v>25</v>
      </c>
      <c r="L144" s="5">
        <v>5</v>
      </c>
      <c r="M144" s="5">
        <v>5</v>
      </c>
      <c r="N144" s="7">
        <v>355.37</v>
      </c>
      <c r="O144" s="7">
        <f t="shared" si="16"/>
        <v>1776.85</v>
      </c>
      <c r="P144" s="4">
        <v>0</v>
      </c>
      <c r="Q144" s="7">
        <f t="shared" si="17"/>
        <v>0</v>
      </c>
      <c r="R144" s="7">
        <f t="shared" si="18"/>
        <v>1776.85</v>
      </c>
      <c r="S144" s="7">
        <f t="shared" si="19"/>
        <v>355.37</v>
      </c>
      <c r="T144" s="6">
        <f t="shared" si="20"/>
        <v>1.9762845849802372E-2</v>
      </c>
      <c r="V144" t="s">
        <v>29</v>
      </c>
    </row>
    <row r="145" spans="1:22">
      <c r="A145" s="3">
        <v>45663</v>
      </c>
      <c r="B145" t="str">
        <f t="shared" si="14"/>
        <v>yyyy-01</v>
      </c>
      <c r="C145">
        <f t="shared" si="15"/>
        <v>2</v>
      </c>
      <c r="D145" t="s">
        <v>66</v>
      </c>
      <c r="E145" t="s">
        <v>71</v>
      </c>
      <c r="F145" t="s">
        <v>72</v>
      </c>
      <c r="G145" t="s">
        <v>36</v>
      </c>
      <c r="H145" t="s">
        <v>37</v>
      </c>
      <c r="I145" s="5">
        <v>285</v>
      </c>
      <c r="J145" s="5">
        <v>172</v>
      </c>
      <c r="K145" s="5">
        <v>11</v>
      </c>
      <c r="L145" s="5">
        <v>3</v>
      </c>
      <c r="M145" s="5">
        <v>4</v>
      </c>
      <c r="N145" s="7">
        <v>124.28</v>
      </c>
      <c r="O145" s="7">
        <f t="shared" si="16"/>
        <v>497.12</v>
      </c>
      <c r="P145" s="4">
        <v>0</v>
      </c>
      <c r="Q145" s="7">
        <f t="shared" si="17"/>
        <v>0</v>
      </c>
      <c r="R145" s="7">
        <f t="shared" si="18"/>
        <v>497.12</v>
      </c>
      <c r="S145" s="7">
        <f t="shared" si="19"/>
        <v>165.70666666666668</v>
      </c>
      <c r="T145" s="6">
        <f t="shared" si="20"/>
        <v>1.0526315789473684E-2</v>
      </c>
      <c r="V145" t="s">
        <v>78</v>
      </c>
    </row>
    <row r="146" spans="1:22">
      <c r="A146" s="3">
        <v>45663</v>
      </c>
      <c r="B146" t="str">
        <f t="shared" si="14"/>
        <v>yyyy-01</v>
      </c>
      <c r="C146">
        <f t="shared" si="15"/>
        <v>2</v>
      </c>
      <c r="D146" t="s">
        <v>66</v>
      </c>
      <c r="E146" t="s">
        <v>73</v>
      </c>
      <c r="F146" t="s">
        <v>74</v>
      </c>
      <c r="G146" t="s">
        <v>27</v>
      </c>
      <c r="H146" t="s">
        <v>48</v>
      </c>
      <c r="I146" s="5">
        <v>156</v>
      </c>
      <c r="J146" s="5">
        <v>128</v>
      </c>
      <c r="K146" s="5">
        <v>9</v>
      </c>
      <c r="L146" s="5">
        <v>2</v>
      </c>
      <c r="M146" s="5">
        <v>2</v>
      </c>
      <c r="N146" s="7">
        <v>1192.79</v>
      </c>
      <c r="O146" s="7">
        <f t="shared" si="16"/>
        <v>2385.58</v>
      </c>
      <c r="P146" s="4">
        <v>0</v>
      </c>
      <c r="Q146" s="7">
        <f t="shared" si="17"/>
        <v>0</v>
      </c>
      <c r="R146" s="7">
        <f t="shared" si="18"/>
        <v>2385.58</v>
      </c>
      <c r="S146" s="7">
        <f t="shared" si="19"/>
        <v>1192.79</v>
      </c>
      <c r="T146" s="6">
        <f t="shared" si="20"/>
        <v>1.282051282051282E-2</v>
      </c>
      <c r="V146" t="s">
        <v>29</v>
      </c>
    </row>
    <row r="147" spans="1:22">
      <c r="A147" s="3">
        <v>45663</v>
      </c>
      <c r="B147" t="str">
        <f t="shared" si="14"/>
        <v>yyyy-01</v>
      </c>
      <c r="C147">
        <f t="shared" si="15"/>
        <v>2</v>
      </c>
      <c r="D147" t="s">
        <v>66</v>
      </c>
      <c r="E147" t="s">
        <v>71</v>
      </c>
      <c r="F147" t="s">
        <v>75</v>
      </c>
      <c r="G147" t="s">
        <v>27</v>
      </c>
      <c r="H147" t="s">
        <v>63</v>
      </c>
      <c r="I147" s="5">
        <v>156</v>
      </c>
      <c r="J147" s="5">
        <v>112</v>
      </c>
      <c r="K147" s="5">
        <v>10</v>
      </c>
      <c r="L147" s="5">
        <v>3</v>
      </c>
      <c r="M147" s="5">
        <v>3</v>
      </c>
      <c r="N147" s="7">
        <v>37.68</v>
      </c>
      <c r="O147" s="7">
        <f t="shared" si="16"/>
        <v>113.03999999999999</v>
      </c>
      <c r="P147" s="4">
        <v>0.05</v>
      </c>
      <c r="Q147" s="7">
        <f t="shared" si="17"/>
        <v>5.6520000000000001</v>
      </c>
      <c r="R147" s="7">
        <f t="shared" si="18"/>
        <v>107.38799999999999</v>
      </c>
      <c r="S147" s="7">
        <f t="shared" si="19"/>
        <v>35.795999999999999</v>
      </c>
      <c r="T147" s="6">
        <f t="shared" si="20"/>
        <v>1.9230769230769232E-2</v>
      </c>
      <c r="V147" t="s">
        <v>29</v>
      </c>
    </row>
    <row r="148" spans="1:22">
      <c r="A148" s="3">
        <v>45663</v>
      </c>
      <c r="B148" t="str">
        <f t="shared" si="14"/>
        <v>yyyy-01</v>
      </c>
      <c r="C148">
        <f t="shared" si="15"/>
        <v>2</v>
      </c>
      <c r="D148" t="s">
        <v>24</v>
      </c>
      <c r="E148" t="s">
        <v>76</v>
      </c>
      <c r="F148" t="s">
        <v>77</v>
      </c>
      <c r="G148" t="s">
        <v>27</v>
      </c>
      <c r="H148" t="s">
        <v>48</v>
      </c>
      <c r="I148" s="5">
        <v>427</v>
      </c>
      <c r="J148" s="5">
        <v>233</v>
      </c>
      <c r="K148" s="5">
        <v>23</v>
      </c>
      <c r="L148" s="5">
        <v>9</v>
      </c>
      <c r="M148" s="5">
        <v>12</v>
      </c>
      <c r="N148" s="7">
        <v>197.3</v>
      </c>
      <c r="O148" s="7">
        <f t="shared" si="16"/>
        <v>2367.6000000000004</v>
      </c>
      <c r="P148" s="4">
        <v>0</v>
      </c>
      <c r="Q148" s="7">
        <f t="shared" si="17"/>
        <v>0</v>
      </c>
      <c r="R148" s="7">
        <f t="shared" si="18"/>
        <v>2367.6000000000004</v>
      </c>
      <c r="S148" s="7">
        <f t="shared" si="19"/>
        <v>263.06666666666672</v>
      </c>
      <c r="T148" s="6">
        <f t="shared" si="20"/>
        <v>2.1077283372365339E-2</v>
      </c>
      <c r="V148" t="s">
        <v>29</v>
      </c>
    </row>
    <row r="149" spans="1:22">
      <c r="A149" s="3">
        <v>45664</v>
      </c>
      <c r="B149" t="str">
        <f t="shared" si="14"/>
        <v>yyyy-01</v>
      </c>
      <c r="C149">
        <f t="shared" si="15"/>
        <v>2</v>
      </c>
      <c r="D149" t="s">
        <v>24</v>
      </c>
      <c r="E149" t="s">
        <v>25</v>
      </c>
      <c r="F149" t="s">
        <v>26</v>
      </c>
      <c r="G149" t="s">
        <v>27</v>
      </c>
      <c r="H149" t="s">
        <v>28</v>
      </c>
      <c r="I149" s="5">
        <v>1554</v>
      </c>
      <c r="J149" s="5">
        <v>1181</v>
      </c>
      <c r="K149" s="5">
        <v>107</v>
      </c>
      <c r="L149" s="5">
        <v>43</v>
      </c>
      <c r="M149" s="5">
        <v>43</v>
      </c>
      <c r="N149" s="7">
        <v>979.1</v>
      </c>
      <c r="O149" s="7">
        <f t="shared" si="16"/>
        <v>42101.3</v>
      </c>
      <c r="P149" s="4">
        <v>0.12</v>
      </c>
      <c r="Q149" s="7">
        <f t="shared" si="17"/>
        <v>5052.1559999999999</v>
      </c>
      <c r="R149" s="7">
        <f t="shared" si="18"/>
        <v>37049.144</v>
      </c>
      <c r="S149" s="7">
        <f t="shared" si="19"/>
        <v>861.60800000000006</v>
      </c>
      <c r="T149" s="6">
        <f t="shared" si="20"/>
        <v>2.7670527670527672E-2</v>
      </c>
      <c r="U149" t="s">
        <v>79</v>
      </c>
      <c r="V149" t="s">
        <v>29</v>
      </c>
    </row>
    <row r="150" spans="1:22">
      <c r="A150" s="3">
        <v>45664</v>
      </c>
      <c r="B150" t="str">
        <f t="shared" si="14"/>
        <v>yyyy-01</v>
      </c>
      <c r="C150">
        <f t="shared" si="15"/>
        <v>2</v>
      </c>
      <c r="D150" t="s">
        <v>24</v>
      </c>
      <c r="E150" t="s">
        <v>25</v>
      </c>
      <c r="F150" t="s">
        <v>30</v>
      </c>
      <c r="G150" t="s">
        <v>36</v>
      </c>
      <c r="H150" t="s">
        <v>37</v>
      </c>
      <c r="I150" s="5">
        <v>1397</v>
      </c>
      <c r="J150" s="5">
        <v>893</v>
      </c>
      <c r="K150" s="5">
        <v>137</v>
      </c>
      <c r="L150" s="5">
        <v>30</v>
      </c>
      <c r="M150" s="5">
        <v>30</v>
      </c>
      <c r="N150" s="7">
        <v>397.47</v>
      </c>
      <c r="O150" s="7">
        <f t="shared" si="16"/>
        <v>11924.1</v>
      </c>
      <c r="P150" s="4">
        <v>0.12</v>
      </c>
      <c r="Q150" s="7">
        <f t="shared" si="17"/>
        <v>1430.8920000000001</v>
      </c>
      <c r="R150" s="7">
        <f t="shared" si="18"/>
        <v>10493.208000000001</v>
      </c>
      <c r="S150" s="7">
        <f t="shared" si="19"/>
        <v>349.77360000000004</v>
      </c>
      <c r="T150" s="6">
        <f t="shared" si="20"/>
        <v>2.1474588403722263E-2</v>
      </c>
      <c r="U150" t="s">
        <v>79</v>
      </c>
      <c r="V150" t="s">
        <v>29</v>
      </c>
    </row>
    <row r="151" spans="1:22">
      <c r="A151" s="3">
        <v>45664</v>
      </c>
      <c r="B151" t="str">
        <f t="shared" si="14"/>
        <v>yyyy-01</v>
      </c>
      <c r="C151">
        <f t="shared" si="15"/>
        <v>2</v>
      </c>
      <c r="D151" t="s">
        <v>24</v>
      </c>
      <c r="E151" t="s">
        <v>25</v>
      </c>
      <c r="F151" t="s">
        <v>33</v>
      </c>
      <c r="G151" t="s">
        <v>31</v>
      </c>
      <c r="H151" t="s">
        <v>32</v>
      </c>
      <c r="I151" s="5">
        <v>1355</v>
      </c>
      <c r="J151" s="5">
        <v>834</v>
      </c>
      <c r="K151" s="5">
        <v>147</v>
      </c>
      <c r="L151" s="5">
        <v>37</v>
      </c>
      <c r="M151" s="5">
        <v>37</v>
      </c>
      <c r="N151" s="7">
        <v>1803.55</v>
      </c>
      <c r="O151" s="7">
        <f t="shared" si="16"/>
        <v>66731.349999999991</v>
      </c>
      <c r="P151" s="4">
        <v>0.12</v>
      </c>
      <c r="Q151" s="7">
        <f t="shared" si="17"/>
        <v>8007.7619999999988</v>
      </c>
      <c r="R151" s="7">
        <f t="shared" si="18"/>
        <v>58723.587999999989</v>
      </c>
      <c r="S151" s="7">
        <f t="shared" si="19"/>
        <v>1587.1239999999998</v>
      </c>
      <c r="T151" s="6">
        <f t="shared" si="20"/>
        <v>2.7306273062730629E-2</v>
      </c>
      <c r="U151" t="s">
        <v>79</v>
      </c>
      <c r="V151" t="s">
        <v>29</v>
      </c>
    </row>
    <row r="152" spans="1:22">
      <c r="A152" s="3">
        <v>45664</v>
      </c>
      <c r="B152" t="str">
        <f t="shared" si="14"/>
        <v>yyyy-01</v>
      </c>
      <c r="C152">
        <f t="shared" si="15"/>
        <v>2</v>
      </c>
      <c r="D152" t="s">
        <v>24</v>
      </c>
      <c r="E152" t="s">
        <v>34</v>
      </c>
      <c r="F152" t="s">
        <v>35</v>
      </c>
      <c r="G152" t="s">
        <v>31</v>
      </c>
      <c r="H152" t="s">
        <v>32</v>
      </c>
      <c r="I152" s="5">
        <v>740</v>
      </c>
      <c r="J152" s="5">
        <v>566</v>
      </c>
      <c r="K152" s="5">
        <v>72</v>
      </c>
      <c r="L152" s="5">
        <v>18</v>
      </c>
      <c r="M152" s="5">
        <v>18</v>
      </c>
      <c r="N152" s="7">
        <v>902.89</v>
      </c>
      <c r="O152" s="7">
        <f t="shared" si="16"/>
        <v>16252.02</v>
      </c>
      <c r="P152" s="4">
        <v>0.03</v>
      </c>
      <c r="Q152" s="7">
        <f t="shared" si="17"/>
        <v>487.56060000000002</v>
      </c>
      <c r="R152" s="7">
        <f t="shared" si="18"/>
        <v>15764.4594</v>
      </c>
      <c r="S152" s="7">
        <f t="shared" si="19"/>
        <v>875.80330000000004</v>
      </c>
      <c r="T152" s="6">
        <f t="shared" si="20"/>
        <v>2.4324324324324326E-2</v>
      </c>
      <c r="V152" t="s">
        <v>29</v>
      </c>
    </row>
    <row r="153" spans="1:22">
      <c r="A153" s="3">
        <v>45664</v>
      </c>
      <c r="B153" t="str">
        <f t="shared" si="14"/>
        <v>yyyy-01</v>
      </c>
      <c r="C153">
        <f t="shared" si="15"/>
        <v>2</v>
      </c>
      <c r="D153" t="s">
        <v>24</v>
      </c>
      <c r="E153" t="s">
        <v>38</v>
      </c>
      <c r="F153" t="s">
        <v>39</v>
      </c>
      <c r="G153" t="s">
        <v>27</v>
      </c>
      <c r="H153" t="s">
        <v>45</v>
      </c>
      <c r="I153" s="5">
        <v>607</v>
      </c>
      <c r="J153" s="5">
        <v>319</v>
      </c>
      <c r="K153" s="5">
        <v>53</v>
      </c>
      <c r="L153" s="5">
        <v>11</v>
      </c>
      <c r="M153" s="5">
        <v>11</v>
      </c>
      <c r="N153" s="7">
        <v>330.96</v>
      </c>
      <c r="O153" s="7">
        <f t="shared" si="16"/>
        <v>3640.56</v>
      </c>
      <c r="P153" s="4">
        <v>0.03</v>
      </c>
      <c r="Q153" s="7">
        <f t="shared" si="17"/>
        <v>109.21679999999999</v>
      </c>
      <c r="R153" s="7">
        <f t="shared" si="18"/>
        <v>3531.3431999999998</v>
      </c>
      <c r="S153" s="7">
        <f t="shared" si="19"/>
        <v>321.03119999999996</v>
      </c>
      <c r="T153" s="6">
        <f t="shared" si="20"/>
        <v>1.8121911037891267E-2</v>
      </c>
      <c r="V153" t="s">
        <v>29</v>
      </c>
    </row>
    <row r="154" spans="1:22">
      <c r="A154" s="3">
        <v>45664</v>
      </c>
      <c r="B154" t="str">
        <f t="shared" si="14"/>
        <v>yyyy-01</v>
      </c>
      <c r="C154">
        <f t="shared" si="15"/>
        <v>2</v>
      </c>
      <c r="D154" t="s">
        <v>24</v>
      </c>
      <c r="E154" t="s">
        <v>40</v>
      </c>
      <c r="F154" t="s">
        <v>41</v>
      </c>
      <c r="G154" t="s">
        <v>31</v>
      </c>
      <c r="H154" t="s">
        <v>32</v>
      </c>
      <c r="I154" s="5">
        <v>644</v>
      </c>
      <c r="J154" s="5">
        <v>393</v>
      </c>
      <c r="K154" s="5">
        <v>53</v>
      </c>
      <c r="L154" s="5">
        <v>15</v>
      </c>
      <c r="M154" s="5">
        <v>19</v>
      </c>
      <c r="N154" s="7">
        <v>177.49</v>
      </c>
      <c r="O154" s="7">
        <f t="shared" si="16"/>
        <v>3372.3100000000004</v>
      </c>
      <c r="P154" s="4">
        <v>0</v>
      </c>
      <c r="Q154" s="7">
        <f t="shared" si="17"/>
        <v>0</v>
      </c>
      <c r="R154" s="7">
        <f t="shared" si="18"/>
        <v>3372.3100000000004</v>
      </c>
      <c r="S154" s="7">
        <f t="shared" si="19"/>
        <v>224.82066666666668</v>
      </c>
      <c r="T154" s="6">
        <f t="shared" si="20"/>
        <v>2.3291925465838508E-2</v>
      </c>
      <c r="V154" t="s">
        <v>29</v>
      </c>
    </row>
    <row r="155" spans="1:22">
      <c r="A155" s="3">
        <v>45664</v>
      </c>
      <c r="B155" t="str">
        <f t="shared" si="14"/>
        <v>yyyy-01</v>
      </c>
      <c r="C155">
        <f t="shared" si="15"/>
        <v>2</v>
      </c>
      <c r="D155" t="s">
        <v>42</v>
      </c>
      <c r="E155" t="s">
        <v>43</v>
      </c>
      <c r="F155" t="s">
        <v>44</v>
      </c>
      <c r="G155" t="s">
        <v>27</v>
      </c>
      <c r="H155" t="s">
        <v>45</v>
      </c>
      <c r="I155" s="5">
        <v>378</v>
      </c>
      <c r="J155" s="5">
        <v>293</v>
      </c>
      <c r="K155" s="5">
        <v>27</v>
      </c>
      <c r="L155" s="5">
        <v>6</v>
      </c>
      <c r="M155" s="5">
        <v>6</v>
      </c>
      <c r="N155" s="7">
        <v>1281.1500000000001</v>
      </c>
      <c r="O155" s="7">
        <f t="shared" si="16"/>
        <v>7686.9000000000005</v>
      </c>
      <c r="P155" s="4">
        <v>0.03</v>
      </c>
      <c r="Q155" s="7">
        <f t="shared" si="17"/>
        <v>230.607</v>
      </c>
      <c r="R155" s="7">
        <f t="shared" si="18"/>
        <v>7456.2930000000006</v>
      </c>
      <c r="S155" s="7">
        <f t="shared" si="19"/>
        <v>1242.7155</v>
      </c>
      <c r="T155" s="6">
        <f t="shared" si="20"/>
        <v>1.5873015873015872E-2</v>
      </c>
      <c r="V155" t="s">
        <v>29</v>
      </c>
    </row>
    <row r="156" spans="1:22">
      <c r="A156" s="3">
        <v>45664</v>
      </c>
      <c r="B156" t="str">
        <f t="shared" si="14"/>
        <v>yyyy-01</v>
      </c>
      <c r="C156">
        <f t="shared" si="15"/>
        <v>2</v>
      </c>
      <c r="D156" t="s">
        <v>42</v>
      </c>
      <c r="E156" t="s">
        <v>43</v>
      </c>
      <c r="F156" t="s">
        <v>46</v>
      </c>
      <c r="G156" t="s">
        <v>36</v>
      </c>
      <c r="H156" t="s">
        <v>37</v>
      </c>
      <c r="I156" s="5">
        <v>519</v>
      </c>
      <c r="J156" s="5">
        <v>425</v>
      </c>
      <c r="K156" s="5">
        <v>44</v>
      </c>
      <c r="L156" s="5">
        <v>8</v>
      </c>
      <c r="M156" s="5">
        <v>8</v>
      </c>
      <c r="N156" s="7">
        <v>2141.91</v>
      </c>
      <c r="O156" s="7">
        <f t="shared" si="16"/>
        <v>17135.28</v>
      </c>
      <c r="P156" s="4">
        <v>0.05</v>
      </c>
      <c r="Q156" s="7">
        <f t="shared" si="17"/>
        <v>856.76400000000001</v>
      </c>
      <c r="R156" s="7">
        <f t="shared" si="18"/>
        <v>16278.516</v>
      </c>
      <c r="S156" s="7">
        <f t="shared" si="19"/>
        <v>2034.8145</v>
      </c>
      <c r="T156" s="6">
        <f t="shared" si="20"/>
        <v>1.5414258188824663E-2</v>
      </c>
      <c r="V156" t="s">
        <v>29</v>
      </c>
    </row>
    <row r="157" spans="1:22">
      <c r="A157" s="3">
        <v>45664</v>
      </c>
      <c r="B157" t="str">
        <f t="shared" si="14"/>
        <v>yyyy-01</v>
      </c>
      <c r="C157">
        <f t="shared" si="15"/>
        <v>2</v>
      </c>
      <c r="D157" t="s">
        <v>42</v>
      </c>
      <c r="E157" t="s">
        <v>43</v>
      </c>
      <c r="F157" t="s">
        <v>47</v>
      </c>
      <c r="G157" t="s">
        <v>31</v>
      </c>
      <c r="H157" t="s">
        <v>32</v>
      </c>
      <c r="I157" s="5">
        <v>572</v>
      </c>
      <c r="J157" s="5">
        <v>398</v>
      </c>
      <c r="K157" s="5">
        <v>41</v>
      </c>
      <c r="L157" s="5">
        <v>8</v>
      </c>
      <c r="M157" s="5">
        <v>8</v>
      </c>
      <c r="N157" s="7">
        <v>593.11</v>
      </c>
      <c r="O157" s="7">
        <f t="shared" si="16"/>
        <v>4744.88</v>
      </c>
      <c r="P157" s="4">
        <v>0</v>
      </c>
      <c r="Q157" s="7">
        <f t="shared" si="17"/>
        <v>0</v>
      </c>
      <c r="R157" s="7">
        <f t="shared" si="18"/>
        <v>4744.88</v>
      </c>
      <c r="S157" s="7">
        <f t="shared" si="19"/>
        <v>593.11</v>
      </c>
      <c r="T157" s="6">
        <f t="shared" si="20"/>
        <v>1.3986013986013986E-2</v>
      </c>
      <c r="V157" t="s">
        <v>29</v>
      </c>
    </row>
    <row r="158" spans="1:22">
      <c r="A158" s="3">
        <v>45664</v>
      </c>
      <c r="B158" t="str">
        <f t="shared" si="14"/>
        <v>yyyy-01</v>
      </c>
      <c r="C158">
        <f t="shared" si="15"/>
        <v>2</v>
      </c>
      <c r="D158" t="s">
        <v>42</v>
      </c>
      <c r="E158" t="s">
        <v>49</v>
      </c>
      <c r="F158" t="s">
        <v>50</v>
      </c>
      <c r="G158" t="s">
        <v>36</v>
      </c>
      <c r="H158" t="s">
        <v>37</v>
      </c>
      <c r="I158" s="5">
        <v>188</v>
      </c>
      <c r="J158" s="5">
        <v>144</v>
      </c>
      <c r="K158" s="5">
        <v>13</v>
      </c>
      <c r="L158" s="5">
        <v>2</v>
      </c>
      <c r="M158" s="5">
        <v>2</v>
      </c>
      <c r="N158" s="7">
        <v>1011.43</v>
      </c>
      <c r="O158" s="7">
        <f t="shared" si="16"/>
        <v>2022.86</v>
      </c>
      <c r="P158" s="4">
        <v>0</v>
      </c>
      <c r="Q158" s="7">
        <f t="shared" si="17"/>
        <v>0</v>
      </c>
      <c r="R158" s="7">
        <f t="shared" si="18"/>
        <v>2022.86</v>
      </c>
      <c r="S158" s="7">
        <f t="shared" si="19"/>
        <v>1011.43</v>
      </c>
      <c r="T158" s="6">
        <f t="shared" si="20"/>
        <v>1.0638297872340425E-2</v>
      </c>
      <c r="V158" t="s">
        <v>29</v>
      </c>
    </row>
    <row r="159" spans="1:22">
      <c r="A159" s="3">
        <v>45664</v>
      </c>
      <c r="B159" t="str">
        <f t="shared" si="14"/>
        <v>yyyy-01</v>
      </c>
      <c r="C159">
        <f t="shared" si="15"/>
        <v>2</v>
      </c>
      <c r="D159" t="s">
        <v>42</v>
      </c>
      <c r="E159" t="s">
        <v>51</v>
      </c>
      <c r="F159" t="s">
        <v>52</v>
      </c>
      <c r="G159" t="s">
        <v>27</v>
      </c>
      <c r="H159" t="s">
        <v>28</v>
      </c>
      <c r="I159" s="5">
        <v>224</v>
      </c>
      <c r="J159" s="5">
        <v>122</v>
      </c>
      <c r="K159" s="5">
        <v>10</v>
      </c>
      <c r="L159" s="5">
        <v>3</v>
      </c>
      <c r="M159" s="5">
        <v>3</v>
      </c>
      <c r="N159" s="7">
        <v>604.91</v>
      </c>
      <c r="O159" s="7">
        <f t="shared" si="16"/>
        <v>1814.73</v>
      </c>
      <c r="P159" s="4">
        <v>0</v>
      </c>
      <c r="Q159" s="7">
        <f t="shared" si="17"/>
        <v>0</v>
      </c>
      <c r="R159" s="7">
        <f t="shared" si="18"/>
        <v>1814.73</v>
      </c>
      <c r="S159" s="7">
        <f t="shared" si="19"/>
        <v>604.91</v>
      </c>
      <c r="T159" s="6">
        <f t="shared" si="20"/>
        <v>1.3392857142857142E-2</v>
      </c>
      <c r="V159" t="s">
        <v>29</v>
      </c>
    </row>
    <row r="160" spans="1:22">
      <c r="A160" s="3">
        <v>45664</v>
      </c>
      <c r="B160" t="str">
        <f t="shared" si="14"/>
        <v>yyyy-01</v>
      </c>
      <c r="C160">
        <f t="shared" si="15"/>
        <v>2</v>
      </c>
      <c r="D160" t="s">
        <v>53</v>
      </c>
      <c r="E160" t="s">
        <v>54</v>
      </c>
      <c r="F160" t="s">
        <v>55</v>
      </c>
      <c r="G160" t="s">
        <v>31</v>
      </c>
      <c r="H160" t="s">
        <v>32</v>
      </c>
      <c r="I160" s="5">
        <v>192</v>
      </c>
      <c r="J160" s="5">
        <v>152</v>
      </c>
      <c r="K160" s="5">
        <v>11</v>
      </c>
      <c r="L160" s="5">
        <v>3</v>
      </c>
      <c r="M160" s="5">
        <v>3</v>
      </c>
      <c r="N160" s="7">
        <v>1276.19</v>
      </c>
      <c r="O160" s="7">
        <f t="shared" si="16"/>
        <v>3828.57</v>
      </c>
      <c r="P160" s="4">
        <v>0</v>
      </c>
      <c r="Q160" s="7">
        <f t="shared" si="17"/>
        <v>0</v>
      </c>
      <c r="R160" s="7">
        <f t="shared" si="18"/>
        <v>3828.57</v>
      </c>
      <c r="S160" s="7">
        <f t="shared" si="19"/>
        <v>1276.19</v>
      </c>
      <c r="T160" s="6">
        <f t="shared" si="20"/>
        <v>1.5625E-2</v>
      </c>
      <c r="V160" t="s">
        <v>29</v>
      </c>
    </row>
    <row r="161" spans="1:22">
      <c r="A161" s="3">
        <v>45664</v>
      </c>
      <c r="B161" t="str">
        <f t="shared" si="14"/>
        <v>yyyy-01</v>
      </c>
      <c r="C161">
        <f t="shared" si="15"/>
        <v>2</v>
      </c>
      <c r="D161" t="s">
        <v>53</v>
      </c>
      <c r="E161" t="s">
        <v>56</v>
      </c>
      <c r="F161" t="s">
        <v>57</v>
      </c>
      <c r="G161" t="s">
        <v>36</v>
      </c>
      <c r="H161" t="s">
        <v>37</v>
      </c>
      <c r="I161" s="5">
        <v>276</v>
      </c>
      <c r="J161" s="5">
        <v>215</v>
      </c>
      <c r="K161" s="5">
        <v>13</v>
      </c>
      <c r="L161" s="5">
        <v>3</v>
      </c>
      <c r="M161" s="5">
        <v>3</v>
      </c>
      <c r="N161" s="7">
        <v>731.93</v>
      </c>
      <c r="O161" s="7">
        <f t="shared" si="16"/>
        <v>2195.79</v>
      </c>
      <c r="P161" s="4">
        <v>0</v>
      </c>
      <c r="Q161" s="7">
        <f t="shared" si="17"/>
        <v>0</v>
      </c>
      <c r="R161" s="7">
        <f t="shared" si="18"/>
        <v>2195.79</v>
      </c>
      <c r="S161" s="7">
        <f t="shared" si="19"/>
        <v>731.93</v>
      </c>
      <c r="T161" s="6">
        <f t="shared" si="20"/>
        <v>1.0869565217391304E-2</v>
      </c>
      <c r="V161" t="s">
        <v>29</v>
      </c>
    </row>
    <row r="162" spans="1:22">
      <c r="A162" s="3">
        <v>45664</v>
      </c>
      <c r="B162" t="str">
        <f t="shared" si="14"/>
        <v>yyyy-01</v>
      </c>
      <c r="C162">
        <f t="shared" si="15"/>
        <v>2</v>
      </c>
      <c r="D162" t="s">
        <v>53</v>
      </c>
      <c r="E162" t="s">
        <v>56</v>
      </c>
      <c r="F162" t="s">
        <v>58</v>
      </c>
      <c r="G162" t="s">
        <v>27</v>
      </c>
      <c r="H162" t="s">
        <v>48</v>
      </c>
      <c r="I162" s="5">
        <v>156</v>
      </c>
      <c r="J162" s="5">
        <v>117</v>
      </c>
      <c r="K162" s="5">
        <v>13</v>
      </c>
      <c r="L162" s="5">
        <v>2</v>
      </c>
      <c r="M162" s="5">
        <v>2</v>
      </c>
      <c r="N162" s="7">
        <v>864.07</v>
      </c>
      <c r="O162" s="7">
        <f t="shared" si="16"/>
        <v>1728.14</v>
      </c>
      <c r="P162" s="4">
        <v>0.05</v>
      </c>
      <c r="Q162" s="7">
        <f t="shared" si="17"/>
        <v>86.407000000000011</v>
      </c>
      <c r="R162" s="7">
        <f t="shared" si="18"/>
        <v>1641.7330000000002</v>
      </c>
      <c r="S162" s="7">
        <f t="shared" si="19"/>
        <v>820.86650000000009</v>
      </c>
      <c r="T162" s="6">
        <f t="shared" si="20"/>
        <v>1.282051282051282E-2</v>
      </c>
      <c r="V162" t="s">
        <v>29</v>
      </c>
    </row>
    <row r="163" spans="1:22">
      <c r="A163" s="3">
        <v>45664</v>
      </c>
      <c r="B163" t="str">
        <f t="shared" si="14"/>
        <v>yyyy-01</v>
      </c>
      <c r="C163">
        <f t="shared" si="15"/>
        <v>2</v>
      </c>
      <c r="D163" t="s">
        <v>53</v>
      </c>
      <c r="E163" t="s">
        <v>59</v>
      </c>
      <c r="F163" t="s">
        <v>60</v>
      </c>
      <c r="G163" t="s">
        <v>31</v>
      </c>
      <c r="H163" t="s">
        <v>32</v>
      </c>
      <c r="I163" s="5">
        <v>160</v>
      </c>
      <c r="J163" s="5">
        <v>88</v>
      </c>
      <c r="K163" s="5">
        <v>6</v>
      </c>
      <c r="L163" s="5">
        <v>2</v>
      </c>
      <c r="M163" s="5">
        <v>2</v>
      </c>
      <c r="N163" s="7">
        <v>688.65</v>
      </c>
      <c r="O163" s="7">
        <f t="shared" si="16"/>
        <v>1377.3</v>
      </c>
      <c r="P163" s="4">
        <v>0</v>
      </c>
      <c r="Q163" s="7">
        <f t="shared" si="17"/>
        <v>0</v>
      </c>
      <c r="R163" s="7">
        <f t="shared" si="18"/>
        <v>1377.3</v>
      </c>
      <c r="S163" s="7">
        <f t="shared" si="19"/>
        <v>688.65</v>
      </c>
      <c r="T163" s="6">
        <f t="shared" si="20"/>
        <v>1.2500000000000001E-2</v>
      </c>
      <c r="V163" t="s">
        <v>29</v>
      </c>
    </row>
    <row r="164" spans="1:22">
      <c r="A164" s="3">
        <v>45664</v>
      </c>
      <c r="B164" t="str">
        <f t="shared" si="14"/>
        <v>yyyy-01</v>
      </c>
      <c r="C164">
        <f t="shared" si="15"/>
        <v>2</v>
      </c>
      <c r="D164" t="s">
        <v>53</v>
      </c>
      <c r="E164" t="s">
        <v>61</v>
      </c>
      <c r="F164" t="s">
        <v>62</v>
      </c>
      <c r="G164" t="s">
        <v>27</v>
      </c>
      <c r="H164" t="s">
        <v>45</v>
      </c>
      <c r="I164" s="5">
        <v>111</v>
      </c>
      <c r="J164" s="5">
        <v>86</v>
      </c>
      <c r="K164" s="5">
        <v>8</v>
      </c>
      <c r="L164" s="5">
        <v>1</v>
      </c>
      <c r="M164" s="5">
        <v>1</v>
      </c>
      <c r="N164" s="7">
        <v>496.26</v>
      </c>
      <c r="O164" s="7">
        <f t="shared" si="16"/>
        <v>496.26</v>
      </c>
      <c r="P164" s="4">
        <v>0</v>
      </c>
      <c r="Q164" s="7">
        <f t="shared" si="17"/>
        <v>0</v>
      </c>
      <c r="R164" s="7">
        <f t="shared" si="18"/>
        <v>496.26</v>
      </c>
      <c r="S164" s="7">
        <f t="shared" si="19"/>
        <v>496.26</v>
      </c>
      <c r="T164" s="6">
        <f t="shared" si="20"/>
        <v>9.0090090090090089E-3</v>
      </c>
      <c r="V164" t="s">
        <v>78</v>
      </c>
    </row>
    <row r="165" spans="1:22">
      <c r="A165" s="3">
        <v>45664</v>
      </c>
      <c r="B165" t="str">
        <f t="shared" si="14"/>
        <v>yyyy-01</v>
      </c>
      <c r="C165">
        <f t="shared" si="15"/>
        <v>2</v>
      </c>
      <c r="D165" t="s">
        <v>53</v>
      </c>
      <c r="E165" t="s">
        <v>64</v>
      </c>
      <c r="F165" t="s">
        <v>65</v>
      </c>
      <c r="G165" t="s">
        <v>27</v>
      </c>
      <c r="H165" t="s">
        <v>45</v>
      </c>
      <c r="I165" s="5">
        <v>156</v>
      </c>
      <c r="J165" s="5">
        <v>101</v>
      </c>
      <c r="K165" s="5">
        <v>12</v>
      </c>
      <c r="L165" s="5">
        <v>2</v>
      </c>
      <c r="M165" s="5">
        <v>2</v>
      </c>
      <c r="N165" s="7">
        <v>770.28</v>
      </c>
      <c r="O165" s="7">
        <f t="shared" si="16"/>
        <v>1540.56</v>
      </c>
      <c r="P165" s="4">
        <v>0</v>
      </c>
      <c r="Q165" s="7">
        <f t="shared" si="17"/>
        <v>0</v>
      </c>
      <c r="R165" s="7">
        <f t="shared" si="18"/>
        <v>1540.56</v>
      </c>
      <c r="S165" s="7">
        <f t="shared" si="19"/>
        <v>770.28</v>
      </c>
      <c r="T165" s="6">
        <f t="shared" si="20"/>
        <v>1.282051282051282E-2</v>
      </c>
      <c r="V165" t="s">
        <v>29</v>
      </c>
    </row>
    <row r="166" spans="1:22">
      <c r="A166" s="3">
        <v>45664</v>
      </c>
      <c r="B166" t="str">
        <f t="shared" si="14"/>
        <v>yyyy-01</v>
      </c>
      <c r="C166">
        <f t="shared" si="15"/>
        <v>2</v>
      </c>
      <c r="D166" t="s">
        <v>66</v>
      </c>
      <c r="E166" t="s">
        <v>67</v>
      </c>
      <c r="F166" t="s">
        <v>68</v>
      </c>
      <c r="G166" t="s">
        <v>27</v>
      </c>
      <c r="H166" t="s">
        <v>28</v>
      </c>
      <c r="I166" s="5">
        <v>306</v>
      </c>
      <c r="J166" s="5">
        <v>207</v>
      </c>
      <c r="K166" s="5">
        <v>18</v>
      </c>
      <c r="L166" s="5">
        <v>4</v>
      </c>
      <c r="M166" s="5">
        <v>4</v>
      </c>
      <c r="N166" s="7">
        <v>687.27</v>
      </c>
      <c r="O166" s="7">
        <f t="shared" si="16"/>
        <v>2749.08</v>
      </c>
      <c r="P166" s="4">
        <v>0.03</v>
      </c>
      <c r="Q166" s="7">
        <f t="shared" si="17"/>
        <v>82.472399999999993</v>
      </c>
      <c r="R166" s="7">
        <f t="shared" si="18"/>
        <v>2666.6075999999998</v>
      </c>
      <c r="S166" s="7">
        <f t="shared" si="19"/>
        <v>666.65189999999996</v>
      </c>
      <c r="T166" s="6">
        <f t="shared" si="20"/>
        <v>1.3071895424836602E-2</v>
      </c>
      <c r="V166" t="s">
        <v>29</v>
      </c>
    </row>
    <row r="167" spans="1:22">
      <c r="A167" s="3">
        <v>45664</v>
      </c>
      <c r="B167" t="str">
        <f t="shared" si="14"/>
        <v>yyyy-01</v>
      </c>
      <c r="C167">
        <f t="shared" si="15"/>
        <v>2</v>
      </c>
      <c r="D167" t="s">
        <v>66</v>
      </c>
      <c r="E167" t="s">
        <v>67</v>
      </c>
      <c r="F167" t="s">
        <v>69</v>
      </c>
      <c r="G167" t="s">
        <v>36</v>
      </c>
      <c r="H167" t="s">
        <v>37</v>
      </c>
      <c r="I167" s="5">
        <v>373</v>
      </c>
      <c r="J167" s="5">
        <v>278</v>
      </c>
      <c r="K167" s="5">
        <v>27</v>
      </c>
      <c r="L167" s="5">
        <v>6</v>
      </c>
      <c r="M167" s="5">
        <v>6</v>
      </c>
      <c r="N167" s="7">
        <v>391</v>
      </c>
      <c r="O167" s="7">
        <f t="shared" si="16"/>
        <v>2346</v>
      </c>
      <c r="P167" s="4">
        <v>0.05</v>
      </c>
      <c r="Q167" s="7">
        <f t="shared" si="17"/>
        <v>117.30000000000001</v>
      </c>
      <c r="R167" s="7">
        <f t="shared" si="18"/>
        <v>2228.6999999999998</v>
      </c>
      <c r="S167" s="7">
        <f t="shared" si="19"/>
        <v>371.45</v>
      </c>
      <c r="T167" s="6">
        <f t="shared" si="20"/>
        <v>1.6085790884718499E-2</v>
      </c>
      <c r="V167" t="s">
        <v>78</v>
      </c>
    </row>
    <row r="168" spans="1:22">
      <c r="A168" s="3">
        <v>45664</v>
      </c>
      <c r="B168" t="str">
        <f t="shared" si="14"/>
        <v>yyyy-01</v>
      </c>
      <c r="C168">
        <f t="shared" si="15"/>
        <v>2</v>
      </c>
      <c r="D168" t="s">
        <v>66</v>
      </c>
      <c r="E168" t="s">
        <v>67</v>
      </c>
      <c r="F168" t="s">
        <v>70</v>
      </c>
      <c r="G168" t="s">
        <v>31</v>
      </c>
      <c r="H168" t="s">
        <v>32</v>
      </c>
      <c r="I168" s="5">
        <v>340</v>
      </c>
      <c r="J168" s="5">
        <v>244</v>
      </c>
      <c r="K168" s="5">
        <v>29</v>
      </c>
      <c r="L168" s="5">
        <v>7</v>
      </c>
      <c r="M168" s="5">
        <v>7</v>
      </c>
      <c r="N168" s="7">
        <v>345.06</v>
      </c>
      <c r="O168" s="7">
        <f t="shared" si="16"/>
        <v>2415.42</v>
      </c>
      <c r="P168" s="4">
        <v>0.03</v>
      </c>
      <c r="Q168" s="7">
        <f t="shared" si="17"/>
        <v>72.462599999999995</v>
      </c>
      <c r="R168" s="7">
        <f t="shared" si="18"/>
        <v>2342.9574000000002</v>
      </c>
      <c r="S168" s="7">
        <f t="shared" si="19"/>
        <v>334.70820000000003</v>
      </c>
      <c r="T168" s="6">
        <f t="shared" si="20"/>
        <v>2.0588235294117647E-2</v>
      </c>
      <c r="V168" t="s">
        <v>29</v>
      </c>
    </row>
    <row r="169" spans="1:22">
      <c r="A169" s="3">
        <v>45664</v>
      </c>
      <c r="B169" t="str">
        <f t="shared" si="14"/>
        <v>yyyy-01</v>
      </c>
      <c r="C169">
        <f t="shared" si="15"/>
        <v>2</v>
      </c>
      <c r="D169" t="s">
        <v>66</v>
      </c>
      <c r="E169" t="s">
        <v>71</v>
      </c>
      <c r="F169" t="s">
        <v>72</v>
      </c>
      <c r="G169" t="s">
        <v>31</v>
      </c>
      <c r="H169" t="s">
        <v>32</v>
      </c>
      <c r="I169" s="5">
        <v>361</v>
      </c>
      <c r="J169" s="5">
        <v>220</v>
      </c>
      <c r="K169" s="5">
        <v>10</v>
      </c>
      <c r="L169" s="5">
        <v>4</v>
      </c>
      <c r="M169" s="5">
        <v>5</v>
      </c>
      <c r="N169" s="7">
        <v>127.83</v>
      </c>
      <c r="O169" s="7">
        <f t="shared" si="16"/>
        <v>639.15</v>
      </c>
      <c r="P169" s="4">
        <v>0</v>
      </c>
      <c r="Q169" s="7">
        <f t="shared" si="17"/>
        <v>0</v>
      </c>
      <c r="R169" s="7">
        <f t="shared" si="18"/>
        <v>639.15</v>
      </c>
      <c r="S169" s="7">
        <f t="shared" si="19"/>
        <v>159.78749999999999</v>
      </c>
      <c r="T169" s="6">
        <f t="shared" si="20"/>
        <v>1.1080332409972299E-2</v>
      </c>
      <c r="V169" t="s">
        <v>78</v>
      </c>
    </row>
    <row r="170" spans="1:22">
      <c r="A170" s="3">
        <v>45664</v>
      </c>
      <c r="B170" t="str">
        <f t="shared" si="14"/>
        <v>yyyy-01</v>
      </c>
      <c r="C170">
        <f t="shared" si="15"/>
        <v>2</v>
      </c>
      <c r="D170" t="s">
        <v>66</v>
      </c>
      <c r="E170" t="s">
        <v>73</v>
      </c>
      <c r="F170" t="s">
        <v>74</v>
      </c>
      <c r="G170" t="s">
        <v>27</v>
      </c>
      <c r="H170" t="s">
        <v>63</v>
      </c>
      <c r="I170" s="5">
        <v>114</v>
      </c>
      <c r="J170" s="5">
        <v>60</v>
      </c>
      <c r="K170" s="5">
        <v>7</v>
      </c>
      <c r="L170" s="5">
        <v>2</v>
      </c>
      <c r="M170" s="5">
        <v>2</v>
      </c>
      <c r="N170" s="7">
        <v>1154.48</v>
      </c>
      <c r="O170" s="7">
        <f t="shared" si="16"/>
        <v>2308.96</v>
      </c>
      <c r="P170" s="4">
        <v>0.03</v>
      </c>
      <c r="Q170" s="7">
        <f t="shared" si="17"/>
        <v>69.268799999999999</v>
      </c>
      <c r="R170" s="7">
        <f t="shared" si="18"/>
        <v>2239.6912000000002</v>
      </c>
      <c r="S170" s="7">
        <f t="shared" si="19"/>
        <v>1119.8456000000001</v>
      </c>
      <c r="T170" s="6">
        <f t="shared" si="20"/>
        <v>1.7543859649122806E-2</v>
      </c>
      <c r="V170" t="s">
        <v>29</v>
      </c>
    </row>
    <row r="171" spans="1:22">
      <c r="A171" s="3">
        <v>45664</v>
      </c>
      <c r="B171" t="str">
        <f t="shared" si="14"/>
        <v>yyyy-01</v>
      </c>
      <c r="C171">
        <f t="shared" si="15"/>
        <v>2</v>
      </c>
      <c r="D171" t="s">
        <v>66</v>
      </c>
      <c r="E171" t="s">
        <v>71</v>
      </c>
      <c r="F171" t="s">
        <v>75</v>
      </c>
      <c r="G171" t="s">
        <v>27</v>
      </c>
      <c r="H171" t="s">
        <v>28</v>
      </c>
      <c r="I171" s="5">
        <v>232</v>
      </c>
      <c r="J171" s="5">
        <v>174</v>
      </c>
      <c r="K171" s="5">
        <v>21</v>
      </c>
      <c r="L171" s="5">
        <v>5</v>
      </c>
      <c r="M171" s="5">
        <v>6</v>
      </c>
      <c r="N171" s="7">
        <v>38.6</v>
      </c>
      <c r="O171" s="7">
        <f t="shared" si="16"/>
        <v>231.60000000000002</v>
      </c>
      <c r="P171" s="4">
        <v>0</v>
      </c>
      <c r="Q171" s="7">
        <f t="shared" si="17"/>
        <v>0</v>
      </c>
      <c r="R171" s="7">
        <f t="shared" si="18"/>
        <v>231.60000000000002</v>
      </c>
      <c r="S171" s="7">
        <f t="shared" si="19"/>
        <v>46.320000000000007</v>
      </c>
      <c r="T171" s="6">
        <f t="shared" si="20"/>
        <v>2.1551724137931036E-2</v>
      </c>
      <c r="V171" t="s">
        <v>29</v>
      </c>
    </row>
    <row r="172" spans="1:22">
      <c r="A172" s="3">
        <v>45664</v>
      </c>
      <c r="B172" t="str">
        <f t="shared" si="14"/>
        <v>yyyy-01</v>
      </c>
      <c r="C172">
        <f t="shared" si="15"/>
        <v>2</v>
      </c>
      <c r="D172" t="s">
        <v>24</v>
      </c>
      <c r="E172" t="s">
        <v>76</v>
      </c>
      <c r="F172" t="s">
        <v>77</v>
      </c>
      <c r="G172" t="s">
        <v>27</v>
      </c>
      <c r="H172" t="s">
        <v>63</v>
      </c>
      <c r="I172" s="5">
        <v>444</v>
      </c>
      <c r="J172" s="5">
        <v>242</v>
      </c>
      <c r="K172" s="5">
        <v>30</v>
      </c>
      <c r="L172" s="5">
        <v>9</v>
      </c>
      <c r="M172" s="5">
        <v>10</v>
      </c>
      <c r="N172" s="7">
        <v>194.55</v>
      </c>
      <c r="O172" s="7">
        <f t="shared" si="16"/>
        <v>1945.5</v>
      </c>
      <c r="P172" s="4">
        <v>0.03</v>
      </c>
      <c r="Q172" s="7">
        <f t="shared" si="17"/>
        <v>58.364999999999995</v>
      </c>
      <c r="R172" s="7">
        <f t="shared" si="18"/>
        <v>1887.135</v>
      </c>
      <c r="S172" s="7">
        <f t="shared" si="19"/>
        <v>209.68166666666667</v>
      </c>
      <c r="T172" s="6">
        <f t="shared" si="20"/>
        <v>2.0270270270270271E-2</v>
      </c>
      <c r="V172" t="s">
        <v>29</v>
      </c>
    </row>
    <row r="173" spans="1:22">
      <c r="A173" s="3">
        <v>45665</v>
      </c>
      <c r="B173" t="str">
        <f t="shared" si="14"/>
        <v>yyyy-01</v>
      </c>
      <c r="C173">
        <f t="shared" si="15"/>
        <v>2</v>
      </c>
      <c r="D173" t="s">
        <v>24</v>
      </c>
      <c r="E173" t="s">
        <v>25</v>
      </c>
      <c r="F173" t="s">
        <v>26</v>
      </c>
      <c r="G173" t="s">
        <v>31</v>
      </c>
      <c r="H173" t="s">
        <v>32</v>
      </c>
      <c r="I173" s="5">
        <v>1563</v>
      </c>
      <c r="J173" s="5">
        <v>1160</v>
      </c>
      <c r="K173" s="5">
        <v>107</v>
      </c>
      <c r="L173" s="5">
        <v>32</v>
      </c>
      <c r="M173" s="5">
        <v>32</v>
      </c>
      <c r="N173" s="7">
        <v>1002.61</v>
      </c>
      <c r="O173" s="7">
        <f t="shared" si="16"/>
        <v>32083.52</v>
      </c>
      <c r="P173" s="4">
        <v>0.12</v>
      </c>
      <c r="Q173" s="7">
        <f t="shared" si="17"/>
        <v>3850.0223999999998</v>
      </c>
      <c r="R173" s="7">
        <f t="shared" si="18"/>
        <v>28233.497600000002</v>
      </c>
      <c r="S173" s="7">
        <f t="shared" si="19"/>
        <v>882.29680000000008</v>
      </c>
      <c r="T173" s="6">
        <f t="shared" si="20"/>
        <v>2.0473448496481125E-2</v>
      </c>
      <c r="U173" t="s">
        <v>79</v>
      </c>
      <c r="V173" t="s">
        <v>29</v>
      </c>
    </row>
    <row r="174" spans="1:22">
      <c r="A174" s="3">
        <v>45665</v>
      </c>
      <c r="B174" t="str">
        <f t="shared" si="14"/>
        <v>yyyy-01</v>
      </c>
      <c r="C174">
        <f t="shared" si="15"/>
        <v>2</v>
      </c>
      <c r="D174" t="s">
        <v>24</v>
      </c>
      <c r="E174" t="s">
        <v>25</v>
      </c>
      <c r="F174" t="s">
        <v>30</v>
      </c>
      <c r="G174" t="s">
        <v>27</v>
      </c>
      <c r="H174" t="s">
        <v>48</v>
      </c>
      <c r="I174" s="5">
        <v>1243</v>
      </c>
      <c r="J174" s="5">
        <v>813</v>
      </c>
      <c r="K174" s="5">
        <v>144</v>
      </c>
      <c r="L174" s="5">
        <v>33</v>
      </c>
      <c r="M174" s="5">
        <v>33</v>
      </c>
      <c r="N174" s="7">
        <v>399.11</v>
      </c>
      <c r="O174" s="7">
        <f t="shared" si="16"/>
        <v>13170.630000000001</v>
      </c>
      <c r="P174" s="4">
        <v>0.12</v>
      </c>
      <c r="Q174" s="7">
        <f t="shared" si="17"/>
        <v>1580.4756</v>
      </c>
      <c r="R174" s="7">
        <f t="shared" si="18"/>
        <v>11590.154400000001</v>
      </c>
      <c r="S174" s="7">
        <f t="shared" si="19"/>
        <v>351.21680000000003</v>
      </c>
      <c r="T174" s="6">
        <f t="shared" si="20"/>
        <v>2.6548672566371681E-2</v>
      </c>
      <c r="U174" t="s">
        <v>79</v>
      </c>
      <c r="V174" t="s">
        <v>29</v>
      </c>
    </row>
    <row r="175" spans="1:22">
      <c r="A175" s="3">
        <v>45665</v>
      </c>
      <c r="B175" t="str">
        <f t="shared" si="14"/>
        <v>yyyy-01</v>
      </c>
      <c r="C175">
        <f t="shared" si="15"/>
        <v>2</v>
      </c>
      <c r="D175" t="s">
        <v>24</v>
      </c>
      <c r="E175" t="s">
        <v>25</v>
      </c>
      <c r="F175" t="s">
        <v>33</v>
      </c>
      <c r="G175" t="s">
        <v>36</v>
      </c>
      <c r="H175" t="s">
        <v>37</v>
      </c>
      <c r="I175" s="5">
        <v>1507</v>
      </c>
      <c r="J175" s="5">
        <v>798</v>
      </c>
      <c r="K175" s="5">
        <v>182</v>
      </c>
      <c r="L175" s="5">
        <v>45</v>
      </c>
      <c r="M175" s="5">
        <v>45</v>
      </c>
      <c r="N175" s="7">
        <v>1740.67</v>
      </c>
      <c r="O175" s="7">
        <f t="shared" si="16"/>
        <v>78330.150000000009</v>
      </c>
      <c r="P175" s="4">
        <v>0.12</v>
      </c>
      <c r="Q175" s="7">
        <f t="shared" si="17"/>
        <v>9399.6180000000004</v>
      </c>
      <c r="R175" s="7">
        <f t="shared" si="18"/>
        <v>68930.532000000007</v>
      </c>
      <c r="S175" s="7">
        <f t="shared" si="19"/>
        <v>1531.7896000000001</v>
      </c>
      <c r="T175" s="6">
        <f t="shared" si="20"/>
        <v>2.9860650298606503E-2</v>
      </c>
      <c r="U175" t="s">
        <v>79</v>
      </c>
      <c r="V175" t="s">
        <v>29</v>
      </c>
    </row>
    <row r="176" spans="1:22">
      <c r="A176" s="3">
        <v>45665</v>
      </c>
      <c r="B176" t="str">
        <f t="shared" si="14"/>
        <v>yyyy-01</v>
      </c>
      <c r="C176">
        <f t="shared" si="15"/>
        <v>2</v>
      </c>
      <c r="D176" t="s">
        <v>24</v>
      </c>
      <c r="E176" t="s">
        <v>34</v>
      </c>
      <c r="F176" t="s">
        <v>35</v>
      </c>
      <c r="G176" t="s">
        <v>31</v>
      </c>
      <c r="H176" t="s">
        <v>32</v>
      </c>
      <c r="I176" s="5">
        <v>945</v>
      </c>
      <c r="J176" s="5">
        <v>603</v>
      </c>
      <c r="K176" s="5">
        <v>76</v>
      </c>
      <c r="L176" s="5">
        <v>20</v>
      </c>
      <c r="M176" s="5">
        <v>20</v>
      </c>
      <c r="N176" s="7">
        <v>914.22</v>
      </c>
      <c r="O176" s="7">
        <f t="shared" si="16"/>
        <v>18284.400000000001</v>
      </c>
      <c r="P176" s="4">
        <v>0.05</v>
      </c>
      <c r="Q176" s="7">
        <f t="shared" si="17"/>
        <v>914.22000000000014</v>
      </c>
      <c r="R176" s="7">
        <f t="shared" si="18"/>
        <v>17370.18</v>
      </c>
      <c r="S176" s="7">
        <f t="shared" si="19"/>
        <v>868.50900000000001</v>
      </c>
      <c r="T176" s="6">
        <f t="shared" si="20"/>
        <v>2.1164021164021163E-2</v>
      </c>
      <c r="V176" t="s">
        <v>29</v>
      </c>
    </row>
    <row r="177" spans="1:22">
      <c r="A177" s="3">
        <v>45665</v>
      </c>
      <c r="B177" t="str">
        <f t="shared" si="14"/>
        <v>yyyy-01</v>
      </c>
      <c r="C177">
        <f t="shared" si="15"/>
        <v>2</v>
      </c>
      <c r="D177" t="s">
        <v>24</v>
      </c>
      <c r="E177" t="s">
        <v>38</v>
      </c>
      <c r="F177" t="s">
        <v>39</v>
      </c>
      <c r="G177" t="s">
        <v>36</v>
      </c>
      <c r="H177" t="s">
        <v>37</v>
      </c>
      <c r="I177" s="5">
        <v>684</v>
      </c>
      <c r="J177" s="5">
        <v>493</v>
      </c>
      <c r="K177" s="5">
        <v>49</v>
      </c>
      <c r="L177" s="5">
        <v>12</v>
      </c>
      <c r="M177" s="5">
        <v>12</v>
      </c>
      <c r="N177" s="7">
        <v>325.69</v>
      </c>
      <c r="O177" s="7">
        <f t="shared" si="16"/>
        <v>3908.2799999999997</v>
      </c>
      <c r="P177" s="4">
        <v>0</v>
      </c>
      <c r="Q177" s="7">
        <f t="shared" si="17"/>
        <v>0</v>
      </c>
      <c r="R177" s="7">
        <f t="shared" si="18"/>
        <v>3908.2799999999997</v>
      </c>
      <c r="S177" s="7">
        <f t="shared" si="19"/>
        <v>325.69</v>
      </c>
      <c r="T177" s="6">
        <f t="shared" si="20"/>
        <v>1.7543859649122806E-2</v>
      </c>
      <c r="V177" t="s">
        <v>29</v>
      </c>
    </row>
    <row r="178" spans="1:22">
      <c r="A178" s="3">
        <v>45665</v>
      </c>
      <c r="B178" t="str">
        <f t="shared" si="14"/>
        <v>yyyy-01</v>
      </c>
      <c r="C178">
        <f t="shared" si="15"/>
        <v>2</v>
      </c>
      <c r="D178" t="s">
        <v>24</v>
      </c>
      <c r="E178" t="s">
        <v>40</v>
      </c>
      <c r="F178" t="s">
        <v>41</v>
      </c>
      <c r="G178" t="s">
        <v>36</v>
      </c>
      <c r="H178" t="s">
        <v>37</v>
      </c>
      <c r="I178" s="5">
        <v>684</v>
      </c>
      <c r="J178" s="5">
        <v>520</v>
      </c>
      <c r="K178" s="5">
        <v>46</v>
      </c>
      <c r="L178" s="5">
        <v>16</v>
      </c>
      <c r="M178" s="5">
        <v>20</v>
      </c>
      <c r="N178" s="7">
        <v>182.57</v>
      </c>
      <c r="O178" s="7">
        <f t="shared" si="16"/>
        <v>3651.3999999999996</v>
      </c>
      <c r="P178" s="4">
        <v>0.03</v>
      </c>
      <c r="Q178" s="7">
        <f t="shared" si="17"/>
        <v>109.54199999999999</v>
      </c>
      <c r="R178" s="7">
        <f t="shared" si="18"/>
        <v>3541.8579999999997</v>
      </c>
      <c r="S178" s="7">
        <f t="shared" si="19"/>
        <v>221.36612499999998</v>
      </c>
      <c r="T178" s="6">
        <f t="shared" si="20"/>
        <v>2.3391812865497075E-2</v>
      </c>
      <c r="V178" t="s">
        <v>29</v>
      </c>
    </row>
    <row r="179" spans="1:22">
      <c r="A179" s="3">
        <v>45665</v>
      </c>
      <c r="B179" t="str">
        <f t="shared" si="14"/>
        <v>yyyy-01</v>
      </c>
      <c r="C179">
        <f t="shared" si="15"/>
        <v>2</v>
      </c>
      <c r="D179" t="s">
        <v>42</v>
      </c>
      <c r="E179" t="s">
        <v>43</v>
      </c>
      <c r="F179" t="s">
        <v>44</v>
      </c>
      <c r="G179" t="s">
        <v>31</v>
      </c>
      <c r="H179" t="s">
        <v>32</v>
      </c>
      <c r="I179" s="5">
        <v>368</v>
      </c>
      <c r="J179" s="5">
        <v>242</v>
      </c>
      <c r="K179" s="5">
        <v>26</v>
      </c>
      <c r="L179" s="5">
        <v>4</v>
      </c>
      <c r="M179" s="5">
        <v>4</v>
      </c>
      <c r="N179" s="7">
        <v>1271.95</v>
      </c>
      <c r="O179" s="7">
        <f t="shared" si="16"/>
        <v>5087.8</v>
      </c>
      <c r="P179" s="4">
        <v>0</v>
      </c>
      <c r="Q179" s="7">
        <f t="shared" si="17"/>
        <v>0</v>
      </c>
      <c r="R179" s="7">
        <f t="shared" si="18"/>
        <v>5087.8</v>
      </c>
      <c r="S179" s="7">
        <f t="shared" si="19"/>
        <v>1271.95</v>
      </c>
      <c r="T179" s="6">
        <f t="shared" si="20"/>
        <v>1.0869565217391304E-2</v>
      </c>
      <c r="V179" t="s">
        <v>29</v>
      </c>
    </row>
    <row r="180" spans="1:22">
      <c r="A180" s="3">
        <v>45665</v>
      </c>
      <c r="B180" t="str">
        <f t="shared" si="14"/>
        <v>yyyy-01</v>
      </c>
      <c r="C180">
        <f t="shared" si="15"/>
        <v>2</v>
      </c>
      <c r="D180" t="s">
        <v>42</v>
      </c>
      <c r="E180" t="s">
        <v>43</v>
      </c>
      <c r="F180" t="s">
        <v>46</v>
      </c>
      <c r="G180" t="s">
        <v>36</v>
      </c>
      <c r="H180" t="s">
        <v>37</v>
      </c>
      <c r="I180" s="5">
        <v>535</v>
      </c>
      <c r="J180" s="5">
        <v>326</v>
      </c>
      <c r="K180" s="5">
        <v>32</v>
      </c>
      <c r="L180" s="5">
        <v>7</v>
      </c>
      <c r="M180" s="5">
        <v>7</v>
      </c>
      <c r="N180" s="7">
        <v>2203.4299999999998</v>
      </c>
      <c r="O180" s="7">
        <f t="shared" si="16"/>
        <v>15424.009999999998</v>
      </c>
      <c r="P180" s="4">
        <v>0</v>
      </c>
      <c r="Q180" s="7">
        <f t="shared" si="17"/>
        <v>0</v>
      </c>
      <c r="R180" s="7">
        <f t="shared" si="18"/>
        <v>15424.009999999998</v>
      </c>
      <c r="S180" s="7">
        <f t="shared" si="19"/>
        <v>2203.4299999999998</v>
      </c>
      <c r="T180" s="6">
        <f t="shared" si="20"/>
        <v>1.3084112149532711E-2</v>
      </c>
      <c r="V180" t="s">
        <v>29</v>
      </c>
    </row>
    <row r="181" spans="1:22">
      <c r="A181" s="3">
        <v>45665</v>
      </c>
      <c r="B181" t="str">
        <f t="shared" si="14"/>
        <v>yyyy-01</v>
      </c>
      <c r="C181">
        <f t="shared" si="15"/>
        <v>2</v>
      </c>
      <c r="D181" t="s">
        <v>42</v>
      </c>
      <c r="E181" t="s">
        <v>43</v>
      </c>
      <c r="F181" t="s">
        <v>47</v>
      </c>
      <c r="G181" t="s">
        <v>31</v>
      </c>
      <c r="H181" t="s">
        <v>32</v>
      </c>
      <c r="I181" s="5">
        <v>569</v>
      </c>
      <c r="J181" s="5">
        <v>320</v>
      </c>
      <c r="K181" s="5">
        <v>27</v>
      </c>
      <c r="L181" s="5">
        <v>9</v>
      </c>
      <c r="M181" s="5">
        <v>9</v>
      </c>
      <c r="N181" s="7">
        <v>588.29999999999995</v>
      </c>
      <c r="O181" s="7">
        <f t="shared" si="16"/>
        <v>5294.7</v>
      </c>
      <c r="P181" s="4">
        <v>0</v>
      </c>
      <c r="Q181" s="7">
        <f t="shared" si="17"/>
        <v>0</v>
      </c>
      <c r="R181" s="7">
        <f t="shared" si="18"/>
        <v>5294.7</v>
      </c>
      <c r="S181" s="7">
        <f t="shared" si="19"/>
        <v>588.29999999999995</v>
      </c>
      <c r="T181" s="6">
        <f t="shared" si="20"/>
        <v>1.5817223198594025E-2</v>
      </c>
      <c r="V181" t="s">
        <v>29</v>
      </c>
    </row>
    <row r="182" spans="1:22">
      <c r="A182" s="3">
        <v>45665</v>
      </c>
      <c r="B182" t="str">
        <f t="shared" si="14"/>
        <v>yyyy-01</v>
      </c>
      <c r="C182">
        <f t="shared" si="15"/>
        <v>2</v>
      </c>
      <c r="D182" t="s">
        <v>42</v>
      </c>
      <c r="E182" t="s">
        <v>49</v>
      </c>
      <c r="F182" t="s">
        <v>50</v>
      </c>
      <c r="G182" t="s">
        <v>27</v>
      </c>
      <c r="H182" t="s">
        <v>45</v>
      </c>
      <c r="I182" s="5">
        <v>137</v>
      </c>
      <c r="J182" s="5">
        <v>108</v>
      </c>
      <c r="K182" s="5">
        <v>11</v>
      </c>
      <c r="L182" s="5">
        <v>2</v>
      </c>
      <c r="M182" s="5">
        <v>2</v>
      </c>
      <c r="N182" s="7">
        <v>987.73</v>
      </c>
      <c r="O182" s="7">
        <f t="shared" si="16"/>
        <v>1975.46</v>
      </c>
      <c r="P182" s="4">
        <v>0.03</v>
      </c>
      <c r="Q182" s="7">
        <f t="shared" si="17"/>
        <v>59.263799999999996</v>
      </c>
      <c r="R182" s="7">
        <f t="shared" si="18"/>
        <v>1916.1962000000001</v>
      </c>
      <c r="S182" s="7">
        <f t="shared" si="19"/>
        <v>958.09810000000004</v>
      </c>
      <c r="T182" s="6">
        <f t="shared" si="20"/>
        <v>1.4598540145985401E-2</v>
      </c>
      <c r="V182" t="s">
        <v>29</v>
      </c>
    </row>
    <row r="183" spans="1:22">
      <c r="A183" s="3">
        <v>45665</v>
      </c>
      <c r="B183" t="str">
        <f t="shared" si="14"/>
        <v>yyyy-01</v>
      </c>
      <c r="C183">
        <f t="shared" si="15"/>
        <v>2</v>
      </c>
      <c r="D183" t="s">
        <v>42</v>
      </c>
      <c r="E183" t="s">
        <v>51</v>
      </c>
      <c r="F183" t="s">
        <v>52</v>
      </c>
      <c r="G183" t="s">
        <v>36</v>
      </c>
      <c r="H183" t="s">
        <v>37</v>
      </c>
      <c r="I183" s="5">
        <v>362</v>
      </c>
      <c r="J183" s="5">
        <v>260</v>
      </c>
      <c r="K183" s="5">
        <v>20</v>
      </c>
      <c r="L183" s="5">
        <v>5</v>
      </c>
      <c r="M183" s="5">
        <v>5</v>
      </c>
      <c r="N183" s="7">
        <v>606.59</v>
      </c>
      <c r="O183" s="7">
        <f t="shared" si="16"/>
        <v>3032.9500000000003</v>
      </c>
      <c r="P183" s="4">
        <v>0</v>
      </c>
      <c r="Q183" s="7">
        <f t="shared" si="17"/>
        <v>0</v>
      </c>
      <c r="R183" s="7">
        <f t="shared" si="18"/>
        <v>3032.9500000000003</v>
      </c>
      <c r="S183" s="7">
        <f t="shared" si="19"/>
        <v>606.59</v>
      </c>
      <c r="T183" s="6">
        <f t="shared" si="20"/>
        <v>1.3812154696132596E-2</v>
      </c>
      <c r="V183" t="s">
        <v>29</v>
      </c>
    </row>
    <row r="184" spans="1:22">
      <c r="A184" s="3">
        <v>45665</v>
      </c>
      <c r="B184" t="str">
        <f t="shared" si="14"/>
        <v>yyyy-01</v>
      </c>
      <c r="C184">
        <f t="shared" si="15"/>
        <v>2</v>
      </c>
      <c r="D184" t="s">
        <v>53</v>
      </c>
      <c r="E184" t="s">
        <v>54</v>
      </c>
      <c r="F184" t="s">
        <v>55</v>
      </c>
      <c r="G184" t="s">
        <v>27</v>
      </c>
      <c r="H184" t="s">
        <v>45</v>
      </c>
      <c r="I184" s="5">
        <v>174</v>
      </c>
      <c r="J184" s="5">
        <v>131</v>
      </c>
      <c r="K184" s="5">
        <v>14</v>
      </c>
      <c r="L184" s="5">
        <v>2</v>
      </c>
      <c r="M184" s="5">
        <v>2</v>
      </c>
      <c r="N184" s="7">
        <v>1311.84</v>
      </c>
      <c r="O184" s="7">
        <f t="shared" si="16"/>
        <v>2623.68</v>
      </c>
      <c r="P184" s="4">
        <v>0.05</v>
      </c>
      <c r="Q184" s="7">
        <f t="shared" si="17"/>
        <v>131.184</v>
      </c>
      <c r="R184" s="7">
        <f t="shared" si="18"/>
        <v>2492.4959999999996</v>
      </c>
      <c r="S184" s="7">
        <f t="shared" si="19"/>
        <v>1246.2479999999998</v>
      </c>
      <c r="T184" s="6">
        <f t="shared" si="20"/>
        <v>1.1494252873563218E-2</v>
      </c>
      <c r="V184" t="s">
        <v>29</v>
      </c>
    </row>
    <row r="185" spans="1:22">
      <c r="A185" s="3">
        <v>45665</v>
      </c>
      <c r="B185" t="str">
        <f t="shared" si="14"/>
        <v>yyyy-01</v>
      </c>
      <c r="C185">
        <f t="shared" si="15"/>
        <v>2</v>
      </c>
      <c r="D185" t="s">
        <v>53</v>
      </c>
      <c r="E185" t="s">
        <v>56</v>
      </c>
      <c r="F185" t="s">
        <v>57</v>
      </c>
      <c r="G185" t="s">
        <v>27</v>
      </c>
      <c r="H185" t="s">
        <v>28</v>
      </c>
      <c r="I185" s="5">
        <v>168</v>
      </c>
      <c r="J185" s="5">
        <v>105</v>
      </c>
      <c r="K185" s="5">
        <v>11</v>
      </c>
      <c r="L185" s="5">
        <v>2</v>
      </c>
      <c r="M185" s="5">
        <v>2</v>
      </c>
      <c r="N185" s="7">
        <v>730.3</v>
      </c>
      <c r="O185" s="7">
        <f t="shared" si="16"/>
        <v>1460.6</v>
      </c>
      <c r="P185" s="4">
        <v>0</v>
      </c>
      <c r="Q185" s="7">
        <f t="shared" si="17"/>
        <v>0</v>
      </c>
      <c r="R185" s="7">
        <f t="shared" si="18"/>
        <v>1460.6</v>
      </c>
      <c r="S185" s="7">
        <f t="shared" si="19"/>
        <v>730.3</v>
      </c>
      <c r="T185" s="6">
        <f t="shared" si="20"/>
        <v>1.1904761904761904E-2</v>
      </c>
      <c r="V185" t="s">
        <v>29</v>
      </c>
    </row>
    <row r="186" spans="1:22">
      <c r="A186" s="3">
        <v>45665</v>
      </c>
      <c r="B186" t="str">
        <f t="shared" si="14"/>
        <v>yyyy-01</v>
      </c>
      <c r="C186">
        <f t="shared" si="15"/>
        <v>2</v>
      </c>
      <c r="D186" t="s">
        <v>53</v>
      </c>
      <c r="E186" t="s">
        <v>56</v>
      </c>
      <c r="F186" t="s">
        <v>58</v>
      </c>
      <c r="G186" t="s">
        <v>27</v>
      </c>
      <c r="H186" t="s">
        <v>28</v>
      </c>
      <c r="I186" s="5">
        <v>228</v>
      </c>
      <c r="J186" s="5">
        <v>162</v>
      </c>
      <c r="K186" s="5">
        <v>15</v>
      </c>
      <c r="L186" s="5">
        <v>3</v>
      </c>
      <c r="M186" s="5">
        <v>3</v>
      </c>
      <c r="N186" s="7">
        <v>894.96</v>
      </c>
      <c r="O186" s="7">
        <f t="shared" si="16"/>
        <v>2684.88</v>
      </c>
      <c r="P186" s="4">
        <v>0.03</v>
      </c>
      <c r="Q186" s="7">
        <f t="shared" si="17"/>
        <v>80.546400000000006</v>
      </c>
      <c r="R186" s="7">
        <f t="shared" si="18"/>
        <v>2604.3335999999999</v>
      </c>
      <c r="S186" s="7">
        <f t="shared" si="19"/>
        <v>868.11119999999994</v>
      </c>
      <c r="T186" s="6">
        <f t="shared" si="20"/>
        <v>1.3157894736842105E-2</v>
      </c>
      <c r="V186" t="s">
        <v>29</v>
      </c>
    </row>
    <row r="187" spans="1:22">
      <c r="A187" s="3">
        <v>45665</v>
      </c>
      <c r="B187" t="str">
        <f t="shared" si="14"/>
        <v>yyyy-01</v>
      </c>
      <c r="C187">
        <f t="shared" si="15"/>
        <v>2</v>
      </c>
      <c r="D187" t="s">
        <v>53</v>
      </c>
      <c r="E187" t="s">
        <v>59</v>
      </c>
      <c r="F187" t="s">
        <v>60</v>
      </c>
      <c r="G187" t="s">
        <v>27</v>
      </c>
      <c r="H187" t="s">
        <v>28</v>
      </c>
      <c r="I187" s="5">
        <v>132</v>
      </c>
      <c r="J187" s="5">
        <v>103</v>
      </c>
      <c r="K187" s="5">
        <v>9</v>
      </c>
      <c r="L187" s="5">
        <v>2</v>
      </c>
      <c r="M187" s="5">
        <v>2</v>
      </c>
      <c r="N187" s="7">
        <v>672.95</v>
      </c>
      <c r="O187" s="7">
        <f t="shared" si="16"/>
        <v>1345.9</v>
      </c>
      <c r="P187" s="4">
        <v>0</v>
      </c>
      <c r="Q187" s="7">
        <f t="shared" si="17"/>
        <v>0</v>
      </c>
      <c r="R187" s="7">
        <f t="shared" si="18"/>
        <v>1345.9</v>
      </c>
      <c r="S187" s="7">
        <f t="shared" si="19"/>
        <v>672.95</v>
      </c>
      <c r="T187" s="6">
        <f t="shared" si="20"/>
        <v>1.5151515151515152E-2</v>
      </c>
      <c r="V187" t="s">
        <v>29</v>
      </c>
    </row>
    <row r="188" spans="1:22">
      <c r="A188" s="3">
        <v>45665</v>
      </c>
      <c r="B188" t="str">
        <f t="shared" si="14"/>
        <v>yyyy-01</v>
      </c>
      <c r="C188">
        <f t="shared" si="15"/>
        <v>2</v>
      </c>
      <c r="D188" t="s">
        <v>53</v>
      </c>
      <c r="E188" t="s">
        <v>61</v>
      </c>
      <c r="F188" t="s">
        <v>62</v>
      </c>
      <c r="G188" t="s">
        <v>27</v>
      </c>
      <c r="H188" t="s">
        <v>28</v>
      </c>
      <c r="I188" s="5">
        <v>120</v>
      </c>
      <c r="J188" s="5">
        <v>70</v>
      </c>
      <c r="K188" s="5">
        <v>4</v>
      </c>
      <c r="L188" s="5">
        <v>1</v>
      </c>
      <c r="M188" s="5">
        <v>1</v>
      </c>
      <c r="N188" s="7">
        <v>505.66</v>
      </c>
      <c r="O188" s="7">
        <f t="shared" si="16"/>
        <v>505.66</v>
      </c>
      <c r="P188" s="4">
        <v>0.03</v>
      </c>
      <c r="Q188" s="7">
        <f t="shared" si="17"/>
        <v>15.1698</v>
      </c>
      <c r="R188" s="7">
        <f t="shared" si="18"/>
        <v>490.49020000000002</v>
      </c>
      <c r="S188" s="7">
        <f t="shared" si="19"/>
        <v>490.49020000000002</v>
      </c>
      <c r="T188" s="6">
        <f t="shared" si="20"/>
        <v>8.3333333333333332E-3</v>
      </c>
      <c r="V188" t="s">
        <v>29</v>
      </c>
    </row>
    <row r="189" spans="1:22">
      <c r="A189" s="3">
        <v>45665</v>
      </c>
      <c r="B189" t="str">
        <f t="shared" si="14"/>
        <v>yyyy-01</v>
      </c>
      <c r="C189">
        <f t="shared" si="15"/>
        <v>2</v>
      </c>
      <c r="D189" t="s">
        <v>53</v>
      </c>
      <c r="E189" t="s">
        <v>64</v>
      </c>
      <c r="F189" t="s">
        <v>65</v>
      </c>
      <c r="G189" t="s">
        <v>27</v>
      </c>
      <c r="H189" t="s">
        <v>28</v>
      </c>
      <c r="I189" s="5">
        <v>137</v>
      </c>
      <c r="J189" s="5">
        <v>100</v>
      </c>
      <c r="K189" s="5">
        <v>4</v>
      </c>
      <c r="L189" s="5">
        <v>1</v>
      </c>
      <c r="M189" s="5">
        <v>1</v>
      </c>
      <c r="N189" s="7">
        <v>788.11</v>
      </c>
      <c r="O189" s="7">
        <f t="shared" si="16"/>
        <v>788.11</v>
      </c>
      <c r="P189" s="4">
        <v>0.05</v>
      </c>
      <c r="Q189" s="7">
        <f t="shared" si="17"/>
        <v>39.405500000000004</v>
      </c>
      <c r="R189" s="7">
        <f t="shared" si="18"/>
        <v>748.70450000000005</v>
      </c>
      <c r="S189" s="7">
        <f t="shared" si="19"/>
        <v>748.70450000000005</v>
      </c>
      <c r="T189" s="6">
        <f t="shared" si="20"/>
        <v>7.2992700729927005E-3</v>
      </c>
      <c r="V189" t="s">
        <v>29</v>
      </c>
    </row>
    <row r="190" spans="1:22">
      <c r="A190" s="3">
        <v>45665</v>
      </c>
      <c r="B190" t="str">
        <f t="shared" si="14"/>
        <v>yyyy-01</v>
      </c>
      <c r="C190">
        <f t="shared" si="15"/>
        <v>2</v>
      </c>
      <c r="D190" t="s">
        <v>66</v>
      </c>
      <c r="E190" t="s">
        <v>67</v>
      </c>
      <c r="F190" t="s">
        <v>68</v>
      </c>
      <c r="G190" t="s">
        <v>27</v>
      </c>
      <c r="H190" t="s">
        <v>28</v>
      </c>
      <c r="I190" s="5">
        <v>339</v>
      </c>
      <c r="J190" s="5">
        <v>191</v>
      </c>
      <c r="K190" s="5">
        <v>23</v>
      </c>
      <c r="L190" s="5">
        <v>7</v>
      </c>
      <c r="M190" s="5">
        <v>7</v>
      </c>
      <c r="N190" s="7">
        <v>685.52</v>
      </c>
      <c r="O190" s="7">
        <f t="shared" si="16"/>
        <v>4798.6399999999994</v>
      </c>
      <c r="P190" s="4">
        <v>0</v>
      </c>
      <c r="Q190" s="7">
        <f t="shared" si="17"/>
        <v>0</v>
      </c>
      <c r="R190" s="7">
        <f t="shared" si="18"/>
        <v>4798.6399999999994</v>
      </c>
      <c r="S190" s="7">
        <f t="shared" si="19"/>
        <v>685.51999999999987</v>
      </c>
      <c r="T190" s="6">
        <f t="shared" si="20"/>
        <v>2.0648967551622419E-2</v>
      </c>
      <c r="V190" t="s">
        <v>29</v>
      </c>
    </row>
    <row r="191" spans="1:22">
      <c r="A191" s="3">
        <v>45665</v>
      </c>
      <c r="B191" t="str">
        <f t="shared" si="14"/>
        <v>yyyy-01</v>
      </c>
      <c r="C191">
        <f t="shared" si="15"/>
        <v>2</v>
      </c>
      <c r="D191" t="s">
        <v>66</v>
      </c>
      <c r="E191" t="s">
        <v>67</v>
      </c>
      <c r="F191" t="s">
        <v>69</v>
      </c>
      <c r="G191" t="s">
        <v>36</v>
      </c>
      <c r="H191" t="s">
        <v>37</v>
      </c>
      <c r="I191" s="5">
        <v>393</v>
      </c>
      <c r="J191" s="5">
        <v>219</v>
      </c>
      <c r="K191" s="5">
        <v>17</v>
      </c>
      <c r="L191" s="5">
        <v>7</v>
      </c>
      <c r="M191" s="5">
        <v>7</v>
      </c>
      <c r="N191" s="7">
        <v>405.67</v>
      </c>
      <c r="O191" s="7">
        <f t="shared" si="16"/>
        <v>2839.69</v>
      </c>
      <c r="P191" s="4">
        <v>0</v>
      </c>
      <c r="Q191" s="7">
        <f t="shared" si="17"/>
        <v>0</v>
      </c>
      <c r="R191" s="7">
        <f t="shared" si="18"/>
        <v>2839.69</v>
      </c>
      <c r="S191" s="7">
        <f t="shared" si="19"/>
        <v>405.67</v>
      </c>
      <c r="T191" s="6">
        <f t="shared" si="20"/>
        <v>1.7811704834605598E-2</v>
      </c>
      <c r="V191" t="s">
        <v>29</v>
      </c>
    </row>
    <row r="192" spans="1:22">
      <c r="A192" s="3">
        <v>45665</v>
      </c>
      <c r="B192" t="str">
        <f t="shared" si="14"/>
        <v>yyyy-01</v>
      </c>
      <c r="C192">
        <f t="shared" si="15"/>
        <v>2</v>
      </c>
      <c r="D192" t="s">
        <v>66</v>
      </c>
      <c r="E192" t="s">
        <v>67</v>
      </c>
      <c r="F192" t="s">
        <v>70</v>
      </c>
      <c r="G192" t="s">
        <v>27</v>
      </c>
      <c r="H192" t="s">
        <v>48</v>
      </c>
      <c r="I192" s="5">
        <v>275</v>
      </c>
      <c r="J192" s="5">
        <v>216</v>
      </c>
      <c r="K192" s="5">
        <v>19</v>
      </c>
      <c r="L192" s="5">
        <v>4</v>
      </c>
      <c r="M192" s="5">
        <v>4</v>
      </c>
      <c r="N192" s="7">
        <v>341.59</v>
      </c>
      <c r="O192" s="7">
        <f t="shared" si="16"/>
        <v>1366.36</v>
      </c>
      <c r="P192" s="4">
        <v>0</v>
      </c>
      <c r="Q192" s="7">
        <f t="shared" si="17"/>
        <v>0</v>
      </c>
      <c r="R192" s="7">
        <f t="shared" si="18"/>
        <v>1366.36</v>
      </c>
      <c r="S192" s="7">
        <f t="shared" si="19"/>
        <v>341.59</v>
      </c>
      <c r="T192" s="6">
        <f t="shared" si="20"/>
        <v>1.4545454545454545E-2</v>
      </c>
      <c r="V192" t="s">
        <v>29</v>
      </c>
    </row>
    <row r="193" spans="1:22">
      <c r="A193" s="3">
        <v>45665</v>
      </c>
      <c r="B193" t="str">
        <f t="shared" si="14"/>
        <v>yyyy-01</v>
      </c>
      <c r="C193">
        <f t="shared" si="15"/>
        <v>2</v>
      </c>
      <c r="D193" t="s">
        <v>66</v>
      </c>
      <c r="E193" t="s">
        <v>71</v>
      </c>
      <c r="F193" t="s">
        <v>72</v>
      </c>
      <c r="G193" t="s">
        <v>27</v>
      </c>
      <c r="H193" t="s">
        <v>45</v>
      </c>
      <c r="I193" s="5">
        <v>186</v>
      </c>
      <c r="J193" s="5">
        <v>125</v>
      </c>
      <c r="K193" s="5">
        <v>10</v>
      </c>
      <c r="L193" s="5">
        <v>3</v>
      </c>
      <c r="M193" s="5">
        <v>3</v>
      </c>
      <c r="N193" s="7">
        <v>128.36000000000001</v>
      </c>
      <c r="O193" s="7">
        <f t="shared" si="16"/>
        <v>385.08000000000004</v>
      </c>
      <c r="P193" s="4">
        <v>0</v>
      </c>
      <c r="Q193" s="7">
        <f t="shared" si="17"/>
        <v>0</v>
      </c>
      <c r="R193" s="7">
        <f t="shared" si="18"/>
        <v>385.08000000000004</v>
      </c>
      <c r="S193" s="7">
        <f t="shared" si="19"/>
        <v>128.36000000000001</v>
      </c>
      <c r="T193" s="6">
        <f t="shared" si="20"/>
        <v>1.6129032258064516E-2</v>
      </c>
      <c r="V193" t="s">
        <v>29</v>
      </c>
    </row>
    <row r="194" spans="1:22">
      <c r="A194" s="3">
        <v>45665</v>
      </c>
      <c r="B194" t="str">
        <f t="shared" si="14"/>
        <v>yyyy-01</v>
      </c>
      <c r="C194">
        <f t="shared" si="15"/>
        <v>2</v>
      </c>
      <c r="D194" t="s">
        <v>66</v>
      </c>
      <c r="E194" t="s">
        <v>73</v>
      </c>
      <c r="F194" t="s">
        <v>74</v>
      </c>
      <c r="G194" t="s">
        <v>31</v>
      </c>
      <c r="H194" t="s">
        <v>32</v>
      </c>
      <c r="I194" s="5">
        <v>242</v>
      </c>
      <c r="J194" s="5">
        <v>192</v>
      </c>
      <c r="K194" s="5">
        <v>17</v>
      </c>
      <c r="L194" s="5">
        <v>5</v>
      </c>
      <c r="M194" s="5">
        <v>5</v>
      </c>
      <c r="N194" s="7">
        <v>1211.99</v>
      </c>
      <c r="O194" s="7">
        <f t="shared" si="16"/>
        <v>6059.95</v>
      </c>
      <c r="P194" s="4">
        <v>0</v>
      </c>
      <c r="Q194" s="7">
        <f t="shared" si="17"/>
        <v>0</v>
      </c>
      <c r="R194" s="7">
        <f t="shared" si="18"/>
        <v>6059.95</v>
      </c>
      <c r="S194" s="7">
        <f t="shared" si="19"/>
        <v>1211.99</v>
      </c>
      <c r="T194" s="6">
        <f t="shared" si="20"/>
        <v>2.0661157024793389E-2</v>
      </c>
      <c r="V194" t="s">
        <v>29</v>
      </c>
    </row>
    <row r="195" spans="1:22">
      <c r="A195" s="3">
        <v>45665</v>
      </c>
      <c r="B195" t="str">
        <f t="shared" si="14"/>
        <v>yyyy-01</v>
      </c>
      <c r="C195">
        <f t="shared" si="15"/>
        <v>2</v>
      </c>
      <c r="D195" t="s">
        <v>66</v>
      </c>
      <c r="E195" t="s">
        <v>71</v>
      </c>
      <c r="F195" t="s">
        <v>75</v>
      </c>
      <c r="G195" t="s">
        <v>36</v>
      </c>
      <c r="H195" t="s">
        <v>37</v>
      </c>
      <c r="I195" s="5">
        <v>327</v>
      </c>
      <c r="J195" s="5">
        <v>210</v>
      </c>
      <c r="K195" s="5">
        <v>18</v>
      </c>
      <c r="L195" s="5">
        <v>6</v>
      </c>
      <c r="M195" s="5">
        <v>6</v>
      </c>
      <c r="N195" s="7">
        <v>38.619999999999997</v>
      </c>
      <c r="O195" s="7">
        <f t="shared" si="16"/>
        <v>231.71999999999997</v>
      </c>
      <c r="P195" s="4">
        <v>0</v>
      </c>
      <c r="Q195" s="7">
        <f t="shared" si="17"/>
        <v>0</v>
      </c>
      <c r="R195" s="7">
        <f t="shared" si="18"/>
        <v>231.71999999999997</v>
      </c>
      <c r="S195" s="7">
        <f t="shared" si="19"/>
        <v>38.619999999999997</v>
      </c>
      <c r="T195" s="6">
        <f t="shared" si="20"/>
        <v>1.834862385321101E-2</v>
      </c>
      <c r="V195" t="s">
        <v>29</v>
      </c>
    </row>
    <row r="196" spans="1:22">
      <c r="A196" s="3">
        <v>45665</v>
      </c>
      <c r="B196" t="str">
        <f t="shared" si="14"/>
        <v>yyyy-01</v>
      </c>
      <c r="C196">
        <f t="shared" si="15"/>
        <v>2</v>
      </c>
      <c r="D196" t="s">
        <v>24</v>
      </c>
      <c r="E196" t="s">
        <v>76</v>
      </c>
      <c r="F196" t="s">
        <v>77</v>
      </c>
      <c r="G196" t="s">
        <v>27</v>
      </c>
      <c r="H196" t="s">
        <v>45</v>
      </c>
      <c r="I196" s="5">
        <v>391</v>
      </c>
      <c r="J196" s="5">
        <v>278</v>
      </c>
      <c r="K196" s="5">
        <v>19</v>
      </c>
      <c r="L196" s="5">
        <v>8</v>
      </c>
      <c r="M196" s="5">
        <v>9</v>
      </c>
      <c r="N196" s="7">
        <v>202.82</v>
      </c>
      <c r="O196" s="7">
        <f t="shared" si="16"/>
        <v>1825.3799999999999</v>
      </c>
      <c r="P196" s="4">
        <v>0</v>
      </c>
      <c r="Q196" s="7">
        <f t="shared" si="17"/>
        <v>0</v>
      </c>
      <c r="R196" s="7">
        <f t="shared" si="18"/>
        <v>1825.3799999999999</v>
      </c>
      <c r="S196" s="7">
        <f t="shared" si="19"/>
        <v>228.17249999999999</v>
      </c>
      <c r="T196" s="6">
        <f t="shared" si="20"/>
        <v>2.0460358056265986E-2</v>
      </c>
      <c r="V196" t="s">
        <v>29</v>
      </c>
    </row>
    <row r="197" spans="1:22">
      <c r="A197" s="3">
        <v>45666</v>
      </c>
      <c r="B197" t="str">
        <f t="shared" ref="B197:B260" si="21">TEXT(A197,"yyyy-mm")</f>
        <v>yyyy-01</v>
      </c>
      <c r="C197">
        <f t="shared" ref="C197:C260" si="22">WEEKNUM(A197,2)</f>
        <v>2</v>
      </c>
      <c r="D197" t="s">
        <v>24</v>
      </c>
      <c r="E197" t="s">
        <v>25</v>
      </c>
      <c r="F197" t="s">
        <v>26</v>
      </c>
      <c r="G197" t="s">
        <v>27</v>
      </c>
      <c r="H197" t="s">
        <v>28</v>
      </c>
      <c r="I197" s="5">
        <v>1549</v>
      </c>
      <c r="J197" s="5">
        <v>998</v>
      </c>
      <c r="K197" s="5">
        <v>97</v>
      </c>
      <c r="L197" s="5">
        <v>29</v>
      </c>
      <c r="M197" s="5">
        <v>29</v>
      </c>
      <c r="N197" s="7">
        <v>1007.23</v>
      </c>
      <c r="O197" s="7">
        <f t="shared" ref="O197:O260" si="23">M197*N197</f>
        <v>29209.670000000002</v>
      </c>
      <c r="P197" s="4">
        <v>0.12</v>
      </c>
      <c r="Q197" s="7">
        <f t="shared" ref="Q197:Q260" si="24">O197*P197</f>
        <v>3505.1604000000002</v>
      </c>
      <c r="R197" s="7">
        <f t="shared" ref="R197:R260" si="25">O197-Q197</f>
        <v>25704.509600000001</v>
      </c>
      <c r="S197" s="7">
        <f t="shared" ref="S197:S260" si="26">IFERROR(R197/L197,0)</f>
        <v>886.36240000000009</v>
      </c>
      <c r="T197" s="6">
        <f t="shared" ref="T197:T260" si="27">IFERROR(L197/I197,0)</f>
        <v>1.8721755971594579E-2</v>
      </c>
      <c r="U197" t="s">
        <v>79</v>
      </c>
      <c r="V197" t="s">
        <v>29</v>
      </c>
    </row>
    <row r="198" spans="1:22">
      <c r="A198" s="3">
        <v>45666</v>
      </c>
      <c r="B198" t="str">
        <f t="shared" si="21"/>
        <v>yyyy-01</v>
      </c>
      <c r="C198">
        <f t="shared" si="22"/>
        <v>2</v>
      </c>
      <c r="D198" t="s">
        <v>24</v>
      </c>
      <c r="E198" t="s">
        <v>25</v>
      </c>
      <c r="F198" t="s">
        <v>30</v>
      </c>
      <c r="G198" t="s">
        <v>27</v>
      </c>
      <c r="H198" t="s">
        <v>28</v>
      </c>
      <c r="I198" s="5">
        <v>1597</v>
      </c>
      <c r="J198" s="5">
        <v>1272</v>
      </c>
      <c r="K198" s="5">
        <v>153</v>
      </c>
      <c r="L198" s="5">
        <v>32</v>
      </c>
      <c r="M198" s="5">
        <v>32</v>
      </c>
      <c r="N198" s="7">
        <v>392.45</v>
      </c>
      <c r="O198" s="7">
        <f t="shared" si="23"/>
        <v>12558.4</v>
      </c>
      <c r="P198" s="4">
        <v>0.12</v>
      </c>
      <c r="Q198" s="7">
        <f t="shared" si="24"/>
        <v>1507.0079999999998</v>
      </c>
      <c r="R198" s="7">
        <f t="shared" si="25"/>
        <v>11051.392</v>
      </c>
      <c r="S198" s="7">
        <f t="shared" si="26"/>
        <v>345.35599999999999</v>
      </c>
      <c r="T198" s="6">
        <f t="shared" si="27"/>
        <v>2.0037570444583593E-2</v>
      </c>
      <c r="U198" t="s">
        <v>79</v>
      </c>
      <c r="V198" t="s">
        <v>29</v>
      </c>
    </row>
    <row r="199" spans="1:22">
      <c r="A199" s="3">
        <v>45666</v>
      </c>
      <c r="B199" t="str">
        <f t="shared" si="21"/>
        <v>yyyy-01</v>
      </c>
      <c r="C199">
        <f t="shared" si="22"/>
        <v>2</v>
      </c>
      <c r="D199" t="s">
        <v>24</v>
      </c>
      <c r="E199" t="s">
        <v>25</v>
      </c>
      <c r="F199" t="s">
        <v>33</v>
      </c>
      <c r="G199" t="s">
        <v>27</v>
      </c>
      <c r="H199" t="s">
        <v>28</v>
      </c>
      <c r="I199" s="5">
        <v>1172</v>
      </c>
      <c r="J199" s="5">
        <v>794</v>
      </c>
      <c r="K199" s="5">
        <v>107</v>
      </c>
      <c r="L199" s="5">
        <v>29</v>
      </c>
      <c r="M199" s="5">
        <v>29</v>
      </c>
      <c r="N199" s="7">
        <v>1728.84</v>
      </c>
      <c r="O199" s="7">
        <f t="shared" si="23"/>
        <v>50136.36</v>
      </c>
      <c r="P199" s="4">
        <v>0.12</v>
      </c>
      <c r="Q199" s="7">
        <f t="shared" si="24"/>
        <v>6016.3631999999998</v>
      </c>
      <c r="R199" s="7">
        <f t="shared" si="25"/>
        <v>44119.996800000001</v>
      </c>
      <c r="S199" s="7">
        <f t="shared" si="26"/>
        <v>1521.3792000000001</v>
      </c>
      <c r="T199" s="6">
        <f t="shared" si="27"/>
        <v>2.4744027303754267E-2</v>
      </c>
      <c r="U199" t="s">
        <v>79</v>
      </c>
      <c r="V199" t="s">
        <v>29</v>
      </c>
    </row>
    <row r="200" spans="1:22">
      <c r="A200" s="3">
        <v>45666</v>
      </c>
      <c r="B200" t="str">
        <f t="shared" si="21"/>
        <v>yyyy-01</v>
      </c>
      <c r="C200">
        <f t="shared" si="22"/>
        <v>2</v>
      </c>
      <c r="D200" t="s">
        <v>24</v>
      </c>
      <c r="E200" t="s">
        <v>34</v>
      </c>
      <c r="F200" t="s">
        <v>35</v>
      </c>
      <c r="G200" t="s">
        <v>36</v>
      </c>
      <c r="H200" t="s">
        <v>37</v>
      </c>
      <c r="I200" s="5">
        <v>860</v>
      </c>
      <c r="J200" s="5">
        <v>602</v>
      </c>
      <c r="K200" s="5">
        <v>84</v>
      </c>
      <c r="L200" s="5">
        <v>20</v>
      </c>
      <c r="M200" s="5">
        <v>20</v>
      </c>
      <c r="N200" s="7">
        <v>864.48</v>
      </c>
      <c r="O200" s="7">
        <f t="shared" si="23"/>
        <v>17289.599999999999</v>
      </c>
      <c r="P200" s="4">
        <v>0</v>
      </c>
      <c r="Q200" s="7">
        <f t="shared" si="24"/>
        <v>0</v>
      </c>
      <c r="R200" s="7">
        <f t="shared" si="25"/>
        <v>17289.599999999999</v>
      </c>
      <c r="S200" s="7">
        <f t="shared" si="26"/>
        <v>864.4799999999999</v>
      </c>
      <c r="T200" s="6">
        <f t="shared" si="27"/>
        <v>2.3255813953488372E-2</v>
      </c>
      <c r="V200" t="s">
        <v>29</v>
      </c>
    </row>
    <row r="201" spans="1:22">
      <c r="A201" s="3">
        <v>45666</v>
      </c>
      <c r="B201" t="str">
        <f t="shared" si="21"/>
        <v>yyyy-01</v>
      </c>
      <c r="C201">
        <f t="shared" si="22"/>
        <v>2</v>
      </c>
      <c r="D201" t="s">
        <v>24</v>
      </c>
      <c r="E201" t="s">
        <v>38</v>
      </c>
      <c r="F201" t="s">
        <v>39</v>
      </c>
      <c r="G201" t="s">
        <v>36</v>
      </c>
      <c r="H201" t="s">
        <v>37</v>
      </c>
      <c r="I201" s="5">
        <v>829</v>
      </c>
      <c r="J201" s="5">
        <v>616</v>
      </c>
      <c r="K201" s="5">
        <v>56</v>
      </c>
      <c r="L201" s="5">
        <v>18</v>
      </c>
      <c r="M201" s="5">
        <v>18</v>
      </c>
      <c r="N201" s="7">
        <v>328.07</v>
      </c>
      <c r="O201" s="7">
        <f t="shared" si="23"/>
        <v>5905.26</v>
      </c>
      <c r="P201" s="4">
        <v>0.05</v>
      </c>
      <c r="Q201" s="7">
        <f t="shared" si="24"/>
        <v>295.26300000000003</v>
      </c>
      <c r="R201" s="7">
        <f t="shared" si="25"/>
        <v>5609.9970000000003</v>
      </c>
      <c r="S201" s="7">
        <f t="shared" si="26"/>
        <v>311.66650000000004</v>
      </c>
      <c r="T201" s="6">
        <f t="shared" si="27"/>
        <v>2.1712907117008445E-2</v>
      </c>
      <c r="V201" t="s">
        <v>29</v>
      </c>
    </row>
    <row r="202" spans="1:22">
      <c r="A202" s="3">
        <v>45666</v>
      </c>
      <c r="B202" t="str">
        <f t="shared" si="21"/>
        <v>yyyy-01</v>
      </c>
      <c r="C202">
        <f t="shared" si="22"/>
        <v>2</v>
      </c>
      <c r="D202" t="s">
        <v>24</v>
      </c>
      <c r="E202" t="s">
        <v>40</v>
      </c>
      <c r="F202" t="s">
        <v>41</v>
      </c>
      <c r="G202" t="s">
        <v>27</v>
      </c>
      <c r="H202" t="s">
        <v>48</v>
      </c>
      <c r="I202" s="5">
        <v>404</v>
      </c>
      <c r="J202" s="5">
        <v>240</v>
      </c>
      <c r="K202" s="5">
        <v>37</v>
      </c>
      <c r="L202" s="5">
        <v>9</v>
      </c>
      <c r="M202" s="5">
        <v>11</v>
      </c>
      <c r="N202" s="7">
        <v>176.34</v>
      </c>
      <c r="O202" s="7">
        <f t="shared" si="23"/>
        <v>1939.74</v>
      </c>
      <c r="P202" s="4">
        <v>0</v>
      </c>
      <c r="Q202" s="7">
        <f t="shared" si="24"/>
        <v>0</v>
      </c>
      <c r="R202" s="7">
        <f t="shared" si="25"/>
        <v>1939.74</v>
      </c>
      <c r="S202" s="7">
        <f t="shared" si="26"/>
        <v>215.52666666666667</v>
      </c>
      <c r="T202" s="6">
        <f t="shared" si="27"/>
        <v>2.2277227722772276E-2</v>
      </c>
      <c r="V202" t="s">
        <v>29</v>
      </c>
    </row>
    <row r="203" spans="1:22">
      <c r="A203" s="3">
        <v>45666</v>
      </c>
      <c r="B203" t="str">
        <f t="shared" si="21"/>
        <v>yyyy-01</v>
      </c>
      <c r="C203">
        <f t="shared" si="22"/>
        <v>2</v>
      </c>
      <c r="D203" t="s">
        <v>42</v>
      </c>
      <c r="E203" t="s">
        <v>43</v>
      </c>
      <c r="F203" t="s">
        <v>44</v>
      </c>
      <c r="G203" t="s">
        <v>36</v>
      </c>
      <c r="H203" t="s">
        <v>37</v>
      </c>
      <c r="I203" s="5">
        <v>514</v>
      </c>
      <c r="J203" s="5">
        <v>406</v>
      </c>
      <c r="K203" s="5">
        <v>21</v>
      </c>
      <c r="L203" s="5">
        <v>8</v>
      </c>
      <c r="M203" s="5">
        <v>8</v>
      </c>
      <c r="N203" s="7">
        <v>1263.2</v>
      </c>
      <c r="O203" s="7">
        <f t="shared" si="23"/>
        <v>10105.6</v>
      </c>
      <c r="P203" s="4">
        <v>0</v>
      </c>
      <c r="Q203" s="7">
        <f t="shared" si="24"/>
        <v>0</v>
      </c>
      <c r="R203" s="7">
        <f t="shared" si="25"/>
        <v>10105.6</v>
      </c>
      <c r="S203" s="7">
        <f t="shared" si="26"/>
        <v>1263.2</v>
      </c>
      <c r="T203" s="6">
        <f t="shared" si="27"/>
        <v>1.556420233463035E-2</v>
      </c>
      <c r="V203" t="s">
        <v>29</v>
      </c>
    </row>
    <row r="204" spans="1:22">
      <c r="A204" s="3">
        <v>45666</v>
      </c>
      <c r="B204" t="str">
        <f t="shared" si="21"/>
        <v>yyyy-01</v>
      </c>
      <c r="C204">
        <f t="shared" si="22"/>
        <v>2</v>
      </c>
      <c r="D204" t="s">
        <v>42</v>
      </c>
      <c r="E204" t="s">
        <v>43</v>
      </c>
      <c r="F204" t="s">
        <v>46</v>
      </c>
      <c r="G204" t="s">
        <v>36</v>
      </c>
      <c r="H204" t="s">
        <v>37</v>
      </c>
      <c r="I204" s="5">
        <v>325</v>
      </c>
      <c r="J204" s="5">
        <v>206</v>
      </c>
      <c r="K204" s="5">
        <v>20</v>
      </c>
      <c r="L204" s="5">
        <v>6</v>
      </c>
      <c r="M204" s="5">
        <v>6</v>
      </c>
      <c r="N204" s="7">
        <v>2183.12</v>
      </c>
      <c r="O204" s="7">
        <f t="shared" si="23"/>
        <v>13098.72</v>
      </c>
      <c r="P204" s="4">
        <v>0.05</v>
      </c>
      <c r="Q204" s="7">
        <f t="shared" si="24"/>
        <v>654.93600000000004</v>
      </c>
      <c r="R204" s="7">
        <f t="shared" si="25"/>
        <v>12443.784</v>
      </c>
      <c r="S204" s="7">
        <f t="shared" si="26"/>
        <v>2073.9639999999999</v>
      </c>
      <c r="T204" s="6">
        <f t="shared" si="27"/>
        <v>1.8461538461538463E-2</v>
      </c>
      <c r="V204" t="s">
        <v>29</v>
      </c>
    </row>
    <row r="205" spans="1:22">
      <c r="A205" s="3">
        <v>45666</v>
      </c>
      <c r="B205" t="str">
        <f t="shared" si="21"/>
        <v>yyyy-01</v>
      </c>
      <c r="C205">
        <f t="shared" si="22"/>
        <v>2</v>
      </c>
      <c r="D205" t="s">
        <v>42</v>
      </c>
      <c r="E205" t="s">
        <v>43</v>
      </c>
      <c r="F205" t="s">
        <v>47</v>
      </c>
      <c r="G205" t="s">
        <v>27</v>
      </c>
      <c r="H205" t="s">
        <v>45</v>
      </c>
      <c r="I205" s="5">
        <v>419</v>
      </c>
      <c r="J205" s="5">
        <v>280</v>
      </c>
      <c r="K205" s="5">
        <v>20</v>
      </c>
      <c r="L205" s="5">
        <v>7</v>
      </c>
      <c r="M205" s="5">
        <v>7</v>
      </c>
      <c r="N205" s="7">
        <v>608.88</v>
      </c>
      <c r="O205" s="7">
        <f t="shared" si="23"/>
        <v>4262.16</v>
      </c>
      <c r="P205" s="4">
        <v>0.05</v>
      </c>
      <c r="Q205" s="7">
        <f t="shared" si="24"/>
        <v>213.108</v>
      </c>
      <c r="R205" s="7">
        <f t="shared" si="25"/>
        <v>4049.0519999999997</v>
      </c>
      <c r="S205" s="7">
        <f t="shared" si="26"/>
        <v>578.43599999999992</v>
      </c>
      <c r="T205" s="6">
        <f t="shared" si="27"/>
        <v>1.6706443914081145E-2</v>
      </c>
      <c r="V205" t="s">
        <v>29</v>
      </c>
    </row>
    <row r="206" spans="1:22">
      <c r="A206" s="3">
        <v>45666</v>
      </c>
      <c r="B206" t="str">
        <f t="shared" si="21"/>
        <v>yyyy-01</v>
      </c>
      <c r="C206">
        <f t="shared" si="22"/>
        <v>2</v>
      </c>
      <c r="D206" t="s">
        <v>42</v>
      </c>
      <c r="E206" t="s">
        <v>49</v>
      </c>
      <c r="F206" t="s">
        <v>50</v>
      </c>
      <c r="G206" t="s">
        <v>27</v>
      </c>
      <c r="H206" t="s">
        <v>63</v>
      </c>
      <c r="I206" s="5">
        <v>90</v>
      </c>
      <c r="J206" s="5">
        <v>66</v>
      </c>
      <c r="K206" s="5">
        <v>6</v>
      </c>
      <c r="L206" s="5">
        <v>1</v>
      </c>
      <c r="M206" s="5">
        <v>1</v>
      </c>
      <c r="N206" s="7">
        <v>1015.05</v>
      </c>
      <c r="O206" s="7">
        <f t="shared" si="23"/>
        <v>1015.05</v>
      </c>
      <c r="P206" s="4">
        <v>0</v>
      </c>
      <c r="Q206" s="7">
        <f t="shared" si="24"/>
        <v>0</v>
      </c>
      <c r="R206" s="7">
        <f t="shared" si="25"/>
        <v>1015.05</v>
      </c>
      <c r="S206" s="7">
        <f t="shared" si="26"/>
        <v>1015.05</v>
      </c>
      <c r="T206" s="6">
        <f t="shared" si="27"/>
        <v>1.1111111111111112E-2</v>
      </c>
      <c r="V206" t="s">
        <v>29</v>
      </c>
    </row>
    <row r="207" spans="1:22">
      <c r="A207" s="3">
        <v>45666</v>
      </c>
      <c r="B207" t="str">
        <f t="shared" si="21"/>
        <v>yyyy-01</v>
      </c>
      <c r="C207">
        <f t="shared" si="22"/>
        <v>2</v>
      </c>
      <c r="D207" t="s">
        <v>42</v>
      </c>
      <c r="E207" t="s">
        <v>51</v>
      </c>
      <c r="F207" t="s">
        <v>52</v>
      </c>
      <c r="G207" t="s">
        <v>27</v>
      </c>
      <c r="H207" t="s">
        <v>45</v>
      </c>
      <c r="I207" s="5">
        <v>205</v>
      </c>
      <c r="J207" s="5">
        <v>168</v>
      </c>
      <c r="K207" s="5">
        <v>18</v>
      </c>
      <c r="L207" s="5">
        <v>3</v>
      </c>
      <c r="M207" s="5">
        <v>3</v>
      </c>
      <c r="N207" s="7">
        <v>585.48</v>
      </c>
      <c r="O207" s="7">
        <f t="shared" si="23"/>
        <v>1756.44</v>
      </c>
      <c r="P207" s="4">
        <v>0</v>
      </c>
      <c r="Q207" s="7">
        <f t="shared" si="24"/>
        <v>0</v>
      </c>
      <c r="R207" s="7">
        <f t="shared" si="25"/>
        <v>1756.44</v>
      </c>
      <c r="S207" s="7">
        <f t="shared" si="26"/>
        <v>585.48</v>
      </c>
      <c r="T207" s="6">
        <f t="shared" si="27"/>
        <v>1.4634146341463415E-2</v>
      </c>
      <c r="V207" t="s">
        <v>29</v>
      </c>
    </row>
    <row r="208" spans="1:22">
      <c r="A208" s="3">
        <v>45666</v>
      </c>
      <c r="B208" t="str">
        <f t="shared" si="21"/>
        <v>yyyy-01</v>
      </c>
      <c r="C208">
        <f t="shared" si="22"/>
        <v>2</v>
      </c>
      <c r="D208" t="s">
        <v>53</v>
      </c>
      <c r="E208" t="s">
        <v>54</v>
      </c>
      <c r="F208" t="s">
        <v>55</v>
      </c>
      <c r="G208" t="s">
        <v>36</v>
      </c>
      <c r="H208" t="s">
        <v>37</v>
      </c>
      <c r="I208" s="5">
        <v>155</v>
      </c>
      <c r="J208" s="5">
        <v>124</v>
      </c>
      <c r="K208" s="5">
        <v>7</v>
      </c>
      <c r="L208" s="5">
        <v>1</v>
      </c>
      <c r="M208" s="5">
        <v>1</v>
      </c>
      <c r="N208" s="7">
        <v>1311.57</v>
      </c>
      <c r="O208" s="7">
        <f t="shared" si="23"/>
        <v>1311.57</v>
      </c>
      <c r="P208" s="4">
        <v>0.05</v>
      </c>
      <c r="Q208" s="7">
        <f t="shared" si="24"/>
        <v>65.578500000000005</v>
      </c>
      <c r="R208" s="7">
        <f t="shared" si="25"/>
        <v>1245.9914999999999</v>
      </c>
      <c r="S208" s="7">
        <f t="shared" si="26"/>
        <v>1245.9914999999999</v>
      </c>
      <c r="T208" s="6">
        <f t="shared" si="27"/>
        <v>6.4516129032258064E-3</v>
      </c>
      <c r="V208" t="s">
        <v>78</v>
      </c>
    </row>
    <row r="209" spans="1:22">
      <c r="A209" s="3">
        <v>45666</v>
      </c>
      <c r="B209" t="str">
        <f t="shared" si="21"/>
        <v>yyyy-01</v>
      </c>
      <c r="C209">
        <f t="shared" si="22"/>
        <v>2</v>
      </c>
      <c r="D209" t="s">
        <v>53</v>
      </c>
      <c r="E209" t="s">
        <v>56</v>
      </c>
      <c r="F209" t="s">
        <v>57</v>
      </c>
      <c r="G209" t="s">
        <v>36</v>
      </c>
      <c r="H209" t="s">
        <v>37</v>
      </c>
      <c r="I209" s="5">
        <v>234</v>
      </c>
      <c r="J209" s="5">
        <v>164</v>
      </c>
      <c r="K209" s="5">
        <v>14</v>
      </c>
      <c r="L209" s="5">
        <v>2</v>
      </c>
      <c r="M209" s="5">
        <v>2</v>
      </c>
      <c r="N209" s="7">
        <v>747.71</v>
      </c>
      <c r="O209" s="7">
        <f t="shared" si="23"/>
        <v>1495.42</v>
      </c>
      <c r="P209" s="4">
        <v>0.03</v>
      </c>
      <c r="Q209" s="7">
        <f t="shared" si="24"/>
        <v>44.8626</v>
      </c>
      <c r="R209" s="7">
        <f t="shared" si="25"/>
        <v>1450.5574000000001</v>
      </c>
      <c r="S209" s="7">
        <f t="shared" si="26"/>
        <v>725.27870000000007</v>
      </c>
      <c r="T209" s="6">
        <f t="shared" si="27"/>
        <v>8.5470085470085479E-3</v>
      </c>
      <c r="V209" t="s">
        <v>29</v>
      </c>
    </row>
    <row r="210" spans="1:22">
      <c r="A210" s="3">
        <v>45666</v>
      </c>
      <c r="B210" t="str">
        <f t="shared" si="21"/>
        <v>yyyy-01</v>
      </c>
      <c r="C210">
        <f t="shared" si="22"/>
        <v>2</v>
      </c>
      <c r="D210" t="s">
        <v>53</v>
      </c>
      <c r="E210" t="s">
        <v>56</v>
      </c>
      <c r="F210" t="s">
        <v>58</v>
      </c>
      <c r="G210" t="s">
        <v>31</v>
      </c>
      <c r="H210" t="s">
        <v>32</v>
      </c>
      <c r="I210" s="5">
        <v>259</v>
      </c>
      <c r="J210" s="5">
        <v>172</v>
      </c>
      <c r="K210" s="5">
        <v>20</v>
      </c>
      <c r="L210" s="5">
        <v>3</v>
      </c>
      <c r="M210" s="5">
        <v>3</v>
      </c>
      <c r="N210" s="7">
        <v>915.79</v>
      </c>
      <c r="O210" s="7">
        <f t="shared" si="23"/>
        <v>2747.37</v>
      </c>
      <c r="P210" s="4">
        <v>0</v>
      </c>
      <c r="Q210" s="7">
        <f t="shared" si="24"/>
        <v>0</v>
      </c>
      <c r="R210" s="7">
        <f t="shared" si="25"/>
        <v>2747.37</v>
      </c>
      <c r="S210" s="7">
        <f t="shared" si="26"/>
        <v>915.79</v>
      </c>
      <c r="T210" s="6">
        <f t="shared" si="27"/>
        <v>1.1583011583011582E-2</v>
      </c>
      <c r="V210" t="s">
        <v>29</v>
      </c>
    </row>
    <row r="211" spans="1:22">
      <c r="A211" s="3">
        <v>45666</v>
      </c>
      <c r="B211" t="str">
        <f t="shared" si="21"/>
        <v>yyyy-01</v>
      </c>
      <c r="C211">
        <f t="shared" si="22"/>
        <v>2</v>
      </c>
      <c r="D211" t="s">
        <v>53</v>
      </c>
      <c r="E211" t="s">
        <v>59</v>
      </c>
      <c r="F211" t="s">
        <v>60</v>
      </c>
      <c r="G211" t="s">
        <v>31</v>
      </c>
      <c r="H211" t="s">
        <v>32</v>
      </c>
      <c r="I211" s="5">
        <v>184</v>
      </c>
      <c r="J211" s="5">
        <v>107</v>
      </c>
      <c r="K211" s="5">
        <v>10</v>
      </c>
      <c r="L211" s="5">
        <v>3</v>
      </c>
      <c r="M211" s="5">
        <v>3</v>
      </c>
      <c r="N211" s="7">
        <v>709.12</v>
      </c>
      <c r="O211" s="7">
        <f t="shared" si="23"/>
        <v>2127.36</v>
      </c>
      <c r="P211" s="4">
        <v>0.05</v>
      </c>
      <c r="Q211" s="7">
        <f t="shared" si="24"/>
        <v>106.36800000000001</v>
      </c>
      <c r="R211" s="7">
        <f t="shared" si="25"/>
        <v>2020.9920000000002</v>
      </c>
      <c r="S211" s="7">
        <f t="shared" si="26"/>
        <v>673.6640000000001</v>
      </c>
      <c r="T211" s="6">
        <f t="shared" si="27"/>
        <v>1.6304347826086956E-2</v>
      </c>
      <c r="V211" t="s">
        <v>29</v>
      </c>
    </row>
    <row r="212" spans="1:22">
      <c r="A212" s="3">
        <v>45666</v>
      </c>
      <c r="B212" t="str">
        <f t="shared" si="21"/>
        <v>yyyy-01</v>
      </c>
      <c r="C212">
        <f t="shared" si="22"/>
        <v>2</v>
      </c>
      <c r="D212" t="s">
        <v>53</v>
      </c>
      <c r="E212" t="s">
        <v>61</v>
      </c>
      <c r="F212" t="s">
        <v>62</v>
      </c>
      <c r="G212" t="s">
        <v>31</v>
      </c>
      <c r="H212" t="s">
        <v>32</v>
      </c>
      <c r="I212" s="5">
        <v>158</v>
      </c>
      <c r="J212" s="5">
        <v>118</v>
      </c>
      <c r="K212" s="5">
        <v>13</v>
      </c>
      <c r="L212" s="5">
        <v>2</v>
      </c>
      <c r="M212" s="5">
        <v>2</v>
      </c>
      <c r="N212" s="7">
        <v>491.55</v>
      </c>
      <c r="O212" s="7">
        <f t="shared" si="23"/>
        <v>983.1</v>
      </c>
      <c r="P212" s="4">
        <v>0.03</v>
      </c>
      <c r="Q212" s="7">
        <f t="shared" si="24"/>
        <v>29.492999999999999</v>
      </c>
      <c r="R212" s="7">
        <f t="shared" si="25"/>
        <v>953.60699999999997</v>
      </c>
      <c r="S212" s="7">
        <f t="shared" si="26"/>
        <v>476.80349999999999</v>
      </c>
      <c r="T212" s="6">
        <f t="shared" si="27"/>
        <v>1.2658227848101266E-2</v>
      </c>
      <c r="V212" t="s">
        <v>29</v>
      </c>
    </row>
    <row r="213" spans="1:22">
      <c r="A213" s="3">
        <v>45666</v>
      </c>
      <c r="B213" t="str">
        <f t="shared" si="21"/>
        <v>yyyy-01</v>
      </c>
      <c r="C213">
        <f t="shared" si="22"/>
        <v>2</v>
      </c>
      <c r="D213" t="s">
        <v>53</v>
      </c>
      <c r="E213" t="s">
        <v>64</v>
      </c>
      <c r="F213" t="s">
        <v>65</v>
      </c>
      <c r="G213" t="s">
        <v>27</v>
      </c>
      <c r="H213" t="s">
        <v>48</v>
      </c>
      <c r="I213" s="5">
        <v>126</v>
      </c>
      <c r="J213" s="5">
        <v>102</v>
      </c>
      <c r="K213" s="5">
        <v>11</v>
      </c>
      <c r="L213" s="5">
        <v>2</v>
      </c>
      <c r="M213" s="5">
        <v>2</v>
      </c>
      <c r="N213" s="7">
        <v>767.48</v>
      </c>
      <c r="O213" s="7">
        <f t="shared" si="23"/>
        <v>1534.96</v>
      </c>
      <c r="P213" s="4">
        <v>0</v>
      </c>
      <c r="Q213" s="7">
        <f t="shared" si="24"/>
        <v>0</v>
      </c>
      <c r="R213" s="7">
        <f t="shared" si="25"/>
        <v>1534.96</v>
      </c>
      <c r="S213" s="7">
        <f t="shared" si="26"/>
        <v>767.48</v>
      </c>
      <c r="T213" s="6">
        <f t="shared" si="27"/>
        <v>1.5873015873015872E-2</v>
      </c>
      <c r="V213" t="s">
        <v>29</v>
      </c>
    </row>
    <row r="214" spans="1:22">
      <c r="A214" s="3">
        <v>45666</v>
      </c>
      <c r="B214" t="str">
        <f t="shared" si="21"/>
        <v>yyyy-01</v>
      </c>
      <c r="C214">
        <f t="shared" si="22"/>
        <v>2</v>
      </c>
      <c r="D214" t="s">
        <v>66</v>
      </c>
      <c r="E214" t="s">
        <v>67</v>
      </c>
      <c r="F214" t="s">
        <v>68</v>
      </c>
      <c r="G214" t="s">
        <v>27</v>
      </c>
      <c r="H214" t="s">
        <v>28</v>
      </c>
      <c r="I214" s="5">
        <v>365</v>
      </c>
      <c r="J214" s="5">
        <v>227</v>
      </c>
      <c r="K214" s="5">
        <v>27</v>
      </c>
      <c r="L214" s="5">
        <v>7</v>
      </c>
      <c r="M214" s="5">
        <v>7</v>
      </c>
      <c r="N214" s="7">
        <v>708.34</v>
      </c>
      <c r="O214" s="7">
        <f t="shared" si="23"/>
        <v>4958.38</v>
      </c>
      <c r="P214" s="4">
        <v>0</v>
      </c>
      <c r="Q214" s="7">
        <f t="shared" si="24"/>
        <v>0</v>
      </c>
      <c r="R214" s="7">
        <f t="shared" si="25"/>
        <v>4958.38</v>
      </c>
      <c r="S214" s="7">
        <f t="shared" si="26"/>
        <v>708.34</v>
      </c>
      <c r="T214" s="6">
        <f t="shared" si="27"/>
        <v>1.9178082191780823E-2</v>
      </c>
      <c r="V214" t="s">
        <v>29</v>
      </c>
    </row>
    <row r="215" spans="1:22">
      <c r="A215" s="3">
        <v>45666</v>
      </c>
      <c r="B215" t="str">
        <f t="shared" si="21"/>
        <v>yyyy-01</v>
      </c>
      <c r="C215">
        <f t="shared" si="22"/>
        <v>2</v>
      </c>
      <c r="D215" t="s">
        <v>66</v>
      </c>
      <c r="E215" t="s">
        <v>67</v>
      </c>
      <c r="F215" t="s">
        <v>69</v>
      </c>
      <c r="G215" t="s">
        <v>31</v>
      </c>
      <c r="H215" t="s">
        <v>32</v>
      </c>
      <c r="I215" s="5">
        <v>403</v>
      </c>
      <c r="J215" s="5">
        <v>229</v>
      </c>
      <c r="K215" s="5">
        <v>19</v>
      </c>
      <c r="L215" s="5">
        <v>7</v>
      </c>
      <c r="M215" s="5">
        <v>7</v>
      </c>
      <c r="N215" s="7">
        <v>400.67</v>
      </c>
      <c r="O215" s="7">
        <f t="shared" si="23"/>
        <v>2804.69</v>
      </c>
      <c r="P215" s="4">
        <v>0.03</v>
      </c>
      <c r="Q215" s="7">
        <f t="shared" si="24"/>
        <v>84.140699999999995</v>
      </c>
      <c r="R215" s="7">
        <f t="shared" si="25"/>
        <v>2720.5493000000001</v>
      </c>
      <c r="S215" s="7">
        <f t="shared" si="26"/>
        <v>388.6499</v>
      </c>
      <c r="T215" s="6">
        <f t="shared" si="27"/>
        <v>1.7369727047146403E-2</v>
      </c>
      <c r="V215" t="s">
        <v>29</v>
      </c>
    </row>
    <row r="216" spans="1:22">
      <c r="A216" s="3">
        <v>45666</v>
      </c>
      <c r="B216" t="str">
        <f t="shared" si="21"/>
        <v>yyyy-01</v>
      </c>
      <c r="C216">
        <f t="shared" si="22"/>
        <v>2</v>
      </c>
      <c r="D216" t="s">
        <v>66</v>
      </c>
      <c r="E216" t="s">
        <v>67</v>
      </c>
      <c r="F216" t="s">
        <v>70</v>
      </c>
      <c r="G216" t="s">
        <v>27</v>
      </c>
      <c r="H216" t="s">
        <v>45</v>
      </c>
      <c r="I216" s="5">
        <v>319</v>
      </c>
      <c r="J216" s="5">
        <v>184</v>
      </c>
      <c r="K216" s="5">
        <v>23</v>
      </c>
      <c r="L216" s="5">
        <v>6</v>
      </c>
      <c r="M216" s="5">
        <v>6</v>
      </c>
      <c r="N216" s="7">
        <v>344</v>
      </c>
      <c r="O216" s="7">
        <f t="shared" si="23"/>
        <v>2064</v>
      </c>
      <c r="P216" s="4">
        <v>0.03</v>
      </c>
      <c r="Q216" s="7">
        <f t="shared" si="24"/>
        <v>61.919999999999995</v>
      </c>
      <c r="R216" s="7">
        <f t="shared" si="25"/>
        <v>2002.08</v>
      </c>
      <c r="S216" s="7">
        <f t="shared" si="26"/>
        <v>333.68</v>
      </c>
      <c r="T216" s="6">
        <f t="shared" si="27"/>
        <v>1.8808777429467086E-2</v>
      </c>
      <c r="V216" t="s">
        <v>29</v>
      </c>
    </row>
    <row r="217" spans="1:22">
      <c r="A217" s="3">
        <v>45666</v>
      </c>
      <c r="B217" t="str">
        <f t="shared" si="21"/>
        <v>yyyy-01</v>
      </c>
      <c r="C217">
        <f t="shared" si="22"/>
        <v>2</v>
      </c>
      <c r="D217" t="s">
        <v>66</v>
      </c>
      <c r="E217" t="s">
        <v>71</v>
      </c>
      <c r="F217" t="s">
        <v>72</v>
      </c>
      <c r="G217" t="s">
        <v>36</v>
      </c>
      <c r="H217" t="s">
        <v>37</v>
      </c>
      <c r="I217" s="5">
        <v>334</v>
      </c>
      <c r="J217" s="5">
        <v>207</v>
      </c>
      <c r="K217" s="5">
        <v>14</v>
      </c>
      <c r="L217" s="5">
        <v>5</v>
      </c>
      <c r="M217" s="5">
        <v>6</v>
      </c>
      <c r="N217" s="7">
        <v>131.22</v>
      </c>
      <c r="O217" s="7">
        <f t="shared" si="23"/>
        <v>787.31999999999994</v>
      </c>
      <c r="P217" s="4">
        <v>0</v>
      </c>
      <c r="Q217" s="7">
        <f t="shared" si="24"/>
        <v>0</v>
      </c>
      <c r="R217" s="7">
        <f t="shared" si="25"/>
        <v>787.31999999999994</v>
      </c>
      <c r="S217" s="7">
        <f t="shared" si="26"/>
        <v>157.464</v>
      </c>
      <c r="T217" s="6">
        <f t="shared" si="27"/>
        <v>1.4970059880239521E-2</v>
      </c>
      <c r="V217" t="s">
        <v>29</v>
      </c>
    </row>
    <row r="218" spans="1:22">
      <c r="A218" s="3">
        <v>45666</v>
      </c>
      <c r="B218" t="str">
        <f t="shared" si="21"/>
        <v>yyyy-01</v>
      </c>
      <c r="C218">
        <f t="shared" si="22"/>
        <v>2</v>
      </c>
      <c r="D218" t="s">
        <v>66</v>
      </c>
      <c r="E218" t="s">
        <v>73</v>
      </c>
      <c r="F218" t="s">
        <v>74</v>
      </c>
      <c r="G218" t="s">
        <v>36</v>
      </c>
      <c r="H218" t="s">
        <v>37</v>
      </c>
      <c r="I218" s="5">
        <v>225</v>
      </c>
      <c r="J218" s="5">
        <v>135</v>
      </c>
      <c r="K218" s="5">
        <v>13</v>
      </c>
      <c r="L218" s="5">
        <v>4</v>
      </c>
      <c r="M218" s="5">
        <v>4</v>
      </c>
      <c r="N218" s="7">
        <v>1184.52</v>
      </c>
      <c r="O218" s="7">
        <f t="shared" si="23"/>
        <v>4738.08</v>
      </c>
      <c r="P218" s="4">
        <v>0.05</v>
      </c>
      <c r="Q218" s="7">
        <f t="shared" si="24"/>
        <v>236.904</v>
      </c>
      <c r="R218" s="7">
        <f t="shared" si="25"/>
        <v>4501.1759999999995</v>
      </c>
      <c r="S218" s="7">
        <f t="shared" si="26"/>
        <v>1125.2939999999999</v>
      </c>
      <c r="T218" s="6">
        <f t="shared" si="27"/>
        <v>1.7777777777777778E-2</v>
      </c>
      <c r="V218" t="s">
        <v>29</v>
      </c>
    </row>
    <row r="219" spans="1:22">
      <c r="A219" s="3">
        <v>45666</v>
      </c>
      <c r="B219" t="str">
        <f t="shared" si="21"/>
        <v>yyyy-01</v>
      </c>
      <c r="C219">
        <f t="shared" si="22"/>
        <v>2</v>
      </c>
      <c r="D219" t="s">
        <v>66</v>
      </c>
      <c r="E219" t="s">
        <v>71</v>
      </c>
      <c r="F219" t="s">
        <v>75</v>
      </c>
      <c r="G219" t="s">
        <v>31</v>
      </c>
      <c r="H219" t="s">
        <v>32</v>
      </c>
      <c r="I219" s="5">
        <v>416</v>
      </c>
      <c r="J219" s="5">
        <v>256</v>
      </c>
      <c r="K219" s="5">
        <v>28</v>
      </c>
      <c r="L219" s="5">
        <v>6</v>
      </c>
      <c r="M219" s="5">
        <v>7</v>
      </c>
      <c r="N219" s="7">
        <v>37.950000000000003</v>
      </c>
      <c r="O219" s="7">
        <f t="shared" si="23"/>
        <v>265.65000000000003</v>
      </c>
      <c r="P219" s="4">
        <v>0.05</v>
      </c>
      <c r="Q219" s="7">
        <f t="shared" si="24"/>
        <v>13.282500000000002</v>
      </c>
      <c r="R219" s="7">
        <f t="shared" si="25"/>
        <v>252.36750000000004</v>
      </c>
      <c r="S219" s="7">
        <f t="shared" si="26"/>
        <v>42.061250000000008</v>
      </c>
      <c r="T219" s="6">
        <f t="shared" si="27"/>
        <v>1.4423076923076924E-2</v>
      </c>
      <c r="V219" t="s">
        <v>29</v>
      </c>
    </row>
    <row r="220" spans="1:22">
      <c r="A220" s="3">
        <v>45666</v>
      </c>
      <c r="B220" t="str">
        <f t="shared" si="21"/>
        <v>yyyy-01</v>
      </c>
      <c r="C220">
        <f t="shared" si="22"/>
        <v>2</v>
      </c>
      <c r="D220" t="s">
        <v>24</v>
      </c>
      <c r="E220" t="s">
        <v>76</v>
      </c>
      <c r="F220" t="s">
        <v>77</v>
      </c>
      <c r="G220" t="s">
        <v>31</v>
      </c>
      <c r="H220" t="s">
        <v>32</v>
      </c>
      <c r="I220" s="5">
        <v>514</v>
      </c>
      <c r="J220" s="5">
        <v>424</v>
      </c>
      <c r="K220" s="5">
        <v>48</v>
      </c>
      <c r="L220" s="5">
        <v>10</v>
      </c>
      <c r="M220" s="5">
        <v>13</v>
      </c>
      <c r="N220" s="7">
        <v>200.62</v>
      </c>
      <c r="O220" s="7">
        <f t="shared" si="23"/>
        <v>2608.06</v>
      </c>
      <c r="P220" s="4">
        <v>0</v>
      </c>
      <c r="Q220" s="7">
        <f t="shared" si="24"/>
        <v>0</v>
      </c>
      <c r="R220" s="7">
        <f t="shared" si="25"/>
        <v>2608.06</v>
      </c>
      <c r="S220" s="7">
        <f t="shared" si="26"/>
        <v>260.80599999999998</v>
      </c>
      <c r="T220" s="6">
        <f t="shared" si="27"/>
        <v>1.9455252918287938E-2</v>
      </c>
      <c r="V220" t="s">
        <v>29</v>
      </c>
    </row>
    <row r="221" spans="1:22">
      <c r="A221" s="3">
        <v>45667</v>
      </c>
      <c r="B221" t="str">
        <f t="shared" si="21"/>
        <v>yyyy-01</v>
      </c>
      <c r="C221">
        <f t="shared" si="22"/>
        <v>2</v>
      </c>
      <c r="D221" t="s">
        <v>24</v>
      </c>
      <c r="E221" t="s">
        <v>25</v>
      </c>
      <c r="F221" t="s">
        <v>26</v>
      </c>
      <c r="G221" t="s">
        <v>27</v>
      </c>
      <c r="H221" t="s">
        <v>48</v>
      </c>
      <c r="I221" s="5">
        <v>983</v>
      </c>
      <c r="J221" s="5">
        <v>751</v>
      </c>
      <c r="K221" s="5">
        <v>90</v>
      </c>
      <c r="L221" s="5">
        <v>25</v>
      </c>
      <c r="M221" s="5">
        <v>25</v>
      </c>
      <c r="N221" s="7">
        <v>1014.02</v>
      </c>
      <c r="O221" s="7">
        <f t="shared" si="23"/>
        <v>25350.5</v>
      </c>
      <c r="P221" s="4">
        <v>0.12</v>
      </c>
      <c r="Q221" s="7">
        <f t="shared" si="24"/>
        <v>3042.06</v>
      </c>
      <c r="R221" s="7">
        <f t="shared" si="25"/>
        <v>22308.44</v>
      </c>
      <c r="S221" s="7">
        <f t="shared" si="26"/>
        <v>892.33759999999995</v>
      </c>
      <c r="T221" s="6">
        <f t="shared" si="27"/>
        <v>2.5432349949135302E-2</v>
      </c>
      <c r="U221" t="s">
        <v>79</v>
      </c>
      <c r="V221" t="s">
        <v>29</v>
      </c>
    </row>
    <row r="222" spans="1:22">
      <c r="A222" s="3">
        <v>45667</v>
      </c>
      <c r="B222" t="str">
        <f t="shared" si="21"/>
        <v>yyyy-01</v>
      </c>
      <c r="C222">
        <f t="shared" si="22"/>
        <v>2</v>
      </c>
      <c r="D222" t="s">
        <v>24</v>
      </c>
      <c r="E222" t="s">
        <v>25</v>
      </c>
      <c r="F222" t="s">
        <v>30</v>
      </c>
      <c r="G222" t="s">
        <v>31</v>
      </c>
      <c r="H222" t="s">
        <v>32</v>
      </c>
      <c r="I222" s="5">
        <v>1339</v>
      </c>
      <c r="J222" s="5">
        <v>1071</v>
      </c>
      <c r="K222" s="5">
        <v>101</v>
      </c>
      <c r="L222" s="5">
        <v>28</v>
      </c>
      <c r="M222" s="5">
        <v>28</v>
      </c>
      <c r="N222" s="7">
        <v>403.5</v>
      </c>
      <c r="O222" s="7">
        <f t="shared" si="23"/>
        <v>11298</v>
      </c>
      <c r="P222" s="4">
        <v>0.12</v>
      </c>
      <c r="Q222" s="7">
        <f t="shared" si="24"/>
        <v>1355.76</v>
      </c>
      <c r="R222" s="7">
        <f t="shared" si="25"/>
        <v>9942.24</v>
      </c>
      <c r="S222" s="7">
        <f t="shared" si="26"/>
        <v>355.08</v>
      </c>
      <c r="T222" s="6">
        <f t="shared" si="27"/>
        <v>2.0911127707244213E-2</v>
      </c>
      <c r="U222" t="s">
        <v>79</v>
      </c>
      <c r="V222" t="s">
        <v>29</v>
      </c>
    </row>
    <row r="223" spans="1:22">
      <c r="A223" s="3">
        <v>45667</v>
      </c>
      <c r="B223" t="str">
        <f t="shared" si="21"/>
        <v>yyyy-01</v>
      </c>
      <c r="C223">
        <f t="shared" si="22"/>
        <v>2</v>
      </c>
      <c r="D223" t="s">
        <v>24</v>
      </c>
      <c r="E223" t="s">
        <v>25</v>
      </c>
      <c r="F223" t="s">
        <v>33</v>
      </c>
      <c r="G223" t="s">
        <v>36</v>
      </c>
      <c r="H223" t="s">
        <v>37</v>
      </c>
      <c r="I223" s="5">
        <v>1453</v>
      </c>
      <c r="J223" s="5">
        <v>1160</v>
      </c>
      <c r="K223" s="5">
        <v>76</v>
      </c>
      <c r="L223" s="5">
        <v>35</v>
      </c>
      <c r="M223" s="5">
        <v>35</v>
      </c>
      <c r="N223" s="7">
        <v>1771.88</v>
      </c>
      <c r="O223" s="7">
        <f t="shared" si="23"/>
        <v>62015.8</v>
      </c>
      <c r="P223" s="4">
        <v>0.12</v>
      </c>
      <c r="Q223" s="7">
        <f t="shared" si="24"/>
        <v>7441.8959999999997</v>
      </c>
      <c r="R223" s="7">
        <f t="shared" si="25"/>
        <v>54573.904000000002</v>
      </c>
      <c r="S223" s="7">
        <f t="shared" si="26"/>
        <v>1559.2544</v>
      </c>
      <c r="T223" s="6">
        <f t="shared" si="27"/>
        <v>2.4088093599449415E-2</v>
      </c>
      <c r="U223" t="s">
        <v>79</v>
      </c>
      <c r="V223" t="s">
        <v>29</v>
      </c>
    </row>
    <row r="224" spans="1:22">
      <c r="A224" s="3">
        <v>45667</v>
      </c>
      <c r="B224" t="str">
        <f t="shared" si="21"/>
        <v>yyyy-01</v>
      </c>
      <c r="C224">
        <f t="shared" si="22"/>
        <v>2</v>
      </c>
      <c r="D224" t="s">
        <v>24</v>
      </c>
      <c r="E224" t="s">
        <v>34</v>
      </c>
      <c r="F224" t="s">
        <v>35</v>
      </c>
      <c r="G224" t="s">
        <v>27</v>
      </c>
      <c r="H224" t="s">
        <v>28</v>
      </c>
      <c r="I224" s="5">
        <v>723</v>
      </c>
      <c r="J224" s="5">
        <v>556</v>
      </c>
      <c r="K224" s="5">
        <v>59</v>
      </c>
      <c r="L224" s="5">
        <v>17</v>
      </c>
      <c r="M224" s="5">
        <v>17</v>
      </c>
      <c r="N224" s="7">
        <v>903.27</v>
      </c>
      <c r="O224" s="7">
        <f t="shared" si="23"/>
        <v>15355.59</v>
      </c>
      <c r="P224" s="4">
        <v>0.03</v>
      </c>
      <c r="Q224" s="7">
        <f t="shared" si="24"/>
        <v>460.66769999999997</v>
      </c>
      <c r="R224" s="7">
        <f t="shared" si="25"/>
        <v>14894.9223</v>
      </c>
      <c r="S224" s="7">
        <f t="shared" si="26"/>
        <v>876.17190000000005</v>
      </c>
      <c r="T224" s="6">
        <f t="shared" si="27"/>
        <v>2.351313969571231E-2</v>
      </c>
      <c r="V224" t="s">
        <v>29</v>
      </c>
    </row>
    <row r="225" spans="1:22">
      <c r="A225" s="3">
        <v>45667</v>
      </c>
      <c r="B225" t="str">
        <f t="shared" si="21"/>
        <v>yyyy-01</v>
      </c>
      <c r="C225">
        <f t="shared" si="22"/>
        <v>2</v>
      </c>
      <c r="D225" t="s">
        <v>24</v>
      </c>
      <c r="E225" t="s">
        <v>38</v>
      </c>
      <c r="F225" t="s">
        <v>39</v>
      </c>
      <c r="G225" t="s">
        <v>27</v>
      </c>
      <c r="H225" t="s">
        <v>28</v>
      </c>
      <c r="I225" s="5">
        <v>691</v>
      </c>
      <c r="J225" s="5">
        <v>372</v>
      </c>
      <c r="K225" s="5">
        <v>84</v>
      </c>
      <c r="L225" s="5">
        <v>17</v>
      </c>
      <c r="M225" s="5">
        <v>17</v>
      </c>
      <c r="N225" s="7">
        <v>321.51</v>
      </c>
      <c r="O225" s="7">
        <f t="shared" si="23"/>
        <v>5465.67</v>
      </c>
      <c r="P225" s="4">
        <v>0</v>
      </c>
      <c r="Q225" s="7">
        <f t="shared" si="24"/>
        <v>0</v>
      </c>
      <c r="R225" s="7">
        <f t="shared" si="25"/>
        <v>5465.67</v>
      </c>
      <c r="S225" s="7">
        <f t="shared" si="26"/>
        <v>321.51</v>
      </c>
      <c r="T225" s="6">
        <f t="shared" si="27"/>
        <v>2.4602026049204053E-2</v>
      </c>
      <c r="V225" t="s">
        <v>29</v>
      </c>
    </row>
    <row r="226" spans="1:22">
      <c r="A226" s="3">
        <v>45667</v>
      </c>
      <c r="B226" t="str">
        <f t="shared" si="21"/>
        <v>yyyy-01</v>
      </c>
      <c r="C226">
        <f t="shared" si="22"/>
        <v>2</v>
      </c>
      <c r="D226" t="s">
        <v>24</v>
      </c>
      <c r="E226" t="s">
        <v>40</v>
      </c>
      <c r="F226" t="s">
        <v>41</v>
      </c>
      <c r="G226" t="s">
        <v>31</v>
      </c>
      <c r="H226" t="s">
        <v>32</v>
      </c>
      <c r="I226" s="5">
        <v>628</v>
      </c>
      <c r="J226" s="5">
        <v>517</v>
      </c>
      <c r="K226" s="5">
        <v>62</v>
      </c>
      <c r="L226" s="5">
        <v>14</v>
      </c>
      <c r="M226" s="5">
        <v>16</v>
      </c>
      <c r="N226" s="7">
        <v>181.18</v>
      </c>
      <c r="O226" s="7">
        <f t="shared" si="23"/>
        <v>2898.88</v>
      </c>
      <c r="P226" s="4">
        <v>0</v>
      </c>
      <c r="Q226" s="7">
        <f t="shared" si="24"/>
        <v>0</v>
      </c>
      <c r="R226" s="7">
        <f t="shared" si="25"/>
        <v>2898.88</v>
      </c>
      <c r="S226" s="7">
        <f t="shared" si="26"/>
        <v>207.06285714285715</v>
      </c>
      <c r="T226" s="6">
        <f t="shared" si="27"/>
        <v>2.2292993630573247E-2</v>
      </c>
      <c r="V226" t="s">
        <v>29</v>
      </c>
    </row>
    <row r="227" spans="1:22">
      <c r="A227" s="3">
        <v>45667</v>
      </c>
      <c r="B227" t="str">
        <f t="shared" si="21"/>
        <v>yyyy-01</v>
      </c>
      <c r="C227">
        <f t="shared" si="22"/>
        <v>2</v>
      </c>
      <c r="D227" t="s">
        <v>42</v>
      </c>
      <c r="E227" t="s">
        <v>43</v>
      </c>
      <c r="F227" t="s">
        <v>44</v>
      </c>
      <c r="G227" t="s">
        <v>27</v>
      </c>
      <c r="H227" t="s">
        <v>48</v>
      </c>
      <c r="I227" s="5">
        <v>452</v>
      </c>
      <c r="J227" s="5">
        <v>253</v>
      </c>
      <c r="K227" s="5">
        <v>30</v>
      </c>
      <c r="L227" s="5">
        <v>8</v>
      </c>
      <c r="M227" s="5">
        <v>8</v>
      </c>
      <c r="N227" s="7">
        <v>1277.67</v>
      </c>
      <c r="O227" s="7">
        <f t="shared" si="23"/>
        <v>10221.36</v>
      </c>
      <c r="P227" s="4">
        <v>0</v>
      </c>
      <c r="Q227" s="7">
        <f t="shared" si="24"/>
        <v>0</v>
      </c>
      <c r="R227" s="7">
        <f t="shared" si="25"/>
        <v>10221.36</v>
      </c>
      <c r="S227" s="7">
        <f t="shared" si="26"/>
        <v>1277.67</v>
      </c>
      <c r="T227" s="6">
        <f t="shared" si="27"/>
        <v>1.7699115044247787E-2</v>
      </c>
      <c r="V227" t="s">
        <v>29</v>
      </c>
    </row>
    <row r="228" spans="1:22">
      <c r="A228" s="3">
        <v>45667</v>
      </c>
      <c r="B228" t="str">
        <f t="shared" si="21"/>
        <v>yyyy-01</v>
      </c>
      <c r="C228">
        <f t="shared" si="22"/>
        <v>2</v>
      </c>
      <c r="D228" t="s">
        <v>42</v>
      </c>
      <c r="E228" t="s">
        <v>43</v>
      </c>
      <c r="F228" t="s">
        <v>46</v>
      </c>
      <c r="G228" t="s">
        <v>31</v>
      </c>
      <c r="H228" t="s">
        <v>32</v>
      </c>
      <c r="I228" s="5">
        <v>495</v>
      </c>
      <c r="J228" s="5">
        <v>373</v>
      </c>
      <c r="K228" s="5">
        <v>36</v>
      </c>
      <c r="L228" s="5">
        <v>9</v>
      </c>
      <c r="M228" s="5">
        <v>9</v>
      </c>
      <c r="N228" s="7">
        <v>2167</v>
      </c>
      <c r="O228" s="7">
        <f t="shared" si="23"/>
        <v>19503</v>
      </c>
      <c r="P228" s="4">
        <v>0</v>
      </c>
      <c r="Q228" s="7">
        <f t="shared" si="24"/>
        <v>0</v>
      </c>
      <c r="R228" s="7">
        <f t="shared" si="25"/>
        <v>19503</v>
      </c>
      <c r="S228" s="7">
        <f t="shared" si="26"/>
        <v>2167</v>
      </c>
      <c r="T228" s="6">
        <f t="shared" si="27"/>
        <v>1.8181818181818181E-2</v>
      </c>
      <c r="V228" t="s">
        <v>29</v>
      </c>
    </row>
    <row r="229" spans="1:22">
      <c r="A229" s="3">
        <v>45667</v>
      </c>
      <c r="B229" t="str">
        <f t="shared" si="21"/>
        <v>yyyy-01</v>
      </c>
      <c r="C229">
        <f t="shared" si="22"/>
        <v>2</v>
      </c>
      <c r="D229" t="s">
        <v>42</v>
      </c>
      <c r="E229" t="s">
        <v>43</v>
      </c>
      <c r="F229" t="s">
        <v>47</v>
      </c>
      <c r="G229" t="s">
        <v>36</v>
      </c>
      <c r="H229" t="s">
        <v>37</v>
      </c>
      <c r="I229" s="5">
        <v>455</v>
      </c>
      <c r="J229" s="5">
        <v>368</v>
      </c>
      <c r="K229" s="5">
        <v>39</v>
      </c>
      <c r="L229" s="5">
        <v>7</v>
      </c>
      <c r="M229" s="5">
        <v>7</v>
      </c>
      <c r="N229" s="7">
        <v>590.11</v>
      </c>
      <c r="O229" s="7">
        <f t="shared" si="23"/>
        <v>4130.7700000000004</v>
      </c>
      <c r="P229" s="4">
        <v>0</v>
      </c>
      <c r="Q229" s="7">
        <f t="shared" si="24"/>
        <v>0</v>
      </c>
      <c r="R229" s="7">
        <f t="shared" si="25"/>
        <v>4130.7700000000004</v>
      </c>
      <c r="S229" s="7">
        <f t="shared" si="26"/>
        <v>590.11</v>
      </c>
      <c r="T229" s="6">
        <f t="shared" si="27"/>
        <v>1.5384615384615385E-2</v>
      </c>
      <c r="V229" t="s">
        <v>29</v>
      </c>
    </row>
    <row r="230" spans="1:22">
      <c r="A230" s="3">
        <v>45667</v>
      </c>
      <c r="B230" t="str">
        <f t="shared" si="21"/>
        <v>yyyy-01</v>
      </c>
      <c r="C230">
        <f t="shared" si="22"/>
        <v>2</v>
      </c>
      <c r="D230" t="s">
        <v>42</v>
      </c>
      <c r="E230" t="s">
        <v>49</v>
      </c>
      <c r="F230" t="s">
        <v>50</v>
      </c>
      <c r="G230" t="s">
        <v>27</v>
      </c>
      <c r="H230" t="s">
        <v>45</v>
      </c>
      <c r="I230" s="5">
        <v>141</v>
      </c>
      <c r="J230" s="5">
        <v>76</v>
      </c>
      <c r="K230" s="5">
        <v>7</v>
      </c>
      <c r="L230" s="5">
        <v>2</v>
      </c>
      <c r="M230" s="5">
        <v>2</v>
      </c>
      <c r="N230" s="7">
        <v>1011.32</v>
      </c>
      <c r="O230" s="7">
        <f t="shared" si="23"/>
        <v>2022.64</v>
      </c>
      <c r="P230" s="4">
        <v>0</v>
      </c>
      <c r="Q230" s="7">
        <f t="shared" si="24"/>
        <v>0</v>
      </c>
      <c r="R230" s="7">
        <f t="shared" si="25"/>
        <v>2022.64</v>
      </c>
      <c r="S230" s="7">
        <f t="shared" si="26"/>
        <v>1011.32</v>
      </c>
      <c r="T230" s="6">
        <f t="shared" si="27"/>
        <v>1.4184397163120567E-2</v>
      </c>
      <c r="V230" t="s">
        <v>29</v>
      </c>
    </row>
    <row r="231" spans="1:22">
      <c r="A231" s="3">
        <v>45667</v>
      </c>
      <c r="B231" t="str">
        <f t="shared" si="21"/>
        <v>yyyy-01</v>
      </c>
      <c r="C231">
        <f t="shared" si="22"/>
        <v>2</v>
      </c>
      <c r="D231" t="s">
        <v>42</v>
      </c>
      <c r="E231" t="s">
        <v>51</v>
      </c>
      <c r="F231" t="s">
        <v>52</v>
      </c>
      <c r="G231" t="s">
        <v>31</v>
      </c>
      <c r="H231" t="s">
        <v>32</v>
      </c>
      <c r="I231" s="5">
        <v>292</v>
      </c>
      <c r="J231" s="5">
        <v>230</v>
      </c>
      <c r="K231" s="5">
        <v>15</v>
      </c>
      <c r="L231" s="5">
        <v>3</v>
      </c>
      <c r="M231" s="5">
        <v>3</v>
      </c>
      <c r="N231" s="7">
        <v>604.36</v>
      </c>
      <c r="O231" s="7">
        <f t="shared" si="23"/>
        <v>1813.08</v>
      </c>
      <c r="P231" s="4">
        <v>0</v>
      </c>
      <c r="Q231" s="7">
        <f t="shared" si="24"/>
        <v>0</v>
      </c>
      <c r="R231" s="7">
        <f t="shared" si="25"/>
        <v>1813.08</v>
      </c>
      <c r="S231" s="7">
        <f t="shared" si="26"/>
        <v>604.36</v>
      </c>
      <c r="T231" s="6">
        <f t="shared" si="27"/>
        <v>1.0273972602739725E-2</v>
      </c>
      <c r="V231" t="s">
        <v>29</v>
      </c>
    </row>
    <row r="232" spans="1:22">
      <c r="A232" s="3">
        <v>45667</v>
      </c>
      <c r="B232" t="str">
        <f t="shared" si="21"/>
        <v>yyyy-01</v>
      </c>
      <c r="C232">
        <f t="shared" si="22"/>
        <v>2</v>
      </c>
      <c r="D232" t="s">
        <v>53</v>
      </c>
      <c r="E232" t="s">
        <v>54</v>
      </c>
      <c r="F232" t="s">
        <v>55</v>
      </c>
      <c r="G232" t="s">
        <v>27</v>
      </c>
      <c r="H232" t="s">
        <v>45</v>
      </c>
      <c r="I232" s="5">
        <v>163</v>
      </c>
      <c r="J232" s="5">
        <v>123</v>
      </c>
      <c r="K232" s="5">
        <v>14</v>
      </c>
      <c r="L232" s="5">
        <v>2</v>
      </c>
      <c r="M232" s="5">
        <v>2</v>
      </c>
      <c r="N232" s="7">
        <v>1323.87</v>
      </c>
      <c r="O232" s="7">
        <f t="shared" si="23"/>
        <v>2647.74</v>
      </c>
      <c r="P232" s="4">
        <v>0</v>
      </c>
      <c r="Q232" s="7">
        <f t="shared" si="24"/>
        <v>0</v>
      </c>
      <c r="R232" s="7">
        <f t="shared" si="25"/>
        <v>2647.74</v>
      </c>
      <c r="S232" s="7">
        <f t="shared" si="26"/>
        <v>1323.87</v>
      </c>
      <c r="T232" s="6">
        <f t="shared" si="27"/>
        <v>1.2269938650306749E-2</v>
      </c>
      <c r="V232" t="s">
        <v>29</v>
      </c>
    </row>
    <row r="233" spans="1:22">
      <c r="A233" s="3">
        <v>45667</v>
      </c>
      <c r="B233" t="str">
        <f t="shared" si="21"/>
        <v>yyyy-01</v>
      </c>
      <c r="C233">
        <f t="shared" si="22"/>
        <v>2</v>
      </c>
      <c r="D233" t="s">
        <v>53</v>
      </c>
      <c r="E233" t="s">
        <v>56</v>
      </c>
      <c r="F233" t="s">
        <v>57</v>
      </c>
      <c r="G233" t="s">
        <v>27</v>
      </c>
      <c r="H233" t="s">
        <v>28</v>
      </c>
      <c r="I233" s="5">
        <v>252</v>
      </c>
      <c r="J233" s="5">
        <v>199</v>
      </c>
      <c r="K233" s="5">
        <v>15</v>
      </c>
      <c r="L233" s="5">
        <v>3</v>
      </c>
      <c r="M233" s="5">
        <v>3</v>
      </c>
      <c r="N233" s="7">
        <v>741.31</v>
      </c>
      <c r="O233" s="7">
        <f t="shared" si="23"/>
        <v>2223.9299999999998</v>
      </c>
      <c r="P233" s="4">
        <v>0</v>
      </c>
      <c r="Q233" s="7">
        <f t="shared" si="24"/>
        <v>0</v>
      </c>
      <c r="R233" s="7">
        <f t="shared" si="25"/>
        <v>2223.9299999999998</v>
      </c>
      <c r="S233" s="7">
        <f t="shared" si="26"/>
        <v>741.31</v>
      </c>
      <c r="T233" s="6">
        <f t="shared" si="27"/>
        <v>1.1904761904761904E-2</v>
      </c>
      <c r="V233" t="s">
        <v>29</v>
      </c>
    </row>
    <row r="234" spans="1:22">
      <c r="A234" s="3">
        <v>45667</v>
      </c>
      <c r="B234" t="str">
        <f t="shared" si="21"/>
        <v>yyyy-01</v>
      </c>
      <c r="C234">
        <f t="shared" si="22"/>
        <v>2</v>
      </c>
      <c r="D234" t="s">
        <v>53</v>
      </c>
      <c r="E234" t="s">
        <v>56</v>
      </c>
      <c r="F234" t="s">
        <v>58</v>
      </c>
      <c r="G234" t="s">
        <v>27</v>
      </c>
      <c r="H234" t="s">
        <v>63</v>
      </c>
      <c r="I234" s="5">
        <v>152</v>
      </c>
      <c r="J234" s="5">
        <v>116</v>
      </c>
      <c r="K234" s="5">
        <v>6</v>
      </c>
      <c r="L234" s="5">
        <v>2</v>
      </c>
      <c r="M234" s="5">
        <v>2</v>
      </c>
      <c r="N234" s="7">
        <v>883.35</v>
      </c>
      <c r="O234" s="7">
        <f t="shared" si="23"/>
        <v>1766.7</v>
      </c>
      <c r="P234" s="4">
        <v>0.05</v>
      </c>
      <c r="Q234" s="7">
        <f t="shared" si="24"/>
        <v>88.335000000000008</v>
      </c>
      <c r="R234" s="7">
        <f t="shared" si="25"/>
        <v>1678.365</v>
      </c>
      <c r="S234" s="7">
        <f t="shared" si="26"/>
        <v>839.1825</v>
      </c>
      <c r="T234" s="6">
        <f t="shared" si="27"/>
        <v>1.3157894736842105E-2</v>
      </c>
      <c r="V234" t="s">
        <v>29</v>
      </c>
    </row>
    <row r="235" spans="1:22">
      <c r="A235" s="3">
        <v>45667</v>
      </c>
      <c r="B235" t="str">
        <f t="shared" si="21"/>
        <v>yyyy-01</v>
      </c>
      <c r="C235">
        <f t="shared" si="22"/>
        <v>2</v>
      </c>
      <c r="D235" t="s">
        <v>53</v>
      </c>
      <c r="E235" t="s">
        <v>59</v>
      </c>
      <c r="F235" t="s">
        <v>60</v>
      </c>
      <c r="G235" t="s">
        <v>27</v>
      </c>
      <c r="H235" t="s">
        <v>45</v>
      </c>
      <c r="I235" s="5">
        <v>130</v>
      </c>
      <c r="J235" s="5">
        <v>73</v>
      </c>
      <c r="K235" s="5">
        <v>5</v>
      </c>
      <c r="L235" s="5">
        <v>1</v>
      </c>
      <c r="M235" s="5">
        <v>1</v>
      </c>
      <c r="N235" s="7">
        <v>688.51</v>
      </c>
      <c r="O235" s="7">
        <f t="shared" si="23"/>
        <v>688.51</v>
      </c>
      <c r="P235" s="4">
        <v>0</v>
      </c>
      <c r="Q235" s="7">
        <f t="shared" si="24"/>
        <v>0</v>
      </c>
      <c r="R235" s="7">
        <f t="shared" si="25"/>
        <v>688.51</v>
      </c>
      <c r="S235" s="7">
        <f t="shared" si="26"/>
        <v>688.51</v>
      </c>
      <c r="T235" s="6">
        <f t="shared" si="27"/>
        <v>7.6923076923076927E-3</v>
      </c>
      <c r="V235" t="s">
        <v>29</v>
      </c>
    </row>
    <row r="236" spans="1:22">
      <c r="A236" s="3">
        <v>45667</v>
      </c>
      <c r="B236" t="str">
        <f t="shared" si="21"/>
        <v>yyyy-01</v>
      </c>
      <c r="C236">
        <f t="shared" si="22"/>
        <v>2</v>
      </c>
      <c r="D236" t="s">
        <v>53</v>
      </c>
      <c r="E236" t="s">
        <v>61</v>
      </c>
      <c r="F236" t="s">
        <v>62</v>
      </c>
      <c r="G236" t="s">
        <v>27</v>
      </c>
      <c r="H236" t="s">
        <v>28</v>
      </c>
      <c r="I236" s="5">
        <v>194</v>
      </c>
      <c r="J236" s="5">
        <v>113</v>
      </c>
      <c r="K236" s="5">
        <v>12</v>
      </c>
      <c r="L236" s="5">
        <v>2</v>
      </c>
      <c r="M236" s="5">
        <v>2</v>
      </c>
      <c r="N236" s="7">
        <v>481.81</v>
      </c>
      <c r="O236" s="7">
        <f t="shared" si="23"/>
        <v>963.62</v>
      </c>
      <c r="P236" s="4">
        <v>0</v>
      </c>
      <c r="Q236" s="7">
        <f t="shared" si="24"/>
        <v>0</v>
      </c>
      <c r="R236" s="7">
        <f t="shared" si="25"/>
        <v>963.62</v>
      </c>
      <c r="S236" s="7">
        <f t="shared" si="26"/>
        <v>481.81</v>
      </c>
      <c r="T236" s="6">
        <f t="shared" si="27"/>
        <v>1.0309278350515464E-2</v>
      </c>
      <c r="V236" t="s">
        <v>29</v>
      </c>
    </row>
    <row r="237" spans="1:22">
      <c r="A237" s="3">
        <v>45667</v>
      </c>
      <c r="B237" t="str">
        <f t="shared" si="21"/>
        <v>yyyy-01</v>
      </c>
      <c r="C237">
        <f t="shared" si="22"/>
        <v>2</v>
      </c>
      <c r="D237" t="s">
        <v>53</v>
      </c>
      <c r="E237" t="s">
        <v>64</v>
      </c>
      <c r="F237" t="s">
        <v>65</v>
      </c>
      <c r="G237" t="s">
        <v>27</v>
      </c>
      <c r="H237" t="s">
        <v>45</v>
      </c>
      <c r="I237" s="5">
        <v>145</v>
      </c>
      <c r="J237" s="5">
        <v>77</v>
      </c>
      <c r="K237" s="5">
        <v>7</v>
      </c>
      <c r="L237" s="5">
        <v>1</v>
      </c>
      <c r="M237" s="5">
        <v>1</v>
      </c>
      <c r="N237" s="7">
        <v>799.23</v>
      </c>
      <c r="O237" s="7">
        <f t="shared" si="23"/>
        <v>799.23</v>
      </c>
      <c r="P237" s="4">
        <v>0</v>
      </c>
      <c r="Q237" s="7">
        <f t="shared" si="24"/>
        <v>0</v>
      </c>
      <c r="R237" s="7">
        <f t="shared" si="25"/>
        <v>799.23</v>
      </c>
      <c r="S237" s="7">
        <f t="shared" si="26"/>
        <v>799.23</v>
      </c>
      <c r="T237" s="6">
        <f t="shared" si="27"/>
        <v>6.8965517241379309E-3</v>
      </c>
      <c r="V237" t="s">
        <v>78</v>
      </c>
    </row>
    <row r="238" spans="1:22">
      <c r="A238" s="3">
        <v>45667</v>
      </c>
      <c r="B238" t="str">
        <f t="shared" si="21"/>
        <v>yyyy-01</v>
      </c>
      <c r="C238">
        <f t="shared" si="22"/>
        <v>2</v>
      </c>
      <c r="D238" t="s">
        <v>66</v>
      </c>
      <c r="E238" t="s">
        <v>67</v>
      </c>
      <c r="F238" t="s">
        <v>68</v>
      </c>
      <c r="G238" t="s">
        <v>31</v>
      </c>
      <c r="H238" t="s">
        <v>32</v>
      </c>
      <c r="I238" s="5">
        <v>449</v>
      </c>
      <c r="J238" s="5">
        <v>279</v>
      </c>
      <c r="K238" s="5">
        <v>32</v>
      </c>
      <c r="L238" s="5">
        <v>10</v>
      </c>
      <c r="M238" s="5">
        <v>10</v>
      </c>
      <c r="N238" s="7">
        <v>711.39</v>
      </c>
      <c r="O238" s="7">
        <f t="shared" si="23"/>
        <v>7113.9</v>
      </c>
      <c r="P238" s="4">
        <v>0</v>
      </c>
      <c r="Q238" s="7">
        <f t="shared" si="24"/>
        <v>0</v>
      </c>
      <c r="R238" s="7">
        <f t="shared" si="25"/>
        <v>7113.9</v>
      </c>
      <c r="S238" s="7">
        <f t="shared" si="26"/>
        <v>711.39</v>
      </c>
      <c r="T238" s="6">
        <f t="shared" si="27"/>
        <v>2.2271714922048998E-2</v>
      </c>
      <c r="V238" t="s">
        <v>29</v>
      </c>
    </row>
    <row r="239" spans="1:22">
      <c r="A239" s="3">
        <v>45667</v>
      </c>
      <c r="B239" t="str">
        <f t="shared" si="21"/>
        <v>yyyy-01</v>
      </c>
      <c r="C239">
        <f t="shared" si="22"/>
        <v>2</v>
      </c>
      <c r="D239" t="s">
        <v>66</v>
      </c>
      <c r="E239" t="s">
        <v>67</v>
      </c>
      <c r="F239" t="s">
        <v>69</v>
      </c>
      <c r="G239" t="s">
        <v>31</v>
      </c>
      <c r="H239" t="s">
        <v>32</v>
      </c>
      <c r="I239" s="5">
        <v>362</v>
      </c>
      <c r="J239" s="5">
        <v>232</v>
      </c>
      <c r="K239" s="5">
        <v>18</v>
      </c>
      <c r="L239" s="5">
        <v>6</v>
      </c>
      <c r="M239" s="5">
        <v>6</v>
      </c>
      <c r="N239" s="7">
        <v>394.2</v>
      </c>
      <c r="O239" s="7">
        <f t="shared" si="23"/>
        <v>2365.1999999999998</v>
      </c>
      <c r="P239" s="4">
        <v>0</v>
      </c>
      <c r="Q239" s="7">
        <f t="shared" si="24"/>
        <v>0</v>
      </c>
      <c r="R239" s="7">
        <f t="shared" si="25"/>
        <v>2365.1999999999998</v>
      </c>
      <c r="S239" s="7">
        <f t="shared" si="26"/>
        <v>394.2</v>
      </c>
      <c r="T239" s="6">
        <f t="shared" si="27"/>
        <v>1.6574585635359115E-2</v>
      </c>
      <c r="V239" t="s">
        <v>29</v>
      </c>
    </row>
    <row r="240" spans="1:22">
      <c r="A240" s="3">
        <v>45667</v>
      </c>
      <c r="B240" t="str">
        <f t="shared" si="21"/>
        <v>yyyy-01</v>
      </c>
      <c r="C240">
        <f t="shared" si="22"/>
        <v>2</v>
      </c>
      <c r="D240" t="s">
        <v>66</v>
      </c>
      <c r="E240" t="s">
        <v>67</v>
      </c>
      <c r="F240" t="s">
        <v>70</v>
      </c>
      <c r="G240" t="s">
        <v>27</v>
      </c>
      <c r="H240" t="s">
        <v>28</v>
      </c>
      <c r="I240" s="5">
        <v>257</v>
      </c>
      <c r="J240" s="5">
        <v>174</v>
      </c>
      <c r="K240" s="5">
        <v>21</v>
      </c>
      <c r="L240" s="5">
        <v>5</v>
      </c>
      <c r="M240" s="5">
        <v>5</v>
      </c>
      <c r="N240" s="7">
        <v>344.87</v>
      </c>
      <c r="O240" s="7">
        <f t="shared" si="23"/>
        <v>1724.35</v>
      </c>
      <c r="P240" s="4">
        <v>0</v>
      </c>
      <c r="Q240" s="7">
        <f t="shared" si="24"/>
        <v>0</v>
      </c>
      <c r="R240" s="7">
        <f t="shared" si="25"/>
        <v>1724.35</v>
      </c>
      <c r="S240" s="7">
        <f t="shared" si="26"/>
        <v>344.87</v>
      </c>
      <c r="T240" s="6">
        <f t="shared" si="27"/>
        <v>1.9455252918287938E-2</v>
      </c>
      <c r="V240" t="s">
        <v>29</v>
      </c>
    </row>
    <row r="241" spans="1:22">
      <c r="A241" s="3">
        <v>45667</v>
      </c>
      <c r="B241" t="str">
        <f t="shared" si="21"/>
        <v>yyyy-01</v>
      </c>
      <c r="C241">
        <f t="shared" si="22"/>
        <v>2</v>
      </c>
      <c r="D241" t="s">
        <v>66</v>
      </c>
      <c r="E241" t="s">
        <v>71</v>
      </c>
      <c r="F241" t="s">
        <v>72</v>
      </c>
      <c r="G241" t="s">
        <v>27</v>
      </c>
      <c r="H241" t="s">
        <v>48</v>
      </c>
      <c r="I241" s="5">
        <v>192</v>
      </c>
      <c r="J241" s="5">
        <v>113</v>
      </c>
      <c r="K241" s="5">
        <v>13</v>
      </c>
      <c r="L241" s="5">
        <v>3</v>
      </c>
      <c r="M241" s="5">
        <v>4</v>
      </c>
      <c r="N241" s="7">
        <v>127.07</v>
      </c>
      <c r="O241" s="7">
        <f t="shared" si="23"/>
        <v>508.28</v>
      </c>
      <c r="P241" s="4">
        <v>0</v>
      </c>
      <c r="Q241" s="7">
        <f t="shared" si="24"/>
        <v>0</v>
      </c>
      <c r="R241" s="7">
        <f t="shared" si="25"/>
        <v>508.28</v>
      </c>
      <c r="S241" s="7">
        <f t="shared" si="26"/>
        <v>169.42666666666665</v>
      </c>
      <c r="T241" s="6">
        <f t="shared" si="27"/>
        <v>1.5625E-2</v>
      </c>
      <c r="V241" t="s">
        <v>29</v>
      </c>
    </row>
    <row r="242" spans="1:22">
      <c r="A242" s="3">
        <v>45667</v>
      </c>
      <c r="B242" t="str">
        <f t="shared" si="21"/>
        <v>yyyy-01</v>
      </c>
      <c r="C242">
        <f t="shared" si="22"/>
        <v>2</v>
      </c>
      <c r="D242" t="s">
        <v>66</v>
      </c>
      <c r="E242" t="s">
        <v>73</v>
      </c>
      <c r="F242" t="s">
        <v>74</v>
      </c>
      <c r="G242" t="s">
        <v>31</v>
      </c>
      <c r="H242" t="s">
        <v>32</v>
      </c>
      <c r="I242" s="5">
        <v>250</v>
      </c>
      <c r="J242" s="5">
        <v>174</v>
      </c>
      <c r="K242" s="5">
        <v>20</v>
      </c>
      <c r="L242" s="5">
        <v>4</v>
      </c>
      <c r="M242" s="5">
        <v>4</v>
      </c>
      <c r="N242" s="7">
        <v>1175.32</v>
      </c>
      <c r="O242" s="7">
        <f t="shared" si="23"/>
        <v>4701.28</v>
      </c>
      <c r="P242" s="4">
        <v>0</v>
      </c>
      <c r="Q242" s="7">
        <f t="shared" si="24"/>
        <v>0</v>
      </c>
      <c r="R242" s="7">
        <f t="shared" si="25"/>
        <v>4701.28</v>
      </c>
      <c r="S242" s="7">
        <f t="shared" si="26"/>
        <v>1175.32</v>
      </c>
      <c r="T242" s="6">
        <f t="shared" si="27"/>
        <v>1.6E-2</v>
      </c>
      <c r="V242" t="s">
        <v>29</v>
      </c>
    </row>
    <row r="243" spans="1:22">
      <c r="A243" s="3">
        <v>45667</v>
      </c>
      <c r="B243" t="str">
        <f t="shared" si="21"/>
        <v>yyyy-01</v>
      </c>
      <c r="C243">
        <f t="shared" si="22"/>
        <v>2</v>
      </c>
      <c r="D243" t="s">
        <v>66</v>
      </c>
      <c r="E243" t="s">
        <v>71</v>
      </c>
      <c r="F243" t="s">
        <v>75</v>
      </c>
      <c r="G243" t="s">
        <v>27</v>
      </c>
      <c r="H243" t="s">
        <v>45</v>
      </c>
      <c r="I243" s="5">
        <v>238</v>
      </c>
      <c r="J243" s="5">
        <v>136</v>
      </c>
      <c r="K243" s="5">
        <v>13</v>
      </c>
      <c r="L243" s="5">
        <v>5</v>
      </c>
      <c r="M243" s="5">
        <v>6</v>
      </c>
      <c r="N243" s="7">
        <v>39.590000000000003</v>
      </c>
      <c r="O243" s="7">
        <f t="shared" si="23"/>
        <v>237.54000000000002</v>
      </c>
      <c r="P243" s="4">
        <v>0</v>
      </c>
      <c r="Q243" s="7">
        <f t="shared" si="24"/>
        <v>0</v>
      </c>
      <c r="R243" s="7">
        <f t="shared" si="25"/>
        <v>237.54000000000002</v>
      </c>
      <c r="S243" s="7">
        <f t="shared" si="26"/>
        <v>47.508000000000003</v>
      </c>
      <c r="T243" s="6">
        <f t="shared" si="27"/>
        <v>2.100840336134454E-2</v>
      </c>
      <c r="V243" t="s">
        <v>29</v>
      </c>
    </row>
    <row r="244" spans="1:22">
      <c r="A244" s="3">
        <v>45667</v>
      </c>
      <c r="B244" t="str">
        <f t="shared" si="21"/>
        <v>yyyy-01</v>
      </c>
      <c r="C244">
        <f t="shared" si="22"/>
        <v>2</v>
      </c>
      <c r="D244" t="s">
        <v>24</v>
      </c>
      <c r="E244" t="s">
        <v>76</v>
      </c>
      <c r="F244" t="s">
        <v>77</v>
      </c>
      <c r="G244" t="s">
        <v>27</v>
      </c>
      <c r="H244" t="s">
        <v>28</v>
      </c>
      <c r="I244" s="5">
        <v>436</v>
      </c>
      <c r="J244" s="5">
        <v>297</v>
      </c>
      <c r="K244" s="5">
        <v>31</v>
      </c>
      <c r="L244" s="5">
        <v>11</v>
      </c>
      <c r="M244" s="5">
        <v>12</v>
      </c>
      <c r="N244" s="7">
        <v>191.12</v>
      </c>
      <c r="O244" s="7">
        <f t="shared" si="23"/>
        <v>2293.44</v>
      </c>
      <c r="P244" s="4">
        <v>0.05</v>
      </c>
      <c r="Q244" s="7">
        <f t="shared" si="24"/>
        <v>114.67200000000001</v>
      </c>
      <c r="R244" s="7">
        <f t="shared" si="25"/>
        <v>2178.768</v>
      </c>
      <c r="S244" s="7">
        <f t="shared" si="26"/>
        <v>198.06981818181819</v>
      </c>
      <c r="T244" s="6">
        <f t="shared" si="27"/>
        <v>2.5229357798165139E-2</v>
      </c>
      <c r="V244" t="s">
        <v>29</v>
      </c>
    </row>
    <row r="245" spans="1:22">
      <c r="A245" s="3">
        <v>45668</v>
      </c>
      <c r="B245" t="str">
        <f t="shared" si="21"/>
        <v>yyyy-01</v>
      </c>
      <c r="C245">
        <f t="shared" si="22"/>
        <v>2</v>
      </c>
      <c r="D245" t="s">
        <v>24</v>
      </c>
      <c r="E245" t="s">
        <v>25</v>
      </c>
      <c r="F245" t="s">
        <v>26</v>
      </c>
      <c r="G245" t="s">
        <v>31</v>
      </c>
      <c r="H245" t="s">
        <v>32</v>
      </c>
      <c r="I245" s="5">
        <v>1978</v>
      </c>
      <c r="J245" s="5">
        <v>1162</v>
      </c>
      <c r="K245" s="5">
        <v>106</v>
      </c>
      <c r="L245" s="5">
        <v>48</v>
      </c>
      <c r="M245" s="5">
        <v>48</v>
      </c>
      <c r="N245" s="7">
        <v>1015.02</v>
      </c>
      <c r="O245" s="7">
        <f t="shared" si="23"/>
        <v>48720.959999999999</v>
      </c>
      <c r="P245" s="4">
        <v>0.12</v>
      </c>
      <c r="Q245" s="7">
        <f t="shared" si="24"/>
        <v>5846.5151999999998</v>
      </c>
      <c r="R245" s="7">
        <f t="shared" si="25"/>
        <v>42874.444799999997</v>
      </c>
      <c r="S245" s="7">
        <f t="shared" si="26"/>
        <v>893.21759999999995</v>
      </c>
      <c r="T245" s="6">
        <f t="shared" si="27"/>
        <v>2.4266936299292215E-2</v>
      </c>
      <c r="U245" t="s">
        <v>79</v>
      </c>
      <c r="V245" t="s">
        <v>29</v>
      </c>
    </row>
    <row r="246" spans="1:22">
      <c r="A246" s="3">
        <v>45668</v>
      </c>
      <c r="B246" t="str">
        <f t="shared" si="21"/>
        <v>yyyy-01</v>
      </c>
      <c r="C246">
        <f t="shared" si="22"/>
        <v>2</v>
      </c>
      <c r="D246" t="s">
        <v>24</v>
      </c>
      <c r="E246" t="s">
        <v>25</v>
      </c>
      <c r="F246" t="s">
        <v>30</v>
      </c>
      <c r="G246" t="s">
        <v>27</v>
      </c>
      <c r="H246" t="s">
        <v>48</v>
      </c>
      <c r="I246" s="5">
        <v>1246</v>
      </c>
      <c r="J246" s="5">
        <v>653</v>
      </c>
      <c r="K246" s="5">
        <v>103</v>
      </c>
      <c r="L246" s="5">
        <v>32</v>
      </c>
      <c r="M246" s="5">
        <v>32</v>
      </c>
      <c r="N246" s="7">
        <v>400.33</v>
      </c>
      <c r="O246" s="7">
        <f t="shared" si="23"/>
        <v>12810.56</v>
      </c>
      <c r="P246" s="4">
        <v>0.12</v>
      </c>
      <c r="Q246" s="7">
        <f t="shared" si="24"/>
        <v>1537.2671999999998</v>
      </c>
      <c r="R246" s="7">
        <f t="shared" si="25"/>
        <v>11273.292799999999</v>
      </c>
      <c r="S246" s="7">
        <f t="shared" si="26"/>
        <v>352.29039999999998</v>
      </c>
      <c r="T246" s="6">
        <f t="shared" si="27"/>
        <v>2.5682182985553772E-2</v>
      </c>
      <c r="U246" t="s">
        <v>79</v>
      </c>
      <c r="V246" t="s">
        <v>29</v>
      </c>
    </row>
    <row r="247" spans="1:22">
      <c r="A247" s="3">
        <v>45668</v>
      </c>
      <c r="B247" t="str">
        <f t="shared" si="21"/>
        <v>yyyy-01</v>
      </c>
      <c r="C247">
        <f t="shared" si="22"/>
        <v>2</v>
      </c>
      <c r="D247" t="s">
        <v>24</v>
      </c>
      <c r="E247" t="s">
        <v>25</v>
      </c>
      <c r="F247" t="s">
        <v>33</v>
      </c>
      <c r="G247" t="s">
        <v>27</v>
      </c>
      <c r="H247" t="s">
        <v>28</v>
      </c>
      <c r="I247" s="5">
        <v>1183</v>
      </c>
      <c r="J247" s="5">
        <v>773</v>
      </c>
      <c r="K247" s="5">
        <v>94</v>
      </c>
      <c r="L247" s="5">
        <v>37</v>
      </c>
      <c r="M247" s="5">
        <v>37</v>
      </c>
      <c r="N247" s="7">
        <v>1783.64</v>
      </c>
      <c r="O247" s="7">
        <f t="shared" si="23"/>
        <v>65994.680000000008</v>
      </c>
      <c r="P247" s="4">
        <v>0.12</v>
      </c>
      <c r="Q247" s="7">
        <f t="shared" si="24"/>
        <v>7919.3616000000002</v>
      </c>
      <c r="R247" s="7">
        <f t="shared" si="25"/>
        <v>58075.318400000004</v>
      </c>
      <c r="S247" s="7">
        <f t="shared" si="26"/>
        <v>1569.6032</v>
      </c>
      <c r="T247" s="6">
        <f t="shared" si="27"/>
        <v>3.127641589180051E-2</v>
      </c>
      <c r="U247" t="s">
        <v>79</v>
      </c>
      <c r="V247" t="s">
        <v>29</v>
      </c>
    </row>
    <row r="248" spans="1:22">
      <c r="A248" s="3">
        <v>45668</v>
      </c>
      <c r="B248" t="str">
        <f t="shared" si="21"/>
        <v>yyyy-01</v>
      </c>
      <c r="C248">
        <f t="shared" si="22"/>
        <v>2</v>
      </c>
      <c r="D248" t="s">
        <v>24</v>
      </c>
      <c r="E248" t="s">
        <v>34</v>
      </c>
      <c r="F248" t="s">
        <v>35</v>
      </c>
      <c r="G248" t="s">
        <v>31</v>
      </c>
      <c r="H248" t="s">
        <v>32</v>
      </c>
      <c r="I248" s="5">
        <v>1158</v>
      </c>
      <c r="J248" s="5">
        <v>894</v>
      </c>
      <c r="K248" s="5">
        <v>67</v>
      </c>
      <c r="L248" s="5">
        <v>21</v>
      </c>
      <c r="M248" s="5">
        <v>21</v>
      </c>
      <c r="N248" s="7">
        <v>884.94</v>
      </c>
      <c r="O248" s="7">
        <f t="shared" si="23"/>
        <v>18583.740000000002</v>
      </c>
      <c r="P248" s="4">
        <v>0.03</v>
      </c>
      <c r="Q248" s="7">
        <f t="shared" si="24"/>
        <v>557.51220000000001</v>
      </c>
      <c r="R248" s="7">
        <f t="shared" si="25"/>
        <v>18026.227800000001</v>
      </c>
      <c r="S248" s="7">
        <f t="shared" si="26"/>
        <v>858.39179999999999</v>
      </c>
      <c r="T248" s="6">
        <f t="shared" si="27"/>
        <v>1.8134715025906734E-2</v>
      </c>
      <c r="V248" t="s">
        <v>29</v>
      </c>
    </row>
    <row r="249" spans="1:22">
      <c r="A249" s="3">
        <v>45668</v>
      </c>
      <c r="B249" t="str">
        <f t="shared" si="21"/>
        <v>yyyy-01</v>
      </c>
      <c r="C249">
        <f t="shared" si="22"/>
        <v>2</v>
      </c>
      <c r="D249" t="s">
        <v>24</v>
      </c>
      <c r="E249" t="s">
        <v>38</v>
      </c>
      <c r="F249" t="s">
        <v>39</v>
      </c>
      <c r="G249" t="s">
        <v>27</v>
      </c>
      <c r="H249" t="s">
        <v>28</v>
      </c>
      <c r="I249" s="5">
        <v>725</v>
      </c>
      <c r="J249" s="5">
        <v>523</v>
      </c>
      <c r="K249" s="5">
        <v>77</v>
      </c>
      <c r="L249" s="5">
        <v>18</v>
      </c>
      <c r="M249" s="5">
        <v>18</v>
      </c>
      <c r="N249" s="7">
        <v>323.33</v>
      </c>
      <c r="O249" s="7">
        <f t="shared" si="23"/>
        <v>5819.94</v>
      </c>
      <c r="P249" s="4">
        <v>0.05</v>
      </c>
      <c r="Q249" s="7">
        <f t="shared" si="24"/>
        <v>290.99700000000001</v>
      </c>
      <c r="R249" s="7">
        <f t="shared" si="25"/>
        <v>5528.9429999999993</v>
      </c>
      <c r="S249" s="7">
        <f t="shared" si="26"/>
        <v>307.16349999999994</v>
      </c>
      <c r="T249" s="6">
        <f t="shared" si="27"/>
        <v>2.4827586206896551E-2</v>
      </c>
      <c r="V249" t="s">
        <v>29</v>
      </c>
    </row>
    <row r="250" spans="1:22">
      <c r="A250" s="3">
        <v>45668</v>
      </c>
      <c r="B250" t="str">
        <f t="shared" si="21"/>
        <v>yyyy-01</v>
      </c>
      <c r="C250">
        <f t="shared" si="22"/>
        <v>2</v>
      </c>
      <c r="D250" t="s">
        <v>24</v>
      </c>
      <c r="E250" t="s">
        <v>40</v>
      </c>
      <c r="F250" t="s">
        <v>41</v>
      </c>
      <c r="G250" t="s">
        <v>27</v>
      </c>
      <c r="H250" t="s">
        <v>28</v>
      </c>
      <c r="I250" s="5">
        <v>527</v>
      </c>
      <c r="J250" s="5">
        <v>388</v>
      </c>
      <c r="K250" s="5">
        <v>36</v>
      </c>
      <c r="L250" s="5">
        <v>8</v>
      </c>
      <c r="M250" s="5">
        <v>9</v>
      </c>
      <c r="N250" s="7">
        <v>182.34</v>
      </c>
      <c r="O250" s="7">
        <f t="shared" si="23"/>
        <v>1641.06</v>
      </c>
      <c r="P250" s="4">
        <v>0</v>
      </c>
      <c r="Q250" s="7">
        <f t="shared" si="24"/>
        <v>0</v>
      </c>
      <c r="R250" s="7">
        <f t="shared" si="25"/>
        <v>1641.06</v>
      </c>
      <c r="S250" s="7">
        <f t="shared" si="26"/>
        <v>205.13249999999999</v>
      </c>
      <c r="T250" s="6">
        <f t="shared" si="27"/>
        <v>1.5180265654648957E-2</v>
      </c>
      <c r="V250" t="s">
        <v>29</v>
      </c>
    </row>
    <row r="251" spans="1:22">
      <c r="A251" s="3">
        <v>45668</v>
      </c>
      <c r="B251" t="str">
        <f t="shared" si="21"/>
        <v>yyyy-01</v>
      </c>
      <c r="C251">
        <f t="shared" si="22"/>
        <v>2</v>
      </c>
      <c r="D251" t="s">
        <v>42</v>
      </c>
      <c r="E251" t="s">
        <v>43</v>
      </c>
      <c r="F251" t="s">
        <v>44</v>
      </c>
      <c r="G251" t="s">
        <v>27</v>
      </c>
      <c r="H251" t="s">
        <v>63</v>
      </c>
      <c r="I251" s="5">
        <v>371</v>
      </c>
      <c r="J251" s="5">
        <v>272</v>
      </c>
      <c r="K251" s="5">
        <v>31</v>
      </c>
      <c r="L251" s="5">
        <v>6</v>
      </c>
      <c r="M251" s="5">
        <v>6</v>
      </c>
      <c r="N251" s="7">
        <v>1300.3800000000001</v>
      </c>
      <c r="O251" s="7">
        <f t="shared" si="23"/>
        <v>7802.2800000000007</v>
      </c>
      <c r="P251" s="4">
        <v>0.03</v>
      </c>
      <c r="Q251" s="7">
        <f t="shared" si="24"/>
        <v>234.0684</v>
      </c>
      <c r="R251" s="7">
        <f t="shared" si="25"/>
        <v>7568.2116000000005</v>
      </c>
      <c r="S251" s="7">
        <f t="shared" si="26"/>
        <v>1261.3686</v>
      </c>
      <c r="T251" s="6">
        <f t="shared" si="27"/>
        <v>1.6172506738544475E-2</v>
      </c>
      <c r="V251" t="s">
        <v>29</v>
      </c>
    </row>
    <row r="252" spans="1:22">
      <c r="A252" s="3">
        <v>45668</v>
      </c>
      <c r="B252" t="str">
        <f t="shared" si="21"/>
        <v>yyyy-01</v>
      </c>
      <c r="C252">
        <f t="shared" si="22"/>
        <v>2</v>
      </c>
      <c r="D252" t="s">
        <v>42</v>
      </c>
      <c r="E252" t="s">
        <v>43</v>
      </c>
      <c r="F252" t="s">
        <v>46</v>
      </c>
      <c r="G252" t="s">
        <v>36</v>
      </c>
      <c r="H252" t="s">
        <v>37</v>
      </c>
      <c r="I252" s="5">
        <v>722</v>
      </c>
      <c r="J252" s="5">
        <v>382</v>
      </c>
      <c r="K252" s="5">
        <v>45</v>
      </c>
      <c r="L252" s="5">
        <v>13</v>
      </c>
      <c r="M252" s="5">
        <v>13</v>
      </c>
      <c r="N252" s="7">
        <v>2188.4899999999998</v>
      </c>
      <c r="O252" s="7">
        <f t="shared" si="23"/>
        <v>28450.369999999995</v>
      </c>
      <c r="P252" s="4">
        <v>0.03</v>
      </c>
      <c r="Q252" s="7">
        <f t="shared" si="24"/>
        <v>853.51109999999983</v>
      </c>
      <c r="R252" s="7">
        <f t="shared" si="25"/>
        <v>27596.858899999996</v>
      </c>
      <c r="S252" s="7">
        <f t="shared" si="26"/>
        <v>2122.8352999999997</v>
      </c>
      <c r="T252" s="6">
        <f t="shared" si="27"/>
        <v>1.8005540166204988E-2</v>
      </c>
      <c r="V252" t="s">
        <v>29</v>
      </c>
    </row>
    <row r="253" spans="1:22">
      <c r="A253" s="3">
        <v>45668</v>
      </c>
      <c r="B253" t="str">
        <f t="shared" si="21"/>
        <v>yyyy-01</v>
      </c>
      <c r="C253">
        <f t="shared" si="22"/>
        <v>2</v>
      </c>
      <c r="D253" t="s">
        <v>42</v>
      </c>
      <c r="E253" t="s">
        <v>43</v>
      </c>
      <c r="F253" t="s">
        <v>47</v>
      </c>
      <c r="G253" t="s">
        <v>27</v>
      </c>
      <c r="H253" t="s">
        <v>45</v>
      </c>
      <c r="I253" s="5">
        <v>503</v>
      </c>
      <c r="J253" s="5">
        <v>349</v>
      </c>
      <c r="K253" s="5">
        <v>33</v>
      </c>
      <c r="L253" s="5">
        <v>7</v>
      </c>
      <c r="M253" s="5">
        <v>7</v>
      </c>
      <c r="N253" s="7">
        <v>594.47</v>
      </c>
      <c r="O253" s="7">
        <f t="shared" si="23"/>
        <v>4161.29</v>
      </c>
      <c r="P253" s="4">
        <v>0.05</v>
      </c>
      <c r="Q253" s="7">
        <f t="shared" si="24"/>
        <v>208.06450000000001</v>
      </c>
      <c r="R253" s="7">
        <f t="shared" si="25"/>
        <v>3953.2255</v>
      </c>
      <c r="S253" s="7">
        <f t="shared" si="26"/>
        <v>564.74649999999997</v>
      </c>
      <c r="T253" s="6">
        <f t="shared" si="27"/>
        <v>1.3916500994035786E-2</v>
      </c>
      <c r="V253" t="s">
        <v>29</v>
      </c>
    </row>
    <row r="254" spans="1:22">
      <c r="A254" s="3">
        <v>45668</v>
      </c>
      <c r="B254" t="str">
        <f t="shared" si="21"/>
        <v>yyyy-01</v>
      </c>
      <c r="C254">
        <f t="shared" si="22"/>
        <v>2</v>
      </c>
      <c r="D254" t="s">
        <v>42</v>
      </c>
      <c r="E254" t="s">
        <v>49</v>
      </c>
      <c r="F254" t="s">
        <v>50</v>
      </c>
      <c r="G254" t="s">
        <v>36</v>
      </c>
      <c r="H254" t="s">
        <v>37</v>
      </c>
      <c r="I254" s="5">
        <v>164</v>
      </c>
      <c r="J254" s="5">
        <v>135</v>
      </c>
      <c r="K254" s="5">
        <v>16</v>
      </c>
      <c r="L254" s="5">
        <v>3</v>
      </c>
      <c r="M254" s="5">
        <v>3</v>
      </c>
      <c r="N254" s="7">
        <v>962.26</v>
      </c>
      <c r="O254" s="7">
        <f t="shared" si="23"/>
        <v>2886.7799999999997</v>
      </c>
      <c r="P254" s="4">
        <v>0.05</v>
      </c>
      <c r="Q254" s="7">
        <f t="shared" si="24"/>
        <v>144.339</v>
      </c>
      <c r="R254" s="7">
        <f t="shared" si="25"/>
        <v>2742.4409999999998</v>
      </c>
      <c r="S254" s="7">
        <f t="shared" si="26"/>
        <v>914.14699999999993</v>
      </c>
      <c r="T254" s="6">
        <f t="shared" si="27"/>
        <v>1.8292682926829267E-2</v>
      </c>
      <c r="V254" t="s">
        <v>29</v>
      </c>
    </row>
    <row r="255" spans="1:22">
      <c r="A255" s="3">
        <v>45668</v>
      </c>
      <c r="B255" t="str">
        <f t="shared" si="21"/>
        <v>yyyy-01</v>
      </c>
      <c r="C255">
        <f t="shared" si="22"/>
        <v>2</v>
      </c>
      <c r="D255" t="s">
        <v>42</v>
      </c>
      <c r="E255" t="s">
        <v>51</v>
      </c>
      <c r="F255" t="s">
        <v>52</v>
      </c>
      <c r="G255" t="s">
        <v>36</v>
      </c>
      <c r="H255" t="s">
        <v>37</v>
      </c>
      <c r="I255" s="5">
        <v>311</v>
      </c>
      <c r="J255" s="5">
        <v>199</v>
      </c>
      <c r="K255" s="5">
        <v>12</v>
      </c>
      <c r="L255" s="5">
        <v>5</v>
      </c>
      <c r="M255" s="5">
        <v>5</v>
      </c>
      <c r="N255" s="7">
        <v>610.71</v>
      </c>
      <c r="O255" s="7">
        <f t="shared" si="23"/>
        <v>3053.55</v>
      </c>
      <c r="P255" s="4">
        <v>0</v>
      </c>
      <c r="Q255" s="7">
        <f t="shared" si="24"/>
        <v>0</v>
      </c>
      <c r="R255" s="7">
        <f t="shared" si="25"/>
        <v>3053.55</v>
      </c>
      <c r="S255" s="7">
        <f t="shared" si="26"/>
        <v>610.71</v>
      </c>
      <c r="T255" s="6">
        <f t="shared" si="27"/>
        <v>1.607717041800643E-2</v>
      </c>
      <c r="V255" t="s">
        <v>29</v>
      </c>
    </row>
    <row r="256" spans="1:22">
      <c r="A256" s="3">
        <v>45668</v>
      </c>
      <c r="B256" t="str">
        <f t="shared" si="21"/>
        <v>yyyy-01</v>
      </c>
      <c r="C256">
        <f t="shared" si="22"/>
        <v>2</v>
      </c>
      <c r="D256" t="s">
        <v>53</v>
      </c>
      <c r="E256" t="s">
        <v>54</v>
      </c>
      <c r="F256" t="s">
        <v>55</v>
      </c>
      <c r="G256" t="s">
        <v>27</v>
      </c>
      <c r="H256" t="s">
        <v>28</v>
      </c>
      <c r="I256" s="5">
        <v>115</v>
      </c>
      <c r="J256" s="5">
        <v>73</v>
      </c>
      <c r="K256" s="5">
        <v>5</v>
      </c>
      <c r="L256" s="5">
        <v>1</v>
      </c>
      <c r="M256" s="5">
        <v>1</v>
      </c>
      <c r="N256" s="7">
        <v>1307.22</v>
      </c>
      <c r="O256" s="7">
        <f t="shared" si="23"/>
        <v>1307.22</v>
      </c>
      <c r="P256" s="4">
        <v>0</v>
      </c>
      <c r="Q256" s="7">
        <f t="shared" si="24"/>
        <v>0</v>
      </c>
      <c r="R256" s="7">
        <f t="shared" si="25"/>
        <v>1307.22</v>
      </c>
      <c r="S256" s="7">
        <f t="shared" si="26"/>
        <v>1307.22</v>
      </c>
      <c r="T256" s="6">
        <f t="shared" si="27"/>
        <v>8.6956521739130436E-3</v>
      </c>
      <c r="V256" t="s">
        <v>29</v>
      </c>
    </row>
    <row r="257" spans="1:22">
      <c r="A257" s="3">
        <v>45668</v>
      </c>
      <c r="B257" t="str">
        <f t="shared" si="21"/>
        <v>yyyy-01</v>
      </c>
      <c r="C257">
        <f t="shared" si="22"/>
        <v>2</v>
      </c>
      <c r="D257" t="s">
        <v>53</v>
      </c>
      <c r="E257" t="s">
        <v>56</v>
      </c>
      <c r="F257" t="s">
        <v>57</v>
      </c>
      <c r="G257" t="s">
        <v>36</v>
      </c>
      <c r="H257" t="s">
        <v>37</v>
      </c>
      <c r="I257" s="5">
        <v>248</v>
      </c>
      <c r="J257" s="5">
        <v>183</v>
      </c>
      <c r="K257" s="5">
        <v>13</v>
      </c>
      <c r="L257" s="5">
        <v>3</v>
      </c>
      <c r="M257" s="5">
        <v>3</v>
      </c>
      <c r="N257" s="7">
        <v>723.83</v>
      </c>
      <c r="O257" s="7">
        <f t="shared" si="23"/>
        <v>2171.4900000000002</v>
      </c>
      <c r="P257" s="4">
        <v>0</v>
      </c>
      <c r="Q257" s="7">
        <f t="shared" si="24"/>
        <v>0</v>
      </c>
      <c r="R257" s="7">
        <f t="shared" si="25"/>
        <v>2171.4900000000002</v>
      </c>
      <c r="S257" s="7">
        <f t="shared" si="26"/>
        <v>723.83</v>
      </c>
      <c r="T257" s="6">
        <f t="shared" si="27"/>
        <v>1.2096774193548387E-2</v>
      </c>
      <c r="V257" t="s">
        <v>29</v>
      </c>
    </row>
    <row r="258" spans="1:22">
      <c r="A258" s="3">
        <v>45668</v>
      </c>
      <c r="B258" t="str">
        <f t="shared" si="21"/>
        <v>yyyy-01</v>
      </c>
      <c r="C258">
        <f t="shared" si="22"/>
        <v>2</v>
      </c>
      <c r="D258" t="s">
        <v>53</v>
      </c>
      <c r="E258" t="s">
        <v>56</v>
      </c>
      <c r="F258" t="s">
        <v>58</v>
      </c>
      <c r="G258" t="s">
        <v>31</v>
      </c>
      <c r="H258" t="s">
        <v>32</v>
      </c>
      <c r="I258" s="5">
        <v>261</v>
      </c>
      <c r="J258" s="5">
        <v>197</v>
      </c>
      <c r="K258" s="5">
        <v>15</v>
      </c>
      <c r="L258" s="5">
        <v>2</v>
      </c>
      <c r="M258" s="5">
        <v>2</v>
      </c>
      <c r="N258" s="7">
        <v>893.08</v>
      </c>
      <c r="O258" s="7">
        <f t="shared" si="23"/>
        <v>1786.16</v>
      </c>
      <c r="P258" s="4">
        <v>0</v>
      </c>
      <c r="Q258" s="7">
        <f t="shared" si="24"/>
        <v>0</v>
      </c>
      <c r="R258" s="7">
        <f t="shared" si="25"/>
        <v>1786.16</v>
      </c>
      <c r="S258" s="7">
        <f t="shared" si="26"/>
        <v>893.08</v>
      </c>
      <c r="T258" s="6">
        <f t="shared" si="27"/>
        <v>7.6628352490421452E-3</v>
      </c>
      <c r="V258" t="s">
        <v>29</v>
      </c>
    </row>
    <row r="259" spans="1:22">
      <c r="A259" s="3">
        <v>45668</v>
      </c>
      <c r="B259" t="str">
        <f t="shared" si="21"/>
        <v>yyyy-01</v>
      </c>
      <c r="C259">
        <f t="shared" si="22"/>
        <v>2</v>
      </c>
      <c r="D259" t="s">
        <v>53</v>
      </c>
      <c r="E259" t="s">
        <v>59</v>
      </c>
      <c r="F259" t="s">
        <v>60</v>
      </c>
      <c r="G259" t="s">
        <v>27</v>
      </c>
      <c r="H259" t="s">
        <v>28</v>
      </c>
      <c r="I259" s="5">
        <v>148</v>
      </c>
      <c r="J259" s="5">
        <v>104</v>
      </c>
      <c r="K259" s="5">
        <v>7</v>
      </c>
      <c r="L259" s="5">
        <v>1</v>
      </c>
      <c r="M259" s="5">
        <v>1</v>
      </c>
      <c r="N259" s="7">
        <v>687.3</v>
      </c>
      <c r="O259" s="7">
        <f t="shared" si="23"/>
        <v>687.3</v>
      </c>
      <c r="P259" s="4">
        <v>0</v>
      </c>
      <c r="Q259" s="7">
        <f t="shared" si="24"/>
        <v>0</v>
      </c>
      <c r="R259" s="7">
        <f t="shared" si="25"/>
        <v>687.3</v>
      </c>
      <c r="S259" s="7">
        <f t="shared" si="26"/>
        <v>687.3</v>
      </c>
      <c r="T259" s="6">
        <f t="shared" si="27"/>
        <v>6.7567567567567571E-3</v>
      </c>
      <c r="V259" t="s">
        <v>78</v>
      </c>
    </row>
    <row r="260" spans="1:22">
      <c r="A260" s="3">
        <v>45668</v>
      </c>
      <c r="B260" t="str">
        <f t="shared" si="21"/>
        <v>yyyy-01</v>
      </c>
      <c r="C260">
        <f t="shared" si="22"/>
        <v>2</v>
      </c>
      <c r="D260" t="s">
        <v>53</v>
      </c>
      <c r="E260" t="s">
        <v>61</v>
      </c>
      <c r="F260" t="s">
        <v>62</v>
      </c>
      <c r="G260" t="s">
        <v>31</v>
      </c>
      <c r="H260" t="s">
        <v>32</v>
      </c>
      <c r="I260" s="5">
        <v>211</v>
      </c>
      <c r="J260" s="5">
        <v>173</v>
      </c>
      <c r="K260" s="5">
        <v>12</v>
      </c>
      <c r="L260" s="5">
        <v>2</v>
      </c>
      <c r="M260" s="5">
        <v>2</v>
      </c>
      <c r="N260" s="7">
        <v>483.2</v>
      </c>
      <c r="O260" s="7">
        <f t="shared" si="23"/>
        <v>966.4</v>
      </c>
      <c r="P260" s="4">
        <v>0.03</v>
      </c>
      <c r="Q260" s="7">
        <f t="shared" si="24"/>
        <v>28.991999999999997</v>
      </c>
      <c r="R260" s="7">
        <f t="shared" si="25"/>
        <v>937.40800000000002</v>
      </c>
      <c r="S260" s="7">
        <f t="shared" si="26"/>
        <v>468.70400000000001</v>
      </c>
      <c r="T260" s="6">
        <f t="shared" si="27"/>
        <v>9.4786729857819912E-3</v>
      </c>
      <c r="V260" t="s">
        <v>29</v>
      </c>
    </row>
    <row r="261" spans="1:22">
      <c r="A261" s="3">
        <v>45668</v>
      </c>
      <c r="B261" t="str">
        <f t="shared" ref="B261:B324" si="28">TEXT(A261,"yyyy-mm")</f>
        <v>yyyy-01</v>
      </c>
      <c r="C261">
        <f t="shared" ref="C261:C324" si="29">WEEKNUM(A261,2)</f>
        <v>2</v>
      </c>
      <c r="D261" t="s">
        <v>53</v>
      </c>
      <c r="E261" t="s">
        <v>64</v>
      </c>
      <c r="F261" t="s">
        <v>65</v>
      </c>
      <c r="G261" t="s">
        <v>36</v>
      </c>
      <c r="H261" t="s">
        <v>37</v>
      </c>
      <c r="I261" s="5">
        <v>244</v>
      </c>
      <c r="J261" s="5">
        <v>149</v>
      </c>
      <c r="K261" s="5">
        <v>17</v>
      </c>
      <c r="L261" s="5">
        <v>3</v>
      </c>
      <c r="M261" s="5">
        <v>3</v>
      </c>
      <c r="N261" s="7">
        <v>801.6</v>
      </c>
      <c r="O261" s="7">
        <f t="shared" ref="O261:O324" si="30">M261*N261</f>
        <v>2404.8000000000002</v>
      </c>
      <c r="P261" s="4">
        <v>0</v>
      </c>
      <c r="Q261" s="7">
        <f t="shared" ref="Q261:Q324" si="31">O261*P261</f>
        <v>0</v>
      </c>
      <c r="R261" s="7">
        <f t="shared" ref="R261:R324" si="32">O261-Q261</f>
        <v>2404.8000000000002</v>
      </c>
      <c r="S261" s="7">
        <f t="shared" ref="S261:S324" si="33">IFERROR(R261/L261,0)</f>
        <v>801.6</v>
      </c>
      <c r="T261" s="6">
        <f t="shared" ref="T261:T324" si="34">IFERROR(L261/I261,0)</f>
        <v>1.2295081967213115E-2</v>
      </c>
      <c r="V261" t="s">
        <v>29</v>
      </c>
    </row>
    <row r="262" spans="1:22">
      <c r="A262" s="3">
        <v>45668</v>
      </c>
      <c r="B262" t="str">
        <f t="shared" si="28"/>
        <v>yyyy-01</v>
      </c>
      <c r="C262">
        <f t="shared" si="29"/>
        <v>2</v>
      </c>
      <c r="D262" t="s">
        <v>66</v>
      </c>
      <c r="E262" t="s">
        <v>67</v>
      </c>
      <c r="F262" t="s">
        <v>68</v>
      </c>
      <c r="G262" t="s">
        <v>27</v>
      </c>
      <c r="H262" t="s">
        <v>28</v>
      </c>
      <c r="I262" s="5">
        <v>408</v>
      </c>
      <c r="J262" s="5">
        <v>225</v>
      </c>
      <c r="K262" s="5">
        <v>34</v>
      </c>
      <c r="L262" s="5">
        <v>7</v>
      </c>
      <c r="M262" s="5">
        <v>7</v>
      </c>
      <c r="N262" s="7">
        <v>697.05</v>
      </c>
      <c r="O262" s="7">
        <f t="shared" si="30"/>
        <v>4879.3499999999995</v>
      </c>
      <c r="P262" s="4">
        <v>0.03</v>
      </c>
      <c r="Q262" s="7">
        <f t="shared" si="31"/>
        <v>146.38049999999998</v>
      </c>
      <c r="R262" s="7">
        <f t="shared" si="32"/>
        <v>4732.9694999999992</v>
      </c>
      <c r="S262" s="7">
        <f t="shared" si="33"/>
        <v>676.13849999999991</v>
      </c>
      <c r="T262" s="6">
        <f t="shared" si="34"/>
        <v>1.7156862745098041E-2</v>
      </c>
      <c r="V262" t="s">
        <v>29</v>
      </c>
    </row>
    <row r="263" spans="1:22">
      <c r="A263" s="3">
        <v>45668</v>
      </c>
      <c r="B263" t="str">
        <f t="shared" si="28"/>
        <v>yyyy-01</v>
      </c>
      <c r="C263">
        <f t="shared" si="29"/>
        <v>2</v>
      </c>
      <c r="D263" t="s">
        <v>66</v>
      </c>
      <c r="E263" t="s">
        <v>67</v>
      </c>
      <c r="F263" t="s">
        <v>69</v>
      </c>
      <c r="G263" t="s">
        <v>27</v>
      </c>
      <c r="H263" t="s">
        <v>45</v>
      </c>
      <c r="I263" s="5">
        <v>249</v>
      </c>
      <c r="J263" s="5">
        <v>179</v>
      </c>
      <c r="K263" s="5">
        <v>16</v>
      </c>
      <c r="L263" s="5">
        <v>5</v>
      </c>
      <c r="M263" s="5">
        <v>5</v>
      </c>
      <c r="N263" s="7">
        <v>399.69</v>
      </c>
      <c r="O263" s="7">
        <f t="shared" si="30"/>
        <v>1998.45</v>
      </c>
      <c r="P263" s="4">
        <v>0</v>
      </c>
      <c r="Q263" s="7">
        <f t="shared" si="31"/>
        <v>0</v>
      </c>
      <c r="R263" s="7">
        <f t="shared" si="32"/>
        <v>1998.45</v>
      </c>
      <c r="S263" s="7">
        <f t="shared" si="33"/>
        <v>399.69</v>
      </c>
      <c r="T263" s="6">
        <f t="shared" si="34"/>
        <v>2.0080321285140562E-2</v>
      </c>
      <c r="V263" t="s">
        <v>29</v>
      </c>
    </row>
    <row r="264" spans="1:22">
      <c r="A264" s="3">
        <v>45668</v>
      </c>
      <c r="B264" t="str">
        <f t="shared" si="28"/>
        <v>yyyy-01</v>
      </c>
      <c r="C264">
        <f t="shared" si="29"/>
        <v>2</v>
      </c>
      <c r="D264" t="s">
        <v>66</v>
      </c>
      <c r="E264" t="s">
        <v>67</v>
      </c>
      <c r="F264" t="s">
        <v>70</v>
      </c>
      <c r="G264" t="s">
        <v>36</v>
      </c>
      <c r="H264" t="s">
        <v>37</v>
      </c>
      <c r="I264" s="5">
        <v>453</v>
      </c>
      <c r="J264" s="5">
        <v>371</v>
      </c>
      <c r="K264" s="5">
        <v>29</v>
      </c>
      <c r="L264" s="5">
        <v>7</v>
      </c>
      <c r="M264" s="5">
        <v>7</v>
      </c>
      <c r="N264" s="7">
        <v>347.1</v>
      </c>
      <c r="O264" s="7">
        <f t="shared" si="30"/>
        <v>2429.7000000000003</v>
      </c>
      <c r="P264" s="4">
        <v>0</v>
      </c>
      <c r="Q264" s="7">
        <f t="shared" si="31"/>
        <v>0</v>
      </c>
      <c r="R264" s="7">
        <f t="shared" si="32"/>
        <v>2429.7000000000003</v>
      </c>
      <c r="S264" s="7">
        <f t="shared" si="33"/>
        <v>347.1</v>
      </c>
      <c r="T264" s="6">
        <f t="shared" si="34"/>
        <v>1.5452538631346579E-2</v>
      </c>
      <c r="V264" t="s">
        <v>29</v>
      </c>
    </row>
    <row r="265" spans="1:22">
      <c r="A265" s="3">
        <v>45668</v>
      </c>
      <c r="B265" t="str">
        <f t="shared" si="28"/>
        <v>yyyy-01</v>
      </c>
      <c r="C265">
        <f t="shared" si="29"/>
        <v>2</v>
      </c>
      <c r="D265" t="s">
        <v>66</v>
      </c>
      <c r="E265" t="s">
        <v>71</v>
      </c>
      <c r="F265" t="s">
        <v>72</v>
      </c>
      <c r="G265" t="s">
        <v>31</v>
      </c>
      <c r="H265" t="s">
        <v>32</v>
      </c>
      <c r="I265" s="5">
        <v>406</v>
      </c>
      <c r="J265" s="5">
        <v>328</v>
      </c>
      <c r="K265" s="5">
        <v>30</v>
      </c>
      <c r="L265" s="5">
        <v>6</v>
      </c>
      <c r="M265" s="5">
        <v>8</v>
      </c>
      <c r="N265" s="7">
        <v>124.05</v>
      </c>
      <c r="O265" s="7">
        <f t="shared" si="30"/>
        <v>992.4</v>
      </c>
      <c r="P265" s="4">
        <v>0</v>
      </c>
      <c r="Q265" s="7">
        <f t="shared" si="31"/>
        <v>0</v>
      </c>
      <c r="R265" s="7">
        <f t="shared" si="32"/>
        <v>992.4</v>
      </c>
      <c r="S265" s="7">
        <f t="shared" si="33"/>
        <v>165.4</v>
      </c>
      <c r="T265" s="6">
        <f t="shared" si="34"/>
        <v>1.4778325123152709E-2</v>
      </c>
      <c r="V265" t="s">
        <v>29</v>
      </c>
    </row>
    <row r="266" spans="1:22">
      <c r="A266" s="3">
        <v>45668</v>
      </c>
      <c r="B266" t="str">
        <f t="shared" si="28"/>
        <v>yyyy-01</v>
      </c>
      <c r="C266">
        <f t="shared" si="29"/>
        <v>2</v>
      </c>
      <c r="D266" t="s">
        <v>66</v>
      </c>
      <c r="E266" t="s">
        <v>73</v>
      </c>
      <c r="F266" t="s">
        <v>74</v>
      </c>
      <c r="G266" t="s">
        <v>27</v>
      </c>
      <c r="H266" t="s">
        <v>45</v>
      </c>
      <c r="I266" s="5">
        <v>166</v>
      </c>
      <c r="J266" s="5">
        <v>127</v>
      </c>
      <c r="K266" s="5">
        <v>14</v>
      </c>
      <c r="L266" s="5">
        <v>4</v>
      </c>
      <c r="M266" s="5">
        <v>4</v>
      </c>
      <c r="N266" s="7">
        <v>1208.24</v>
      </c>
      <c r="O266" s="7">
        <f t="shared" si="30"/>
        <v>4832.96</v>
      </c>
      <c r="P266" s="4">
        <v>0.05</v>
      </c>
      <c r="Q266" s="7">
        <f t="shared" si="31"/>
        <v>241.64800000000002</v>
      </c>
      <c r="R266" s="7">
        <f t="shared" si="32"/>
        <v>4591.3119999999999</v>
      </c>
      <c r="S266" s="7">
        <f t="shared" si="33"/>
        <v>1147.828</v>
      </c>
      <c r="T266" s="6">
        <f t="shared" si="34"/>
        <v>2.4096385542168676E-2</v>
      </c>
      <c r="V266" t="s">
        <v>29</v>
      </c>
    </row>
    <row r="267" spans="1:22">
      <c r="A267" s="3">
        <v>45668</v>
      </c>
      <c r="B267" t="str">
        <f t="shared" si="28"/>
        <v>yyyy-01</v>
      </c>
      <c r="C267">
        <f t="shared" si="29"/>
        <v>2</v>
      </c>
      <c r="D267" t="s">
        <v>66</v>
      </c>
      <c r="E267" t="s">
        <v>71</v>
      </c>
      <c r="F267" t="s">
        <v>75</v>
      </c>
      <c r="G267" t="s">
        <v>27</v>
      </c>
      <c r="H267" t="s">
        <v>45</v>
      </c>
      <c r="I267" s="5">
        <v>302</v>
      </c>
      <c r="J267" s="5">
        <v>224</v>
      </c>
      <c r="K267" s="5">
        <v>27</v>
      </c>
      <c r="L267" s="5">
        <v>6</v>
      </c>
      <c r="M267" s="5">
        <v>7</v>
      </c>
      <c r="N267" s="7">
        <v>38.380000000000003</v>
      </c>
      <c r="O267" s="7">
        <f t="shared" si="30"/>
        <v>268.66000000000003</v>
      </c>
      <c r="P267" s="4">
        <v>0</v>
      </c>
      <c r="Q267" s="7">
        <f t="shared" si="31"/>
        <v>0</v>
      </c>
      <c r="R267" s="7">
        <f t="shared" si="32"/>
        <v>268.66000000000003</v>
      </c>
      <c r="S267" s="7">
        <f t="shared" si="33"/>
        <v>44.776666666666671</v>
      </c>
      <c r="T267" s="6">
        <f t="shared" si="34"/>
        <v>1.9867549668874173E-2</v>
      </c>
      <c r="V267" t="s">
        <v>29</v>
      </c>
    </row>
    <row r="268" spans="1:22">
      <c r="A268" s="3">
        <v>45668</v>
      </c>
      <c r="B268" t="str">
        <f t="shared" si="28"/>
        <v>yyyy-01</v>
      </c>
      <c r="C268">
        <f t="shared" si="29"/>
        <v>2</v>
      </c>
      <c r="D268" t="s">
        <v>24</v>
      </c>
      <c r="E268" t="s">
        <v>76</v>
      </c>
      <c r="F268" t="s">
        <v>77</v>
      </c>
      <c r="G268" t="s">
        <v>27</v>
      </c>
      <c r="H268" t="s">
        <v>28</v>
      </c>
      <c r="I268" s="5">
        <v>689</v>
      </c>
      <c r="J268" s="5">
        <v>366</v>
      </c>
      <c r="K268" s="5">
        <v>74</v>
      </c>
      <c r="L268" s="5">
        <v>18</v>
      </c>
      <c r="M268" s="5">
        <v>22</v>
      </c>
      <c r="N268" s="7">
        <v>201.96</v>
      </c>
      <c r="O268" s="7">
        <f t="shared" si="30"/>
        <v>4443.12</v>
      </c>
      <c r="P268" s="4">
        <v>0.05</v>
      </c>
      <c r="Q268" s="7">
        <f t="shared" si="31"/>
        <v>222.15600000000001</v>
      </c>
      <c r="R268" s="7">
        <f t="shared" si="32"/>
        <v>4220.9639999999999</v>
      </c>
      <c r="S268" s="7">
        <f t="shared" si="33"/>
        <v>234.49799999999999</v>
      </c>
      <c r="T268" s="6">
        <f t="shared" si="34"/>
        <v>2.6124818577648767E-2</v>
      </c>
      <c r="V268" t="s">
        <v>29</v>
      </c>
    </row>
    <row r="269" spans="1:22">
      <c r="A269" s="3">
        <v>45669</v>
      </c>
      <c r="B269" t="str">
        <f t="shared" si="28"/>
        <v>yyyy-01</v>
      </c>
      <c r="C269">
        <f t="shared" si="29"/>
        <v>2</v>
      </c>
      <c r="D269" t="s">
        <v>24</v>
      </c>
      <c r="E269" t="s">
        <v>25</v>
      </c>
      <c r="F269" t="s">
        <v>26</v>
      </c>
      <c r="G269" t="s">
        <v>31</v>
      </c>
      <c r="H269" t="s">
        <v>32</v>
      </c>
      <c r="I269" s="5">
        <v>1750</v>
      </c>
      <c r="J269" s="5">
        <v>1242</v>
      </c>
      <c r="K269" s="5">
        <v>177</v>
      </c>
      <c r="L269" s="5">
        <v>45</v>
      </c>
      <c r="M269" s="5">
        <v>45</v>
      </c>
      <c r="N269" s="7">
        <v>1016.99</v>
      </c>
      <c r="O269" s="7">
        <f t="shared" si="30"/>
        <v>45764.55</v>
      </c>
      <c r="P269" s="4">
        <v>0.12</v>
      </c>
      <c r="Q269" s="7">
        <f t="shared" si="31"/>
        <v>5491.7460000000001</v>
      </c>
      <c r="R269" s="7">
        <f t="shared" si="32"/>
        <v>40272.804000000004</v>
      </c>
      <c r="S269" s="7">
        <f t="shared" si="33"/>
        <v>894.95120000000009</v>
      </c>
      <c r="T269" s="6">
        <f t="shared" si="34"/>
        <v>2.5714285714285714E-2</v>
      </c>
      <c r="U269" t="s">
        <v>79</v>
      </c>
      <c r="V269" t="s">
        <v>29</v>
      </c>
    </row>
    <row r="270" spans="1:22">
      <c r="A270" s="3">
        <v>45669</v>
      </c>
      <c r="B270" t="str">
        <f t="shared" si="28"/>
        <v>yyyy-01</v>
      </c>
      <c r="C270">
        <f t="shared" si="29"/>
        <v>2</v>
      </c>
      <c r="D270" t="s">
        <v>24</v>
      </c>
      <c r="E270" t="s">
        <v>25</v>
      </c>
      <c r="F270" t="s">
        <v>30</v>
      </c>
      <c r="G270" t="s">
        <v>36</v>
      </c>
      <c r="H270" t="s">
        <v>37</v>
      </c>
      <c r="I270" s="5">
        <v>1557</v>
      </c>
      <c r="J270" s="5">
        <v>860</v>
      </c>
      <c r="K270" s="5">
        <v>86</v>
      </c>
      <c r="L270" s="5">
        <v>31</v>
      </c>
      <c r="M270" s="5">
        <v>31</v>
      </c>
      <c r="N270" s="7">
        <v>396.4</v>
      </c>
      <c r="O270" s="7">
        <f t="shared" si="30"/>
        <v>12288.4</v>
      </c>
      <c r="P270" s="4">
        <v>0.12</v>
      </c>
      <c r="Q270" s="7">
        <f t="shared" si="31"/>
        <v>1474.6079999999999</v>
      </c>
      <c r="R270" s="7">
        <f t="shared" si="32"/>
        <v>10813.791999999999</v>
      </c>
      <c r="S270" s="7">
        <f t="shared" si="33"/>
        <v>348.83199999999999</v>
      </c>
      <c r="T270" s="6">
        <f t="shared" si="34"/>
        <v>1.9910083493898521E-2</v>
      </c>
      <c r="U270" t="s">
        <v>79</v>
      </c>
      <c r="V270" t="s">
        <v>29</v>
      </c>
    </row>
    <row r="271" spans="1:22">
      <c r="A271" s="3">
        <v>45669</v>
      </c>
      <c r="B271" t="str">
        <f t="shared" si="28"/>
        <v>yyyy-01</v>
      </c>
      <c r="C271">
        <f t="shared" si="29"/>
        <v>2</v>
      </c>
      <c r="D271" t="s">
        <v>24</v>
      </c>
      <c r="E271" t="s">
        <v>25</v>
      </c>
      <c r="F271" t="s">
        <v>33</v>
      </c>
      <c r="G271" t="s">
        <v>27</v>
      </c>
      <c r="H271" t="s">
        <v>45</v>
      </c>
      <c r="I271" s="5">
        <v>1230</v>
      </c>
      <c r="J271" s="5">
        <v>898</v>
      </c>
      <c r="K271" s="5">
        <v>108</v>
      </c>
      <c r="L271" s="5">
        <v>34</v>
      </c>
      <c r="M271" s="5">
        <v>34</v>
      </c>
      <c r="N271" s="7">
        <v>1779.15</v>
      </c>
      <c r="O271" s="7">
        <f t="shared" si="30"/>
        <v>60491.100000000006</v>
      </c>
      <c r="P271" s="4">
        <v>0.12</v>
      </c>
      <c r="Q271" s="7">
        <f t="shared" si="31"/>
        <v>7258.9320000000007</v>
      </c>
      <c r="R271" s="7">
        <f t="shared" si="32"/>
        <v>53232.168000000005</v>
      </c>
      <c r="S271" s="7">
        <f t="shared" si="33"/>
        <v>1565.652</v>
      </c>
      <c r="T271" s="6">
        <f t="shared" si="34"/>
        <v>2.7642276422764227E-2</v>
      </c>
      <c r="U271" t="s">
        <v>79</v>
      </c>
      <c r="V271" t="s">
        <v>29</v>
      </c>
    </row>
    <row r="272" spans="1:22">
      <c r="A272" s="3">
        <v>45669</v>
      </c>
      <c r="B272" t="str">
        <f t="shared" si="28"/>
        <v>yyyy-01</v>
      </c>
      <c r="C272">
        <f t="shared" si="29"/>
        <v>2</v>
      </c>
      <c r="D272" t="s">
        <v>24</v>
      </c>
      <c r="E272" t="s">
        <v>34</v>
      </c>
      <c r="F272" t="s">
        <v>35</v>
      </c>
      <c r="G272" t="s">
        <v>36</v>
      </c>
      <c r="H272" t="s">
        <v>37</v>
      </c>
      <c r="I272" s="5">
        <v>1196</v>
      </c>
      <c r="J272" s="5">
        <v>970</v>
      </c>
      <c r="K272" s="5">
        <v>74</v>
      </c>
      <c r="L272" s="5">
        <v>20</v>
      </c>
      <c r="M272" s="5">
        <v>20</v>
      </c>
      <c r="N272" s="7">
        <v>874.2</v>
      </c>
      <c r="O272" s="7">
        <f t="shared" si="30"/>
        <v>17484</v>
      </c>
      <c r="P272" s="4">
        <v>0</v>
      </c>
      <c r="Q272" s="7">
        <f t="shared" si="31"/>
        <v>0</v>
      </c>
      <c r="R272" s="7">
        <f t="shared" si="32"/>
        <v>17484</v>
      </c>
      <c r="S272" s="7">
        <f t="shared" si="33"/>
        <v>874.2</v>
      </c>
      <c r="T272" s="6">
        <f t="shared" si="34"/>
        <v>1.6722408026755852E-2</v>
      </c>
      <c r="V272" t="s">
        <v>29</v>
      </c>
    </row>
    <row r="273" spans="1:22">
      <c r="A273" s="3">
        <v>45669</v>
      </c>
      <c r="B273" t="str">
        <f t="shared" si="28"/>
        <v>yyyy-01</v>
      </c>
      <c r="C273">
        <f t="shared" si="29"/>
        <v>2</v>
      </c>
      <c r="D273" t="s">
        <v>24</v>
      </c>
      <c r="E273" t="s">
        <v>38</v>
      </c>
      <c r="F273" t="s">
        <v>39</v>
      </c>
      <c r="G273" t="s">
        <v>27</v>
      </c>
      <c r="H273" t="s">
        <v>28</v>
      </c>
      <c r="I273" s="5">
        <v>798</v>
      </c>
      <c r="J273" s="5">
        <v>431</v>
      </c>
      <c r="K273" s="5">
        <v>50</v>
      </c>
      <c r="L273" s="5">
        <v>12</v>
      </c>
      <c r="M273" s="5">
        <v>12</v>
      </c>
      <c r="N273" s="7">
        <v>322.61</v>
      </c>
      <c r="O273" s="7">
        <f t="shared" si="30"/>
        <v>3871.32</v>
      </c>
      <c r="P273" s="4">
        <v>0</v>
      </c>
      <c r="Q273" s="7">
        <f t="shared" si="31"/>
        <v>0</v>
      </c>
      <c r="R273" s="7">
        <f t="shared" si="32"/>
        <v>3871.32</v>
      </c>
      <c r="S273" s="7">
        <f t="shared" si="33"/>
        <v>322.61</v>
      </c>
      <c r="T273" s="6">
        <f t="shared" si="34"/>
        <v>1.5037593984962405E-2</v>
      </c>
      <c r="V273" t="s">
        <v>29</v>
      </c>
    </row>
    <row r="274" spans="1:22">
      <c r="A274" s="3">
        <v>45669</v>
      </c>
      <c r="B274" t="str">
        <f t="shared" si="28"/>
        <v>yyyy-01</v>
      </c>
      <c r="C274">
        <f t="shared" si="29"/>
        <v>2</v>
      </c>
      <c r="D274" t="s">
        <v>24</v>
      </c>
      <c r="E274" t="s">
        <v>40</v>
      </c>
      <c r="F274" t="s">
        <v>41</v>
      </c>
      <c r="G274" t="s">
        <v>31</v>
      </c>
      <c r="H274" t="s">
        <v>32</v>
      </c>
      <c r="I274" s="5">
        <v>717</v>
      </c>
      <c r="J274" s="5">
        <v>537</v>
      </c>
      <c r="K274" s="5">
        <v>55</v>
      </c>
      <c r="L274" s="5">
        <v>15</v>
      </c>
      <c r="M274" s="5">
        <v>18</v>
      </c>
      <c r="N274" s="7">
        <v>176.8</v>
      </c>
      <c r="O274" s="7">
        <f t="shared" si="30"/>
        <v>3182.4</v>
      </c>
      <c r="P274" s="4">
        <v>0</v>
      </c>
      <c r="Q274" s="7">
        <f t="shared" si="31"/>
        <v>0</v>
      </c>
      <c r="R274" s="7">
        <f t="shared" si="32"/>
        <v>3182.4</v>
      </c>
      <c r="S274" s="7">
        <f t="shared" si="33"/>
        <v>212.16</v>
      </c>
      <c r="T274" s="6">
        <f t="shared" si="34"/>
        <v>2.0920502092050208E-2</v>
      </c>
      <c r="V274" t="s">
        <v>29</v>
      </c>
    </row>
    <row r="275" spans="1:22">
      <c r="A275" s="3">
        <v>45669</v>
      </c>
      <c r="B275" t="str">
        <f t="shared" si="28"/>
        <v>yyyy-01</v>
      </c>
      <c r="C275">
        <f t="shared" si="29"/>
        <v>2</v>
      </c>
      <c r="D275" t="s">
        <v>42</v>
      </c>
      <c r="E275" t="s">
        <v>43</v>
      </c>
      <c r="F275" t="s">
        <v>44</v>
      </c>
      <c r="G275" t="s">
        <v>27</v>
      </c>
      <c r="H275" t="s">
        <v>45</v>
      </c>
      <c r="I275" s="5">
        <v>406</v>
      </c>
      <c r="J275" s="5">
        <v>214</v>
      </c>
      <c r="K275" s="5">
        <v>19</v>
      </c>
      <c r="L275" s="5">
        <v>6</v>
      </c>
      <c r="M275" s="5">
        <v>6</v>
      </c>
      <c r="N275" s="7">
        <v>1277.3499999999999</v>
      </c>
      <c r="O275" s="7">
        <f t="shared" si="30"/>
        <v>7664.0999999999995</v>
      </c>
      <c r="P275" s="4">
        <v>0.05</v>
      </c>
      <c r="Q275" s="7">
        <f t="shared" si="31"/>
        <v>383.20499999999998</v>
      </c>
      <c r="R275" s="7">
        <f t="shared" si="32"/>
        <v>7280.8949999999995</v>
      </c>
      <c r="S275" s="7">
        <f t="shared" si="33"/>
        <v>1213.4824999999998</v>
      </c>
      <c r="T275" s="6">
        <f t="shared" si="34"/>
        <v>1.4778325123152709E-2</v>
      </c>
      <c r="V275" t="s">
        <v>29</v>
      </c>
    </row>
    <row r="276" spans="1:22">
      <c r="A276" s="3">
        <v>45669</v>
      </c>
      <c r="B276" t="str">
        <f t="shared" si="28"/>
        <v>yyyy-01</v>
      </c>
      <c r="C276">
        <f t="shared" si="29"/>
        <v>2</v>
      </c>
      <c r="D276" t="s">
        <v>42</v>
      </c>
      <c r="E276" t="s">
        <v>43</v>
      </c>
      <c r="F276" t="s">
        <v>46</v>
      </c>
      <c r="G276" t="s">
        <v>27</v>
      </c>
      <c r="H276" t="s">
        <v>45</v>
      </c>
      <c r="I276" s="5">
        <v>396</v>
      </c>
      <c r="J276" s="5">
        <v>292</v>
      </c>
      <c r="K276" s="5">
        <v>30</v>
      </c>
      <c r="L276" s="5">
        <v>7</v>
      </c>
      <c r="M276" s="5">
        <v>7</v>
      </c>
      <c r="N276" s="7">
        <v>2181.88</v>
      </c>
      <c r="O276" s="7">
        <f t="shared" si="30"/>
        <v>15273.16</v>
      </c>
      <c r="P276" s="4">
        <v>0</v>
      </c>
      <c r="Q276" s="7">
        <f t="shared" si="31"/>
        <v>0</v>
      </c>
      <c r="R276" s="7">
        <f t="shared" si="32"/>
        <v>15273.16</v>
      </c>
      <c r="S276" s="7">
        <f t="shared" si="33"/>
        <v>2181.88</v>
      </c>
      <c r="T276" s="6">
        <f t="shared" si="34"/>
        <v>1.7676767676767676E-2</v>
      </c>
      <c r="V276" t="s">
        <v>29</v>
      </c>
    </row>
    <row r="277" spans="1:22">
      <c r="A277" s="3">
        <v>45669</v>
      </c>
      <c r="B277" t="str">
        <f t="shared" si="28"/>
        <v>yyyy-01</v>
      </c>
      <c r="C277">
        <f t="shared" si="29"/>
        <v>2</v>
      </c>
      <c r="D277" t="s">
        <v>42</v>
      </c>
      <c r="E277" t="s">
        <v>43</v>
      </c>
      <c r="F277" t="s">
        <v>47</v>
      </c>
      <c r="G277" t="s">
        <v>36</v>
      </c>
      <c r="H277" t="s">
        <v>37</v>
      </c>
      <c r="I277" s="5">
        <v>534</v>
      </c>
      <c r="J277" s="5">
        <v>365</v>
      </c>
      <c r="K277" s="5">
        <v>32</v>
      </c>
      <c r="L277" s="5">
        <v>8</v>
      </c>
      <c r="M277" s="5">
        <v>8</v>
      </c>
      <c r="N277" s="7">
        <v>596.14</v>
      </c>
      <c r="O277" s="7">
        <f t="shared" si="30"/>
        <v>4769.12</v>
      </c>
      <c r="P277" s="4">
        <v>0</v>
      </c>
      <c r="Q277" s="7">
        <f t="shared" si="31"/>
        <v>0</v>
      </c>
      <c r="R277" s="7">
        <f t="shared" si="32"/>
        <v>4769.12</v>
      </c>
      <c r="S277" s="7">
        <f t="shared" si="33"/>
        <v>596.14</v>
      </c>
      <c r="T277" s="6">
        <f t="shared" si="34"/>
        <v>1.4981273408239701E-2</v>
      </c>
      <c r="V277" t="s">
        <v>29</v>
      </c>
    </row>
    <row r="278" spans="1:22">
      <c r="A278" s="3">
        <v>45669</v>
      </c>
      <c r="B278" t="str">
        <f t="shared" si="28"/>
        <v>yyyy-01</v>
      </c>
      <c r="C278">
        <f t="shared" si="29"/>
        <v>2</v>
      </c>
      <c r="D278" t="s">
        <v>42</v>
      </c>
      <c r="E278" t="s">
        <v>49</v>
      </c>
      <c r="F278" t="s">
        <v>50</v>
      </c>
      <c r="G278" t="s">
        <v>36</v>
      </c>
      <c r="H278" t="s">
        <v>37</v>
      </c>
      <c r="I278" s="5">
        <v>226</v>
      </c>
      <c r="J278" s="5">
        <v>174</v>
      </c>
      <c r="K278" s="5">
        <v>16</v>
      </c>
      <c r="L278" s="5">
        <v>4</v>
      </c>
      <c r="M278" s="5">
        <v>4</v>
      </c>
      <c r="N278" s="7">
        <v>964.12</v>
      </c>
      <c r="O278" s="7">
        <f t="shared" si="30"/>
        <v>3856.48</v>
      </c>
      <c r="P278" s="4">
        <v>0</v>
      </c>
      <c r="Q278" s="7">
        <f t="shared" si="31"/>
        <v>0</v>
      </c>
      <c r="R278" s="7">
        <f t="shared" si="32"/>
        <v>3856.48</v>
      </c>
      <c r="S278" s="7">
        <f t="shared" si="33"/>
        <v>964.12</v>
      </c>
      <c r="T278" s="6">
        <f t="shared" si="34"/>
        <v>1.7699115044247787E-2</v>
      </c>
      <c r="V278" t="s">
        <v>29</v>
      </c>
    </row>
    <row r="279" spans="1:22">
      <c r="A279" s="3">
        <v>45669</v>
      </c>
      <c r="B279" t="str">
        <f t="shared" si="28"/>
        <v>yyyy-01</v>
      </c>
      <c r="C279">
        <f t="shared" si="29"/>
        <v>2</v>
      </c>
      <c r="D279" t="s">
        <v>42</v>
      </c>
      <c r="E279" t="s">
        <v>51</v>
      </c>
      <c r="F279" t="s">
        <v>52</v>
      </c>
      <c r="G279" t="s">
        <v>31</v>
      </c>
      <c r="H279" t="s">
        <v>32</v>
      </c>
      <c r="I279" s="5">
        <v>359</v>
      </c>
      <c r="J279" s="5">
        <v>202</v>
      </c>
      <c r="K279" s="5">
        <v>19</v>
      </c>
      <c r="L279" s="5">
        <v>5</v>
      </c>
      <c r="M279" s="5">
        <v>5</v>
      </c>
      <c r="N279" s="7">
        <v>590.24</v>
      </c>
      <c r="O279" s="7">
        <f t="shared" si="30"/>
        <v>2951.2</v>
      </c>
      <c r="P279" s="4">
        <v>0</v>
      </c>
      <c r="Q279" s="7">
        <f t="shared" si="31"/>
        <v>0</v>
      </c>
      <c r="R279" s="7">
        <f t="shared" si="32"/>
        <v>2951.2</v>
      </c>
      <c r="S279" s="7">
        <f t="shared" si="33"/>
        <v>590.24</v>
      </c>
      <c r="T279" s="6">
        <f t="shared" si="34"/>
        <v>1.3927576601671309E-2</v>
      </c>
      <c r="V279" t="s">
        <v>29</v>
      </c>
    </row>
    <row r="280" spans="1:22">
      <c r="A280" s="3">
        <v>45669</v>
      </c>
      <c r="B280" t="str">
        <f t="shared" si="28"/>
        <v>yyyy-01</v>
      </c>
      <c r="C280">
        <f t="shared" si="29"/>
        <v>2</v>
      </c>
      <c r="D280" t="s">
        <v>53</v>
      </c>
      <c r="E280" t="s">
        <v>54</v>
      </c>
      <c r="F280" t="s">
        <v>55</v>
      </c>
      <c r="G280" t="s">
        <v>27</v>
      </c>
      <c r="H280" t="s">
        <v>28</v>
      </c>
      <c r="I280" s="5">
        <v>200</v>
      </c>
      <c r="J280" s="5">
        <v>144</v>
      </c>
      <c r="K280" s="5">
        <v>11</v>
      </c>
      <c r="L280" s="5">
        <v>3</v>
      </c>
      <c r="M280" s="5">
        <v>3</v>
      </c>
      <c r="N280" s="7">
        <v>1257.97</v>
      </c>
      <c r="O280" s="7">
        <f t="shared" si="30"/>
        <v>3773.91</v>
      </c>
      <c r="P280" s="4">
        <v>0.03</v>
      </c>
      <c r="Q280" s="7">
        <f t="shared" si="31"/>
        <v>113.21729999999999</v>
      </c>
      <c r="R280" s="7">
        <f t="shared" si="32"/>
        <v>3660.6927000000001</v>
      </c>
      <c r="S280" s="7">
        <f t="shared" si="33"/>
        <v>1220.2309</v>
      </c>
      <c r="T280" s="6">
        <f t="shared" si="34"/>
        <v>1.4999999999999999E-2</v>
      </c>
      <c r="V280" t="s">
        <v>29</v>
      </c>
    </row>
    <row r="281" spans="1:22">
      <c r="A281" s="3">
        <v>45669</v>
      </c>
      <c r="B281" t="str">
        <f t="shared" si="28"/>
        <v>yyyy-01</v>
      </c>
      <c r="C281">
        <f t="shared" si="29"/>
        <v>2</v>
      </c>
      <c r="D281" t="s">
        <v>53</v>
      </c>
      <c r="E281" t="s">
        <v>56</v>
      </c>
      <c r="F281" t="s">
        <v>57</v>
      </c>
      <c r="G281" t="s">
        <v>36</v>
      </c>
      <c r="H281" t="s">
        <v>37</v>
      </c>
      <c r="I281" s="5">
        <v>287</v>
      </c>
      <c r="J281" s="5">
        <v>192</v>
      </c>
      <c r="K281" s="5">
        <v>16</v>
      </c>
      <c r="L281" s="5">
        <v>3</v>
      </c>
      <c r="M281" s="5">
        <v>3</v>
      </c>
      <c r="N281" s="7">
        <v>748.39</v>
      </c>
      <c r="O281" s="7">
        <f t="shared" si="30"/>
        <v>2245.17</v>
      </c>
      <c r="P281" s="4">
        <v>0</v>
      </c>
      <c r="Q281" s="7">
        <f t="shared" si="31"/>
        <v>0</v>
      </c>
      <c r="R281" s="7">
        <f t="shared" si="32"/>
        <v>2245.17</v>
      </c>
      <c r="S281" s="7">
        <f t="shared" si="33"/>
        <v>748.39</v>
      </c>
      <c r="T281" s="6">
        <f t="shared" si="34"/>
        <v>1.0452961672473868E-2</v>
      </c>
      <c r="V281" t="s">
        <v>29</v>
      </c>
    </row>
    <row r="282" spans="1:22">
      <c r="A282" s="3">
        <v>45669</v>
      </c>
      <c r="B282" t="str">
        <f t="shared" si="28"/>
        <v>yyyy-01</v>
      </c>
      <c r="C282">
        <f t="shared" si="29"/>
        <v>2</v>
      </c>
      <c r="D282" t="s">
        <v>53</v>
      </c>
      <c r="E282" t="s">
        <v>56</v>
      </c>
      <c r="F282" t="s">
        <v>58</v>
      </c>
      <c r="G282" t="s">
        <v>36</v>
      </c>
      <c r="H282" t="s">
        <v>37</v>
      </c>
      <c r="I282" s="5">
        <v>167</v>
      </c>
      <c r="J282" s="5">
        <v>130</v>
      </c>
      <c r="K282" s="5">
        <v>6</v>
      </c>
      <c r="L282" s="5">
        <v>2</v>
      </c>
      <c r="M282" s="5">
        <v>2</v>
      </c>
      <c r="N282" s="7">
        <v>904.09</v>
      </c>
      <c r="O282" s="7">
        <f t="shared" si="30"/>
        <v>1808.18</v>
      </c>
      <c r="P282" s="4">
        <v>0</v>
      </c>
      <c r="Q282" s="7">
        <f t="shared" si="31"/>
        <v>0</v>
      </c>
      <c r="R282" s="7">
        <f t="shared" si="32"/>
        <v>1808.18</v>
      </c>
      <c r="S282" s="7">
        <f t="shared" si="33"/>
        <v>904.09</v>
      </c>
      <c r="T282" s="6">
        <f t="shared" si="34"/>
        <v>1.1976047904191617E-2</v>
      </c>
      <c r="V282" t="s">
        <v>29</v>
      </c>
    </row>
    <row r="283" spans="1:22">
      <c r="A283" s="3">
        <v>45669</v>
      </c>
      <c r="B283" t="str">
        <f t="shared" si="28"/>
        <v>yyyy-01</v>
      </c>
      <c r="C283">
        <f t="shared" si="29"/>
        <v>2</v>
      </c>
      <c r="D283" t="s">
        <v>53</v>
      </c>
      <c r="E283" t="s">
        <v>59</v>
      </c>
      <c r="F283" t="s">
        <v>60</v>
      </c>
      <c r="G283" t="s">
        <v>36</v>
      </c>
      <c r="H283" t="s">
        <v>37</v>
      </c>
      <c r="I283" s="5">
        <v>158</v>
      </c>
      <c r="J283" s="5">
        <v>109</v>
      </c>
      <c r="K283" s="5">
        <v>9</v>
      </c>
      <c r="L283" s="5">
        <v>2</v>
      </c>
      <c r="M283" s="5">
        <v>2</v>
      </c>
      <c r="N283" s="7">
        <v>695.06</v>
      </c>
      <c r="O283" s="7">
        <f t="shared" si="30"/>
        <v>1390.12</v>
      </c>
      <c r="P283" s="4">
        <v>0</v>
      </c>
      <c r="Q283" s="7">
        <f t="shared" si="31"/>
        <v>0</v>
      </c>
      <c r="R283" s="7">
        <f t="shared" si="32"/>
        <v>1390.12</v>
      </c>
      <c r="S283" s="7">
        <f t="shared" si="33"/>
        <v>695.06</v>
      </c>
      <c r="T283" s="6">
        <f t="shared" si="34"/>
        <v>1.2658227848101266E-2</v>
      </c>
      <c r="V283" t="s">
        <v>29</v>
      </c>
    </row>
    <row r="284" spans="1:22">
      <c r="A284" s="3">
        <v>45669</v>
      </c>
      <c r="B284" t="str">
        <f t="shared" si="28"/>
        <v>yyyy-01</v>
      </c>
      <c r="C284">
        <f t="shared" si="29"/>
        <v>2</v>
      </c>
      <c r="D284" t="s">
        <v>53</v>
      </c>
      <c r="E284" t="s">
        <v>61</v>
      </c>
      <c r="F284" t="s">
        <v>62</v>
      </c>
      <c r="G284" t="s">
        <v>36</v>
      </c>
      <c r="H284" t="s">
        <v>37</v>
      </c>
      <c r="I284" s="5">
        <v>231</v>
      </c>
      <c r="J284" s="5">
        <v>146</v>
      </c>
      <c r="K284" s="5">
        <v>14</v>
      </c>
      <c r="L284" s="5">
        <v>3</v>
      </c>
      <c r="M284" s="5">
        <v>3</v>
      </c>
      <c r="N284" s="7">
        <v>495.4</v>
      </c>
      <c r="O284" s="7">
        <f t="shared" si="30"/>
        <v>1486.1999999999998</v>
      </c>
      <c r="P284" s="4">
        <v>0.03</v>
      </c>
      <c r="Q284" s="7">
        <f t="shared" si="31"/>
        <v>44.585999999999991</v>
      </c>
      <c r="R284" s="7">
        <f t="shared" si="32"/>
        <v>1441.6139999999998</v>
      </c>
      <c r="S284" s="7">
        <f t="shared" si="33"/>
        <v>480.53799999999995</v>
      </c>
      <c r="T284" s="6">
        <f t="shared" si="34"/>
        <v>1.2987012987012988E-2</v>
      </c>
      <c r="V284" t="s">
        <v>29</v>
      </c>
    </row>
    <row r="285" spans="1:22">
      <c r="A285" s="3">
        <v>45669</v>
      </c>
      <c r="B285" t="str">
        <f t="shared" si="28"/>
        <v>yyyy-01</v>
      </c>
      <c r="C285">
        <f t="shared" si="29"/>
        <v>2</v>
      </c>
      <c r="D285" t="s">
        <v>53</v>
      </c>
      <c r="E285" t="s">
        <v>64</v>
      </c>
      <c r="F285" t="s">
        <v>65</v>
      </c>
      <c r="G285" t="s">
        <v>27</v>
      </c>
      <c r="H285" t="s">
        <v>63</v>
      </c>
      <c r="I285" s="5">
        <v>140</v>
      </c>
      <c r="J285" s="5">
        <v>110</v>
      </c>
      <c r="K285" s="5">
        <v>12</v>
      </c>
      <c r="L285" s="5">
        <v>1</v>
      </c>
      <c r="M285" s="5">
        <v>1</v>
      </c>
      <c r="N285" s="7">
        <v>771.21</v>
      </c>
      <c r="O285" s="7">
        <f t="shared" si="30"/>
        <v>771.21</v>
      </c>
      <c r="P285" s="4">
        <v>0</v>
      </c>
      <c r="Q285" s="7">
        <f t="shared" si="31"/>
        <v>0</v>
      </c>
      <c r="R285" s="7">
        <f t="shared" si="32"/>
        <v>771.21</v>
      </c>
      <c r="S285" s="7">
        <f t="shared" si="33"/>
        <v>771.21</v>
      </c>
      <c r="T285" s="6">
        <f t="shared" si="34"/>
        <v>7.1428571428571426E-3</v>
      </c>
      <c r="V285" t="s">
        <v>29</v>
      </c>
    </row>
    <row r="286" spans="1:22">
      <c r="A286" s="3">
        <v>45669</v>
      </c>
      <c r="B286" t="str">
        <f t="shared" si="28"/>
        <v>yyyy-01</v>
      </c>
      <c r="C286">
        <f t="shared" si="29"/>
        <v>2</v>
      </c>
      <c r="D286" t="s">
        <v>66</v>
      </c>
      <c r="E286" t="s">
        <v>67</v>
      </c>
      <c r="F286" t="s">
        <v>68</v>
      </c>
      <c r="G286" t="s">
        <v>27</v>
      </c>
      <c r="H286" t="s">
        <v>48</v>
      </c>
      <c r="I286" s="5">
        <v>262</v>
      </c>
      <c r="J286" s="5">
        <v>155</v>
      </c>
      <c r="K286" s="5">
        <v>23</v>
      </c>
      <c r="L286" s="5">
        <v>6</v>
      </c>
      <c r="M286" s="5">
        <v>6</v>
      </c>
      <c r="N286" s="7">
        <v>700.85</v>
      </c>
      <c r="O286" s="7">
        <f t="shared" si="30"/>
        <v>4205.1000000000004</v>
      </c>
      <c r="P286" s="4">
        <v>0</v>
      </c>
      <c r="Q286" s="7">
        <f t="shared" si="31"/>
        <v>0</v>
      </c>
      <c r="R286" s="7">
        <f t="shared" si="32"/>
        <v>4205.1000000000004</v>
      </c>
      <c r="S286" s="7">
        <f t="shared" si="33"/>
        <v>700.85</v>
      </c>
      <c r="T286" s="6">
        <f t="shared" si="34"/>
        <v>2.2900763358778626E-2</v>
      </c>
      <c r="V286" t="s">
        <v>29</v>
      </c>
    </row>
    <row r="287" spans="1:22">
      <c r="A287" s="3">
        <v>45669</v>
      </c>
      <c r="B287" t="str">
        <f t="shared" si="28"/>
        <v>yyyy-01</v>
      </c>
      <c r="C287">
        <f t="shared" si="29"/>
        <v>2</v>
      </c>
      <c r="D287" t="s">
        <v>66</v>
      </c>
      <c r="E287" t="s">
        <v>67</v>
      </c>
      <c r="F287" t="s">
        <v>69</v>
      </c>
      <c r="G287" t="s">
        <v>27</v>
      </c>
      <c r="H287" t="s">
        <v>28</v>
      </c>
      <c r="I287" s="5">
        <v>392</v>
      </c>
      <c r="J287" s="5">
        <v>301</v>
      </c>
      <c r="K287" s="5">
        <v>29</v>
      </c>
      <c r="L287" s="5">
        <v>8</v>
      </c>
      <c r="M287" s="5">
        <v>8</v>
      </c>
      <c r="N287" s="7">
        <v>387.07</v>
      </c>
      <c r="O287" s="7">
        <f t="shared" si="30"/>
        <v>3096.56</v>
      </c>
      <c r="P287" s="4">
        <v>0</v>
      </c>
      <c r="Q287" s="7">
        <f t="shared" si="31"/>
        <v>0</v>
      </c>
      <c r="R287" s="7">
        <f t="shared" si="32"/>
        <v>3096.56</v>
      </c>
      <c r="S287" s="7">
        <f t="shared" si="33"/>
        <v>387.07</v>
      </c>
      <c r="T287" s="6">
        <f t="shared" si="34"/>
        <v>2.0408163265306121E-2</v>
      </c>
      <c r="V287" t="s">
        <v>29</v>
      </c>
    </row>
    <row r="288" spans="1:22">
      <c r="A288" s="3">
        <v>45669</v>
      </c>
      <c r="B288" t="str">
        <f t="shared" si="28"/>
        <v>yyyy-01</v>
      </c>
      <c r="C288">
        <f t="shared" si="29"/>
        <v>2</v>
      </c>
      <c r="D288" t="s">
        <v>66</v>
      </c>
      <c r="E288" t="s">
        <v>67</v>
      </c>
      <c r="F288" t="s">
        <v>70</v>
      </c>
      <c r="G288" t="s">
        <v>27</v>
      </c>
      <c r="H288" t="s">
        <v>63</v>
      </c>
      <c r="I288" s="5">
        <v>193</v>
      </c>
      <c r="J288" s="5">
        <v>116</v>
      </c>
      <c r="K288" s="5">
        <v>20</v>
      </c>
      <c r="L288" s="5">
        <v>4</v>
      </c>
      <c r="M288" s="5">
        <v>4</v>
      </c>
      <c r="N288" s="7">
        <v>337.03</v>
      </c>
      <c r="O288" s="7">
        <f t="shared" si="30"/>
        <v>1348.12</v>
      </c>
      <c r="P288" s="4">
        <v>0</v>
      </c>
      <c r="Q288" s="7">
        <f t="shared" si="31"/>
        <v>0</v>
      </c>
      <c r="R288" s="7">
        <f t="shared" si="32"/>
        <v>1348.12</v>
      </c>
      <c r="S288" s="7">
        <f t="shared" si="33"/>
        <v>337.03</v>
      </c>
      <c r="T288" s="6">
        <f t="shared" si="34"/>
        <v>2.072538860103627E-2</v>
      </c>
      <c r="V288" t="s">
        <v>29</v>
      </c>
    </row>
    <row r="289" spans="1:22">
      <c r="A289" s="3">
        <v>45669</v>
      </c>
      <c r="B289" t="str">
        <f t="shared" si="28"/>
        <v>yyyy-01</v>
      </c>
      <c r="C289">
        <f t="shared" si="29"/>
        <v>2</v>
      </c>
      <c r="D289" t="s">
        <v>66</v>
      </c>
      <c r="E289" t="s">
        <v>71</v>
      </c>
      <c r="F289" t="s">
        <v>72</v>
      </c>
      <c r="G289" t="s">
        <v>27</v>
      </c>
      <c r="H289" t="s">
        <v>63</v>
      </c>
      <c r="I289" s="5">
        <v>307</v>
      </c>
      <c r="J289" s="5">
        <v>171</v>
      </c>
      <c r="K289" s="5">
        <v>19</v>
      </c>
      <c r="L289" s="5">
        <v>7</v>
      </c>
      <c r="M289" s="5">
        <v>9</v>
      </c>
      <c r="N289" s="7">
        <v>129.72999999999999</v>
      </c>
      <c r="O289" s="7">
        <f t="shared" si="30"/>
        <v>1167.57</v>
      </c>
      <c r="P289" s="4">
        <v>0</v>
      </c>
      <c r="Q289" s="7">
        <f t="shared" si="31"/>
        <v>0</v>
      </c>
      <c r="R289" s="7">
        <f t="shared" si="32"/>
        <v>1167.57</v>
      </c>
      <c r="S289" s="7">
        <f t="shared" si="33"/>
        <v>166.79571428571427</v>
      </c>
      <c r="T289" s="6">
        <f t="shared" si="34"/>
        <v>2.2801302931596091E-2</v>
      </c>
      <c r="V289" t="s">
        <v>29</v>
      </c>
    </row>
    <row r="290" spans="1:22">
      <c r="A290" s="3">
        <v>45669</v>
      </c>
      <c r="B290" t="str">
        <f t="shared" si="28"/>
        <v>yyyy-01</v>
      </c>
      <c r="C290">
        <f t="shared" si="29"/>
        <v>2</v>
      </c>
      <c r="D290" t="s">
        <v>66</v>
      </c>
      <c r="E290" t="s">
        <v>73</v>
      </c>
      <c r="F290" t="s">
        <v>74</v>
      </c>
      <c r="G290" t="s">
        <v>27</v>
      </c>
      <c r="H290" t="s">
        <v>45</v>
      </c>
      <c r="I290" s="5">
        <v>191</v>
      </c>
      <c r="J290" s="5">
        <v>136</v>
      </c>
      <c r="K290" s="5">
        <v>13</v>
      </c>
      <c r="L290" s="5">
        <v>4</v>
      </c>
      <c r="M290" s="5">
        <v>4</v>
      </c>
      <c r="N290" s="7">
        <v>1208.2</v>
      </c>
      <c r="O290" s="7">
        <f t="shared" si="30"/>
        <v>4832.8</v>
      </c>
      <c r="P290" s="4">
        <v>0</v>
      </c>
      <c r="Q290" s="7">
        <f t="shared" si="31"/>
        <v>0</v>
      </c>
      <c r="R290" s="7">
        <f t="shared" si="32"/>
        <v>4832.8</v>
      </c>
      <c r="S290" s="7">
        <f t="shared" si="33"/>
        <v>1208.2</v>
      </c>
      <c r="T290" s="6">
        <f t="shared" si="34"/>
        <v>2.0942408376963352E-2</v>
      </c>
      <c r="V290" t="s">
        <v>29</v>
      </c>
    </row>
    <row r="291" spans="1:22">
      <c r="A291" s="3">
        <v>45669</v>
      </c>
      <c r="B291" t="str">
        <f t="shared" si="28"/>
        <v>yyyy-01</v>
      </c>
      <c r="C291">
        <f t="shared" si="29"/>
        <v>2</v>
      </c>
      <c r="D291" t="s">
        <v>66</v>
      </c>
      <c r="E291" t="s">
        <v>71</v>
      </c>
      <c r="F291" t="s">
        <v>75</v>
      </c>
      <c r="G291" t="s">
        <v>27</v>
      </c>
      <c r="H291" t="s">
        <v>45</v>
      </c>
      <c r="I291" s="5">
        <v>280</v>
      </c>
      <c r="J291" s="5">
        <v>177</v>
      </c>
      <c r="K291" s="5">
        <v>18</v>
      </c>
      <c r="L291" s="5">
        <v>6</v>
      </c>
      <c r="M291" s="5">
        <v>8</v>
      </c>
      <c r="N291" s="7">
        <v>39.15</v>
      </c>
      <c r="O291" s="7">
        <f t="shared" si="30"/>
        <v>313.2</v>
      </c>
      <c r="P291" s="4">
        <v>0</v>
      </c>
      <c r="Q291" s="7">
        <f t="shared" si="31"/>
        <v>0</v>
      </c>
      <c r="R291" s="7">
        <f t="shared" si="32"/>
        <v>313.2</v>
      </c>
      <c r="S291" s="7">
        <f t="shared" si="33"/>
        <v>52.199999999999996</v>
      </c>
      <c r="T291" s="6">
        <f t="shared" si="34"/>
        <v>2.1428571428571429E-2</v>
      </c>
      <c r="V291" t="s">
        <v>29</v>
      </c>
    </row>
    <row r="292" spans="1:22">
      <c r="A292" s="3">
        <v>45669</v>
      </c>
      <c r="B292" t="str">
        <f t="shared" si="28"/>
        <v>yyyy-01</v>
      </c>
      <c r="C292">
        <f t="shared" si="29"/>
        <v>2</v>
      </c>
      <c r="D292" t="s">
        <v>24</v>
      </c>
      <c r="E292" t="s">
        <v>76</v>
      </c>
      <c r="F292" t="s">
        <v>77</v>
      </c>
      <c r="G292" t="s">
        <v>27</v>
      </c>
      <c r="H292" t="s">
        <v>45</v>
      </c>
      <c r="I292" s="5">
        <v>688</v>
      </c>
      <c r="J292" s="5">
        <v>506</v>
      </c>
      <c r="K292" s="5">
        <v>75</v>
      </c>
      <c r="L292" s="5">
        <v>17</v>
      </c>
      <c r="M292" s="5">
        <v>23</v>
      </c>
      <c r="N292" s="7">
        <v>200.89</v>
      </c>
      <c r="O292" s="7">
        <f t="shared" si="30"/>
        <v>4620.4699999999993</v>
      </c>
      <c r="P292" s="4">
        <v>0</v>
      </c>
      <c r="Q292" s="7">
        <f t="shared" si="31"/>
        <v>0</v>
      </c>
      <c r="R292" s="7">
        <f t="shared" si="32"/>
        <v>4620.4699999999993</v>
      </c>
      <c r="S292" s="7">
        <f t="shared" si="33"/>
        <v>271.79235294117643</v>
      </c>
      <c r="T292" s="6">
        <f t="shared" si="34"/>
        <v>2.4709302325581394E-2</v>
      </c>
      <c r="V292" t="s">
        <v>29</v>
      </c>
    </row>
    <row r="293" spans="1:22">
      <c r="A293" s="3">
        <v>45670</v>
      </c>
      <c r="B293" t="str">
        <f t="shared" si="28"/>
        <v>yyyy-01</v>
      </c>
      <c r="C293">
        <f t="shared" si="29"/>
        <v>3</v>
      </c>
      <c r="D293" t="s">
        <v>24</v>
      </c>
      <c r="E293" t="s">
        <v>25</v>
      </c>
      <c r="F293" t="s">
        <v>26</v>
      </c>
      <c r="G293" t="s">
        <v>27</v>
      </c>
      <c r="H293" t="s">
        <v>28</v>
      </c>
      <c r="I293" s="5">
        <v>1322</v>
      </c>
      <c r="J293" s="5">
        <v>740</v>
      </c>
      <c r="K293" s="5">
        <v>170</v>
      </c>
      <c r="L293" s="5">
        <v>39</v>
      </c>
      <c r="M293" s="5">
        <v>39</v>
      </c>
      <c r="N293" s="7">
        <v>1004.73</v>
      </c>
      <c r="O293" s="7">
        <f t="shared" si="30"/>
        <v>39184.47</v>
      </c>
      <c r="P293" s="4">
        <v>0.12</v>
      </c>
      <c r="Q293" s="7">
        <f t="shared" si="31"/>
        <v>4702.1364000000003</v>
      </c>
      <c r="R293" s="7">
        <f t="shared" si="32"/>
        <v>34482.333599999998</v>
      </c>
      <c r="S293" s="7">
        <f t="shared" si="33"/>
        <v>884.16239999999993</v>
      </c>
      <c r="T293" s="6">
        <f t="shared" si="34"/>
        <v>2.9500756429652043E-2</v>
      </c>
      <c r="U293" t="s">
        <v>79</v>
      </c>
      <c r="V293" t="s">
        <v>29</v>
      </c>
    </row>
    <row r="294" spans="1:22">
      <c r="A294" s="3">
        <v>45670</v>
      </c>
      <c r="B294" t="str">
        <f t="shared" si="28"/>
        <v>yyyy-01</v>
      </c>
      <c r="C294">
        <f t="shared" si="29"/>
        <v>3</v>
      </c>
      <c r="D294" t="s">
        <v>24</v>
      </c>
      <c r="E294" t="s">
        <v>25</v>
      </c>
      <c r="F294" t="s">
        <v>30</v>
      </c>
      <c r="G294" t="s">
        <v>31</v>
      </c>
      <c r="H294" t="s">
        <v>32</v>
      </c>
      <c r="I294" s="5">
        <v>1941</v>
      </c>
      <c r="J294" s="5">
        <v>1512</v>
      </c>
      <c r="K294" s="5">
        <v>172</v>
      </c>
      <c r="L294" s="5">
        <v>36</v>
      </c>
      <c r="M294" s="5">
        <v>36</v>
      </c>
      <c r="N294" s="7">
        <v>393.97</v>
      </c>
      <c r="O294" s="7">
        <f t="shared" si="30"/>
        <v>14182.920000000002</v>
      </c>
      <c r="P294" s="4">
        <v>0.12</v>
      </c>
      <c r="Q294" s="7">
        <f t="shared" si="31"/>
        <v>1701.9504000000002</v>
      </c>
      <c r="R294" s="7">
        <f t="shared" si="32"/>
        <v>12480.969600000002</v>
      </c>
      <c r="S294" s="7">
        <f t="shared" si="33"/>
        <v>346.69360000000006</v>
      </c>
      <c r="T294" s="6">
        <f t="shared" si="34"/>
        <v>1.8547140649149921E-2</v>
      </c>
      <c r="U294" t="s">
        <v>79</v>
      </c>
      <c r="V294" t="s">
        <v>29</v>
      </c>
    </row>
    <row r="295" spans="1:22">
      <c r="A295" s="3">
        <v>45670</v>
      </c>
      <c r="B295" t="str">
        <f t="shared" si="28"/>
        <v>yyyy-01</v>
      </c>
      <c r="C295">
        <f t="shared" si="29"/>
        <v>3</v>
      </c>
      <c r="D295" t="s">
        <v>24</v>
      </c>
      <c r="E295" t="s">
        <v>25</v>
      </c>
      <c r="F295" t="s">
        <v>33</v>
      </c>
      <c r="G295" t="s">
        <v>27</v>
      </c>
      <c r="H295" t="s">
        <v>63</v>
      </c>
      <c r="I295" s="5">
        <v>1306</v>
      </c>
      <c r="J295" s="5">
        <v>1036</v>
      </c>
      <c r="K295" s="5">
        <v>134</v>
      </c>
      <c r="L295" s="5">
        <v>29</v>
      </c>
      <c r="M295" s="5">
        <v>29</v>
      </c>
      <c r="N295" s="7">
        <v>1737.12</v>
      </c>
      <c r="O295" s="7">
        <f t="shared" si="30"/>
        <v>50376.479999999996</v>
      </c>
      <c r="P295" s="4">
        <v>0.12</v>
      </c>
      <c r="Q295" s="7">
        <f t="shared" si="31"/>
        <v>6045.1775999999991</v>
      </c>
      <c r="R295" s="7">
        <f t="shared" si="32"/>
        <v>44331.3024</v>
      </c>
      <c r="S295" s="7">
        <f t="shared" si="33"/>
        <v>1528.6656</v>
      </c>
      <c r="T295" s="6">
        <f t="shared" si="34"/>
        <v>2.22052067381317E-2</v>
      </c>
      <c r="U295" t="s">
        <v>79</v>
      </c>
      <c r="V295" t="s">
        <v>29</v>
      </c>
    </row>
    <row r="296" spans="1:22">
      <c r="A296" s="3">
        <v>45670</v>
      </c>
      <c r="B296" t="str">
        <f t="shared" si="28"/>
        <v>yyyy-01</v>
      </c>
      <c r="C296">
        <f t="shared" si="29"/>
        <v>3</v>
      </c>
      <c r="D296" t="s">
        <v>24</v>
      </c>
      <c r="E296" t="s">
        <v>34</v>
      </c>
      <c r="F296" t="s">
        <v>35</v>
      </c>
      <c r="G296" t="s">
        <v>36</v>
      </c>
      <c r="H296" t="s">
        <v>37</v>
      </c>
      <c r="I296" s="5">
        <v>946</v>
      </c>
      <c r="J296" s="5">
        <v>756</v>
      </c>
      <c r="K296" s="5">
        <v>51</v>
      </c>
      <c r="L296" s="5">
        <v>16</v>
      </c>
      <c r="M296" s="5">
        <v>16</v>
      </c>
      <c r="N296" s="7">
        <v>900.77</v>
      </c>
      <c r="O296" s="7">
        <f t="shared" si="30"/>
        <v>14412.32</v>
      </c>
      <c r="P296" s="4">
        <v>0</v>
      </c>
      <c r="Q296" s="7">
        <f t="shared" si="31"/>
        <v>0</v>
      </c>
      <c r="R296" s="7">
        <f t="shared" si="32"/>
        <v>14412.32</v>
      </c>
      <c r="S296" s="7">
        <f t="shared" si="33"/>
        <v>900.77</v>
      </c>
      <c r="T296" s="6">
        <f t="shared" si="34"/>
        <v>1.6913319238900635E-2</v>
      </c>
      <c r="V296" t="s">
        <v>29</v>
      </c>
    </row>
    <row r="297" spans="1:22">
      <c r="A297" s="3">
        <v>45670</v>
      </c>
      <c r="B297" t="str">
        <f t="shared" si="28"/>
        <v>yyyy-01</v>
      </c>
      <c r="C297">
        <f t="shared" si="29"/>
        <v>3</v>
      </c>
      <c r="D297" t="s">
        <v>24</v>
      </c>
      <c r="E297" t="s">
        <v>38</v>
      </c>
      <c r="F297" t="s">
        <v>39</v>
      </c>
      <c r="G297" t="s">
        <v>31</v>
      </c>
      <c r="H297" t="s">
        <v>32</v>
      </c>
      <c r="I297" s="5">
        <v>949</v>
      </c>
      <c r="J297" s="5">
        <v>516</v>
      </c>
      <c r="K297" s="5">
        <v>71</v>
      </c>
      <c r="L297" s="5">
        <v>20</v>
      </c>
      <c r="M297" s="5">
        <v>20</v>
      </c>
      <c r="N297" s="7">
        <v>316</v>
      </c>
      <c r="O297" s="7">
        <f t="shared" si="30"/>
        <v>6320</v>
      </c>
      <c r="P297" s="4">
        <v>0.05</v>
      </c>
      <c r="Q297" s="7">
        <f t="shared" si="31"/>
        <v>316</v>
      </c>
      <c r="R297" s="7">
        <f t="shared" si="32"/>
        <v>6004</v>
      </c>
      <c r="S297" s="7">
        <f t="shared" si="33"/>
        <v>300.2</v>
      </c>
      <c r="T297" s="6">
        <f t="shared" si="34"/>
        <v>2.107481559536354E-2</v>
      </c>
      <c r="V297" t="s">
        <v>29</v>
      </c>
    </row>
    <row r="298" spans="1:22">
      <c r="A298" s="3">
        <v>45670</v>
      </c>
      <c r="B298" t="str">
        <f t="shared" si="28"/>
        <v>yyyy-01</v>
      </c>
      <c r="C298">
        <f t="shared" si="29"/>
        <v>3</v>
      </c>
      <c r="D298" t="s">
        <v>24</v>
      </c>
      <c r="E298" t="s">
        <v>40</v>
      </c>
      <c r="F298" t="s">
        <v>41</v>
      </c>
      <c r="G298" t="s">
        <v>36</v>
      </c>
      <c r="H298" t="s">
        <v>37</v>
      </c>
      <c r="I298" s="5">
        <v>744</v>
      </c>
      <c r="J298" s="5">
        <v>484</v>
      </c>
      <c r="K298" s="5">
        <v>34</v>
      </c>
      <c r="L298" s="5">
        <v>12</v>
      </c>
      <c r="M298" s="5">
        <v>15</v>
      </c>
      <c r="N298" s="7">
        <v>172.94</v>
      </c>
      <c r="O298" s="7">
        <f t="shared" si="30"/>
        <v>2594.1</v>
      </c>
      <c r="P298" s="4">
        <v>0</v>
      </c>
      <c r="Q298" s="7">
        <f t="shared" si="31"/>
        <v>0</v>
      </c>
      <c r="R298" s="7">
        <f t="shared" si="32"/>
        <v>2594.1</v>
      </c>
      <c r="S298" s="7">
        <f t="shared" si="33"/>
        <v>216.17499999999998</v>
      </c>
      <c r="T298" s="6">
        <f t="shared" si="34"/>
        <v>1.6129032258064516E-2</v>
      </c>
      <c r="V298" t="s">
        <v>29</v>
      </c>
    </row>
    <row r="299" spans="1:22">
      <c r="A299" s="3">
        <v>45670</v>
      </c>
      <c r="B299" t="str">
        <f t="shared" si="28"/>
        <v>yyyy-01</v>
      </c>
      <c r="C299">
        <f t="shared" si="29"/>
        <v>3</v>
      </c>
      <c r="D299" t="s">
        <v>42</v>
      </c>
      <c r="E299" t="s">
        <v>43</v>
      </c>
      <c r="F299" t="s">
        <v>44</v>
      </c>
      <c r="G299" t="s">
        <v>36</v>
      </c>
      <c r="H299" t="s">
        <v>37</v>
      </c>
      <c r="I299" s="5">
        <v>571</v>
      </c>
      <c r="J299" s="5">
        <v>430</v>
      </c>
      <c r="K299" s="5">
        <v>40</v>
      </c>
      <c r="L299" s="5">
        <v>8</v>
      </c>
      <c r="M299" s="5">
        <v>8</v>
      </c>
      <c r="N299" s="7">
        <v>1288.3900000000001</v>
      </c>
      <c r="O299" s="7">
        <f t="shared" si="30"/>
        <v>10307.120000000001</v>
      </c>
      <c r="P299" s="4">
        <v>0.1</v>
      </c>
      <c r="Q299" s="7">
        <f t="shared" si="31"/>
        <v>1030.7120000000002</v>
      </c>
      <c r="R299" s="7">
        <f t="shared" si="32"/>
        <v>9276.4080000000013</v>
      </c>
      <c r="S299" s="7">
        <f t="shared" si="33"/>
        <v>1159.5510000000002</v>
      </c>
      <c r="T299" s="6">
        <f t="shared" si="34"/>
        <v>1.4010507880910683E-2</v>
      </c>
      <c r="U299" t="s">
        <v>80</v>
      </c>
      <c r="V299" t="s">
        <v>29</v>
      </c>
    </row>
    <row r="300" spans="1:22">
      <c r="A300" s="3">
        <v>45670</v>
      </c>
      <c r="B300" t="str">
        <f t="shared" si="28"/>
        <v>yyyy-01</v>
      </c>
      <c r="C300">
        <f t="shared" si="29"/>
        <v>3</v>
      </c>
      <c r="D300" t="s">
        <v>42</v>
      </c>
      <c r="E300" t="s">
        <v>43</v>
      </c>
      <c r="F300" t="s">
        <v>46</v>
      </c>
      <c r="G300" t="s">
        <v>31</v>
      </c>
      <c r="H300" t="s">
        <v>32</v>
      </c>
      <c r="I300" s="5">
        <v>635</v>
      </c>
      <c r="J300" s="5">
        <v>416</v>
      </c>
      <c r="K300" s="5">
        <v>47</v>
      </c>
      <c r="L300" s="5">
        <v>12</v>
      </c>
      <c r="M300" s="5">
        <v>12</v>
      </c>
      <c r="N300" s="7">
        <v>2165.36</v>
      </c>
      <c r="O300" s="7">
        <f t="shared" si="30"/>
        <v>25984.32</v>
      </c>
      <c r="P300" s="4">
        <v>0.1</v>
      </c>
      <c r="Q300" s="7">
        <f t="shared" si="31"/>
        <v>2598.4320000000002</v>
      </c>
      <c r="R300" s="7">
        <f t="shared" si="32"/>
        <v>23385.887999999999</v>
      </c>
      <c r="S300" s="7">
        <f t="shared" si="33"/>
        <v>1948.8239999999998</v>
      </c>
      <c r="T300" s="6">
        <f t="shared" si="34"/>
        <v>1.889763779527559E-2</v>
      </c>
      <c r="U300" t="s">
        <v>80</v>
      </c>
      <c r="V300" t="s">
        <v>29</v>
      </c>
    </row>
    <row r="301" spans="1:22">
      <c r="A301" s="3">
        <v>45670</v>
      </c>
      <c r="B301" t="str">
        <f t="shared" si="28"/>
        <v>yyyy-01</v>
      </c>
      <c r="C301">
        <f t="shared" si="29"/>
        <v>3</v>
      </c>
      <c r="D301" t="s">
        <v>42</v>
      </c>
      <c r="E301" t="s">
        <v>43</v>
      </c>
      <c r="F301" t="s">
        <v>47</v>
      </c>
      <c r="G301" t="s">
        <v>27</v>
      </c>
      <c r="H301" t="s">
        <v>45</v>
      </c>
      <c r="I301" s="5">
        <v>427</v>
      </c>
      <c r="J301" s="5">
        <v>321</v>
      </c>
      <c r="K301" s="5">
        <v>38</v>
      </c>
      <c r="L301" s="5">
        <v>8</v>
      </c>
      <c r="M301" s="5">
        <v>8</v>
      </c>
      <c r="N301" s="7">
        <v>586.34</v>
      </c>
      <c r="O301" s="7">
        <f t="shared" si="30"/>
        <v>4690.72</v>
      </c>
      <c r="P301" s="4">
        <v>0.1</v>
      </c>
      <c r="Q301" s="7">
        <f t="shared" si="31"/>
        <v>469.07200000000006</v>
      </c>
      <c r="R301" s="7">
        <f t="shared" si="32"/>
        <v>4221.6480000000001</v>
      </c>
      <c r="S301" s="7">
        <f t="shared" si="33"/>
        <v>527.70600000000002</v>
      </c>
      <c r="T301" s="6">
        <f t="shared" si="34"/>
        <v>1.873536299765808E-2</v>
      </c>
      <c r="U301" t="s">
        <v>80</v>
      </c>
      <c r="V301" t="s">
        <v>29</v>
      </c>
    </row>
    <row r="302" spans="1:22">
      <c r="A302" s="3">
        <v>45670</v>
      </c>
      <c r="B302" t="str">
        <f t="shared" si="28"/>
        <v>yyyy-01</v>
      </c>
      <c r="C302">
        <f t="shared" si="29"/>
        <v>3</v>
      </c>
      <c r="D302" t="s">
        <v>42</v>
      </c>
      <c r="E302" t="s">
        <v>49</v>
      </c>
      <c r="F302" t="s">
        <v>50</v>
      </c>
      <c r="G302" t="s">
        <v>31</v>
      </c>
      <c r="H302" t="s">
        <v>32</v>
      </c>
      <c r="I302" s="5">
        <v>175</v>
      </c>
      <c r="J302" s="5">
        <v>104</v>
      </c>
      <c r="K302" s="5">
        <v>12</v>
      </c>
      <c r="L302" s="5">
        <v>3</v>
      </c>
      <c r="M302" s="5">
        <v>3</v>
      </c>
      <c r="N302" s="7">
        <v>1015.46</v>
      </c>
      <c r="O302" s="7">
        <f t="shared" si="30"/>
        <v>3046.38</v>
      </c>
      <c r="P302" s="4">
        <v>0</v>
      </c>
      <c r="Q302" s="7">
        <f t="shared" si="31"/>
        <v>0</v>
      </c>
      <c r="R302" s="7">
        <f t="shared" si="32"/>
        <v>3046.38</v>
      </c>
      <c r="S302" s="7">
        <f t="shared" si="33"/>
        <v>1015.46</v>
      </c>
      <c r="T302" s="6">
        <f t="shared" si="34"/>
        <v>1.7142857142857144E-2</v>
      </c>
      <c r="V302" t="s">
        <v>29</v>
      </c>
    </row>
    <row r="303" spans="1:22">
      <c r="A303" s="3">
        <v>45670</v>
      </c>
      <c r="B303" t="str">
        <f t="shared" si="28"/>
        <v>yyyy-01</v>
      </c>
      <c r="C303">
        <f t="shared" si="29"/>
        <v>3</v>
      </c>
      <c r="D303" t="s">
        <v>42</v>
      </c>
      <c r="E303" t="s">
        <v>51</v>
      </c>
      <c r="F303" t="s">
        <v>52</v>
      </c>
      <c r="G303" t="s">
        <v>31</v>
      </c>
      <c r="H303" t="s">
        <v>32</v>
      </c>
      <c r="I303" s="5">
        <v>306</v>
      </c>
      <c r="J303" s="5">
        <v>177</v>
      </c>
      <c r="K303" s="5">
        <v>18</v>
      </c>
      <c r="L303" s="5">
        <v>4</v>
      </c>
      <c r="M303" s="5">
        <v>4</v>
      </c>
      <c r="N303" s="7">
        <v>603.57000000000005</v>
      </c>
      <c r="O303" s="7">
        <f t="shared" si="30"/>
        <v>2414.2800000000002</v>
      </c>
      <c r="P303" s="4">
        <v>0.05</v>
      </c>
      <c r="Q303" s="7">
        <f t="shared" si="31"/>
        <v>120.71400000000001</v>
      </c>
      <c r="R303" s="7">
        <f t="shared" si="32"/>
        <v>2293.5660000000003</v>
      </c>
      <c r="S303" s="7">
        <f t="shared" si="33"/>
        <v>573.39150000000006</v>
      </c>
      <c r="T303" s="6">
        <f t="shared" si="34"/>
        <v>1.3071895424836602E-2</v>
      </c>
      <c r="V303" t="s">
        <v>29</v>
      </c>
    </row>
    <row r="304" spans="1:22">
      <c r="A304" s="3">
        <v>45670</v>
      </c>
      <c r="B304" t="str">
        <f t="shared" si="28"/>
        <v>yyyy-01</v>
      </c>
      <c r="C304">
        <f t="shared" si="29"/>
        <v>3</v>
      </c>
      <c r="D304" t="s">
        <v>53</v>
      </c>
      <c r="E304" t="s">
        <v>54</v>
      </c>
      <c r="F304" t="s">
        <v>55</v>
      </c>
      <c r="G304" t="s">
        <v>31</v>
      </c>
      <c r="H304" t="s">
        <v>32</v>
      </c>
      <c r="I304" s="5">
        <v>232</v>
      </c>
      <c r="J304" s="5">
        <v>156</v>
      </c>
      <c r="K304" s="5">
        <v>18</v>
      </c>
      <c r="L304" s="5">
        <v>3</v>
      </c>
      <c r="M304" s="5">
        <v>3</v>
      </c>
      <c r="N304" s="7">
        <v>1323.96</v>
      </c>
      <c r="O304" s="7">
        <f t="shared" si="30"/>
        <v>3971.88</v>
      </c>
      <c r="P304" s="4">
        <v>0</v>
      </c>
      <c r="Q304" s="7">
        <f t="shared" si="31"/>
        <v>0</v>
      </c>
      <c r="R304" s="7">
        <f t="shared" si="32"/>
        <v>3971.88</v>
      </c>
      <c r="S304" s="7">
        <f t="shared" si="33"/>
        <v>1323.96</v>
      </c>
      <c r="T304" s="6">
        <f t="shared" si="34"/>
        <v>1.2931034482758621E-2</v>
      </c>
      <c r="V304" t="s">
        <v>29</v>
      </c>
    </row>
    <row r="305" spans="1:22">
      <c r="A305" s="3">
        <v>45670</v>
      </c>
      <c r="B305" t="str">
        <f t="shared" si="28"/>
        <v>yyyy-01</v>
      </c>
      <c r="C305">
        <f t="shared" si="29"/>
        <v>3</v>
      </c>
      <c r="D305" t="s">
        <v>53</v>
      </c>
      <c r="E305" t="s">
        <v>56</v>
      </c>
      <c r="F305" t="s">
        <v>57</v>
      </c>
      <c r="G305" t="s">
        <v>27</v>
      </c>
      <c r="H305" t="s">
        <v>63</v>
      </c>
      <c r="I305" s="5">
        <v>145</v>
      </c>
      <c r="J305" s="5">
        <v>99</v>
      </c>
      <c r="K305" s="5">
        <v>12</v>
      </c>
      <c r="L305" s="5">
        <v>1</v>
      </c>
      <c r="M305" s="5">
        <v>1</v>
      </c>
      <c r="N305" s="7">
        <v>722.32</v>
      </c>
      <c r="O305" s="7">
        <f t="shared" si="30"/>
        <v>722.32</v>
      </c>
      <c r="P305" s="4">
        <v>0</v>
      </c>
      <c r="Q305" s="7">
        <f t="shared" si="31"/>
        <v>0</v>
      </c>
      <c r="R305" s="7">
        <f t="shared" si="32"/>
        <v>722.32</v>
      </c>
      <c r="S305" s="7">
        <f t="shared" si="33"/>
        <v>722.32</v>
      </c>
      <c r="T305" s="6">
        <f t="shared" si="34"/>
        <v>6.8965517241379309E-3</v>
      </c>
      <c r="V305" t="s">
        <v>29</v>
      </c>
    </row>
    <row r="306" spans="1:22">
      <c r="A306" s="3">
        <v>45670</v>
      </c>
      <c r="B306" t="str">
        <f t="shared" si="28"/>
        <v>yyyy-01</v>
      </c>
      <c r="C306">
        <f t="shared" si="29"/>
        <v>3</v>
      </c>
      <c r="D306" t="s">
        <v>53</v>
      </c>
      <c r="E306" t="s">
        <v>56</v>
      </c>
      <c r="F306" t="s">
        <v>58</v>
      </c>
      <c r="G306" t="s">
        <v>27</v>
      </c>
      <c r="H306" t="s">
        <v>28</v>
      </c>
      <c r="I306" s="5">
        <v>163</v>
      </c>
      <c r="J306" s="5">
        <v>86</v>
      </c>
      <c r="K306" s="5">
        <v>7</v>
      </c>
      <c r="L306" s="5">
        <v>1</v>
      </c>
      <c r="M306" s="5">
        <v>1</v>
      </c>
      <c r="N306" s="7">
        <v>896.95</v>
      </c>
      <c r="O306" s="7">
        <f t="shared" si="30"/>
        <v>896.95</v>
      </c>
      <c r="P306" s="4">
        <v>0</v>
      </c>
      <c r="Q306" s="7">
        <f t="shared" si="31"/>
        <v>0</v>
      </c>
      <c r="R306" s="7">
        <f t="shared" si="32"/>
        <v>896.95</v>
      </c>
      <c r="S306" s="7">
        <f t="shared" si="33"/>
        <v>896.95</v>
      </c>
      <c r="T306" s="6">
        <f t="shared" si="34"/>
        <v>6.1349693251533744E-3</v>
      </c>
      <c r="V306" t="s">
        <v>29</v>
      </c>
    </row>
    <row r="307" spans="1:22">
      <c r="A307" s="3">
        <v>45670</v>
      </c>
      <c r="B307" t="str">
        <f t="shared" si="28"/>
        <v>yyyy-01</v>
      </c>
      <c r="C307">
        <f t="shared" si="29"/>
        <v>3</v>
      </c>
      <c r="D307" t="s">
        <v>53</v>
      </c>
      <c r="E307" t="s">
        <v>59</v>
      </c>
      <c r="F307" t="s">
        <v>60</v>
      </c>
      <c r="G307" t="s">
        <v>27</v>
      </c>
      <c r="H307" t="s">
        <v>28</v>
      </c>
      <c r="I307" s="5">
        <v>113</v>
      </c>
      <c r="J307" s="5">
        <v>77</v>
      </c>
      <c r="K307" s="5">
        <v>4</v>
      </c>
      <c r="L307" s="5">
        <v>1</v>
      </c>
      <c r="M307" s="5">
        <v>1</v>
      </c>
      <c r="N307" s="7">
        <v>709.66</v>
      </c>
      <c r="O307" s="7">
        <f t="shared" si="30"/>
        <v>709.66</v>
      </c>
      <c r="P307" s="4">
        <v>0</v>
      </c>
      <c r="Q307" s="7">
        <f t="shared" si="31"/>
        <v>0</v>
      </c>
      <c r="R307" s="7">
        <f t="shared" si="32"/>
        <v>709.66</v>
      </c>
      <c r="S307" s="7">
        <f t="shared" si="33"/>
        <v>709.66</v>
      </c>
      <c r="T307" s="6">
        <f t="shared" si="34"/>
        <v>8.8495575221238937E-3</v>
      </c>
      <c r="V307" t="s">
        <v>29</v>
      </c>
    </row>
    <row r="308" spans="1:22">
      <c r="A308" s="3">
        <v>45670</v>
      </c>
      <c r="B308" t="str">
        <f t="shared" si="28"/>
        <v>yyyy-01</v>
      </c>
      <c r="C308">
        <f t="shared" si="29"/>
        <v>3</v>
      </c>
      <c r="D308" t="s">
        <v>53</v>
      </c>
      <c r="E308" t="s">
        <v>61</v>
      </c>
      <c r="F308" t="s">
        <v>62</v>
      </c>
      <c r="G308" t="s">
        <v>27</v>
      </c>
      <c r="H308" t="s">
        <v>63</v>
      </c>
      <c r="I308" s="5">
        <v>120</v>
      </c>
      <c r="J308" s="5">
        <v>76</v>
      </c>
      <c r="K308" s="5">
        <v>7</v>
      </c>
      <c r="L308" s="5">
        <v>1</v>
      </c>
      <c r="M308" s="5">
        <v>1</v>
      </c>
      <c r="N308" s="7">
        <v>481.02</v>
      </c>
      <c r="O308" s="7">
        <f t="shared" si="30"/>
        <v>481.02</v>
      </c>
      <c r="P308" s="4">
        <v>0</v>
      </c>
      <c r="Q308" s="7">
        <f t="shared" si="31"/>
        <v>0</v>
      </c>
      <c r="R308" s="7">
        <f t="shared" si="32"/>
        <v>481.02</v>
      </c>
      <c r="S308" s="7">
        <f t="shared" si="33"/>
        <v>481.02</v>
      </c>
      <c r="T308" s="6">
        <f t="shared" si="34"/>
        <v>8.3333333333333332E-3</v>
      </c>
      <c r="V308" t="s">
        <v>29</v>
      </c>
    </row>
    <row r="309" spans="1:22">
      <c r="A309" s="3">
        <v>45670</v>
      </c>
      <c r="B309" t="str">
        <f t="shared" si="28"/>
        <v>yyyy-01</v>
      </c>
      <c r="C309">
        <f t="shared" si="29"/>
        <v>3</v>
      </c>
      <c r="D309" t="s">
        <v>53</v>
      </c>
      <c r="E309" t="s">
        <v>64</v>
      </c>
      <c r="F309" t="s">
        <v>65</v>
      </c>
      <c r="G309" t="s">
        <v>27</v>
      </c>
      <c r="H309" t="s">
        <v>45</v>
      </c>
      <c r="I309" s="5">
        <v>171</v>
      </c>
      <c r="J309" s="5">
        <v>137</v>
      </c>
      <c r="K309" s="5">
        <v>8</v>
      </c>
      <c r="L309" s="5">
        <v>2</v>
      </c>
      <c r="M309" s="5">
        <v>2</v>
      </c>
      <c r="N309" s="7">
        <v>798.97</v>
      </c>
      <c r="O309" s="7">
        <f t="shared" si="30"/>
        <v>1597.94</v>
      </c>
      <c r="P309" s="4">
        <v>0.05</v>
      </c>
      <c r="Q309" s="7">
        <f t="shared" si="31"/>
        <v>79.897000000000006</v>
      </c>
      <c r="R309" s="7">
        <f t="shared" si="32"/>
        <v>1518.0430000000001</v>
      </c>
      <c r="S309" s="7">
        <f t="shared" si="33"/>
        <v>759.02150000000006</v>
      </c>
      <c r="T309" s="6">
        <f t="shared" si="34"/>
        <v>1.1695906432748537E-2</v>
      </c>
      <c r="V309" t="s">
        <v>29</v>
      </c>
    </row>
    <row r="310" spans="1:22">
      <c r="A310" s="3">
        <v>45670</v>
      </c>
      <c r="B310" t="str">
        <f t="shared" si="28"/>
        <v>yyyy-01</v>
      </c>
      <c r="C310">
        <f t="shared" si="29"/>
        <v>3</v>
      </c>
      <c r="D310" t="s">
        <v>66</v>
      </c>
      <c r="E310" t="s">
        <v>67</v>
      </c>
      <c r="F310" t="s">
        <v>68</v>
      </c>
      <c r="G310" t="s">
        <v>27</v>
      </c>
      <c r="H310" t="s">
        <v>28</v>
      </c>
      <c r="I310" s="5">
        <v>367</v>
      </c>
      <c r="J310" s="5">
        <v>271</v>
      </c>
      <c r="K310" s="5">
        <v>32</v>
      </c>
      <c r="L310" s="5">
        <v>8</v>
      </c>
      <c r="M310" s="5">
        <v>8</v>
      </c>
      <c r="N310" s="7">
        <v>692.97</v>
      </c>
      <c r="O310" s="7">
        <f t="shared" si="30"/>
        <v>5543.76</v>
      </c>
      <c r="P310" s="4">
        <v>0</v>
      </c>
      <c r="Q310" s="7">
        <f t="shared" si="31"/>
        <v>0</v>
      </c>
      <c r="R310" s="7">
        <f t="shared" si="32"/>
        <v>5543.76</v>
      </c>
      <c r="S310" s="7">
        <f t="shared" si="33"/>
        <v>692.97</v>
      </c>
      <c r="T310" s="6">
        <f t="shared" si="34"/>
        <v>2.1798365122615803E-2</v>
      </c>
      <c r="V310" t="s">
        <v>29</v>
      </c>
    </row>
    <row r="311" spans="1:22">
      <c r="A311" s="3">
        <v>45670</v>
      </c>
      <c r="B311" t="str">
        <f t="shared" si="28"/>
        <v>yyyy-01</v>
      </c>
      <c r="C311">
        <f t="shared" si="29"/>
        <v>3</v>
      </c>
      <c r="D311" t="s">
        <v>66</v>
      </c>
      <c r="E311" t="s">
        <v>67</v>
      </c>
      <c r="F311" t="s">
        <v>69</v>
      </c>
      <c r="G311" t="s">
        <v>27</v>
      </c>
      <c r="H311" t="s">
        <v>45</v>
      </c>
      <c r="I311" s="5">
        <v>247</v>
      </c>
      <c r="J311" s="5">
        <v>195</v>
      </c>
      <c r="K311" s="5">
        <v>22</v>
      </c>
      <c r="L311" s="5">
        <v>5</v>
      </c>
      <c r="M311" s="5">
        <v>5</v>
      </c>
      <c r="N311" s="7">
        <v>391.06</v>
      </c>
      <c r="O311" s="7">
        <f t="shared" si="30"/>
        <v>1955.3</v>
      </c>
      <c r="P311" s="4">
        <v>0.05</v>
      </c>
      <c r="Q311" s="7">
        <f t="shared" si="31"/>
        <v>97.765000000000001</v>
      </c>
      <c r="R311" s="7">
        <f t="shared" si="32"/>
        <v>1857.5349999999999</v>
      </c>
      <c r="S311" s="7">
        <f t="shared" si="33"/>
        <v>371.50699999999995</v>
      </c>
      <c r="T311" s="6">
        <f t="shared" si="34"/>
        <v>2.0242914979757085E-2</v>
      </c>
      <c r="V311" t="s">
        <v>29</v>
      </c>
    </row>
    <row r="312" spans="1:22">
      <c r="A312" s="3">
        <v>45670</v>
      </c>
      <c r="B312" t="str">
        <f t="shared" si="28"/>
        <v>yyyy-01</v>
      </c>
      <c r="C312">
        <f t="shared" si="29"/>
        <v>3</v>
      </c>
      <c r="D312" t="s">
        <v>66</v>
      </c>
      <c r="E312" t="s">
        <v>67</v>
      </c>
      <c r="F312" t="s">
        <v>70</v>
      </c>
      <c r="G312" t="s">
        <v>36</v>
      </c>
      <c r="H312" t="s">
        <v>37</v>
      </c>
      <c r="I312" s="5">
        <v>426</v>
      </c>
      <c r="J312" s="5">
        <v>315</v>
      </c>
      <c r="K312" s="5">
        <v>24</v>
      </c>
      <c r="L312" s="5">
        <v>6</v>
      </c>
      <c r="M312" s="5">
        <v>6</v>
      </c>
      <c r="N312" s="7">
        <v>342.58</v>
      </c>
      <c r="O312" s="7">
        <f t="shared" si="30"/>
        <v>2055.48</v>
      </c>
      <c r="P312" s="4">
        <v>0.03</v>
      </c>
      <c r="Q312" s="7">
        <f t="shared" si="31"/>
        <v>61.664400000000001</v>
      </c>
      <c r="R312" s="7">
        <f t="shared" si="32"/>
        <v>1993.8155999999999</v>
      </c>
      <c r="S312" s="7">
        <f t="shared" si="33"/>
        <v>332.30259999999998</v>
      </c>
      <c r="T312" s="6">
        <f t="shared" si="34"/>
        <v>1.4084507042253521E-2</v>
      </c>
      <c r="V312" t="s">
        <v>78</v>
      </c>
    </row>
    <row r="313" spans="1:22">
      <c r="A313" s="3">
        <v>45670</v>
      </c>
      <c r="B313" t="str">
        <f t="shared" si="28"/>
        <v>yyyy-01</v>
      </c>
      <c r="C313">
        <f t="shared" si="29"/>
        <v>3</v>
      </c>
      <c r="D313" t="s">
        <v>66</v>
      </c>
      <c r="E313" t="s">
        <v>71</v>
      </c>
      <c r="F313" t="s">
        <v>72</v>
      </c>
      <c r="G313" t="s">
        <v>27</v>
      </c>
      <c r="H313" t="s">
        <v>28</v>
      </c>
      <c r="I313" s="5">
        <v>337</v>
      </c>
      <c r="J313" s="5">
        <v>268</v>
      </c>
      <c r="K313" s="5">
        <v>27</v>
      </c>
      <c r="L313" s="5">
        <v>7</v>
      </c>
      <c r="M313" s="5">
        <v>7</v>
      </c>
      <c r="N313" s="7">
        <v>130.49</v>
      </c>
      <c r="O313" s="7">
        <f t="shared" si="30"/>
        <v>913.43000000000006</v>
      </c>
      <c r="P313" s="4">
        <v>0.03</v>
      </c>
      <c r="Q313" s="7">
        <f t="shared" si="31"/>
        <v>27.402900000000002</v>
      </c>
      <c r="R313" s="7">
        <f t="shared" si="32"/>
        <v>886.02710000000002</v>
      </c>
      <c r="S313" s="7">
        <f t="shared" si="33"/>
        <v>126.5753</v>
      </c>
      <c r="T313" s="6">
        <f t="shared" si="34"/>
        <v>2.0771513353115726E-2</v>
      </c>
      <c r="V313" t="s">
        <v>29</v>
      </c>
    </row>
    <row r="314" spans="1:22">
      <c r="A314" s="3">
        <v>45670</v>
      </c>
      <c r="B314" t="str">
        <f t="shared" si="28"/>
        <v>yyyy-01</v>
      </c>
      <c r="C314">
        <f t="shared" si="29"/>
        <v>3</v>
      </c>
      <c r="D314" t="s">
        <v>66</v>
      </c>
      <c r="E314" t="s">
        <v>73</v>
      </c>
      <c r="F314" t="s">
        <v>74</v>
      </c>
      <c r="G314" t="s">
        <v>31</v>
      </c>
      <c r="H314" t="s">
        <v>32</v>
      </c>
      <c r="I314" s="5">
        <v>276</v>
      </c>
      <c r="J314" s="5">
        <v>176</v>
      </c>
      <c r="K314" s="5">
        <v>19</v>
      </c>
      <c r="L314" s="5">
        <v>4</v>
      </c>
      <c r="M314" s="5">
        <v>4</v>
      </c>
      <c r="N314" s="7">
        <v>1190.81</v>
      </c>
      <c r="O314" s="7">
        <f t="shared" si="30"/>
        <v>4763.24</v>
      </c>
      <c r="P314" s="4">
        <v>0</v>
      </c>
      <c r="Q314" s="7">
        <f t="shared" si="31"/>
        <v>0</v>
      </c>
      <c r="R314" s="7">
        <f t="shared" si="32"/>
        <v>4763.24</v>
      </c>
      <c r="S314" s="7">
        <f t="shared" si="33"/>
        <v>1190.81</v>
      </c>
      <c r="T314" s="6">
        <f t="shared" si="34"/>
        <v>1.4492753623188406E-2</v>
      </c>
      <c r="V314" t="s">
        <v>29</v>
      </c>
    </row>
    <row r="315" spans="1:22">
      <c r="A315" s="3">
        <v>45670</v>
      </c>
      <c r="B315" t="str">
        <f t="shared" si="28"/>
        <v>yyyy-01</v>
      </c>
      <c r="C315">
        <f t="shared" si="29"/>
        <v>3</v>
      </c>
      <c r="D315" t="s">
        <v>66</v>
      </c>
      <c r="E315" t="s">
        <v>71</v>
      </c>
      <c r="F315" t="s">
        <v>75</v>
      </c>
      <c r="G315" t="s">
        <v>27</v>
      </c>
      <c r="H315" t="s">
        <v>48</v>
      </c>
      <c r="I315" s="5">
        <v>235</v>
      </c>
      <c r="J315" s="5">
        <v>188</v>
      </c>
      <c r="K315" s="5">
        <v>18</v>
      </c>
      <c r="L315" s="5">
        <v>4</v>
      </c>
      <c r="M315" s="5">
        <v>4</v>
      </c>
      <c r="N315" s="7">
        <v>39.020000000000003</v>
      </c>
      <c r="O315" s="7">
        <f t="shared" si="30"/>
        <v>156.08000000000001</v>
      </c>
      <c r="P315" s="4">
        <v>0.05</v>
      </c>
      <c r="Q315" s="7">
        <f t="shared" si="31"/>
        <v>7.8040000000000012</v>
      </c>
      <c r="R315" s="7">
        <f t="shared" si="32"/>
        <v>148.27600000000001</v>
      </c>
      <c r="S315" s="7">
        <f t="shared" si="33"/>
        <v>37.069000000000003</v>
      </c>
      <c r="T315" s="6">
        <f t="shared" si="34"/>
        <v>1.7021276595744681E-2</v>
      </c>
      <c r="V315" t="s">
        <v>29</v>
      </c>
    </row>
    <row r="316" spans="1:22">
      <c r="A316" s="3">
        <v>45670</v>
      </c>
      <c r="B316" t="str">
        <f t="shared" si="28"/>
        <v>yyyy-01</v>
      </c>
      <c r="C316">
        <f t="shared" si="29"/>
        <v>3</v>
      </c>
      <c r="D316" t="s">
        <v>24</v>
      </c>
      <c r="E316" t="s">
        <v>76</v>
      </c>
      <c r="F316" t="s">
        <v>77</v>
      </c>
      <c r="G316" t="s">
        <v>31</v>
      </c>
      <c r="H316" t="s">
        <v>32</v>
      </c>
      <c r="I316" s="5">
        <v>668</v>
      </c>
      <c r="J316" s="5">
        <v>550</v>
      </c>
      <c r="K316" s="5">
        <v>42</v>
      </c>
      <c r="L316" s="5">
        <v>17</v>
      </c>
      <c r="M316" s="5">
        <v>19</v>
      </c>
      <c r="N316" s="7">
        <v>201.13</v>
      </c>
      <c r="O316" s="7">
        <f t="shared" si="30"/>
        <v>3821.47</v>
      </c>
      <c r="P316" s="4">
        <v>0</v>
      </c>
      <c r="Q316" s="7">
        <f t="shared" si="31"/>
        <v>0</v>
      </c>
      <c r="R316" s="7">
        <f t="shared" si="32"/>
        <v>3821.47</v>
      </c>
      <c r="S316" s="7">
        <f t="shared" si="33"/>
        <v>224.79235294117646</v>
      </c>
      <c r="T316" s="6">
        <f t="shared" si="34"/>
        <v>2.5449101796407185E-2</v>
      </c>
      <c r="V316" t="s">
        <v>29</v>
      </c>
    </row>
    <row r="317" spans="1:22">
      <c r="A317" s="3">
        <v>45671</v>
      </c>
      <c r="B317" t="str">
        <f t="shared" si="28"/>
        <v>yyyy-01</v>
      </c>
      <c r="C317">
        <f t="shared" si="29"/>
        <v>3</v>
      </c>
      <c r="D317" t="s">
        <v>24</v>
      </c>
      <c r="E317" t="s">
        <v>25</v>
      </c>
      <c r="F317" t="s">
        <v>26</v>
      </c>
      <c r="G317" t="s">
        <v>36</v>
      </c>
      <c r="H317" t="s">
        <v>37</v>
      </c>
      <c r="I317" s="5">
        <v>1658</v>
      </c>
      <c r="J317" s="5">
        <v>1151</v>
      </c>
      <c r="K317" s="5">
        <v>143</v>
      </c>
      <c r="L317" s="5">
        <v>37</v>
      </c>
      <c r="M317" s="5">
        <v>37</v>
      </c>
      <c r="N317" s="7">
        <v>994.51</v>
      </c>
      <c r="O317" s="7">
        <f t="shared" si="30"/>
        <v>36796.870000000003</v>
      </c>
      <c r="P317" s="4">
        <v>0.12</v>
      </c>
      <c r="Q317" s="7">
        <f t="shared" si="31"/>
        <v>4415.6244000000006</v>
      </c>
      <c r="R317" s="7">
        <f t="shared" si="32"/>
        <v>32381.245600000002</v>
      </c>
      <c r="S317" s="7">
        <f t="shared" si="33"/>
        <v>875.16880000000003</v>
      </c>
      <c r="T317" s="6">
        <f t="shared" si="34"/>
        <v>2.2316043425814235E-2</v>
      </c>
      <c r="U317" t="s">
        <v>79</v>
      </c>
      <c r="V317" t="s">
        <v>29</v>
      </c>
    </row>
    <row r="318" spans="1:22">
      <c r="A318" s="3">
        <v>45671</v>
      </c>
      <c r="B318" t="str">
        <f t="shared" si="28"/>
        <v>yyyy-01</v>
      </c>
      <c r="C318">
        <f t="shared" si="29"/>
        <v>3</v>
      </c>
      <c r="D318" t="s">
        <v>24</v>
      </c>
      <c r="E318" t="s">
        <v>25</v>
      </c>
      <c r="F318" t="s">
        <v>30</v>
      </c>
      <c r="G318" t="s">
        <v>27</v>
      </c>
      <c r="H318" t="s">
        <v>28</v>
      </c>
      <c r="I318" s="5">
        <v>1383</v>
      </c>
      <c r="J318" s="5">
        <v>802</v>
      </c>
      <c r="K318" s="5">
        <v>180</v>
      </c>
      <c r="L318" s="5">
        <v>42</v>
      </c>
      <c r="M318" s="5">
        <v>42</v>
      </c>
      <c r="N318" s="7">
        <v>383.19</v>
      </c>
      <c r="O318" s="7">
        <f t="shared" si="30"/>
        <v>16093.98</v>
      </c>
      <c r="P318" s="4">
        <v>0.12</v>
      </c>
      <c r="Q318" s="7">
        <f t="shared" si="31"/>
        <v>1931.2775999999999</v>
      </c>
      <c r="R318" s="7">
        <f t="shared" si="32"/>
        <v>14162.7024</v>
      </c>
      <c r="S318" s="7">
        <f t="shared" si="33"/>
        <v>337.2072</v>
      </c>
      <c r="T318" s="6">
        <f t="shared" si="34"/>
        <v>3.0368763557483729E-2</v>
      </c>
      <c r="U318" t="s">
        <v>79</v>
      </c>
      <c r="V318" t="s">
        <v>29</v>
      </c>
    </row>
    <row r="319" spans="1:22">
      <c r="A319" s="3">
        <v>45671</v>
      </c>
      <c r="B319" t="str">
        <f t="shared" si="28"/>
        <v>yyyy-01</v>
      </c>
      <c r="C319">
        <f t="shared" si="29"/>
        <v>3</v>
      </c>
      <c r="D319" t="s">
        <v>24</v>
      </c>
      <c r="E319" t="s">
        <v>25</v>
      </c>
      <c r="F319" t="s">
        <v>33</v>
      </c>
      <c r="G319" t="s">
        <v>36</v>
      </c>
      <c r="H319" t="s">
        <v>37</v>
      </c>
      <c r="I319" s="5">
        <v>1261</v>
      </c>
      <c r="J319" s="5">
        <v>998</v>
      </c>
      <c r="K319" s="5">
        <v>92</v>
      </c>
      <c r="L319" s="5">
        <v>39</v>
      </c>
      <c r="M319" s="5">
        <v>39</v>
      </c>
      <c r="N319" s="7">
        <v>1818.68</v>
      </c>
      <c r="O319" s="7">
        <f t="shared" si="30"/>
        <v>70928.52</v>
      </c>
      <c r="P319" s="4">
        <v>0.12</v>
      </c>
      <c r="Q319" s="7">
        <f t="shared" si="31"/>
        <v>8511.4223999999995</v>
      </c>
      <c r="R319" s="7">
        <f t="shared" si="32"/>
        <v>62417.097600000008</v>
      </c>
      <c r="S319" s="7">
        <f t="shared" si="33"/>
        <v>1600.4384000000002</v>
      </c>
      <c r="T319" s="6">
        <f t="shared" si="34"/>
        <v>3.0927835051546393E-2</v>
      </c>
      <c r="U319" t="s">
        <v>79</v>
      </c>
      <c r="V319" t="s">
        <v>29</v>
      </c>
    </row>
    <row r="320" spans="1:22">
      <c r="A320" s="3">
        <v>45671</v>
      </c>
      <c r="B320" t="str">
        <f t="shared" si="28"/>
        <v>yyyy-01</v>
      </c>
      <c r="C320">
        <f t="shared" si="29"/>
        <v>3</v>
      </c>
      <c r="D320" t="s">
        <v>24</v>
      </c>
      <c r="E320" t="s">
        <v>34</v>
      </c>
      <c r="F320" t="s">
        <v>35</v>
      </c>
      <c r="G320" t="s">
        <v>27</v>
      </c>
      <c r="H320" t="s">
        <v>45</v>
      </c>
      <c r="I320" s="5">
        <v>974</v>
      </c>
      <c r="J320" s="5">
        <v>803</v>
      </c>
      <c r="K320" s="5">
        <v>95</v>
      </c>
      <c r="L320" s="5">
        <v>19</v>
      </c>
      <c r="M320" s="5">
        <v>19</v>
      </c>
      <c r="N320" s="7">
        <v>870.72</v>
      </c>
      <c r="O320" s="7">
        <f t="shared" si="30"/>
        <v>16543.68</v>
      </c>
      <c r="P320" s="4">
        <v>0</v>
      </c>
      <c r="Q320" s="7">
        <f t="shared" si="31"/>
        <v>0</v>
      </c>
      <c r="R320" s="7">
        <f t="shared" si="32"/>
        <v>16543.68</v>
      </c>
      <c r="S320" s="7">
        <f t="shared" si="33"/>
        <v>870.72</v>
      </c>
      <c r="T320" s="6">
        <f t="shared" si="34"/>
        <v>1.9507186858316223E-2</v>
      </c>
      <c r="V320" t="s">
        <v>29</v>
      </c>
    </row>
    <row r="321" spans="1:22">
      <c r="A321" s="3">
        <v>45671</v>
      </c>
      <c r="B321" t="str">
        <f t="shared" si="28"/>
        <v>yyyy-01</v>
      </c>
      <c r="C321">
        <f t="shared" si="29"/>
        <v>3</v>
      </c>
      <c r="D321" t="s">
        <v>24</v>
      </c>
      <c r="E321" t="s">
        <v>38</v>
      </c>
      <c r="F321" t="s">
        <v>39</v>
      </c>
      <c r="G321" t="s">
        <v>36</v>
      </c>
      <c r="H321" t="s">
        <v>37</v>
      </c>
      <c r="I321" s="5">
        <v>920</v>
      </c>
      <c r="J321" s="5">
        <v>678</v>
      </c>
      <c r="K321" s="5">
        <v>89</v>
      </c>
      <c r="L321" s="5">
        <v>18</v>
      </c>
      <c r="M321" s="5">
        <v>18</v>
      </c>
      <c r="N321" s="7">
        <v>317.73</v>
      </c>
      <c r="O321" s="7">
        <f t="shared" si="30"/>
        <v>5719.14</v>
      </c>
      <c r="P321" s="4">
        <v>0</v>
      </c>
      <c r="Q321" s="7">
        <f t="shared" si="31"/>
        <v>0</v>
      </c>
      <c r="R321" s="7">
        <f t="shared" si="32"/>
        <v>5719.14</v>
      </c>
      <c r="S321" s="7">
        <f t="shared" si="33"/>
        <v>317.73</v>
      </c>
      <c r="T321" s="6">
        <f t="shared" si="34"/>
        <v>1.9565217391304349E-2</v>
      </c>
      <c r="V321" t="s">
        <v>29</v>
      </c>
    </row>
    <row r="322" spans="1:22">
      <c r="A322" s="3">
        <v>45671</v>
      </c>
      <c r="B322" t="str">
        <f t="shared" si="28"/>
        <v>yyyy-01</v>
      </c>
      <c r="C322">
        <f t="shared" si="29"/>
        <v>3</v>
      </c>
      <c r="D322" t="s">
        <v>24</v>
      </c>
      <c r="E322" t="s">
        <v>40</v>
      </c>
      <c r="F322" t="s">
        <v>41</v>
      </c>
      <c r="G322" t="s">
        <v>31</v>
      </c>
      <c r="H322" t="s">
        <v>32</v>
      </c>
      <c r="I322" s="5">
        <v>681</v>
      </c>
      <c r="J322" s="5">
        <v>473</v>
      </c>
      <c r="K322" s="5">
        <v>49</v>
      </c>
      <c r="L322" s="5">
        <v>10</v>
      </c>
      <c r="M322" s="5">
        <v>11</v>
      </c>
      <c r="N322" s="7">
        <v>175.22</v>
      </c>
      <c r="O322" s="7">
        <f t="shared" si="30"/>
        <v>1927.42</v>
      </c>
      <c r="P322" s="4">
        <v>0</v>
      </c>
      <c r="Q322" s="7">
        <f t="shared" si="31"/>
        <v>0</v>
      </c>
      <c r="R322" s="7">
        <f t="shared" si="32"/>
        <v>1927.42</v>
      </c>
      <c r="S322" s="7">
        <f t="shared" si="33"/>
        <v>192.74200000000002</v>
      </c>
      <c r="T322" s="6">
        <f t="shared" si="34"/>
        <v>1.4684287812041116E-2</v>
      </c>
      <c r="V322" t="s">
        <v>78</v>
      </c>
    </row>
    <row r="323" spans="1:22">
      <c r="A323" s="3">
        <v>45671</v>
      </c>
      <c r="B323" t="str">
        <f t="shared" si="28"/>
        <v>yyyy-01</v>
      </c>
      <c r="C323">
        <f t="shared" si="29"/>
        <v>3</v>
      </c>
      <c r="D323" t="s">
        <v>42</v>
      </c>
      <c r="E323" t="s">
        <v>43</v>
      </c>
      <c r="F323" t="s">
        <v>44</v>
      </c>
      <c r="G323" t="s">
        <v>27</v>
      </c>
      <c r="H323" t="s">
        <v>45</v>
      </c>
      <c r="I323" s="5">
        <v>398</v>
      </c>
      <c r="J323" s="5">
        <v>240</v>
      </c>
      <c r="K323" s="5">
        <v>25</v>
      </c>
      <c r="L323" s="5">
        <v>5</v>
      </c>
      <c r="M323" s="5">
        <v>5</v>
      </c>
      <c r="N323" s="7">
        <v>1292.6099999999999</v>
      </c>
      <c r="O323" s="7">
        <f t="shared" si="30"/>
        <v>6463.0499999999993</v>
      </c>
      <c r="P323" s="4">
        <v>0.1</v>
      </c>
      <c r="Q323" s="7">
        <f t="shared" si="31"/>
        <v>646.30499999999995</v>
      </c>
      <c r="R323" s="7">
        <f t="shared" si="32"/>
        <v>5816.744999999999</v>
      </c>
      <c r="S323" s="7">
        <f t="shared" si="33"/>
        <v>1163.3489999999997</v>
      </c>
      <c r="T323" s="6">
        <f t="shared" si="34"/>
        <v>1.2562814070351759E-2</v>
      </c>
      <c r="U323" t="s">
        <v>80</v>
      </c>
      <c r="V323" t="s">
        <v>29</v>
      </c>
    </row>
    <row r="324" spans="1:22">
      <c r="A324" s="3">
        <v>45671</v>
      </c>
      <c r="B324" t="str">
        <f t="shared" si="28"/>
        <v>yyyy-01</v>
      </c>
      <c r="C324">
        <f t="shared" si="29"/>
        <v>3</v>
      </c>
      <c r="D324" t="s">
        <v>42</v>
      </c>
      <c r="E324" t="s">
        <v>43</v>
      </c>
      <c r="F324" t="s">
        <v>46</v>
      </c>
      <c r="G324" t="s">
        <v>31</v>
      </c>
      <c r="H324" t="s">
        <v>32</v>
      </c>
      <c r="I324" s="5">
        <v>461</v>
      </c>
      <c r="J324" s="5">
        <v>306</v>
      </c>
      <c r="K324" s="5">
        <v>36</v>
      </c>
      <c r="L324" s="5">
        <v>8</v>
      </c>
      <c r="M324" s="5">
        <v>8</v>
      </c>
      <c r="N324" s="7">
        <v>2138.44</v>
      </c>
      <c r="O324" s="7">
        <f t="shared" si="30"/>
        <v>17107.52</v>
      </c>
      <c r="P324" s="4">
        <v>0.1</v>
      </c>
      <c r="Q324" s="7">
        <f t="shared" si="31"/>
        <v>1710.7520000000002</v>
      </c>
      <c r="R324" s="7">
        <f t="shared" si="32"/>
        <v>15396.768</v>
      </c>
      <c r="S324" s="7">
        <f t="shared" si="33"/>
        <v>1924.596</v>
      </c>
      <c r="T324" s="6">
        <f t="shared" si="34"/>
        <v>1.735357917570499E-2</v>
      </c>
      <c r="U324" t="s">
        <v>80</v>
      </c>
      <c r="V324" t="s">
        <v>29</v>
      </c>
    </row>
    <row r="325" spans="1:22">
      <c r="A325" s="3">
        <v>45671</v>
      </c>
      <c r="B325" t="str">
        <f t="shared" ref="B325:B388" si="35">TEXT(A325,"yyyy-mm")</f>
        <v>yyyy-01</v>
      </c>
      <c r="C325">
        <f t="shared" ref="C325:C388" si="36">WEEKNUM(A325,2)</f>
        <v>3</v>
      </c>
      <c r="D325" t="s">
        <v>42</v>
      </c>
      <c r="E325" t="s">
        <v>43</v>
      </c>
      <c r="F325" t="s">
        <v>47</v>
      </c>
      <c r="G325" t="s">
        <v>36</v>
      </c>
      <c r="H325" t="s">
        <v>37</v>
      </c>
      <c r="I325" s="5">
        <v>520</v>
      </c>
      <c r="J325" s="5">
        <v>380</v>
      </c>
      <c r="K325" s="5">
        <v>45</v>
      </c>
      <c r="L325" s="5">
        <v>11</v>
      </c>
      <c r="M325" s="5">
        <v>11</v>
      </c>
      <c r="N325" s="7">
        <v>605.08000000000004</v>
      </c>
      <c r="O325" s="7">
        <f t="shared" ref="O325:O388" si="37">M325*N325</f>
        <v>6655.88</v>
      </c>
      <c r="P325" s="4">
        <v>0.1</v>
      </c>
      <c r="Q325" s="7">
        <f t="shared" ref="Q325:Q388" si="38">O325*P325</f>
        <v>665.58800000000008</v>
      </c>
      <c r="R325" s="7">
        <f t="shared" ref="R325:R388" si="39">O325-Q325</f>
        <v>5990.2920000000004</v>
      </c>
      <c r="S325" s="7">
        <f t="shared" ref="S325:S388" si="40">IFERROR(R325/L325,0)</f>
        <v>544.572</v>
      </c>
      <c r="T325" s="6">
        <f t="shared" ref="T325:T388" si="41">IFERROR(L325/I325,0)</f>
        <v>2.1153846153846155E-2</v>
      </c>
      <c r="U325" t="s">
        <v>80</v>
      </c>
      <c r="V325" t="s">
        <v>29</v>
      </c>
    </row>
    <row r="326" spans="1:22">
      <c r="A326" s="3">
        <v>45671</v>
      </c>
      <c r="B326" t="str">
        <f t="shared" si="35"/>
        <v>yyyy-01</v>
      </c>
      <c r="C326">
        <f t="shared" si="36"/>
        <v>3</v>
      </c>
      <c r="D326" t="s">
        <v>42</v>
      </c>
      <c r="E326" t="s">
        <v>49</v>
      </c>
      <c r="F326" t="s">
        <v>50</v>
      </c>
      <c r="G326" t="s">
        <v>36</v>
      </c>
      <c r="H326" t="s">
        <v>37</v>
      </c>
      <c r="I326" s="5">
        <v>164</v>
      </c>
      <c r="J326" s="5">
        <v>134</v>
      </c>
      <c r="K326" s="5">
        <v>9</v>
      </c>
      <c r="L326" s="5">
        <v>2</v>
      </c>
      <c r="M326" s="5">
        <v>2</v>
      </c>
      <c r="N326" s="7">
        <v>1008.2</v>
      </c>
      <c r="O326" s="7">
        <f t="shared" si="37"/>
        <v>2016.4</v>
      </c>
      <c r="P326" s="4">
        <v>0</v>
      </c>
      <c r="Q326" s="7">
        <f t="shared" si="38"/>
        <v>0</v>
      </c>
      <c r="R326" s="7">
        <f t="shared" si="39"/>
        <v>2016.4</v>
      </c>
      <c r="S326" s="7">
        <f t="shared" si="40"/>
        <v>1008.2</v>
      </c>
      <c r="T326" s="6">
        <f t="shared" si="41"/>
        <v>1.2195121951219513E-2</v>
      </c>
      <c r="V326" t="s">
        <v>29</v>
      </c>
    </row>
    <row r="327" spans="1:22">
      <c r="A327" s="3">
        <v>45671</v>
      </c>
      <c r="B327" t="str">
        <f t="shared" si="35"/>
        <v>yyyy-01</v>
      </c>
      <c r="C327">
        <f t="shared" si="36"/>
        <v>3</v>
      </c>
      <c r="D327" t="s">
        <v>42</v>
      </c>
      <c r="E327" t="s">
        <v>51</v>
      </c>
      <c r="F327" t="s">
        <v>52</v>
      </c>
      <c r="G327" t="s">
        <v>31</v>
      </c>
      <c r="H327" t="s">
        <v>32</v>
      </c>
      <c r="I327" s="5">
        <v>238</v>
      </c>
      <c r="J327" s="5">
        <v>130</v>
      </c>
      <c r="K327" s="5">
        <v>13</v>
      </c>
      <c r="L327" s="5">
        <v>3</v>
      </c>
      <c r="M327" s="5">
        <v>3</v>
      </c>
      <c r="N327" s="7">
        <v>577.26</v>
      </c>
      <c r="O327" s="7">
        <f t="shared" si="37"/>
        <v>1731.78</v>
      </c>
      <c r="P327" s="4">
        <v>0</v>
      </c>
      <c r="Q327" s="7">
        <f t="shared" si="38"/>
        <v>0</v>
      </c>
      <c r="R327" s="7">
        <f t="shared" si="39"/>
        <v>1731.78</v>
      </c>
      <c r="S327" s="7">
        <f t="shared" si="40"/>
        <v>577.26</v>
      </c>
      <c r="T327" s="6">
        <f t="shared" si="41"/>
        <v>1.2605042016806723E-2</v>
      </c>
      <c r="V327" t="s">
        <v>29</v>
      </c>
    </row>
    <row r="328" spans="1:22">
      <c r="A328" s="3">
        <v>45671</v>
      </c>
      <c r="B328" t="str">
        <f t="shared" si="35"/>
        <v>yyyy-01</v>
      </c>
      <c r="C328">
        <f t="shared" si="36"/>
        <v>3</v>
      </c>
      <c r="D328" t="s">
        <v>53</v>
      </c>
      <c r="E328" t="s">
        <v>54</v>
      </c>
      <c r="F328" t="s">
        <v>55</v>
      </c>
      <c r="G328" t="s">
        <v>27</v>
      </c>
      <c r="H328" t="s">
        <v>45</v>
      </c>
      <c r="I328" s="5">
        <v>138</v>
      </c>
      <c r="J328" s="5">
        <v>106</v>
      </c>
      <c r="K328" s="5">
        <v>10</v>
      </c>
      <c r="L328" s="5">
        <v>1</v>
      </c>
      <c r="M328" s="5">
        <v>1</v>
      </c>
      <c r="N328" s="7">
        <v>1292.43</v>
      </c>
      <c r="O328" s="7">
        <f t="shared" si="37"/>
        <v>1292.43</v>
      </c>
      <c r="P328" s="4">
        <v>0</v>
      </c>
      <c r="Q328" s="7">
        <f t="shared" si="38"/>
        <v>0</v>
      </c>
      <c r="R328" s="7">
        <f t="shared" si="39"/>
        <v>1292.43</v>
      </c>
      <c r="S328" s="7">
        <f t="shared" si="40"/>
        <v>1292.43</v>
      </c>
      <c r="T328" s="6">
        <f t="shared" si="41"/>
        <v>7.246376811594203E-3</v>
      </c>
      <c r="V328" t="s">
        <v>29</v>
      </c>
    </row>
    <row r="329" spans="1:22">
      <c r="A329" s="3">
        <v>45671</v>
      </c>
      <c r="B329" t="str">
        <f t="shared" si="35"/>
        <v>yyyy-01</v>
      </c>
      <c r="C329">
        <f t="shared" si="36"/>
        <v>3</v>
      </c>
      <c r="D329" t="s">
        <v>53</v>
      </c>
      <c r="E329" t="s">
        <v>56</v>
      </c>
      <c r="F329" t="s">
        <v>57</v>
      </c>
      <c r="G329" t="s">
        <v>36</v>
      </c>
      <c r="H329" t="s">
        <v>37</v>
      </c>
      <c r="I329" s="5">
        <v>267</v>
      </c>
      <c r="J329" s="5">
        <v>175</v>
      </c>
      <c r="K329" s="5">
        <v>19</v>
      </c>
      <c r="L329" s="5">
        <v>2</v>
      </c>
      <c r="M329" s="5">
        <v>2</v>
      </c>
      <c r="N329" s="7">
        <v>733.94</v>
      </c>
      <c r="O329" s="7">
        <f t="shared" si="37"/>
        <v>1467.88</v>
      </c>
      <c r="P329" s="4">
        <v>0</v>
      </c>
      <c r="Q329" s="7">
        <f t="shared" si="38"/>
        <v>0</v>
      </c>
      <c r="R329" s="7">
        <f t="shared" si="39"/>
        <v>1467.88</v>
      </c>
      <c r="S329" s="7">
        <f t="shared" si="40"/>
        <v>733.94</v>
      </c>
      <c r="T329" s="6">
        <f t="shared" si="41"/>
        <v>7.4906367041198503E-3</v>
      </c>
      <c r="V329" t="s">
        <v>78</v>
      </c>
    </row>
    <row r="330" spans="1:22">
      <c r="A330" s="3">
        <v>45671</v>
      </c>
      <c r="B330" t="str">
        <f t="shared" si="35"/>
        <v>yyyy-01</v>
      </c>
      <c r="C330">
        <f t="shared" si="36"/>
        <v>3</v>
      </c>
      <c r="D330" t="s">
        <v>53</v>
      </c>
      <c r="E330" t="s">
        <v>56</v>
      </c>
      <c r="F330" t="s">
        <v>58</v>
      </c>
      <c r="G330" t="s">
        <v>31</v>
      </c>
      <c r="H330" t="s">
        <v>32</v>
      </c>
      <c r="I330" s="5">
        <v>252</v>
      </c>
      <c r="J330" s="5">
        <v>203</v>
      </c>
      <c r="K330" s="5">
        <v>16</v>
      </c>
      <c r="L330" s="5">
        <v>2</v>
      </c>
      <c r="M330" s="5">
        <v>2</v>
      </c>
      <c r="N330" s="7">
        <v>883.68</v>
      </c>
      <c r="O330" s="7">
        <f t="shared" si="37"/>
        <v>1767.36</v>
      </c>
      <c r="P330" s="4">
        <v>0</v>
      </c>
      <c r="Q330" s="7">
        <f t="shared" si="38"/>
        <v>0</v>
      </c>
      <c r="R330" s="7">
        <f t="shared" si="39"/>
        <v>1767.36</v>
      </c>
      <c r="S330" s="7">
        <f t="shared" si="40"/>
        <v>883.68</v>
      </c>
      <c r="T330" s="6">
        <f t="shared" si="41"/>
        <v>7.9365079365079361E-3</v>
      </c>
      <c r="V330" t="s">
        <v>78</v>
      </c>
    </row>
    <row r="331" spans="1:22">
      <c r="A331" s="3">
        <v>45671</v>
      </c>
      <c r="B331" t="str">
        <f t="shared" si="35"/>
        <v>yyyy-01</v>
      </c>
      <c r="C331">
        <f t="shared" si="36"/>
        <v>3</v>
      </c>
      <c r="D331" t="s">
        <v>53</v>
      </c>
      <c r="E331" t="s">
        <v>59</v>
      </c>
      <c r="F331" t="s">
        <v>60</v>
      </c>
      <c r="G331" t="s">
        <v>36</v>
      </c>
      <c r="H331" t="s">
        <v>37</v>
      </c>
      <c r="I331" s="5">
        <v>158</v>
      </c>
      <c r="J331" s="5">
        <v>125</v>
      </c>
      <c r="K331" s="5">
        <v>7</v>
      </c>
      <c r="L331" s="5">
        <v>1</v>
      </c>
      <c r="M331" s="5">
        <v>1</v>
      </c>
      <c r="N331" s="7">
        <v>683.42</v>
      </c>
      <c r="O331" s="7">
        <f t="shared" si="37"/>
        <v>683.42</v>
      </c>
      <c r="P331" s="4">
        <v>0</v>
      </c>
      <c r="Q331" s="7">
        <f t="shared" si="38"/>
        <v>0</v>
      </c>
      <c r="R331" s="7">
        <f t="shared" si="39"/>
        <v>683.42</v>
      </c>
      <c r="S331" s="7">
        <f t="shared" si="40"/>
        <v>683.42</v>
      </c>
      <c r="T331" s="6">
        <f t="shared" si="41"/>
        <v>6.3291139240506328E-3</v>
      </c>
      <c r="V331" t="s">
        <v>29</v>
      </c>
    </row>
    <row r="332" spans="1:22">
      <c r="A332" s="3">
        <v>45671</v>
      </c>
      <c r="B332" t="str">
        <f t="shared" si="35"/>
        <v>yyyy-01</v>
      </c>
      <c r="C332">
        <f t="shared" si="36"/>
        <v>3</v>
      </c>
      <c r="D332" t="s">
        <v>53</v>
      </c>
      <c r="E332" t="s">
        <v>61</v>
      </c>
      <c r="F332" t="s">
        <v>62</v>
      </c>
      <c r="G332" t="s">
        <v>36</v>
      </c>
      <c r="H332" t="s">
        <v>37</v>
      </c>
      <c r="I332" s="5">
        <v>183</v>
      </c>
      <c r="J332" s="5">
        <v>100</v>
      </c>
      <c r="K332" s="5">
        <v>9</v>
      </c>
      <c r="L332" s="5">
        <v>2</v>
      </c>
      <c r="M332" s="5">
        <v>2</v>
      </c>
      <c r="N332" s="7">
        <v>502.91</v>
      </c>
      <c r="O332" s="7">
        <f t="shared" si="37"/>
        <v>1005.82</v>
      </c>
      <c r="P332" s="4">
        <v>0.03</v>
      </c>
      <c r="Q332" s="7">
        <f t="shared" si="38"/>
        <v>30.174600000000002</v>
      </c>
      <c r="R332" s="7">
        <f t="shared" si="39"/>
        <v>975.6454</v>
      </c>
      <c r="S332" s="7">
        <f t="shared" si="40"/>
        <v>487.8227</v>
      </c>
      <c r="T332" s="6">
        <f t="shared" si="41"/>
        <v>1.092896174863388E-2</v>
      </c>
      <c r="V332" t="s">
        <v>29</v>
      </c>
    </row>
    <row r="333" spans="1:22">
      <c r="A333" s="3">
        <v>45671</v>
      </c>
      <c r="B333" t="str">
        <f t="shared" si="35"/>
        <v>yyyy-01</v>
      </c>
      <c r="C333">
        <f t="shared" si="36"/>
        <v>3</v>
      </c>
      <c r="D333" t="s">
        <v>53</v>
      </c>
      <c r="E333" t="s">
        <v>64</v>
      </c>
      <c r="F333" t="s">
        <v>65</v>
      </c>
      <c r="G333" t="s">
        <v>31</v>
      </c>
      <c r="H333" t="s">
        <v>32</v>
      </c>
      <c r="I333" s="5">
        <v>282</v>
      </c>
      <c r="J333" s="5">
        <v>178</v>
      </c>
      <c r="K333" s="5">
        <v>20</v>
      </c>
      <c r="L333" s="5">
        <v>3</v>
      </c>
      <c r="M333" s="5">
        <v>3</v>
      </c>
      <c r="N333" s="7">
        <v>791.12</v>
      </c>
      <c r="O333" s="7">
        <f t="shared" si="37"/>
        <v>2373.36</v>
      </c>
      <c r="P333" s="4">
        <v>0.03</v>
      </c>
      <c r="Q333" s="7">
        <f t="shared" si="38"/>
        <v>71.200800000000001</v>
      </c>
      <c r="R333" s="7">
        <f t="shared" si="39"/>
        <v>2302.1592000000001</v>
      </c>
      <c r="S333" s="7">
        <f t="shared" si="40"/>
        <v>767.38639999999998</v>
      </c>
      <c r="T333" s="6">
        <f t="shared" si="41"/>
        <v>1.0638297872340425E-2</v>
      </c>
      <c r="V333" t="s">
        <v>29</v>
      </c>
    </row>
    <row r="334" spans="1:22">
      <c r="A334" s="3">
        <v>45671</v>
      </c>
      <c r="B334" t="str">
        <f t="shared" si="35"/>
        <v>yyyy-01</v>
      </c>
      <c r="C334">
        <f t="shared" si="36"/>
        <v>3</v>
      </c>
      <c r="D334" t="s">
        <v>66</v>
      </c>
      <c r="E334" t="s">
        <v>67</v>
      </c>
      <c r="F334" t="s">
        <v>68</v>
      </c>
      <c r="G334" t="s">
        <v>36</v>
      </c>
      <c r="H334" t="s">
        <v>37</v>
      </c>
      <c r="I334" s="5">
        <v>355</v>
      </c>
      <c r="J334" s="5">
        <v>250</v>
      </c>
      <c r="K334" s="5">
        <v>18</v>
      </c>
      <c r="L334" s="5">
        <v>4</v>
      </c>
      <c r="M334" s="5">
        <v>4</v>
      </c>
      <c r="N334" s="7">
        <v>704.95</v>
      </c>
      <c r="O334" s="7">
        <f t="shared" si="37"/>
        <v>2819.8</v>
      </c>
      <c r="P334" s="4">
        <v>0</v>
      </c>
      <c r="Q334" s="7">
        <f t="shared" si="38"/>
        <v>0</v>
      </c>
      <c r="R334" s="7">
        <f t="shared" si="39"/>
        <v>2819.8</v>
      </c>
      <c r="S334" s="7">
        <f t="shared" si="40"/>
        <v>704.95</v>
      </c>
      <c r="T334" s="6">
        <f t="shared" si="41"/>
        <v>1.1267605633802818E-2</v>
      </c>
      <c r="V334" t="s">
        <v>78</v>
      </c>
    </row>
    <row r="335" spans="1:22">
      <c r="A335" s="3">
        <v>45671</v>
      </c>
      <c r="B335" t="str">
        <f t="shared" si="35"/>
        <v>yyyy-01</v>
      </c>
      <c r="C335">
        <f t="shared" si="36"/>
        <v>3</v>
      </c>
      <c r="D335" t="s">
        <v>66</v>
      </c>
      <c r="E335" t="s">
        <v>67</v>
      </c>
      <c r="F335" t="s">
        <v>69</v>
      </c>
      <c r="G335" t="s">
        <v>36</v>
      </c>
      <c r="H335" t="s">
        <v>37</v>
      </c>
      <c r="I335" s="5">
        <v>508</v>
      </c>
      <c r="J335" s="5">
        <v>279</v>
      </c>
      <c r="K335" s="5">
        <v>29</v>
      </c>
      <c r="L335" s="5">
        <v>10</v>
      </c>
      <c r="M335" s="5">
        <v>10</v>
      </c>
      <c r="N335" s="7">
        <v>405</v>
      </c>
      <c r="O335" s="7">
        <f t="shared" si="37"/>
        <v>4050</v>
      </c>
      <c r="P335" s="4">
        <v>0</v>
      </c>
      <c r="Q335" s="7">
        <f t="shared" si="38"/>
        <v>0</v>
      </c>
      <c r="R335" s="7">
        <f t="shared" si="39"/>
        <v>4050</v>
      </c>
      <c r="S335" s="7">
        <f t="shared" si="40"/>
        <v>405</v>
      </c>
      <c r="T335" s="6">
        <f t="shared" si="41"/>
        <v>1.968503937007874E-2</v>
      </c>
      <c r="V335" t="s">
        <v>29</v>
      </c>
    </row>
    <row r="336" spans="1:22">
      <c r="A336" s="3">
        <v>45671</v>
      </c>
      <c r="B336" t="str">
        <f t="shared" si="35"/>
        <v>yyyy-01</v>
      </c>
      <c r="C336">
        <f t="shared" si="36"/>
        <v>3</v>
      </c>
      <c r="D336" t="s">
        <v>66</v>
      </c>
      <c r="E336" t="s">
        <v>67</v>
      </c>
      <c r="F336" t="s">
        <v>70</v>
      </c>
      <c r="G336" t="s">
        <v>31</v>
      </c>
      <c r="H336" t="s">
        <v>32</v>
      </c>
      <c r="I336" s="5">
        <v>392</v>
      </c>
      <c r="J336" s="5">
        <v>323</v>
      </c>
      <c r="K336" s="5">
        <v>39</v>
      </c>
      <c r="L336" s="5">
        <v>7</v>
      </c>
      <c r="M336" s="5">
        <v>7</v>
      </c>
      <c r="N336" s="7">
        <v>338.68</v>
      </c>
      <c r="O336" s="7">
        <f t="shared" si="37"/>
        <v>2370.7600000000002</v>
      </c>
      <c r="P336" s="4">
        <v>0</v>
      </c>
      <c r="Q336" s="7">
        <f t="shared" si="38"/>
        <v>0</v>
      </c>
      <c r="R336" s="7">
        <f t="shared" si="39"/>
        <v>2370.7600000000002</v>
      </c>
      <c r="S336" s="7">
        <f t="shared" si="40"/>
        <v>338.68</v>
      </c>
      <c r="T336" s="6">
        <f t="shared" si="41"/>
        <v>1.7857142857142856E-2</v>
      </c>
      <c r="V336" t="s">
        <v>29</v>
      </c>
    </row>
    <row r="337" spans="1:22">
      <c r="A337" s="3">
        <v>45671</v>
      </c>
      <c r="B337" t="str">
        <f t="shared" si="35"/>
        <v>yyyy-01</v>
      </c>
      <c r="C337">
        <f t="shared" si="36"/>
        <v>3</v>
      </c>
      <c r="D337" t="s">
        <v>66</v>
      </c>
      <c r="E337" t="s">
        <v>71</v>
      </c>
      <c r="F337" t="s">
        <v>72</v>
      </c>
      <c r="G337" t="s">
        <v>31</v>
      </c>
      <c r="H337" t="s">
        <v>32</v>
      </c>
      <c r="I337" s="5">
        <v>314</v>
      </c>
      <c r="J337" s="5">
        <v>166</v>
      </c>
      <c r="K337" s="5">
        <v>29</v>
      </c>
      <c r="L337" s="5">
        <v>6</v>
      </c>
      <c r="M337" s="5">
        <v>7</v>
      </c>
      <c r="N337" s="7">
        <v>125.3</v>
      </c>
      <c r="O337" s="7">
        <f t="shared" si="37"/>
        <v>877.1</v>
      </c>
      <c r="P337" s="4">
        <v>0</v>
      </c>
      <c r="Q337" s="7">
        <f t="shared" si="38"/>
        <v>0</v>
      </c>
      <c r="R337" s="7">
        <f t="shared" si="39"/>
        <v>877.1</v>
      </c>
      <c r="S337" s="7">
        <f t="shared" si="40"/>
        <v>146.18333333333334</v>
      </c>
      <c r="T337" s="6">
        <f t="shared" si="41"/>
        <v>1.9108280254777069E-2</v>
      </c>
      <c r="V337" t="s">
        <v>29</v>
      </c>
    </row>
    <row r="338" spans="1:22">
      <c r="A338" s="3">
        <v>45671</v>
      </c>
      <c r="B338" t="str">
        <f t="shared" si="35"/>
        <v>yyyy-01</v>
      </c>
      <c r="C338">
        <f t="shared" si="36"/>
        <v>3</v>
      </c>
      <c r="D338" t="s">
        <v>66</v>
      </c>
      <c r="E338" t="s">
        <v>73</v>
      </c>
      <c r="F338" t="s">
        <v>74</v>
      </c>
      <c r="G338" t="s">
        <v>27</v>
      </c>
      <c r="H338" t="s">
        <v>63</v>
      </c>
      <c r="I338" s="5">
        <v>93</v>
      </c>
      <c r="J338" s="5">
        <v>53</v>
      </c>
      <c r="K338" s="5">
        <v>5</v>
      </c>
      <c r="L338" s="5">
        <v>1</v>
      </c>
      <c r="M338" s="5">
        <v>1</v>
      </c>
      <c r="N338" s="7">
        <v>1152.47</v>
      </c>
      <c r="O338" s="7">
        <f t="shared" si="37"/>
        <v>1152.47</v>
      </c>
      <c r="P338" s="4">
        <v>0</v>
      </c>
      <c r="Q338" s="7">
        <f t="shared" si="38"/>
        <v>0</v>
      </c>
      <c r="R338" s="7">
        <f t="shared" si="39"/>
        <v>1152.47</v>
      </c>
      <c r="S338" s="7">
        <f t="shared" si="40"/>
        <v>1152.47</v>
      </c>
      <c r="T338" s="6">
        <f t="shared" si="41"/>
        <v>1.0752688172043012E-2</v>
      </c>
      <c r="V338" t="s">
        <v>29</v>
      </c>
    </row>
    <row r="339" spans="1:22">
      <c r="A339" s="3">
        <v>45671</v>
      </c>
      <c r="B339" t="str">
        <f t="shared" si="35"/>
        <v>yyyy-01</v>
      </c>
      <c r="C339">
        <f t="shared" si="36"/>
        <v>3</v>
      </c>
      <c r="D339" t="s">
        <v>66</v>
      </c>
      <c r="E339" t="s">
        <v>71</v>
      </c>
      <c r="F339" t="s">
        <v>75</v>
      </c>
      <c r="G339" t="s">
        <v>36</v>
      </c>
      <c r="H339" t="s">
        <v>37</v>
      </c>
      <c r="I339" s="5">
        <v>331</v>
      </c>
      <c r="J339" s="5">
        <v>245</v>
      </c>
      <c r="K339" s="5">
        <v>32</v>
      </c>
      <c r="L339" s="5">
        <v>7</v>
      </c>
      <c r="M339" s="5">
        <v>7</v>
      </c>
      <c r="N339" s="7">
        <v>38.81</v>
      </c>
      <c r="O339" s="7">
        <f t="shared" si="37"/>
        <v>271.67</v>
      </c>
      <c r="P339" s="4">
        <v>0</v>
      </c>
      <c r="Q339" s="7">
        <f t="shared" si="38"/>
        <v>0</v>
      </c>
      <c r="R339" s="7">
        <f t="shared" si="39"/>
        <v>271.67</v>
      </c>
      <c r="S339" s="7">
        <f t="shared" si="40"/>
        <v>38.81</v>
      </c>
      <c r="T339" s="6">
        <f t="shared" si="41"/>
        <v>2.1148036253776436E-2</v>
      </c>
      <c r="V339" t="s">
        <v>29</v>
      </c>
    </row>
    <row r="340" spans="1:22">
      <c r="A340" s="3">
        <v>45671</v>
      </c>
      <c r="B340" t="str">
        <f t="shared" si="35"/>
        <v>yyyy-01</v>
      </c>
      <c r="C340">
        <f t="shared" si="36"/>
        <v>3</v>
      </c>
      <c r="D340" t="s">
        <v>24</v>
      </c>
      <c r="E340" t="s">
        <v>76</v>
      </c>
      <c r="F340" t="s">
        <v>77</v>
      </c>
      <c r="G340" t="s">
        <v>27</v>
      </c>
      <c r="H340" t="s">
        <v>48</v>
      </c>
      <c r="I340" s="5">
        <v>423</v>
      </c>
      <c r="J340" s="5">
        <v>332</v>
      </c>
      <c r="K340" s="5">
        <v>38</v>
      </c>
      <c r="L340" s="5">
        <v>11</v>
      </c>
      <c r="M340" s="5">
        <v>13</v>
      </c>
      <c r="N340" s="7">
        <v>192.25</v>
      </c>
      <c r="O340" s="7">
        <f t="shared" si="37"/>
        <v>2499.25</v>
      </c>
      <c r="P340" s="4">
        <v>0</v>
      </c>
      <c r="Q340" s="7">
        <f t="shared" si="38"/>
        <v>0</v>
      </c>
      <c r="R340" s="7">
        <f t="shared" si="39"/>
        <v>2499.25</v>
      </c>
      <c r="S340" s="7">
        <f t="shared" si="40"/>
        <v>227.20454545454547</v>
      </c>
      <c r="T340" s="6">
        <f t="shared" si="41"/>
        <v>2.6004728132387706E-2</v>
      </c>
      <c r="V340" t="s">
        <v>29</v>
      </c>
    </row>
    <row r="341" spans="1:22">
      <c r="A341" s="3">
        <v>45672</v>
      </c>
      <c r="B341" t="str">
        <f t="shared" si="35"/>
        <v>yyyy-01</v>
      </c>
      <c r="C341">
        <f t="shared" si="36"/>
        <v>3</v>
      </c>
      <c r="D341" t="s">
        <v>24</v>
      </c>
      <c r="E341" t="s">
        <v>25</v>
      </c>
      <c r="F341" t="s">
        <v>26</v>
      </c>
      <c r="G341" t="s">
        <v>36</v>
      </c>
      <c r="H341" t="s">
        <v>37</v>
      </c>
      <c r="I341" s="5">
        <v>1810</v>
      </c>
      <c r="J341" s="5">
        <v>1385</v>
      </c>
      <c r="K341" s="5">
        <v>221</v>
      </c>
      <c r="L341" s="5">
        <v>56</v>
      </c>
      <c r="M341" s="5">
        <v>56</v>
      </c>
      <c r="N341" s="7">
        <v>1017.11</v>
      </c>
      <c r="O341" s="7">
        <f t="shared" si="37"/>
        <v>56958.16</v>
      </c>
      <c r="P341" s="4">
        <v>0.12</v>
      </c>
      <c r="Q341" s="7">
        <f t="shared" si="38"/>
        <v>6834.9791999999998</v>
      </c>
      <c r="R341" s="7">
        <f t="shared" si="39"/>
        <v>50123.180800000002</v>
      </c>
      <c r="S341" s="7">
        <f t="shared" si="40"/>
        <v>895.05680000000007</v>
      </c>
      <c r="T341" s="6">
        <f t="shared" si="41"/>
        <v>3.0939226519337018E-2</v>
      </c>
      <c r="U341" t="s">
        <v>79</v>
      </c>
      <c r="V341" t="s">
        <v>29</v>
      </c>
    </row>
    <row r="342" spans="1:22">
      <c r="A342" s="3">
        <v>45672</v>
      </c>
      <c r="B342" t="str">
        <f t="shared" si="35"/>
        <v>yyyy-01</v>
      </c>
      <c r="C342">
        <f t="shared" si="36"/>
        <v>3</v>
      </c>
      <c r="D342" t="s">
        <v>24</v>
      </c>
      <c r="E342" t="s">
        <v>25</v>
      </c>
      <c r="F342" t="s">
        <v>30</v>
      </c>
      <c r="G342" t="s">
        <v>27</v>
      </c>
      <c r="H342" t="s">
        <v>45</v>
      </c>
      <c r="I342" s="5">
        <v>1626</v>
      </c>
      <c r="J342" s="5">
        <v>1242</v>
      </c>
      <c r="K342" s="5">
        <v>132</v>
      </c>
      <c r="L342" s="5">
        <v>35</v>
      </c>
      <c r="M342" s="5">
        <v>35</v>
      </c>
      <c r="N342" s="7">
        <v>390.39</v>
      </c>
      <c r="O342" s="7">
        <f t="shared" si="37"/>
        <v>13663.65</v>
      </c>
      <c r="P342" s="4">
        <v>0.12</v>
      </c>
      <c r="Q342" s="7">
        <f t="shared" si="38"/>
        <v>1639.6379999999999</v>
      </c>
      <c r="R342" s="7">
        <f t="shared" si="39"/>
        <v>12024.011999999999</v>
      </c>
      <c r="S342" s="7">
        <f t="shared" si="40"/>
        <v>343.54319999999996</v>
      </c>
      <c r="T342" s="6">
        <f t="shared" si="41"/>
        <v>2.1525215252152521E-2</v>
      </c>
      <c r="U342" t="s">
        <v>79</v>
      </c>
      <c r="V342" t="s">
        <v>29</v>
      </c>
    </row>
    <row r="343" spans="1:22">
      <c r="A343" s="3">
        <v>45672</v>
      </c>
      <c r="B343" t="str">
        <f t="shared" si="35"/>
        <v>yyyy-01</v>
      </c>
      <c r="C343">
        <f t="shared" si="36"/>
        <v>3</v>
      </c>
      <c r="D343" t="s">
        <v>24</v>
      </c>
      <c r="E343" t="s">
        <v>25</v>
      </c>
      <c r="F343" t="s">
        <v>33</v>
      </c>
      <c r="G343" t="s">
        <v>27</v>
      </c>
      <c r="H343" t="s">
        <v>45</v>
      </c>
      <c r="I343" s="5">
        <v>1185</v>
      </c>
      <c r="J343" s="5">
        <v>964</v>
      </c>
      <c r="K343" s="5">
        <v>140</v>
      </c>
      <c r="L343" s="5">
        <v>28</v>
      </c>
      <c r="M343" s="5">
        <v>28</v>
      </c>
      <c r="N343" s="7">
        <v>1730.54</v>
      </c>
      <c r="O343" s="7">
        <f t="shared" si="37"/>
        <v>48455.119999999995</v>
      </c>
      <c r="P343" s="4">
        <v>0.12</v>
      </c>
      <c r="Q343" s="7">
        <f t="shared" si="38"/>
        <v>5814.6143999999995</v>
      </c>
      <c r="R343" s="7">
        <f t="shared" si="39"/>
        <v>42640.505599999997</v>
      </c>
      <c r="S343" s="7">
        <f t="shared" si="40"/>
        <v>1522.8751999999999</v>
      </c>
      <c r="T343" s="6">
        <f t="shared" si="41"/>
        <v>2.3628691983122362E-2</v>
      </c>
      <c r="U343" t="s">
        <v>79</v>
      </c>
      <c r="V343" t="s">
        <v>29</v>
      </c>
    </row>
    <row r="344" spans="1:22">
      <c r="A344" s="3">
        <v>45672</v>
      </c>
      <c r="B344" t="str">
        <f t="shared" si="35"/>
        <v>yyyy-01</v>
      </c>
      <c r="C344">
        <f t="shared" si="36"/>
        <v>3</v>
      </c>
      <c r="D344" t="s">
        <v>24</v>
      </c>
      <c r="E344" t="s">
        <v>34</v>
      </c>
      <c r="F344" t="s">
        <v>35</v>
      </c>
      <c r="G344" t="s">
        <v>27</v>
      </c>
      <c r="H344" t="s">
        <v>28</v>
      </c>
      <c r="I344" s="5">
        <v>555</v>
      </c>
      <c r="J344" s="5">
        <v>385</v>
      </c>
      <c r="K344" s="5">
        <v>38</v>
      </c>
      <c r="L344" s="5">
        <v>14</v>
      </c>
      <c r="M344" s="5">
        <v>14</v>
      </c>
      <c r="N344" s="7">
        <v>875.88</v>
      </c>
      <c r="O344" s="7">
        <f t="shared" si="37"/>
        <v>12262.32</v>
      </c>
      <c r="P344" s="4">
        <v>0.03</v>
      </c>
      <c r="Q344" s="7">
        <f t="shared" si="38"/>
        <v>367.86959999999999</v>
      </c>
      <c r="R344" s="7">
        <f t="shared" si="39"/>
        <v>11894.4504</v>
      </c>
      <c r="S344" s="7">
        <f t="shared" si="40"/>
        <v>849.60360000000003</v>
      </c>
      <c r="T344" s="6">
        <f t="shared" si="41"/>
        <v>2.5225225225225224E-2</v>
      </c>
      <c r="V344" t="s">
        <v>29</v>
      </c>
    </row>
    <row r="345" spans="1:22">
      <c r="A345" s="3">
        <v>45672</v>
      </c>
      <c r="B345" t="str">
        <f t="shared" si="35"/>
        <v>yyyy-01</v>
      </c>
      <c r="C345">
        <f t="shared" si="36"/>
        <v>3</v>
      </c>
      <c r="D345" t="s">
        <v>24</v>
      </c>
      <c r="E345" t="s">
        <v>38</v>
      </c>
      <c r="F345" t="s">
        <v>39</v>
      </c>
      <c r="G345" t="s">
        <v>27</v>
      </c>
      <c r="H345" t="s">
        <v>63</v>
      </c>
      <c r="I345" s="5">
        <v>666</v>
      </c>
      <c r="J345" s="5">
        <v>484</v>
      </c>
      <c r="K345" s="5">
        <v>45</v>
      </c>
      <c r="L345" s="5">
        <v>15</v>
      </c>
      <c r="M345" s="5">
        <v>15</v>
      </c>
      <c r="N345" s="7">
        <v>319.98</v>
      </c>
      <c r="O345" s="7">
        <f t="shared" si="37"/>
        <v>4799.7000000000007</v>
      </c>
      <c r="P345" s="4">
        <v>0</v>
      </c>
      <c r="Q345" s="7">
        <f t="shared" si="38"/>
        <v>0</v>
      </c>
      <c r="R345" s="7">
        <f t="shared" si="39"/>
        <v>4799.7000000000007</v>
      </c>
      <c r="S345" s="7">
        <f t="shared" si="40"/>
        <v>319.98000000000008</v>
      </c>
      <c r="T345" s="6">
        <f t="shared" si="41"/>
        <v>2.2522522522522521E-2</v>
      </c>
      <c r="V345" t="s">
        <v>29</v>
      </c>
    </row>
    <row r="346" spans="1:22">
      <c r="A346" s="3">
        <v>45672</v>
      </c>
      <c r="B346" t="str">
        <f t="shared" si="35"/>
        <v>yyyy-01</v>
      </c>
      <c r="C346">
        <f t="shared" si="36"/>
        <v>3</v>
      </c>
      <c r="D346" t="s">
        <v>24</v>
      </c>
      <c r="E346" t="s">
        <v>40</v>
      </c>
      <c r="F346" t="s">
        <v>41</v>
      </c>
      <c r="G346" t="s">
        <v>27</v>
      </c>
      <c r="H346" t="s">
        <v>45</v>
      </c>
      <c r="I346" s="5">
        <v>543</v>
      </c>
      <c r="J346" s="5">
        <v>300</v>
      </c>
      <c r="K346" s="5">
        <v>30</v>
      </c>
      <c r="L346" s="5">
        <v>8</v>
      </c>
      <c r="M346" s="5">
        <v>11</v>
      </c>
      <c r="N346" s="7">
        <v>181.34</v>
      </c>
      <c r="O346" s="7">
        <f t="shared" si="37"/>
        <v>1994.74</v>
      </c>
      <c r="P346" s="4">
        <v>0</v>
      </c>
      <c r="Q346" s="7">
        <f t="shared" si="38"/>
        <v>0</v>
      </c>
      <c r="R346" s="7">
        <f t="shared" si="39"/>
        <v>1994.74</v>
      </c>
      <c r="S346" s="7">
        <f t="shared" si="40"/>
        <v>249.3425</v>
      </c>
      <c r="T346" s="6">
        <f t="shared" si="41"/>
        <v>1.4732965009208104E-2</v>
      </c>
      <c r="V346" t="s">
        <v>29</v>
      </c>
    </row>
    <row r="347" spans="1:22">
      <c r="A347" s="3">
        <v>45672</v>
      </c>
      <c r="B347" t="str">
        <f t="shared" si="35"/>
        <v>yyyy-01</v>
      </c>
      <c r="C347">
        <f t="shared" si="36"/>
        <v>3</v>
      </c>
      <c r="D347" t="s">
        <v>42</v>
      </c>
      <c r="E347" t="s">
        <v>43</v>
      </c>
      <c r="F347" t="s">
        <v>44</v>
      </c>
      <c r="G347" t="s">
        <v>27</v>
      </c>
      <c r="H347" t="s">
        <v>28</v>
      </c>
      <c r="I347" s="5">
        <v>416</v>
      </c>
      <c r="J347" s="5">
        <v>278</v>
      </c>
      <c r="K347" s="5">
        <v>36</v>
      </c>
      <c r="L347" s="5">
        <v>9</v>
      </c>
      <c r="M347" s="5">
        <v>9</v>
      </c>
      <c r="N347" s="7">
        <v>1259.72</v>
      </c>
      <c r="O347" s="7">
        <f t="shared" si="37"/>
        <v>11337.48</v>
      </c>
      <c r="P347" s="4">
        <v>0.1</v>
      </c>
      <c r="Q347" s="7">
        <f t="shared" si="38"/>
        <v>1133.748</v>
      </c>
      <c r="R347" s="7">
        <f t="shared" si="39"/>
        <v>10203.732</v>
      </c>
      <c r="S347" s="7">
        <f t="shared" si="40"/>
        <v>1133.748</v>
      </c>
      <c r="T347" s="6">
        <f t="shared" si="41"/>
        <v>2.1634615384615384E-2</v>
      </c>
      <c r="U347" t="s">
        <v>80</v>
      </c>
      <c r="V347" t="s">
        <v>29</v>
      </c>
    </row>
    <row r="348" spans="1:22">
      <c r="A348" s="3">
        <v>45672</v>
      </c>
      <c r="B348" t="str">
        <f t="shared" si="35"/>
        <v>yyyy-01</v>
      </c>
      <c r="C348">
        <f t="shared" si="36"/>
        <v>3</v>
      </c>
      <c r="D348" t="s">
        <v>42</v>
      </c>
      <c r="E348" t="s">
        <v>43</v>
      </c>
      <c r="F348" t="s">
        <v>46</v>
      </c>
      <c r="G348" t="s">
        <v>31</v>
      </c>
      <c r="H348" t="s">
        <v>32</v>
      </c>
      <c r="I348" s="5">
        <v>520</v>
      </c>
      <c r="J348" s="5">
        <v>317</v>
      </c>
      <c r="K348" s="5">
        <v>39</v>
      </c>
      <c r="L348" s="5">
        <v>8</v>
      </c>
      <c r="M348" s="5">
        <v>8</v>
      </c>
      <c r="N348" s="7">
        <v>2133.48</v>
      </c>
      <c r="O348" s="7">
        <f t="shared" si="37"/>
        <v>17067.84</v>
      </c>
      <c r="P348" s="4">
        <v>0.1</v>
      </c>
      <c r="Q348" s="7">
        <f t="shared" si="38"/>
        <v>1706.7840000000001</v>
      </c>
      <c r="R348" s="7">
        <f t="shared" si="39"/>
        <v>15361.056</v>
      </c>
      <c r="S348" s="7">
        <f t="shared" si="40"/>
        <v>1920.1320000000001</v>
      </c>
      <c r="T348" s="6">
        <f t="shared" si="41"/>
        <v>1.5384615384615385E-2</v>
      </c>
      <c r="U348" t="s">
        <v>80</v>
      </c>
      <c r="V348" t="s">
        <v>29</v>
      </c>
    </row>
    <row r="349" spans="1:22">
      <c r="A349" s="3">
        <v>45672</v>
      </c>
      <c r="B349" t="str">
        <f t="shared" si="35"/>
        <v>yyyy-01</v>
      </c>
      <c r="C349">
        <f t="shared" si="36"/>
        <v>3</v>
      </c>
      <c r="D349" t="s">
        <v>42</v>
      </c>
      <c r="E349" t="s">
        <v>43</v>
      </c>
      <c r="F349" t="s">
        <v>47</v>
      </c>
      <c r="G349" t="s">
        <v>36</v>
      </c>
      <c r="H349" t="s">
        <v>37</v>
      </c>
      <c r="I349" s="5">
        <v>338</v>
      </c>
      <c r="J349" s="5">
        <v>185</v>
      </c>
      <c r="K349" s="5">
        <v>23</v>
      </c>
      <c r="L349" s="5">
        <v>6</v>
      </c>
      <c r="M349" s="5">
        <v>6</v>
      </c>
      <c r="N349" s="7">
        <v>576.15</v>
      </c>
      <c r="O349" s="7">
        <f t="shared" si="37"/>
        <v>3456.8999999999996</v>
      </c>
      <c r="P349" s="4">
        <v>0.1</v>
      </c>
      <c r="Q349" s="7">
        <f t="shared" si="38"/>
        <v>345.69</v>
      </c>
      <c r="R349" s="7">
        <f t="shared" si="39"/>
        <v>3111.2099999999996</v>
      </c>
      <c r="S349" s="7">
        <f t="shared" si="40"/>
        <v>518.53499999999997</v>
      </c>
      <c r="T349" s="6">
        <f t="shared" si="41"/>
        <v>1.7751479289940829E-2</v>
      </c>
      <c r="U349" t="s">
        <v>80</v>
      </c>
      <c r="V349" t="s">
        <v>29</v>
      </c>
    </row>
    <row r="350" spans="1:22">
      <c r="A350" s="3">
        <v>45672</v>
      </c>
      <c r="B350" t="str">
        <f t="shared" si="35"/>
        <v>yyyy-01</v>
      </c>
      <c r="C350">
        <f t="shared" si="36"/>
        <v>3</v>
      </c>
      <c r="D350" t="s">
        <v>42</v>
      </c>
      <c r="E350" t="s">
        <v>49</v>
      </c>
      <c r="F350" t="s">
        <v>50</v>
      </c>
      <c r="G350" t="s">
        <v>27</v>
      </c>
      <c r="H350" t="s">
        <v>63</v>
      </c>
      <c r="I350" s="5">
        <v>91</v>
      </c>
      <c r="J350" s="5">
        <v>59</v>
      </c>
      <c r="K350" s="5">
        <v>7</v>
      </c>
      <c r="L350" s="5">
        <v>1</v>
      </c>
      <c r="M350" s="5">
        <v>1</v>
      </c>
      <c r="N350" s="7">
        <v>983.57</v>
      </c>
      <c r="O350" s="7">
        <f t="shared" si="37"/>
        <v>983.57</v>
      </c>
      <c r="P350" s="4">
        <v>0</v>
      </c>
      <c r="Q350" s="7">
        <f t="shared" si="38"/>
        <v>0</v>
      </c>
      <c r="R350" s="7">
        <f t="shared" si="39"/>
        <v>983.57</v>
      </c>
      <c r="S350" s="7">
        <f t="shared" si="40"/>
        <v>983.57</v>
      </c>
      <c r="T350" s="6">
        <f t="shared" si="41"/>
        <v>1.098901098901099E-2</v>
      </c>
      <c r="V350" t="s">
        <v>29</v>
      </c>
    </row>
    <row r="351" spans="1:22">
      <c r="A351" s="3">
        <v>45672</v>
      </c>
      <c r="B351" t="str">
        <f t="shared" si="35"/>
        <v>yyyy-01</v>
      </c>
      <c r="C351">
        <f t="shared" si="36"/>
        <v>3</v>
      </c>
      <c r="D351" t="s">
        <v>42</v>
      </c>
      <c r="E351" t="s">
        <v>51</v>
      </c>
      <c r="F351" t="s">
        <v>52</v>
      </c>
      <c r="G351" t="s">
        <v>27</v>
      </c>
      <c r="H351" t="s">
        <v>28</v>
      </c>
      <c r="I351" s="5">
        <v>227</v>
      </c>
      <c r="J351" s="5">
        <v>124</v>
      </c>
      <c r="K351" s="5">
        <v>11</v>
      </c>
      <c r="L351" s="5">
        <v>3</v>
      </c>
      <c r="M351" s="5">
        <v>3</v>
      </c>
      <c r="N351" s="7">
        <v>577</v>
      </c>
      <c r="O351" s="7">
        <f t="shared" si="37"/>
        <v>1731</v>
      </c>
      <c r="P351" s="4">
        <v>0.05</v>
      </c>
      <c r="Q351" s="7">
        <f t="shared" si="38"/>
        <v>86.550000000000011</v>
      </c>
      <c r="R351" s="7">
        <f t="shared" si="39"/>
        <v>1644.45</v>
      </c>
      <c r="S351" s="7">
        <f t="shared" si="40"/>
        <v>548.15</v>
      </c>
      <c r="T351" s="6">
        <f t="shared" si="41"/>
        <v>1.3215859030837005E-2</v>
      </c>
      <c r="V351" t="s">
        <v>29</v>
      </c>
    </row>
    <row r="352" spans="1:22">
      <c r="A352" s="3">
        <v>45672</v>
      </c>
      <c r="B352" t="str">
        <f t="shared" si="35"/>
        <v>yyyy-01</v>
      </c>
      <c r="C352">
        <f t="shared" si="36"/>
        <v>3</v>
      </c>
      <c r="D352" t="s">
        <v>53</v>
      </c>
      <c r="E352" t="s">
        <v>54</v>
      </c>
      <c r="F352" t="s">
        <v>55</v>
      </c>
      <c r="G352" t="s">
        <v>31</v>
      </c>
      <c r="H352" t="s">
        <v>32</v>
      </c>
      <c r="I352" s="5">
        <v>173</v>
      </c>
      <c r="J352" s="5">
        <v>125</v>
      </c>
      <c r="K352" s="5">
        <v>5</v>
      </c>
      <c r="L352" s="5">
        <v>2</v>
      </c>
      <c r="M352" s="5">
        <v>2</v>
      </c>
      <c r="N352" s="7">
        <v>1260.3499999999999</v>
      </c>
      <c r="O352" s="7">
        <f t="shared" si="37"/>
        <v>2520.6999999999998</v>
      </c>
      <c r="P352" s="4">
        <v>0</v>
      </c>
      <c r="Q352" s="7">
        <f t="shared" si="38"/>
        <v>0</v>
      </c>
      <c r="R352" s="7">
        <f t="shared" si="39"/>
        <v>2520.6999999999998</v>
      </c>
      <c r="S352" s="7">
        <f t="shared" si="40"/>
        <v>1260.3499999999999</v>
      </c>
      <c r="T352" s="6">
        <f t="shared" si="41"/>
        <v>1.1560693641618497E-2</v>
      </c>
      <c r="V352" t="s">
        <v>29</v>
      </c>
    </row>
    <row r="353" spans="1:22">
      <c r="A353" s="3">
        <v>45672</v>
      </c>
      <c r="B353" t="str">
        <f t="shared" si="35"/>
        <v>yyyy-01</v>
      </c>
      <c r="C353">
        <f t="shared" si="36"/>
        <v>3</v>
      </c>
      <c r="D353" t="s">
        <v>53</v>
      </c>
      <c r="E353" t="s">
        <v>56</v>
      </c>
      <c r="F353" t="s">
        <v>57</v>
      </c>
      <c r="G353" t="s">
        <v>36</v>
      </c>
      <c r="H353" t="s">
        <v>37</v>
      </c>
      <c r="I353" s="5">
        <v>246</v>
      </c>
      <c r="J353" s="5">
        <v>163</v>
      </c>
      <c r="K353" s="5">
        <v>15</v>
      </c>
      <c r="L353" s="5">
        <v>3</v>
      </c>
      <c r="M353" s="5">
        <v>3</v>
      </c>
      <c r="N353" s="7">
        <v>736.46</v>
      </c>
      <c r="O353" s="7">
        <f t="shared" si="37"/>
        <v>2209.38</v>
      </c>
      <c r="P353" s="4">
        <v>0</v>
      </c>
      <c r="Q353" s="7">
        <f t="shared" si="38"/>
        <v>0</v>
      </c>
      <c r="R353" s="7">
        <f t="shared" si="39"/>
        <v>2209.38</v>
      </c>
      <c r="S353" s="7">
        <f t="shared" si="40"/>
        <v>736.46</v>
      </c>
      <c r="T353" s="6">
        <f t="shared" si="41"/>
        <v>1.2195121951219513E-2</v>
      </c>
      <c r="V353" t="s">
        <v>29</v>
      </c>
    </row>
    <row r="354" spans="1:22">
      <c r="A354" s="3">
        <v>45672</v>
      </c>
      <c r="B354" t="str">
        <f t="shared" si="35"/>
        <v>yyyy-01</v>
      </c>
      <c r="C354">
        <f t="shared" si="36"/>
        <v>3</v>
      </c>
      <c r="D354" t="s">
        <v>53</v>
      </c>
      <c r="E354" t="s">
        <v>56</v>
      </c>
      <c r="F354" t="s">
        <v>58</v>
      </c>
      <c r="G354" t="s">
        <v>36</v>
      </c>
      <c r="H354" t="s">
        <v>37</v>
      </c>
      <c r="I354" s="5">
        <v>242</v>
      </c>
      <c r="J354" s="5">
        <v>159</v>
      </c>
      <c r="K354" s="5">
        <v>9</v>
      </c>
      <c r="L354" s="5">
        <v>2</v>
      </c>
      <c r="M354" s="5">
        <v>2</v>
      </c>
      <c r="N354" s="7">
        <v>877.53</v>
      </c>
      <c r="O354" s="7">
        <f t="shared" si="37"/>
        <v>1755.06</v>
      </c>
      <c r="P354" s="4">
        <v>0</v>
      </c>
      <c r="Q354" s="7">
        <f t="shared" si="38"/>
        <v>0</v>
      </c>
      <c r="R354" s="7">
        <f t="shared" si="39"/>
        <v>1755.06</v>
      </c>
      <c r="S354" s="7">
        <f t="shared" si="40"/>
        <v>877.53</v>
      </c>
      <c r="T354" s="6">
        <f t="shared" si="41"/>
        <v>8.2644628099173556E-3</v>
      </c>
      <c r="V354" t="s">
        <v>29</v>
      </c>
    </row>
    <row r="355" spans="1:22">
      <c r="A355" s="3">
        <v>45672</v>
      </c>
      <c r="B355" t="str">
        <f t="shared" si="35"/>
        <v>yyyy-01</v>
      </c>
      <c r="C355">
        <f t="shared" si="36"/>
        <v>3</v>
      </c>
      <c r="D355" t="s">
        <v>53</v>
      </c>
      <c r="E355" t="s">
        <v>59</v>
      </c>
      <c r="F355" t="s">
        <v>60</v>
      </c>
      <c r="G355" t="s">
        <v>31</v>
      </c>
      <c r="H355" t="s">
        <v>32</v>
      </c>
      <c r="I355" s="5">
        <v>183</v>
      </c>
      <c r="J355" s="5">
        <v>125</v>
      </c>
      <c r="K355" s="5">
        <v>11</v>
      </c>
      <c r="L355" s="5">
        <v>3</v>
      </c>
      <c r="M355" s="5">
        <v>3</v>
      </c>
      <c r="N355" s="7">
        <v>706.3</v>
      </c>
      <c r="O355" s="7">
        <f t="shared" si="37"/>
        <v>2118.8999999999996</v>
      </c>
      <c r="P355" s="4">
        <v>0.05</v>
      </c>
      <c r="Q355" s="7">
        <f t="shared" si="38"/>
        <v>105.94499999999999</v>
      </c>
      <c r="R355" s="7">
        <f t="shared" si="39"/>
        <v>2012.9549999999997</v>
      </c>
      <c r="S355" s="7">
        <f t="shared" si="40"/>
        <v>670.9849999999999</v>
      </c>
      <c r="T355" s="6">
        <f t="shared" si="41"/>
        <v>1.6393442622950821E-2</v>
      </c>
      <c r="V355" t="s">
        <v>29</v>
      </c>
    </row>
    <row r="356" spans="1:22">
      <c r="A356" s="3">
        <v>45672</v>
      </c>
      <c r="B356" t="str">
        <f t="shared" si="35"/>
        <v>yyyy-01</v>
      </c>
      <c r="C356">
        <f t="shared" si="36"/>
        <v>3</v>
      </c>
      <c r="D356" t="s">
        <v>53</v>
      </c>
      <c r="E356" t="s">
        <v>61</v>
      </c>
      <c r="F356" t="s">
        <v>62</v>
      </c>
      <c r="G356" t="s">
        <v>27</v>
      </c>
      <c r="H356" t="s">
        <v>45</v>
      </c>
      <c r="I356" s="5">
        <v>145</v>
      </c>
      <c r="J356" s="5">
        <v>106</v>
      </c>
      <c r="K356" s="5">
        <v>7</v>
      </c>
      <c r="L356" s="5">
        <v>2</v>
      </c>
      <c r="M356" s="5">
        <v>2</v>
      </c>
      <c r="N356" s="7">
        <v>487.99</v>
      </c>
      <c r="O356" s="7">
        <f t="shared" si="37"/>
        <v>975.98</v>
      </c>
      <c r="P356" s="4">
        <v>0</v>
      </c>
      <c r="Q356" s="7">
        <f t="shared" si="38"/>
        <v>0</v>
      </c>
      <c r="R356" s="7">
        <f t="shared" si="39"/>
        <v>975.98</v>
      </c>
      <c r="S356" s="7">
        <f t="shared" si="40"/>
        <v>487.99</v>
      </c>
      <c r="T356" s="6">
        <f t="shared" si="41"/>
        <v>1.3793103448275862E-2</v>
      </c>
      <c r="V356" t="s">
        <v>29</v>
      </c>
    </row>
    <row r="357" spans="1:22">
      <c r="A357" s="3">
        <v>45672</v>
      </c>
      <c r="B357" t="str">
        <f t="shared" si="35"/>
        <v>yyyy-01</v>
      </c>
      <c r="C357">
        <f t="shared" si="36"/>
        <v>3</v>
      </c>
      <c r="D357" t="s">
        <v>53</v>
      </c>
      <c r="E357" t="s">
        <v>64</v>
      </c>
      <c r="F357" t="s">
        <v>65</v>
      </c>
      <c r="G357" t="s">
        <v>36</v>
      </c>
      <c r="H357" t="s">
        <v>37</v>
      </c>
      <c r="I357" s="5">
        <v>172</v>
      </c>
      <c r="J357" s="5">
        <v>119</v>
      </c>
      <c r="K357" s="5">
        <v>14</v>
      </c>
      <c r="L357" s="5">
        <v>2</v>
      </c>
      <c r="M357" s="5">
        <v>2</v>
      </c>
      <c r="N357" s="7">
        <v>788.57</v>
      </c>
      <c r="O357" s="7">
        <f t="shared" si="37"/>
        <v>1577.14</v>
      </c>
      <c r="P357" s="4">
        <v>0.05</v>
      </c>
      <c r="Q357" s="7">
        <f t="shared" si="38"/>
        <v>78.857000000000014</v>
      </c>
      <c r="R357" s="7">
        <f t="shared" si="39"/>
        <v>1498.2830000000001</v>
      </c>
      <c r="S357" s="7">
        <f t="shared" si="40"/>
        <v>749.14150000000006</v>
      </c>
      <c r="T357" s="6">
        <f t="shared" si="41"/>
        <v>1.1627906976744186E-2</v>
      </c>
      <c r="V357" t="s">
        <v>78</v>
      </c>
    </row>
    <row r="358" spans="1:22">
      <c r="A358" s="3">
        <v>45672</v>
      </c>
      <c r="B358" t="str">
        <f t="shared" si="35"/>
        <v>yyyy-01</v>
      </c>
      <c r="C358">
        <f t="shared" si="36"/>
        <v>3</v>
      </c>
      <c r="D358" t="s">
        <v>66</v>
      </c>
      <c r="E358" t="s">
        <v>67</v>
      </c>
      <c r="F358" t="s">
        <v>68</v>
      </c>
      <c r="G358" t="s">
        <v>27</v>
      </c>
      <c r="H358" t="s">
        <v>63</v>
      </c>
      <c r="I358" s="5">
        <v>217</v>
      </c>
      <c r="J358" s="5">
        <v>167</v>
      </c>
      <c r="K358" s="5">
        <v>20</v>
      </c>
      <c r="L358" s="5">
        <v>3</v>
      </c>
      <c r="M358" s="5">
        <v>3</v>
      </c>
      <c r="N358" s="7">
        <v>689.3</v>
      </c>
      <c r="O358" s="7">
        <f t="shared" si="37"/>
        <v>2067.8999999999996</v>
      </c>
      <c r="P358" s="4">
        <v>0</v>
      </c>
      <c r="Q358" s="7">
        <f t="shared" si="38"/>
        <v>0</v>
      </c>
      <c r="R358" s="7">
        <f t="shared" si="39"/>
        <v>2067.8999999999996</v>
      </c>
      <c r="S358" s="7">
        <f t="shared" si="40"/>
        <v>689.29999999999984</v>
      </c>
      <c r="T358" s="6">
        <f t="shared" si="41"/>
        <v>1.3824884792626729E-2</v>
      </c>
      <c r="V358" t="s">
        <v>29</v>
      </c>
    </row>
    <row r="359" spans="1:22">
      <c r="A359" s="3">
        <v>45672</v>
      </c>
      <c r="B359" t="str">
        <f t="shared" si="35"/>
        <v>yyyy-01</v>
      </c>
      <c r="C359">
        <f t="shared" si="36"/>
        <v>3</v>
      </c>
      <c r="D359" t="s">
        <v>66</v>
      </c>
      <c r="E359" t="s">
        <v>67</v>
      </c>
      <c r="F359" t="s">
        <v>69</v>
      </c>
      <c r="G359" t="s">
        <v>27</v>
      </c>
      <c r="H359" t="s">
        <v>63</v>
      </c>
      <c r="I359" s="5">
        <v>210</v>
      </c>
      <c r="J359" s="5">
        <v>156</v>
      </c>
      <c r="K359" s="5">
        <v>13</v>
      </c>
      <c r="L359" s="5">
        <v>5</v>
      </c>
      <c r="M359" s="5">
        <v>5</v>
      </c>
      <c r="N359" s="7">
        <v>396.26</v>
      </c>
      <c r="O359" s="7">
        <f t="shared" si="37"/>
        <v>1981.3</v>
      </c>
      <c r="P359" s="4">
        <v>0.05</v>
      </c>
      <c r="Q359" s="7">
        <f t="shared" si="38"/>
        <v>99.064999999999998</v>
      </c>
      <c r="R359" s="7">
        <f t="shared" si="39"/>
        <v>1882.2349999999999</v>
      </c>
      <c r="S359" s="7">
        <f t="shared" si="40"/>
        <v>376.447</v>
      </c>
      <c r="T359" s="6">
        <f t="shared" si="41"/>
        <v>2.3809523809523808E-2</v>
      </c>
      <c r="V359" t="s">
        <v>29</v>
      </c>
    </row>
    <row r="360" spans="1:22">
      <c r="A360" s="3">
        <v>45672</v>
      </c>
      <c r="B360" t="str">
        <f t="shared" si="35"/>
        <v>yyyy-01</v>
      </c>
      <c r="C360">
        <f t="shared" si="36"/>
        <v>3</v>
      </c>
      <c r="D360" t="s">
        <v>66</v>
      </c>
      <c r="E360" t="s">
        <v>67</v>
      </c>
      <c r="F360" t="s">
        <v>70</v>
      </c>
      <c r="G360" t="s">
        <v>27</v>
      </c>
      <c r="H360" t="s">
        <v>48</v>
      </c>
      <c r="I360" s="5">
        <v>238</v>
      </c>
      <c r="J360" s="5">
        <v>188</v>
      </c>
      <c r="K360" s="5">
        <v>19</v>
      </c>
      <c r="L360" s="5">
        <v>5</v>
      </c>
      <c r="M360" s="5">
        <v>5</v>
      </c>
      <c r="N360" s="7">
        <v>343.83</v>
      </c>
      <c r="O360" s="7">
        <f t="shared" si="37"/>
        <v>1719.1499999999999</v>
      </c>
      <c r="P360" s="4">
        <v>0.03</v>
      </c>
      <c r="Q360" s="7">
        <f t="shared" si="38"/>
        <v>51.574499999999993</v>
      </c>
      <c r="R360" s="7">
        <f t="shared" si="39"/>
        <v>1667.5754999999999</v>
      </c>
      <c r="S360" s="7">
        <f t="shared" si="40"/>
        <v>333.51509999999996</v>
      </c>
      <c r="T360" s="6">
        <f t="shared" si="41"/>
        <v>2.100840336134454E-2</v>
      </c>
      <c r="V360" t="s">
        <v>29</v>
      </c>
    </row>
    <row r="361" spans="1:22">
      <c r="A361" s="3">
        <v>45672</v>
      </c>
      <c r="B361" t="str">
        <f t="shared" si="35"/>
        <v>yyyy-01</v>
      </c>
      <c r="C361">
        <f t="shared" si="36"/>
        <v>3</v>
      </c>
      <c r="D361" t="s">
        <v>66</v>
      </c>
      <c r="E361" t="s">
        <v>71</v>
      </c>
      <c r="F361" t="s">
        <v>72</v>
      </c>
      <c r="G361" t="s">
        <v>36</v>
      </c>
      <c r="H361" t="s">
        <v>37</v>
      </c>
      <c r="I361" s="5">
        <v>214</v>
      </c>
      <c r="J361" s="5">
        <v>117</v>
      </c>
      <c r="K361" s="5">
        <v>13</v>
      </c>
      <c r="L361" s="5">
        <v>3</v>
      </c>
      <c r="M361" s="5">
        <v>4</v>
      </c>
      <c r="N361" s="7">
        <v>130.65</v>
      </c>
      <c r="O361" s="7">
        <f t="shared" si="37"/>
        <v>522.6</v>
      </c>
      <c r="P361" s="4">
        <v>0</v>
      </c>
      <c r="Q361" s="7">
        <f t="shared" si="38"/>
        <v>0</v>
      </c>
      <c r="R361" s="7">
        <f t="shared" si="39"/>
        <v>522.6</v>
      </c>
      <c r="S361" s="7">
        <f t="shared" si="40"/>
        <v>174.20000000000002</v>
      </c>
      <c r="T361" s="6">
        <f t="shared" si="41"/>
        <v>1.4018691588785047E-2</v>
      </c>
      <c r="V361" t="s">
        <v>29</v>
      </c>
    </row>
    <row r="362" spans="1:22">
      <c r="A362" s="3">
        <v>45672</v>
      </c>
      <c r="B362" t="str">
        <f t="shared" si="35"/>
        <v>yyyy-01</v>
      </c>
      <c r="C362">
        <f t="shared" si="36"/>
        <v>3</v>
      </c>
      <c r="D362" t="s">
        <v>66</v>
      </c>
      <c r="E362" t="s">
        <v>73</v>
      </c>
      <c r="F362" t="s">
        <v>74</v>
      </c>
      <c r="G362" t="s">
        <v>27</v>
      </c>
      <c r="H362" t="s">
        <v>48</v>
      </c>
      <c r="I362" s="5">
        <v>120</v>
      </c>
      <c r="J362" s="5">
        <v>80</v>
      </c>
      <c r="K362" s="5">
        <v>5</v>
      </c>
      <c r="L362" s="5">
        <v>2</v>
      </c>
      <c r="M362" s="5">
        <v>2</v>
      </c>
      <c r="N362" s="7">
        <v>1161.3900000000001</v>
      </c>
      <c r="O362" s="7">
        <f t="shared" si="37"/>
        <v>2322.7800000000002</v>
      </c>
      <c r="P362" s="4">
        <v>0</v>
      </c>
      <c r="Q362" s="7">
        <f t="shared" si="38"/>
        <v>0</v>
      </c>
      <c r="R362" s="7">
        <f t="shared" si="39"/>
        <v>2322.7800000000002</v>
      </c>
      <c r="S362" s="7">
        <f t="shared" si="40"/>
        <v>1161.3900000000001</v>
      </c>
      <c r="T362" s="6">
        <f t="shared" si="41"/>
        <v>1.6666666666666666E-2</v>
      </c>
      <c r="V362" t="s">
        <v>29</v>
      </c>
    </row>
    <row r="363" spans="1:22">
      <c r="A363" s="3">
        <v>45672</v>
      </c>
      <c r="B363" t="str">
        <f t="shared" si="35"/>
        <v>yyyy-01</v>
      </c>
      <c r="C363">
        <f t="shared" si="36"/>
        <v>3</v>
      </c>
      <c r="D363" t="s">
        <v>66</v>
      </c>
      <c r="E363" t="s">
        <v>71</v>
      </c>
      <c r="F363" t="s">
        <v>75</v>
      </c>
      <c r="G363" t="s">
        <v>27</v>
      </c>
      <c r="H363" t="s">
        <v>28</v>
      </c>
      <c r="I363" s="5">
        <v>223</v>
      </c>
      <c r="J363" s="5">
        <v>163</v>
      </c>
      <c r="K363" s="5">
        <v>10</v>
      </c>
      <c r="L363" s="5">
        <v>3</v>
      </c>
      <c r="M363" s="5">
        <v>3</v>
      </c>
      <c r="N363" s="7">
        <v>38.229999999999997</v>
      </c>
      <c r="O363" s="7">
        <f t="shared" si="37"/>
        <v>114.69</v>
      </c>
      <c r="P363" s="4">
        <v>0.05</v>
      </c>
      <c r="Q363" s="7">
        <f t="shared" si="38"/>
        <v>5.7345000000000006</v>
      </c>
      <c r="R363" s="7">
        <f t="shared" si="39"/>
        <v>108.9555</v>
      </c>
      <c r="S363" s="7">
        <f t="shared" si="40"/>
        <v>36.3185</v>
      </c>
      <c r="T363" s="6">
        <f t="shared" si="41"/>
        <v>1.3452914798206279E-2</v>
      </c>
      <c r="V363" t="s">
        <v>29</v>
      </c>
    </row>
    <row r="364" spans="1:22">
      <c r="A364" s="3">
        <v>45672</v>
      </c>
      <c r="B364" t="str">
        <f t="shared" si="35"/>
        <v>yyyy-01</v>
      </c>
      <c r="C364">
        <f t="shared" si="36"/>
        <v>3</v>
      </c>
      <c r="D364" t="s">
        <v>24</v>
      </c>
      <c r="E364" t="s">
        <v>76</v>
      </c>
      <c r="F364" t="s">
        <v>77</v>
      </c>
      <c r="G364" t="s">
        <v>27</v>
      </c>
      <c r="H364" t="s">
        <v>45</v>
      </c>
      <c r="I364" s="5">
        <v>542</v>
      </c>
      <c r="J364" s="5">
        <v>364</v>
      </c>
      <c r="K364" s="5">
        <v>40</v>
      </c>
      <c r="L364" s="5">
        <v>12</v>
      </c>
      <c r="M364" s="5">
        <v>13</v>
      </c>
      <c r="N364" s="7">
        <v>202.67</v>
      </c>
      <c r="O364" s="7">
        <f t="shared" si="37"/>
        <v>2634.71</v>
      </c>
      <c r="P364" s="4">
        <v>0</v>
      </c>
      <c r="Q364" s="7">
        <f t="shared" si="38"/>
        <v>0</v>
      </c>
      <c r="R364" s="7">
        <f t="shared" si="39"/>
        <v>2634.71</v>
      </c>
      <c r="S364" s="7">
        <f t="shared" si="40"/>
        <v>219.55916666666667</v>
      </c>
      <c r="T364" s="6">
        <f t="shared" si="41"/>
        <v>2.2140221402214021E-2</v>
      </c>
      <c r="V364" t="s">
        <v>29</v>
      </c>
    </row>
    <row r="365" spans="1:22">
      <c r="A365" s="3">
        <v>45673</v>
      </c>
      <c r="B365" t="str">
        <f t="shared" si="35"/>
        <v>yyyy-01</v>
      </c>
      <c r="C365">
        <f t="shared" si="36"/>
        <v>3</v>
      </c>
      <c r="D365" t="s">
        <v>24</v>
      </c>
      <c r="E365" t="s">
        <v>25</v>
      </c>
      <c r="F365" t="s">
        <v>26</v>
      </c>
      <c r="G365" t="s">
        <v>36</v>
      </c>
      <c r="H365" t="s">
        <v>37</v>
      </c>
      <c r="I365" s="5">
        <v>1479</v>
      </c>
      <c r="J365" s="5">
        <v>1065</v>
      </c>
      <c r="K365" s="5">
        <v>113</v>
      </c>
      <c r="L365" s="5">
        <v>31</v>
      </c>
      <c r="M365" s="5">
        <v>31</v>
      </c>
      <c r="N365" s="7">
        <v>1003.45</v>
      </c>
      <c r="O365" s="7">
        <f t="shared" si="37"/>
        <v>31106.95</v>
      </c>
      <c r="P365" s="4">
        <v>0.12</v>
      </c>
      <c r="Q365" s="7">
        <f t="shared" si="38"/>
        <v>3732.8339999999998</v>
      </c>
      <c r="R365" s="7">
        <f t="shared" si="39"/>
        <v>27374.116000000002</v>
      </c>
      <c r="S365" s="7">
        <f t="shared" si="40"/>
        <v>883.03600000000006</v>
      </c>
      <c r="T365" s="6">
        <f t="shared" si="41"/>
        <v>2.0960108181203516E-2</v>
      </c>
      <c r="U365" t="s">
        <v>79</v>
      </c>
      <c r="V365" t="s">
        <v>29</v>
      </c>
    </row>
    <row r="366" spans="1:22">
      <c r="A366" s="3">
        <v>45673</v>
      </c>
      <c r="B366" t="str">
        <f t="shared" si="35"/>
        <v>yyyy-01</v>
      </c>
      <c r="C366">
        <f t="shared" si="36"/>
        <v>3</v>
      </c>
      <c r="D366" t="s">
        <v>24</v>
      </c>
      <c r="E366" t="s">
        <v>25</v>
      </c>
      <c r="F366" t="s">
        <v>30</v>
      </c>
      <c r="G366" t="s">
        <v>27</v>
      </c>
      <c r="H366" t="s">
        <v>45</v>
      </c>
      <c r="I366" s="5">
        <v>1438</v>
      </c>
      <c r="J366" s="5">
        <v>1113</v>
      </c>
      <c r="K366" s="5">
        <v>89</v>
      </c>
      <c r="L366" s="5">
        <v>36</v>
      </c>
      <c r="M366" s="5">
        <v>36</v>
      </c>
      <c r="N366" s="7">
        <v>395.17</v>
      </c>
      <c r="O366" s="7">
        <f t="shared" si="37"/>
        <v>14226.12</v>
      </c>
      <c r="P366" s="4">
        <v>0.12</v>
      </c>
      <c r="Q366" s="7">
        <f t="shared" si="38"/>
        <v>1707.1344000000001</v>
      </c>
      <c r="R366" s="7">
        <f t="shared" si="39"/>
        <v>12518.9856</v>
      </c>
      <c r="S366" s="7">
        <f t="shared" si="40"/>
        <v>347.74959999999999</v>
      </c>
      <c r="T366" s="6">
        <f t="shared" si="41"/>
        <v>2.5034770514603615E-2</v>
      </c>
      <c r="U366" t="s">
        <v>79</v>
      </c>
      <c r="V366" t="s">
        <v>29</v>
      </c>
    </row>
    <row r="367" spans="1:22">
      <c r="A367" s="3">
        <v>45673</v>
      </c>
      <c r="B367" t="str">
        <f t="shared" si="35"/>
        <v>yyyy-01</v>
      </c>
      <c r="C367">
        <f t="shared" si="36"/>
        <v>3</v>
      </c>
      <c r="D367" t="s">
        <v>24</v>
      </c>
      <c r="E367" t="s">
        <v>25</v>
      </c>
      <c r="F367" t="s">
        <v>33</v>
      </c>
      <c r="G367" t="s">
        <v>31</v>
      </c>
      <c r="H367" t="s">
        <v>32</v>
      </c>
      <c r="I367" s="5">
        <v>1682</v>
      </c>
      <c r="J367" s="5">
        <v>975</v>
      </c>
      <c r="K367" s="5">
        <v>226</v>
      </c>
      <c r="L367" s="5">
        <v>50</v>
      </c>
      <c r="M367" s="5">
        <v>50</v>
      </c>
      <c r="N367" s="7">
        <v>1776.31</v>
      </c>
      <c r="O367" s="7">
        <f t="shared" si="37"/>
        <v>88815.5</v>
      </c>
      <c r="P367" s="4">
        <v>0.12</v>
      </c>
      <c r="Q367" s="7">
        <f t="shared" si="38"/>
        <v>10657.859999999999</v>
      </c>
      <c r="R367" s="7">
        <f t="shared" si="39"/>
        <v>78157.64</v>
      </c>
      <c r="S367" s="7">
        <f t="shared" si="40"/>
        <v>1563.1528000000001</v>
      </c>
      <c r="T367" s="6">
        <f t="shared" si="41"/>
        <v>2.9726516052318668E-2</v>
      </c>
      <c r="U367" t="s">
        <v>79</v>
      </c>
      <c r="V367" t="s">
        <v>29</v>
      </c>
    </row>
    <row r="368" spans="1:22">
      <c r="A368" s="3">
        <v>45673</v>
      </c>
      <c r="B368" t="str">
        <f t="shared" si="35"/>
        <v>yyyy-01</v>
      </c>
      <c r="C368">
        <f t="shared" si="36"/>
        <v>3</v>
      </c>
      <c r="D368" t="s">
        <v>24</v>
      </c>
      <c r="E368" t="s">
        <v>34</v>
      </c>
      <c r="F368" t="s">
        <v>35</v>
      </c>
      <c r="G368" t="s">
        <v>27</v>
      </c>
      <c r="H368" t="s">
        <v>48</v>
      </c>
      <c r="I368" s="5">
        <v>663</v>
      </c>
      <c r="J368" s="5">
        <v>420</v>
      </c>
      <c r="K368" s="5">
        <v>48</v>
      </c>
      <c r="L368" s="5">
        <v>13</v>
      </c>
      <c r="M368" s="5">
        <v>13</v>
      </c>
      <c r="N368" s="7">
        <v>899.78</v>
      </c>
      <c r="O368" s="7">
        <f t="shared" si="37"/>
        <v>11697.14</v>
      </c>
      <c r="P368" s="4">
        <v>0.05</v>
      </c>
      <c r="Q368" s="7">
        <f t="shared" si="38"/>
        <v>584.85699999999997</v>
      </c>
      <c r="R368" s="7">
        <f t="shared" si="39"/>
        <v>11112.282999999999</v>
      </c>
      <c r="S368" s="7">
        <f t="shared" si="40"/>
        <v>854.79099999999994</v>
      </c>
      <c r="T368" s="6">
        <f t="shared" si="41"/>
        <v>1.9607843137254902E-2</v>
      </c>
      <c r="V368" t="s">
        <v>29</v>
      </c>
    </row>
    <row r="369" spans="1:22">
      <c r="A369" s="3">
        <v>45673</v>
      </c>
      <c r="B369" t="str">
        <f t="shared" si="35"/>
        <v>yyyy-01</v>
      </c>
      <c r="C369">
        <f t="shared" si="36"/>
        <v>3</v>
      </c>
      <c r="D369" t="s">
        <v>24</v>
      </c>
      <c r="E369" t="s">
        <v>38</v>
      </c>
      <c r="F369" t="s">
        <v>39</v>
      </c>
      <c r="G369" t="s">
        <v>31</v>
      </c>
      <c r="H369" t="s">
        <v>32</v>
      </c>
      <c r="I369" s="5">
        <v>990</v>
      </c>
      <c r="J369" s="5">
        <v>694</v>
      </c>
      <c r="K369" s="5">
        <v>77</v>
      </c>
      <c r="L369" s="5">
        <v>19</v>
      </c>
      <c r="M369" s="5">
        <v>19</v>
      </c>
      <c r="N369" s="7">
        <v>330.62</v>
      </c>
      <c r="O369" s="7">
        <f t="shared" si="37"/>
        <v>6281.78</v>
      </c>
      <c r="P369" s="4">
        <v>0</v>
      </c>
      <c r="Q369" s="7">
        <f t="shared" si="38"/>
        <v>0</v>
      </c>
      <c r="R369" s="7">
        <f t="shared" si="39"/>
        <v>6281.78</v>
      </c>
      <c r="S369" s="7">
        <f t="shared" si="40"/>
        <v>330.62</v>
      </c>
      <c r="T369" s="6">
        <f t="shared" si="41"/>
        <v>1.9191919191919191E-2</v>
      </c>
      <c r="V369" t="s">
        <v>29</v>
      </c>
    </row>
    <row r="370" spans="1:22">
      <c r="A370" s="3">
        <v>45673</v>
      </c>
      <c r="B370" t="str">
        <f t="shared" si="35"/>
        <v>yyyy-01</v>
      </c>
      <c r="C370">
        <f t="shared" si="36"/>
        <v>3</v>
      </c>
      <c r="D370" t="s">
        <v>24</v>
      </c>
      <c r="E370" t="s">
        <v>40</v>
      </c>
      <c r="F370" t="s">
        <v>41</v>
      </c>
      <c r="G370" t="s">
        <v>27</v>
      </c>
      <c r="H370" t="s">
        <v>45</v>
      </c>
      <c r="I370" s="5">
        <v>739</v>
      </c>
      <c r="J370" s="5">
        <v>395</v>
      </c>
      <c r="K370" s="5">
        <v>61</v>
      </c>
      <c r="L370" s="5">
        <v>14</v>
      </c>
      <c r="M370" s="5">
        <v>16</v>
      </c>
      <c r="N370" s="7">
        <v>174.26</v>
      </c>
      <c r="O370" s="7">
        <f t="shared" si="37"/>
        <v>2788.16</v>
      </c>
      <c r="P370" s="4">
        <v>0</v>
      </c>
      <c r="Q370" s="7">
        <f t="shared" si="38"/>
        <v>0</v>
      </c>
      <c r="R370" s="7">
        <f t="shared" si="39"/>
        <v>2788.16</v>
      </c>
      <c r="S370" s="7">
        <f t="shared" si="40"/>
        <v>199.15428571428569</v>
      </c>
      <c r="T370" s="6">
        <f t="shared" si="41"/>
        <v>1.8944519621109608E-2</v>
      </c>
      <c r="V370" t="s">
        <v>78</v>
      </c>
    </row>
    <row r="371" spans="1:22">
      <c r="A371" s="3">
        <v>45673</v>
      </c>
      <c r="B371" t="str">
        <f t="shared" si="35"/>
        <v>yyyy-01</v>
      </c>
      <c r="C371">
        <f t="shared" si="36"/>
        <v>3</v>
      </c>
      <c r="D371" t="s">
        <v>42</v>
      </c>
      <c r="E371" t="s">
        <v>43</v>
      </c>
      <c r="F371" t="s">
        <v>44</v>
      </c>
      <c r="G371" t="s">
        <v>31</v>
      </c>
      <c r="H371" t="s">
        <v>32</v>
      </c>
      <c r="I371" s="5">
        <v>372</v>
      </c>
      <c r="J371" s="5">
        <v>304</v>
      </c>
      <c r="K371" s="5">
        <v>24</v>
      </c>
      <c r="L371" s="5">
        <v>7</v>
      </c>
      <c r="M371" s="5">
        <v>7</v>
      </c>
      <c r="N371" s="7">
        <v>1260.54</v>
      </c>
      <c r="O371" s="7">
        <f t="shared" si="37"/>
        <v>8823.7799999999988</v>
      </c>
      <c r="P371" s="4">
        <v>0.1</v>
      </c>
      <c r="Q371" s="7">
        <f t="shared" si="38"/>
        <v>882.37799999999993</v>
      </c>
      <c r="R371" s="7">
        <f t="shared" si="39"/>
        <v>7941.4019999999991</v>
      </c>
      <c r="S371" s="7">
        <f t="shared" si="40"/>
        <v>1134.4859999999999</v>
      </c>
      <c r="T371" s="6">
        <f t="shared" si="41"/>
        <v>1.8817204301075269E-2</v>
      </c>
      <c r="U371" t="s">
        <v>80</v>
      </c>
      <c r="V371" t="s">
        <v>29</v>
      </c>
    </row>
    <row r="372" spans="1:22">
      <c r="A372" s="3">
        <v>45673</v>
      </c>
      <c r="B372" t="str">
        <f t="shared" si="35"/>
        <v>yyyy-01</v>
      </c>
      <c r="C372">
        <f t="shared" si="36"/>
        <v>3</v>
      </c>
      <c r="D372" t="s">
        <v>42</v>
      </c>
      <c r="E372" t="s">
        <v>43</v>
      </c>
      <c r="F372" t="s">
        <v>46</v>
      </c>
      <c r="G372" t="s">
        <v>27</v>
      </c>
      <c r="H372" t="s">
        <v>45</v>
      </c>
      <c r="I372" s="5">
        <v>393</v>
      </c>
      <c r="J372" s="5">
        <v>278</v>
      </c>
      <c r="K372" s="5">
        <v>37</v>
      </c>
      <c r="L372" s="5">
        <v>9</v>
      </c>
      <c r="M372" s="5">
        <v>9</v>
      </c>
      <c r="N372" s="7">
        <v>2147.37</v>
      </c>
      <c r="O372" s="7">
        <f t="shared" si="37"/>
        <v>19326.329999999998</v>
      </c>
      <c r="P372" s="4">
        <v>0.1</v>
      </c>
      <c r="Q372" s="7">
        <f t="shared" si="38"/>
        <v>1932.6329999999998</v>
      </c>
      <c r="R372" s="7">
        <f t="shared" si="39"/>
        <v>17393.697</v>
      </c>
      <c r="S372" s="7">
        <f t="shared" si="40"/>
        <v>1932.633</v>
      </c>
      <c r="T372" s="6">
        <f t="shared" si="41"/>
        <v>2.2900763358778626E-2</v>
      </c>
      <c r="U372" t="s">
        <v>80</v>
      </c>
      <c r="V372" t="s">
        <v>29</v>
      </c>
    </row>
    <row r="373" spans="1:22">
      <c r="A373" s="3">
        <v>45673</v>
      </c>
      <c r="B373" t="str">
        <f t="shared" si="35"/>
        <v>yyyy-01</v>
      </c>
      <c r="C373">
        <f t="shared" si="36"/>
        <v>3</v>
      </c>
      <c r="D373" t="s">
        <v>42</v>
      </c>
      <c r="E373" t="s">
        <v>43</v>
      </c>
      <c r="F373" t="s">
        <v>47</v>
      </c>
      <c r="G373" t="s">
        <v>27</v>
      </c>
      <c r="H373" t="s">
        <v>48</v>
      </c>
      <c r="I373" s="5">
        <v>313</v>
      </c>
      <c r="J373" s="5">
        <v>192</v>
      </c>
      <c r="K373" s="5">
        <v>23</v>
      </c>
      <c r="L373" s="5">
        <v>6</v>
      </c>
      <c r="M373" s="5">
        <v>6</v>
      </c>
      <c r="N373" s="7">
        <v>575.29999999999995</v>
      </c>
      <c r="O373" s="7">
        <f t="shared" si="37"/>
        <v>3451.7999999999997</v>
      </c>
      <c r="P373" s="4">
        <v>0.1</v>
      </c>
      <c r="Q373" s="7">
        <f t="shared" si="38"/>
        <v>345.18</v>
      </c>
      <c r="R373" s="7">
        <f t="shared" si="39"/>
        <v>3106.62</v>
      </c>
      <c r="S373" s="7">
        <f t="shared" si="40"/>
        <v>517.77</v>
      </c>
      <c r="T373" s="6">
        <f t="shared" si="41"/>
        <v>1.9169329073482427E-2</v>
      </c>
      <c r="U373" t="s">
        <v>80</v>
      </c>
      <c r="V373" t="s">
        <v>29</v>
      </c>
    </row>
    <row r="374" spans="1:22">
      <c r="A374" s="3">
        <v>45673</v>
      </c>
      <c r="B374" t="str">
        <f t="shared" si="35"/>
        <v>yyyy-01</v>
      </c>
      <c r="C374">
        <f t="shared" si="36"/>
        <v>3</v>
      </c>
      <c r="D374" t="s">
        <v>42</v>
      </c>
      <c r="E374" t="s">
        <v>49</v>
      </c>
      <c r="F374" t="s">
        <v>50</v>
      </c>
      <c r="G374" t="s">
        <v>27</v>
      </c>
      <c r="H374" t="s">
        <v>63</v>
      </c>
      <c r="I374" s="5">
        <v>104</v>
      </c>
      <c r="J374" s="5">
        <v>73</v>
      </c>
      <c r="K374" s="5">
        <v>6</v>
      </c>
      <c r="L374" s="5">
        <v>1</v>
      </c>
      <c r="M374" s="5">
        <v>1</v>
      </c>
      <c r="N374" s="7">
        <v>979.2</v>
      </c>
      <c r="O374" s="7">
        <f t="shared" si="37"/>
        <v>979.2</v>
      </c>
      <c r="P374" s="4">
        <v>0</v>
      </c>
      <c r="Q374" s="7">
        <f t="shared" si="38"/>
        <v>0</v>
      </c>
      <c r="R374" s="7">
        <f t="shared" si="39"/>
        <v>979.2</v>
      </c>
      <c r="S374" s="7">
        <f t="shared" si="40"/>
        <v>979.2</v>
      </c>
      <c r="T374" s="6">
        <f t="shared" si="41"/>
        <v>9.6153846153846159E-3</v>
      </c>
      <c r="V374" t="s">
        <v>29</v>
      </c>
    </row>
    <row r="375" spans="1:22">
      <c r="A375" s="3">
        <v>45673</v>
      </c>
      <c r="B375" t="str">
        <f t="shared" si="35"/>
        <v>yyyy-01</v>
      </c>
      <c r="C375">
        <f t="shared" si="36"/>
        <v>3</v>
      </c>
      <c r="D375" t="s">
        <v>42</v>
      </c>
      <c r="E375" t="s">
        <v>51</v>
      </c>
      <c r="F375" t="s">
        <v>52</v>
      </c>
      <c r="G375" t="s">
        <v>36</v>
      </c>
      <c r="H375" t="s">
        <v>37</v>
      </c>
      <c r="I375" s="5">
        <v>262</v>
      </c>
      <c r="J375" s="5">
        <v>208</v>
      </c>
      <c r="K375" s="5">
        <v>21</v>
      </c>
      <c r="L375" s="5">
        <v>3</v>
      </c>
      <c r="M375" s="5">
        <v>3</v>
      </c>
      <c r="N375" s="7">
        <v>607.37</v>
      </c>
      <c r="O375" s="7">
        <f t="shared" si="37"/>
        <v>1822.1100000000001</v>
      </c>
      <c r="P375" s="4">
        <v>0</v>
      </c>
      <c r="Q375" s="7">
        <f t="shared" si="38"/>
        <v>0</v>
      </c>
      <c r="R375" s="7">
        <f t="shared" si="39"/>
        <v>1822.1100000000001</v>
      </c>
      <c r="S375" s="7">
        <f t="shared" si="40"/>
        <v>607.37</v>
      </c>
      <c r="T375" s="6">
        <f t="shared" si="41"/>
        <v>1.1450381679389313E-2</v>
      </c>
      <c r="V375" t="s">
        <v>29</v>
      </c>
    </row>
    <row r="376" spans="1:22">
      <c r="A376" s="3">
        <v>45673</v>
      </c>
      <c r="B376" t="str">
        <f t="shared" si="35"/>
        <v>yyyy-01</v>
      </c>
      <c r="C376">
        <f t="shared" si="36"/>
        <v>3</v>
      </c>
      <c r="D376" t="s">
        <v>53</v>
      </c>
      <c r="E376" t="s">
        <v>54</v>
      </c>
      <c r="F376" t="s">
        <v>55</v>
      </c>
      <c r="G376" t="s">
        <v>27</v>
      </c>
      <c r="H376" t="s">
        <v>45</v>
      </c>
      <c r="I376" s="5">
        <v>182</v>
      </c>
      <c r="J376" s="5">
        <v>112</v>
      </c>
      <c r="K376" s="5">
        <v>9</v>
      </c>
      <c r="L376" s="5">
        <v>2</v>
      </c>
      <c r="M376" s="5">
        <v>2</v>
      </c>
      <c r="N376" s="7">
        <v>1270.08</v>
      </c>
      <c r="O376" s="7">
        <f t="shared" si="37"/>
        <v>2540.16</v>
      </c>
      <c r="P376" s="4">
        <v>0.03</v>
      </c>
      <c r="Q376" s="7">
        <f t="shared" si="38"/>
        <v>76.204799999999992</v>
      </c>
      <c r="R376" s="7">
        <f t="shared" si="39"/>
        <v>2463.9551999999999</v>
      </c>
      <c r="S376" s="7">
        <f t="shared" si="40"/>
        <v>1231.9775999999999</v>
      </c>
      <c r="T376" s="6">
        <f t="shared" si="41"/>
        <v>1.098901098901099E-2</v>
      </c>
      <c r="V376" t="s">
        <v>29</v>
      </c>
    </row>
    <row r="377" spans="1:22">
      <c r="A377" s="3">
        <v>45673</v>
      </c>
      <c r="B377" t="str">
        <f t="shared" si="35"/>
        <v>yyyy-01</v>
      </c>
      <c r="C377">
        <f t="shared" si="36"/>
        <v>3</v>
      </c>
      <c r="D377" t="s">
        <v>53</v>
      </c>
      <c r="E377" t="s">
        <v>56</v>
      </c>
      <c r="F377" t="s">
        <v>57</v>
      </c>
      <c r="G377" t="s">
        <v>27</v>
      </c>
      <c r="H377" t="s">
        <v>48</v>
      </c>
      <c r="I377" s="5">
        <v>180</v>
      </c>
      <c r="J377" s="5">
        <v>125</v>
      </c>
      <c r="K377" s="5">
        <v>8</v>
      </c>
      <c r="L377" s="5">
        <v>2</v>
      </c>
      <c r="M377" s="5">
        <v>2</v>
      </c>
      <c r="N377" s="7">
        <v>743.07</v>
      </c>
      <c r="O377" s="7">
        <f t="shared" si="37"/>
        <v>1486.14</v>
      </c>
      <c r="P377" s="4">
        <v>0</v>
      </c>
      <c r="Q377" s="7">
        <f t="shared" si="38"/>
        <v>0</v>
      </c>
      <c r="R377" s="7">
        <f t="shared" si="39"/>
        <v>1486.14</v>
      </c>
      <c r="S377" s="7">
        <f t="shared" si="40"/>
        <v>743.07</v>
      </c>
      <c r="T377" s="6">
        <f t="shared" si="41"/>
        <v>1.1111111111111112E-2</v>
      </c>
      <c r="V377" t="s">
        <v>29</v>
      </c>
    </row>
    <row r="378" spans="1:22">
      <c r="A378" s="3">
        <v>45673</v>
      </c>
      <c r="B378" t="str">
        <f t="shared" si="35"/>
        <v>yyyy-01</v>
      </c>
      <c r="C378">
        <f t="shared" si="36"/>
        <v>3</v>
      </c>
      <c r="D378" t="s">
        <v>53</v>
      </c>
      <c r="E378" t="s">
        <v>56</v>
      </c>
      <c r="F378" t="s">
        <v>58</v>
      </c>
      <c r="G378" t="s">
        <v>27</v>
      </c>
      <c r="H378" t="s">
        <v>45</v>
      </c>
      <c r="I378" s="5">
        <v>179</v>
      </c>
      <c r="J378" s="5">
        <v>109</v>
      </c>
      <c r="K378" s="5">
        <v>9</v>
      </c>
      <c r="L378" s="5">
        <v>2</v>
      </c>
      <c r="M378" s="5">
        <v>2</v>
      </c>
      <c r="N378" s="7">
        <v>878.89</v>
      </c>
      <c r="O378" s="7">
        <f t="shared" si="37"/>
        <v>1757.78</v>
      </c>
      <c r="P378" s="4">
        <v>0.05</v>
      </c>
      <c r="Q378" s="7">
        <f t="shared" si="38"/>
        <v>87.88900000000001</v>
      </c>
      <c r="R378" s="7">
        <f t="shared" si="39"/>
        <v>1669.8910000000001</v>
      </c>
      <c r="S378" s="7">
        <f t="shared" si="40"/>
        <v>834.94550000000004</v>
      </c>
      <c r="T378" s="6">
        <f t="shared" si="41"/>
        <v>1.11731843575419E-2</v>
      </c>
      <c r="V378" t="s">
        <v>29</v>
      </c>
    </row>
    <row r="379" spans="1:22">
      <c r="A379" s="3">
        <v>45673</v>
      </c>
      <c r="B379" t="str">
        <f t="shared" si="35"/>
        <v>yyyy-01</v>
      </c>
      <c r="C379">
        <f t="shared" si="36"/>
        <v>3</v>
      </c>
      <c r="D379" t="s">
        <v>53</v>
      </c>
      <c r="E379" t="s">
        <v>59</v>
      </c>
      <c r="F379" t="s">
        <v>60</v>
      </c>
      <c r="G379" t="s">
        <v>36</v>
      </c>
      <c r="H379" t="s">
        <v>37</v>
      </c>
      <c r="I379" s="5">
        <v>165</v>
      </c>
      <c r="J379" s="5">
        <v>95</v>
      </c>
      <c r="K379" s="5">
        <v>6</v>
      </c>
      <c r="L379" s="5">
        <v>2</v>
      </c>
      <c r="M379" s="5">
        <v>2</v>
      </c>
      <c r="N379" s="7">
        <v>685.94</v>
      </c>
      <c r="O379" s="7">
        <f t="shared" si="37"/>
        <v>1371.88</v>
      </c>
      <c r="P379" s="4">
        <v>0.05</v>
      </c>
      <c r="Q379" s="7">
        <f t="shared" si="38"/>
        <v>68.594000000000008</v>
      </c>
      <c r="R379" s="7">
        <f t="shared" si="39"/>
        <v>1303.2860000000001</v>
      </c>
      <c r="S379" s="7">
        <f t="shared" si="40"/>
        <v>651.64300000000003</v>
      </c>
      <c r="T379" s="6">
        <f t="shared" si="41"/>
        <v>1.2121212121212121E-2</v>
      </c>
      <c r="V379" t="s">
        <v>29</v>
      </c>
    </row>
    <row r="380" spans="1:22">
      <c r="A380" s="3">
        <v>45673</v>
      </c>
      <c r="B380" t="str">
        <f t="shared" si="35"/>
        <v>yyyy-01</v>
      </c>
      <c r="C380">
        <f t="shared" si="36"/>
        <v>3</v>
      </c>
      <c r="D380" t="s">
        <v>53</v>
      </c>
      <c r="E380" t="s">
        <v>61</v>
      </c>
      <c r="F380" t="s">
        <v>62</v>
      </c>
      <c r="G380" t="s">
        <v>27</v>
      </c>
      <c r="H380" t="s">
        <v>45</v>
      </c>
      <c r="I380" s="5">
        <v>103</v>
      </c>
      <c r="J380" s="5">
        <v>81</v>
      </c>
      <c r="K380" s="5">
        <v>6</v>
      </c>
      <c r="L380" s="5">
        <v>1</v>
      </c>
      <c r="M380" s="5">
        <v>1</v>
      </c>
      <c r="N380" s="7">
        <v>482.57</v>
      </c>
      <c r="O380" s="7">
        <f t="shared" si="37"/>
        <v>482.57</v>
      </c>
      <c r="P380" s="4">
        <v>0</v>
      </c>
      <c r="Q380" s="7">
        <f t="shared" si="38"/>
        <v>0</v>
      </c>
      <c r="R380" s="7">
        <f t="shared" si="39"/>
        <v>482.57</v>
      </c>
      <c r="S380" s="7">
        <f t="shared" si="40"/>
        <v>482.57</v>
      </c>
      <c r="T380" s="6">
        <f t="shared" si="41"/>
        <v>9.7087378640776691E-3</v>
      </c>
      <c r="V380" t="s">
        <v>29</v>
      </c>
    </row>
    <row r="381" spans="1:22">
      <c r="A381" s="3">
        <v>45673</v>
      </c>
      <c r="B381" t="str">
        <f t="shared" si="35"/>
        <v>yyyy-01</v>
      </c>
      <c r="C381">
        <f t="shared" si="36"/>
        <v>3</v>
      </c>
      <c r="D381" t="s">
        <v>53</v>
      </c>
      <c r="E381" t="s">
        <v>64</v>
      </c>
      <c r="F381" t="s">
        <v>65</v>
      </c>
      <c r="G381" t="s">
        <v>31</v>
      </c>
      <c r="H381" t="s">
        <v>32</v>
      </c>
      <c r="I381" s="5">
        <v>236</v>
      </c>
      <c r="J381" s="5">
        <v>187</v>
      </c>
      <c r="K381" s="5">
        <v>14</v>
      </c>
      <c r="L381" s="5">
        <v>3</v>
      </c>
      <c r="M381" s="5">
        <v>3</v>
      </c>
      <c r="N381" s="7">
        <v>781.34</v>
      </c>
      <c r="O381" s="7">
        <f t="shared" si="37"/>
        <v>2344.02</v>
      </c>
      <c r="P381" s="4">
        <v>0.05</v>
      </c>
      <c r="Q381" s="7">
        <f t="shared" si="38"/>
        <v>117.20100000000001</v>
      </c>
      <c r="R381" s="7">
        <f t="shared" si="39"/>
        <v>2226.819</v>
      </c>
      <c r="S381" s="7">
        <f t="shared" si="40"/>
        <v>742.27300000000002</v>
      </c>
      <c r="T381" s="6">
        <f t="shared" si="41"/>
        <v>1.2711864406779662E-2</v>
      </c>
      <c r="V381" t="s">
        <v>29</v>
      </c>
    </row>
    <row r="382" spans="1:22">
      <c r="A382" s="3">
        <v>45673</v>
      </c>
      <c r="B382" t="str">
        <f t="shared" si="35"/>
        <v>yyyy-01</v>
      </c>
      <c r="C382">
        <f t="shared" si="36"/>
        <v>3</v>
      </c>
      <c r="D382" t="s">
        <v>66</v>
      </c>
      <c r="E382" t="s">
        <v>67</v>
      </c>
      <c r="F382" t="s">
        <v>68</v>
      </c>
      <c r="G382" t="s">
        <v>31</v>
      </c>
      <c r="H382" t="s">
        <v>32</v>
      </c>
      <c r="I382" s="5">
        <v>385</v>
      </c>
      <c r="J382" s="5">
        <v>224</v>
      </c>
      <c r="K382" s="5">
        <v>26</v>
      </c>
      <c r="L382" s="5">
        <v>7</v>
      </c>
      <c r="M382" s="5">
        <v>7</v>
      </c>
      <c r="N382" s="7">
        <v>690.23</v>
      </c>
      <c r="O382" s="7">
        <f t="shared" si="37"/>
        <v>4831.6100000000006</v>
      </c>
      <c r="P382" s="4">
        <v>0</v>
      </c>
      <c r="Q382" s="7">
        <f t="shared" si="38"/>
        <v>0</v>
      </c>
      <c r="R382" s="7">
        <f t="shared" si="39"/>
        <v>4831.6100000000006</v>
      </c>
      <c r="S382" s="7">
        <f t="shared" si="40"/>
        <v>690.23000000000013</v>
      </c>
      <c r="T382" s="6">
        <f t="shared" si="41"/>
        <v>1.8181818181818181E-2</v>
      </c>
      <c r="V382" t="s">
        <v>29</v>
      </c>
    </row>
    <row r="383" spans="1:22">
      <c r="A383" s="3">
        <v>45673</v>
      </c>
      <c r="B383" t="str">
        <f t="shared" si="35"/>
        <v>yyyy-01</v>
      </c>
      <c r="C383">
        <f t="shared" si="36"/>
        <v>3</v>
      </c>
      <c r="D383" t="s">
        <v>66</v>
      </c>
      <c r="E383" t="s">
        <v>67</v>
      </c>
      <c r="F383" t="s">
        <v>69</v>
      </c>
      <c r="G383" t="s">
        <v>36</v>
      </c>
      <c r="H383" t="s">
        <v>37</v>
      </c>
      <c r="I383" s="5">
        <v>404</v>
      </c>
      <c r="J383" s="5">
        <v>333</v>
      </c>
      <c r="K383" s="5">
        <v>25</v>
      </c>
      <c r="L383" s="5">
        <v>7</v>
      </c>
      <c r="M383" s="5">
        <v>7</v>
      </c>
      <c r="N383" s="7">
        <v>388.05</v>
      </c>
      <c r="O383" s="7">
        <f t="shared" si="37"/>
        <v>2716.35</v>
      </c>
      <c r="P383" s="4">
        <v>0.05</v>
      </c>
      <c r="Q383" s="7">
        <f t="shared" si="38"/>
        <v>135.8175</v>
      </c>
      <c r="R383" s="7">
        <f t="shared" si="39"/>
        <v>2580.5324999999998</v>
      </c>
      <c r="S383" s="7">
        <f t="shared" si="40"/>
        <v>368.64749999999998</v>
      </c>
      <c r="T383" s="6">
        <f t="shared" si="41"/>
        <v>1.7326732673267328E-2</v>
      </c>
      <c r="V383" t="s">
        <v>29</v>
      </c>
    </row>
    <row r="384" spans="1:22">
      <c r="A384" s="3">
        <v>45673</v>
      </c>
      <c r="B384" t="str">
        <f t="shared" si="35"/>
        <v>yyyy-01</v>
      </c>
      <c r="C384">
        <f t="shared" si="36"/>
        <v>3</v>
      </c>
      <c r="D384" t="s">
        <v>66</v>
      </c>
      <c r="E384" t="s">
        <v>67</v>
      </c>
      <c r="F384" t="s">
        <v>70</v>
      </c>
      <c r="G384" t="s">
        <v>27</v>
      </c>
      <c r="H384" t="s">
        <v>45</v>
      </c>
      <c r="I384" s="5">
        <v>318</v>
      </c>
      <c r="J384" s="5">
        <v>213</v>
      </c>
      <c r="K384" s="5">
        <v>19</v>
      </c>
      <c r="L384" s="5">
        <v>7</v>
      </c>
      <c r="M384" s="5">
        <v>7</v>
      </c>
      <c r="N384" s="7">
        <v>348.31</v>
      </c>
      <c r="O384" s="7">
        <f t="shared" si="37"/>
        <v>2438.17</v>
      </c>
      <c r="P384" s="4">
        <v>0.03</v>
      </c>
      <c r="Q384" s="7">
        <f t="shared" si="38"/>
        <v>73.145099999999999</v>
      </c>
      <c r="R384" s="7">
        <f t="shared" si="39"/>
        <v>2365.0248999999999</v>
      </c>
      <c r="S384" s="7">
        <f t="shared" si="40"/>
        <v>337.86070000000001</v>
      </c>
      <c r="T384" s="6">
        <f t="shared" si="41"/>
        <v>2.20125786163522E-2</v>
      </c>
      <c r="V384" t="s">
        <v>29</v>
      </c>
    </row>
    <row r="385" spans="1:22">
      <c r="A385" s="3">
        <v>45673</v>
      </c>
      <c r="B385" t="str">
        <f t="shared" si="35"/>
        <v>yyyy-01</v>
      </c>
      <c r="C385">
        <f t="shared" si="36"/>
        <v>3</v>
      </c>
      <c r="D385" t="s">
        <v>66</v>
      </c>
      <c r="E385" t="s">
        <v>71</v>
      </c>
      <c r="F385" t="s">
        <v>72</v>
      </c>
      <c r="G385" t="s">
        <v>36</v>
      </c>
      <c r="H385" t="s">
        <v>37</v>
      </c>
      <c r="I385" s="5">
        <v>355</v>
      </c>
      <c r="J385" s="5">
        <v>225</v>
      </c>
      <c r="K385" s="5">
        <v>24</v>
      </c>
      <c r="L385" s="5">
        <v>5</v>
      </c>
      <c r="M385" s="5">
        <v>6</v>
      </c>
      <c r="N385" s="7">
        <v>129.08000000000001</v>
      </c>
      <c r="O385" s="7">
        <f t="shared" si="37"/>
        <v>774.48</v>
      </c>
      <c r="P385" s="4">
        <v>0</v>
      </c>
      <c r="Q385" s="7">
        <f t="shared" si="38"/>
        <v>0</v>
      </c>
      <c r="R385" s="7">
        <f t="shared" si="39"/>
        <v>774.48</v>
      </c>
      <c r="S385" s="7">
        <f t="shared" si="40"/>
        <v>154.89600000000002</v>
      </c>
      <c r="T385" s="6">
        <f t="shared" si="41"/>
        <v>1.4084507042253521E-2</v>
      </c>
      <c r="V385" t="s">
        <v>29</v>
      </c>
    </row>
    <row r="386" spans="1:22">
      <c r="A386" s="3">
        <v>45673</v>
      </c>
      <c r="B386" t="str">
        <f t="shared" si="35"/>
        <v>yyyy-01</v>
      </c>
      <c r="C386">
        <f t="shared" si="36"/>
        <v>3</v>
      </c>
      <c r="D386" t="s">
        <v>66</v>
      </c>
      <c r="E386" t="s">
        <v>73</v>
      </c>
      <c r="F386" t="s">
        <v>74</v>
      </c>
      <c r="G386" t="s">
        <v>27</v>
      </c>
      <c r="H386" t="s">
        <v>28</v>
      </c>
      <c r="I386" s="5">
        <v>195</v>
      </c>
      <c r="J386" s="5">
        <v>154</v>
      </c>
      <c r="K386" s="5">
        <v>12</v>
      </c>
      <c r="L386" s="5">
        <v>3</v>
      </c>
      <c r="M386" s="5">
        <v>3</v>
      </c>
      <c r="N386" s="7">
        <v>1173.06</v>
      </c>
      <c r="O386" s="7">
        <f t="shared" si="37"/>
        <v>3519.18</v>
      </c>
      <c r="P386" s="4">
        <v>0</v>
      </c>
      <c r="Q386" s="7">
        <f t="shared" si="38"/>
        <v>0</v>
      </c>
      <c r="R386" s="7">
        <f t="shared" si="39"/>
        <v>3519.18</v>
      </c>
      <c r="S386" s="7">
        <f t="shared" si="40"/>
        <v>1173.06</v>
      </c>
      <c r="T386" s="6">
        <f t="shared" si="41"/>
        <v>1.5384615384615385E-2</v>
      </c>
      <c r="V386" t="s">
        <v>29</v>
      </c>
    </row>
    <row r="387" spans="1:22">
      <c r="A387" s="3">
        <v>45673</v>
      </c>
      <c r="B387" t="str">
        <f t="shared" si="35"/>
        <v>yyyy-01</v>
      </c>
      <c r="C387">
        <f t="shared" si="36"/>
        <v>3</v>
      </c>
      <c r="D387" t="s">
        <v>66</v>
      </c>
      <c r="E387" t="s">
        <v>71</v>
      </c>
      <c r="F387" t="s">
        <v>75</v>
      </c>
      <c r="G387" t="s">
        <v>31</v>
      </c>
      <c r="H387" t="s">
        <v>32</v>
      </c>
      <c r="I387" s="5">
        <v>330</v>
      </c>
      <c r="J387" s="5">
        <v>232</v>
      </c>
      <c r="K387" s="5">
        <v>28</v>
      </c>
      <c r="L387" s="5">
        <v>6</v>
      </c>
      <c r="M387" s="5">
        <v>7</v>
      </c>
      <c r="N387" s="7">
        <v>39.549999999999997</v>
      </c>
      <c r="O387" s="7">
        <f t="shared" si="37"/>
        <v>276.84999999999997</v>
      </c>
      <c r="P387" s="4">
        <v>0</v>
      </c>
      <c r="Q387" s="7">
        <f t="shared" si="38"/>
        <v>0</v>
      </c>
      <c r="R387" s="7">
        <f t="shared" si="39"/>
        <v>276.84999999999997</v>
      </c>
      <c r="S387" s="7">
        <f t="shared" si="40"/>
        <v>46.141666666666659</v>
      </c>
      <c r="T387" s="6">
        <f t="shared" si="41"/>
        <v>1.8181818181818181E-2</v>
      </c>
      <c r="V387" t="s">
        <v>29</v>
      </c>
    </row>
    <row r="388" spans="1:22">
      <c r="A388" s="3">
        <v>45673</v>
      </c>
      <c r="B388" t="str">
        <f t="shared" si="35"/>
        <v>yyyy-01</v>
      </c>
      <c r="C388">
        <f t="shared" si="36"/>
        <v>3</v>
      </c>
      <c r="D388" t="s">
        <v>24</v>
      </c>
      <c r="E388" t="s">
        <v>76</v>
      </c>
      <c r="F388" t="s">
        <v>77</v>
      </c>
      <c r="G388" t="s">
        <v>36</v>
      </c>
      <c r="H388" t="s">
        <v>37</v>
      </c>
      <c r="I388" s="5">
        <v>682</v>
      </c>
      <c r="J388" s="5">
        <v>546</v>
      </c>
      <c r="K388" s="5">
        <v>33</v>
      </c>
      <c r="L388" s="5">
        <v>16</v>
      </c>
      <c r="M388" s="5">
        <v>22</v>
      </c>
      <c r="N388" s="7">
        <v>193.56</v>
      </c>
      <c r="O388" s="7">
        <f t="shared" si="37"/>
        <v>4258.32</v>
      </c>
      <c r="P388" s="4">
        <v>0</v>
      </c>
      <c r="Q388" s="7">
        <f t="shared" si="38"/>
        <v>0</v>
      </c>
      <c r="R388" s="7">
        <f t="shared" si="39"/>
        <v>4258.32</v>
      </c>
      <c r="S388" s="7">
        <f t="shared" si="40"/>
        <v>266.14499999999998</v>
      </c>
      <c r="T388" s="6">
        <f t="shared" si="41"/>
        <v>2.3460410557184751E-2</v>
      </c>
      <c r="V388" t="s">
        <v>29</v>
      </c>
    </row>
    <row r="389" spans="1:22">
      <c r="A389" s="3">
        <v>45674</v>
      </c>
      <c r="B389" t="str">
        <f t="shared" ref="B389:B452" si="42">TEXT(A389,"yyyy-mm")</f>
        <v>yyyy-01</v>
      </c>
      <c r="C389">
        <f t="shared" ref="C389:C452" si="43">WEEKNUM(A389,2)</f>
        <v>3</v>
      </c>
      <c r="D389" t="s">
        <v>24</v>
      </c>
      <c r="E389" t="s">
        <v>25</v>
      </c>
      <c r="F389" t="s">
        <v>26</v>
      </c>
      <c r="G389" t="s">
        <v>31</v>
      </c>
      <c r="H389" t="s">
        <v>32</v>
      </c>
      <c r="I389" s="5">
        <v>1915</v>
      </c>
      <c r="J389" s="5">
        <v>1466</v>
      </c>
      <c r="K389" s="5">
        <v>176</v>
      </c>
      <c r="L389" s="5">
        <v>45</v>
      </c>
      <c r="M389" s="5">
        <v>45</v>
      </c>
      <c r="N389" s="7">
        <v>996.39</v>
      </c>
      <c r="O389" s="7">
        <f t="shared" ref="O389:O452" si="44">M389*N389</f>
        <v>44837.55</v>
      </c>
      <c r="P389" s="4">
        <v>0.12</v>
      </c>
      <c r="Q389" s="7">
        <f t="shared" ref="Q389:Q452" si="45">O389*P389</f>
        <v>5380.5060000000003</v>
      </c>
      <c r="R389" s="7">
        <f t="shared" ref="R389:R452" si="46">O389-Q389</f>
        <v>39457.044000000002</v>
      </c>
      <c r="S389" s="7">
        <f t="shared" ref="S389:S452" si="47">IFERROR(R389/L389,0)</f>
        <v>876.82320000000004</v>
      </c>
      <c r="T389" s="6">
        <f t="shared" ref="T389:T452" si="48">IFERROR(L389/I389,0)</f>
        <v>2.3498694516971279E-2</v>
      </c>
      <c r="U389" t="s">
        <v>79</v>
      </c>
      <c r="V389" t="s">
        <v>29</v>
      </c>
    </row>
    <row r="390" spans="1:22">
      <c r="A390" s="3">
        <v>45674</v>
      </c>
      <c r="B390" t="str">
        <f t="shared" si="42"/>
        <v>yyyy-01</v>
      </c>
      <c r="C390">
        <f t="shared" si="43"/>
        <v>3</v>
      </c>
      <c r="D390" t="s">
        <v>24</v>
      </c>
      <c r="E390" t="s">
        <v>25</v>
      </c>
      <c r="F390" t="s">
        <v>30</v>
      </c>
      <c r="G390" t="s">
        <v>27</v>
      </c>
      <c r="H390" t="s">
        <v>28</v>
      </c>
      <c r="I390" s="5">
        <v>1603</v>
      </c>
      <c r="J390" s="5">
        <v>887</v>
      </c>
      <c r="K390" s="5">
        <v>75</v>
      </c>
      <c r="L390" s="5">
        <v>35</v>
      </c>
      <c r="M390" s="5">
        <v>35</v>
      </c>
      <c r="N390" s="7">
        <v>393.68</v>
      </c>
      <c r="O390" s="7">
        <f t="shared" si="44"/>
        <v>13778.800000000001</v>
      </c>
      <c r="P390" s="4">
        <v>0.12</v>
      </c>
      <c r="Q390" s="7">
        <f t="shared" si="45"/>
        <v>1653.4560000000001</v>
      </c>
      <c r="R390" s="7">
        <f t="shared" si="46"/>
        <v>12125.344000000001</v>
      </c>
      <c r="S390" s="7">
        <f t="shared" si="47"/>
        <v>346.4384</v>
      </c>
      <c r="T390" s="6">
        <f t="shared" si="48"/>
        <v>2.1834061135371178E-2</v>
      </c>
      <c r="U390" t="s">
        <v>79</v>
      </c>
      <c r="V390" t="s">
        <v>78</v>
      </c>
    </row>
    <row r="391" spans="1:22">
      <c r="A391" s="3">
        <v>45674</v>
      </c>
      <c r="B391" t="str">
        <f t="shared" si="42"/>
        <v>yyyy-01</v>
      </c>
      <c r="C391">
        <f t="shared" si="43"/>
        <v>3</v>
      </c>
      <c r="D391" t="s">
        <v>24</v>
      </c>
      <c r="E391" t="s">
        <v>25</v>
      </c>
      <c r="F391" t="s">
        <v>33</v>
      </c>
      <c r="G391" t="s">
        <v>31</v>
      </c>
      <c r="H391" t="s">
        <v>32</v>
      </c>
      <c r="I391" s="5">
        <v>1589</v>
      </c>
      <c r="J391" s="5">
        <v>1164</v>
      </c>
      <c r="K391" s="5">
        <v>95</v>
      </c>
      <c r="L391" s="5">
        <v>29</v>
      </c>
      <c r="M391" s="5">
        <v>29</v>
      </c>
      <c r="N391" s="7">
        <v>1783.2</v>
      </c>
      <c r="O391" s="7">
        <f t="shared" si="44"/>
        <v>51712.800000000003</v>
      </c>
      <c r="P391" s="4">
        <v>0.12</v>
      </c>
      <c r="Q391" s="7">
        <f t="shared" si="45"/>
        <v>6205.5360000000001</v>
      </c>
      <c r="R391" s="7">
        <f t="shared" si="46"/>
        <v>45507.264000000003</v>
      </c>
      <c r="S391" s="7">
        <f t="shared" si="47"/>
        <v>1569.2160000000001</v>
      </c>
      <c r="T391" s="6">
        <f t="shared" si="48"/>
        <v>1.8250471994965389E-2</v>
      </c>
      <c r="U391" t="s">
        <v>79</v>
      </c>
      <c r="V391" t="s">
        <v>29</v>
      </c>
    </row>
    <row r="392" spans="1:22">
      <c r="A392" s="3">
        <v>45674</v>
      </c>
      <c r="B392" t="str">
        <f t="shared" si="42"/>
        <v>yyyy-01</v>
      </c>
      <c r="C392">
        <f t="shared" si="43"/>
        <v>3</v>
      </c>
      <c r="D392" t="s">
        <v>24</v>
      </c>
      <c r="E392" t="s">
        <v>34</v>
      </c>
      <c r="F392" t="s">
        <v>35</v>
      </c>
      <c r="G392" t="s">
        <v>27</v>
      </c>
      <c r="H392" t="s">
        <v>28</v>
      </c>
      <c r="I392" s="5">
        <v>787</v>
      </c>
      <c r="J392" s="5">
        <v>611</v>
      </c>
      <c r="K392" s="5">
        <v>54</v>
      </c>
      <c r="L392" s="5">
        <v>13</v>
      </c>
      <c r="M392" s="5">
        <v>13</v>
      </c>
      <c r="N392" s="7">
        <v>869.19</v>
      </c>
      <c r="O392" s="7">
        <f t="shared" si="44"/>
        <v>11299.470000000001</v>
      </c>
      <c r="P392" s="4">
        <v>0.05</v>
      </c>
      <c r="Q392" s="7">
        <f t="shared" si="45"/>
        <v>564.97350000000006</v>
      </c>
      <c r="R392" s="7">
        <f t="shared" si="46"/>
        <v>10734.496500000001</v>
      </c>
      <c r="S392" s="7">
        <f t="shared" si="47"/>
        <v>825.73050000000012</v>
      </c>
      <c r="T392" s="6">
        <f t="shared" si="48"/>
        <v>1.6518424396442185E-2</v>
      </c>
      <c r="V392" t="s">
        <v>29</v>
      </c>
    </row>
    <row r="393" spans="1:22">
      <c r="A393" s="3">
        <v>45674</v>
      </c>
      <c r="B393" t="str">
        <f t="shared" si="42"/>
        <v>yyyy-01</v>
      </c>
      <c r="C393">
        <f t="shared" si="43"/>
        <v>3</v>
      </c>
      <c r="D393" t="s">
        <v>24</v>
      </c>
      <c r="E393" t="s">
        <v>38</v>
      </c>
      <c r="F393" t="s">
        <v>39</v>
      </c>
      <c r="G393" t="s">
        <v>31</v>
      </c>
      <c r="H393" t="s">
        <v>32</v>
      </c>
      <c r="I393" s="5">
        <v>917</v>
      </c>
      <c r="J393" s="5">
        <v>753</v>
      </c>
      <c r="K393" s="5">
        <v>55</v>
      </c>
      <c r="L393" s="5">
        <v>17</v>
      </c>
      <c r="M393" s="5">
        <v>17</v>
      </c>
      <c r="N393" s="7">
        <v>326.66000000000003</v>
      </c>
      <c r="O393" s="7">
        <f t="shared" si="44"/>
        <v>5553.22</v>
      </c>
      <c r="P393" s="4">
        <v>0</v>
      </c>
      <c r="Q393" s="7">
        <f t="shared" si="45"/>
        <v>0</v>
      </c>
      <c r="R393" s="7">
        <f t="shared" si="46"/>
        <v>5553.22</v>
      </c>
      <c r="S393" s="7">
        <f t="shared" si="47"/>
        <v>326.66000000000003</v>
      </c>
      <c r="T393" s="6">
        <f t="shared" si="48"/>
        <v>1.8538713195201745E-2</v>
      </c>
      <c r="V393" t="s">
        <v>29</v>
      </c>
    </row>
    <row r="394" spans="1:22">
      <c r="A394" s="3">
        <v>45674</v>
      </c>
      <c r="B394" t="str">
        <f t="shared" si="42"/>
        <v>yyyy-01</v>
      </c>
      <c r="C394">
        <f t="shared" si="43"/>
        <v>3</v>
      </c>
      <c r="D394" t="s">
        <v>24</v>
      </c>
      <c r="E394" t="s">
        <v>40</v>
      </c>
      <c r="F394" t="s">
        <v>41</v>
      </c>
      <c r="G394" t="s">
        <v>27</v>
      </c>
      <c r="H394" t="s">
        <v>48</v>
      </c>
      <c r="I394" s="5">
        <v>361</v>
      </c>
      <c r="J394" s="5">
        <v>224</v>
      </c>
      <c r="K394" s="5">
        <v>25</v>
      </c>
      <c r="L394" s="5">
        <v>5</v>
      </c>
      <c r="M394" s="5">
        <v>7</v>
      </c>
      <c r="N394" s="7">
        <v>179.03</v>
      </c>
      <c r="O394" s="7">
        <f t="shared" si="44"/>
        <v>1253.21</v>
      </c>
      <c r="P394" s="4">
        <v>0.05</v>
      </c>
      <c r="Q394" s="7">
        <f t="shared" si="45"/>
        <v>62.660500000000006</v>
      </c>
      <c r="R394" s="7">
        <f t="shared" si="46"/>
        <v>1190.5495000000001</v>
      </c>
      <c r="S394" s="7">
        <f t="shared" si="47"/>
        <v>238.10990000000001</v>
      </c>
      <c r="T394" s="6">
        <f t="shared" si="48"/>
        <v>1.3850415512465374E-2</v>
      </c>
      <c r="V394" t="s">
        <v>29</v>
      </c>
    </row>
    <row r="395" spans="1:22">
      <c r="A395" s="3">
        <v>45674</v>
      </c>
      <c r="B395" t="str">
        <f t="shared" si="42"/>
        <v>yyyy-01</v>
      </c>
      <c r="C395">
        <f t="shared" si="43"/>
        <v>3</v>
      </c>
      <c r="D395" t="s">
        <v>42</v>
      </c>
      <c r="E395" t="s">
        <v>43</v>
      </c>
      <c r="F395" t="s">
        <v>44</v>
      </c>
      <c r="G395" t="s">
        <v>31</v>
      </c>
      <c r="H395" t="s">
        <v>32</v>
      </c>
      <c r="I395" s="5">
        <v>403</v>
      </c>
      <c r="J395" s="5">
        <v>222</v>
      </c>
      <c r="K395" s="5">
        <v>26</v>
      </c>
      <c r="L395" s="5">
        <v>6</v>
      </c>
      <c r="M395" s="5">
        <v>6</v>
      </c>
      <c r="N395" s="7">
        <v>1270.1099999999999</v>
      </c>
      <c r="O395" s="7">
        <f t="shared" si="44"/>
        <v>7620.66</v>
      </c>
      <c r="P395" s="4">
        <v>0.1</v>
      </c>
      <c r="Q395" s="7">
        <f t="shared" si="45"/>
        <v>762.06600000000003</v>
      </c>
      <c r="R395" s="7">
        <f t="shared" si="46"/>
        <v>6858.5940000000001</v>
      </c>
      <c r="S395" s="7">
        <f t="shared" si="47"/>
        <v>1143.0989999999999</v>
      </c>
      <c r="T395" s="6">
        <f t="shared" si="48"/>
        <v>1.488833746898263E-2</v>
      </c>
      <c r="U395" t="s">
        <v>80</v>
      </c>
      <c r="V395" t="s">
        <v>29</v>
      </c>
    </row>
    <row r="396" spans="1:22">
      <c r="A396" s="3">
        <v>45674</v>
      </c>
      <c r="B396" t="str">
        <f t="shared" si="42"/>
        <v>yyyy-01</v>
      </c>
      <c r="C396">
        <f t="shared" si="43"/>
        <v>3</v>
      </c>
      <c r="D396" t="s">
        <v>42</v>
      </c>
      <c r="E396" t="s">
        <v>43</v>
      </c>
      <c r="F396" t="s">
        <v>46</v>
      </c>
      <c r="G396" t="s">
        <v>36</v>
      </c>
      <c r="H396" t="s">
        <v>37</v>
      </c>
      <c r="I396" s="5">
        <v>480</v>
      </c>
      <c r="J396" s="5">
        <v>275</v>
      </c>
      <c r="K396" s="5">
        <v>29</v>
      </c>
      <c r="L396" s="5">
        <v>6</v>
      </c>
      <c r="M396" s="5">
        <v>6</v>
      </c>
      <c r="N396" s="7">
        <v>2152.3000000000002</v>
      </c>
      <c r="O396" s="7">
        <f t="shared" si="44"/>
        <v>12913.800000000001</v>
      </c>
      <c r="P396" s="4">
        <v>0.1</v>
      </c>
      <c r="Q396" s="7">
        <f t="shared" si="45"/>
        <v>1291.3800000000001</v>
      </c>
      <c r="R396" s="7">
        <f t="shared" si="46"/>
        <v>11622.420000000002</v>
      </c>
      <c r="S396" s="7">
        <f t="shared" si="47"/>
        <v>1937.0700000000004</v>
      </c>
      <c r="T396" s="6">
        <f t="shared" si="48"/>
        <v>1.2500000000000001E-2</v>
      </c>
      <c r="U396" t="s">
        <v>80</v>
      </c>
      <c r="V396" t="s">
        <v>29</v>
      </c>
    </row>
    <row r="397" spans="1:22">
      <c r="A397" s="3">
        <v>45674</v>
      </c>
      <c r="B397" t="str">
        <f t="shared" si="42"/>
        <v>yyyy-01</v>
      </c>
      <c r="C397">
        <f t="shared" si="43"/>
        <v>3</v>
      </c>
      <c r="D397" t="s">
        <v>42</v>
      </c>
      <c r="E397" t="s">
        <v>43</v>
      </c>
      <c r="F397" t="s">
        <v>47</v>
      </c>
      <c r="G397" t="s">
        <v>27</v>
      </c>
      <c r="H397" t="s">
        <v>45</v>
      </c>
      <c r="I397" s="5">
        <v>404</v>
      </c>
      <c r="J397" s="5">
        <v>316</v>
      </c>
      <c r="K397" s="5">
        <v>22</v>
      </c>
      <c r="L397" s="5">
        <v>8</v>
      </c>
      <c r="M397" s="5">
        <v>8</v>
      </c>
      <c r="N397" s="7">
        <v>590.77</v>
      </c>
      <c r="O397" s="7">
        <f t="shared" si="44"/>
        <v>4726.16</v>
      </c>
      <c r="P397" s="4">
        <v>0.1</v>
      </c>
      <c r="Q397" s="7">
        <f t="shared" si="45"/>
        <v>472.61599999999999</v>
      </c>
      <c r="R397" s="7">
        <f t="shared" si="46"/>
        <v>4253.5439999999999</v>
      </c>
      <c r="S397" s="7">
        <f t="shared" si="47"/>
        <v>531.69299999999998</v>
      </c>
      <c r="T397" s="6">
        <f t="shared" si="48"/>
        <v>1.9801980198019802E-2</v>
      </c>
      <c r="U397" t="s">
        <v>80</v>
      </c>
      <c r="V397" t="s">
        <v>29</v>
      </c>
    </row>
    <row r="398" spans="1:22">
      <c r="A398" s="3">
        <v>45674</v>
      </c>
      <c r="B398" t="str">
        <f t="shared" si="42"/>
        <v>yyyy-01</v>
      </c>
      <c r="C398">
        <f t="shared" si="43"/>
        <v>3</v>
      </c>
      <c r="D398" t="s">
        <v>42</v>
      </c>
      <c r="E398" t="s">
        <v>49</v>
      </c>
      <c r="F398" t="s">
        <v>50</v>
      </c>
      <c r="G398" t="s">
        <v>27</v>
      </c>
      <c r="H398" t="s">
        <v>28</v>
      </c>
      <c r="I398" s="5">
        <v>135</v>
      </c>
      <c r="J398" s="5">
        <v>104</v>
      </c>
      <c r="K398" s="5">
        <v>12</v>
      </c>
      <c r="L398" s="5">
        <v>2</v>
      </c>
      <c r="M398" s="5">
        <v>2</v>
      </c>
      <c r="N398" s="7">
        <v>975.33</v>
      </c>
      <c r="O398" s="7">
        <f t="shared" si="44"/>
        <v>1950.66</v>
      </c>
      <c r="P398" s="4">
        <v>0.05</v>
      </c>
      <c r="Q398" s="7">
        <f t="shared" si="45"/>
        <v>97.533000000000015</v>
      </c>
      <c r="R398" s="7">
        <f t="shared" si="46"/>
        <v>1853.127</v>
      </c>
      <c r="S398" s="7">
        <f t="shared" si="47"/>
        <v>926.56349999999998</v>
      </c>
      <c r="T398" s="6">
        <f t="shared" si="48"/>
        <v>1.4814814814814815E-2</v>
      </c>
      <c r="V398" t="s">
        <v>29</v>
      </c>
    </row>
    <row r="399" spans="1:22">
      <c r="A399" s="3">
        <v>45674</v>
      </c>
      <c r="B399" t="str">
        <f t="shared" si="42"/>
        <v>yyyy-01</v>
      </c>
      <c r="C399">
        <f t="shared" si="43"/>
        <v>3</v>
      </c>
      <c r="D399" t="s">
        <v>42</v>
      </c>
      <c r="E399" t="s">
        <v>51</v>
      </c>
      <c r="F399" t="s">
        <v>52</v>
      </c>
      <c r="G399" t="s">
        <v>36</v>
      </c>
      <c r="H399" t="s">
        <v>37</v>
      </c>
      <c r="I399" s="5">
        <v>224</v>
      </c>
      <c r="J399" s="5">
        <v>124</v>
      </c>
      <c r="K399" s="5">
        <v>14</v>
      </c>
      <c r="L399" s="5">
        <v>4</v>
      </c>
      <c r="M399" s="5">
        <v>4</v>
      </c>
      <c r="N399" s="7">
        <v>580.77</v>
      </c>
      <c r="O399" s="7">
        <f t="shared" si="44"/>
        <v>2323.08</v>
      </c>
      <c r="P399" s="4">
        <v>0</v>
      </c>
      <c r="Q399" s="7">
        <f t="shared" si="45"/>
        <v>0</v>
      </c>
      <c r="R399" s="7">
        <f t="shared" si="46"/>
        <v>2323.08</v>
      </c>
      <c r="S399" s="7">
        <f t="shared" si="47"/>
        <v>580.77</v>
      </c>
      <c r="T399" s="6">
        <f t="shared" si="48"/>
        <v>1.7857142857142856E-2</v>
      </c>
      <c r="V399" t="s">
        <v>29</v>
      </c>
    </row>
    <row r="400" spans="1:22">
      <c r="A400" s="3">
        <v>45674</v>
      </c>
      <c r="B400" t="str">
        <f t="shared" si="42"/>
        <v>yyyy-01</v>
      </c>
      <c r="C400">
        <f t="shared" si="43"/>
        <v>3</v>
      </c>
      <c r="D400" t="s">
        <v>53</v>
      </c>
      <c r="E400" t="s">
        <v>54</v>
      </c>
      <c r="F400" t="s">
        <v>55</v>
      </c>
      <c r="G400" t="s">
        <v>36</v>
      </c>
      <c r="H400" t="s">
        <v>37</v>
      </c>
      <c r="I400" s="5">
        <v>140</v>
      </c>
      <c r="J400" s="5">
        <v>97</v>
      </c>
      <c r="K400" s="5">
        <v>10</v>
      </c>
      <c r="L400" s="5">
        <v>2</v>
      </c>
      <c r="M400" s="5">
        <v>2</v>
      </c>
      <c r="N400" s="7">
        <v>1294.69</v>
      </c>
      <c r="O400" s="7">
        <f t="shared" si="44"/>
        <v>2589.38</v>
      </c>
      <c r="P400" s="4">
        <v>0.03</v>
      </c>
      <c r="Q400" s="7">
        <f t="shared" si="45"/>
        <v>77.681399999999996</v>
      </c>
      <c r="R400" s="7">
        <f t="shared" si="46"/>
        <v>2511.6986000000002</v>
      </c>
      <c r="S400" s="7">
        <f t="shared" si="47"/>
        <v>1255.8493000000001</v>
      </c>
      <c r="T400" s="6">
        <f t="shared" si="48"/>
        <v>1.4285714285714285E-2</v>
      </c>
      <c r="V400" t="s">
        <v>29</v>
      </c>
    </row>
    <row r="401" spans="1:22">
      <c r="A401" s="3">
        <v>45674</v>
      </c>
      <c r="B401" t="str">
        <f t="shared" si="42"/>
        <v>yyyy-01</v>
      </c>
      <c r="C401">
        <f t="shared" si="43"/>
        <v>3</v>
      </c>
      <c r="D401" t="s">
        <v>53</v>
      </c>
      <c r="E401" t="s">
        <v>56</v>
      </c>
      <c r="F401" t="s">
        <v>57</v>
      </c>
      <c r="G401" t="s">
        <v>27</v>
      </c>
      <c r="H401" t="s">
        <v>48</v>
      </c>
      <c r="I401" s="5">
        <v>180</v>
      </c>
      <c r="J401" s="5">
        <v>99</v>
      </c>
      <c r="K401" s="5">
        <v>6</v>
      </c>
      <c r="L401" s="5">
        <v>2</v>
      </c>
      <c r="M401" s="5">
        <v>2</v>
      </c>
      <c r="N401" s="7">
        <v>733.16</v>
      </c>
      <c r="O401" s="7">
        <f t="shared" si="44"/>
        <v>1466.32</v>
      </c>
      <c r="P401" s="4">
        <v>0.05</v>
      </c>
      <c r="Q401" s="7">
        <f t="shared" si="45"/>
        <v>73.316000000000003</v>
      </c>
      <c r="R401" s="7">
        <f t="shared" si="46"/>
        <v>1393.0039999999999</v>
      </c>
      <c r="S401" s="7">
        <f t="shared" si="47"/>
        <v>696.50199999999995</v>
      </c>
      <c r="T401" s="6">
        <f t="shared" si="48"/>
        <v>1.1111111111111112E-2</v>
      </c>
      <c r="V401" t="s">
        <v>29</v>
      </c>
    </row>
    <row r="402" spans="1:22">
      <c r="A402" s="3">
        <v>45674</v>
      </c>
      <c r="B402" t="str">
        <f t="shared" si="42"/>
        <v>yyyy-01</v>
      </c>
      <c r="C402">
        <f t="shared" si="43"/>
        <v>3</v>
      </c>
      <c r="D402" t="s">
        <v>53</v>
      </c>
      <c r="E402" t="s">
        <v>56</v>
      </c>
      <c r="F402" t="s">
        <v>58</v>
      </c>
      <c r="G402" t="s">
        <v>27</v>
      </c>
      <c r="H402" t="s">
        <v>45</v>
      </c>
      <c r="I402" s="5">
        <v>212</v>
      </c>
      <c r="J402" s="5">
        <v>159</v>
      </c>
      <c r="K402" s="5">
        <v>19</v>
      </c>
      <c r="L402" s="5">
        <v>3</v>
      </c>
      <c r="M402" s="5">
        <v>3</v>
      </c>
      <c r="N402" s="7">
        <v>910.14</v>
      </c>
      <c r="O402" s="7">
        <f t="shared" si="44"/>
        <v>2730.42</v>
      </c>
      <c r="P402" s="4">
        <v>0.05</v>
      </c>
      <c r="Q402" s="7">
        <f t="shared" si="45"/>
        <v>136.52100000000002</v>
      </c>
      <c r="R402" s="7">
        <f t="shared" si="46"/>
        <v>2593.8989999999999</v>
      </c>
      <c r="S402" s="7">
        <f t="shared" si="47"/>
        <v>864.63299999999992</v>
      </c>
      <c r="T402" s="6">
        <f t="shared" si="48"/>
        <v>1.4150943396226415E-2</v>
      </c>
      <c r="V402" t="s">
        <v>29</v>
      </c>
    </row>
    <row r="403" spans="1:22">
      <c r="A403" s="3">
        <v>45674</v>
      </c>
      <c r="B403" t="str">
        <f t="shared" si="42"/>
        <v>yyyy-01</v>
      </c>
      <c r="C403">
        <f t="shared" si="43"/>
        <v>3</v>
      </c>
      <c r="D403" t="s">
        <v>53</v>
      </c>
      <c r="E403" t="s">
        <v>59</v>
      </c>
      <c r="F403" t="s">
        <v>60</v>
      </c>
      <c r="G403" t="s">
        <v>27</v>
      </c>
      <c r="H403" t="s">
        <v>28</v>
      </c>
      <c r="I403" s="5">
        <v>163</v>
      </c>
      <c r="J403" s="5">
        <v>97</v>
      </c>
      <c r="K403" s="5">
        <v>8</v>
      </c>
      <c r="L403" s="5">
        <v>2</v>
      </c>
      <c r="M403" s="5">
        <v>2</v>
      </c>
      <c r="N403" s="7">
        <v>706.23</v>
      </c>
      <c r="O403" s="7">
        <f t="shared" si="44"/>
        <v>1412.46</v>
      </c>
      <c r="P403" s="4">
        <v>0.05</v>
      </c>
      <c r="Q403" s="7">
        <f t="shared" si="45"/>
        <v>70.623000000000005</v>
      </c>
      <c r="R403" s="7">
        <f t="shared" si="46"/>
        <v>1341.837</v>
      </c>
      <c r="S403" s="7">
        <f t="shared" si="47"/>
        <v>670.91849999999999</v>
      </c>
      <c r="T403" s="6">
        <f t="shared" si="48"/>
        <v>1.2269938650306749E-2</v>
      </c>
      <c r="V403" t="s">
        <v>29</v>
      </c>
    </row>
    <row r="404" spans="1:22">
      <c r="A404" s="3">
        <v>45674</v>
      </c>
      <c r="B404" t="str">
        <f t="shared" si="42"/>
        <v>yyyy-01</v>
      </c>
      <c r="C404">
        <f t="shared" si="43"/>
        <v>3</v>
      </c>
      <c r="D404" t="s">
        <v>53</v>
      </c>
      <c r="E404" t="s">
        <v>61</v>
      </c>
      <c r="F404" t="s">
        <v>62</v>
      </c>
      <c r="G404" t="s">
        <v>27</v>
      </c>
      <c r="H404" t="s">
        <v>28</v>
      </c>
      <c r="I404" s="5">
        <v>169</v>
      </c>
      <c r="J404" s="5">
        <v>121</v>
      </c>
      <c r="K404" s="5">
        <v>13</v>
      </c>
      <c r="L404" s="5">
        <v>1</v>
      </c>
      <c r="M404" s="5">
        <v>1</v>
      </c>
      <c r="N404" s="7">
        <v>505.07</v>
      </c>
      <c r="O404" s="7">
        <f t="shared" si="44"/>
        <v>505.07</v>
      </c>
      <c r="P404" s="4">
        <v>0.03</v>
      </c>
      <c r="Q404" s="7">
        <f t="shared" si="45"/>
        <v>15.152099999999999</v>
      </c>
      <c r="R404" s="7">
        <f t="shared" si="46"/>
        <v>489.91789999999997</v>
      </c>
      <c r="S404" s="7">
        <f t="shared" si="47"/>
        <v>489.91789999999997</v>
      </c>
      <c r="T404" s="6">
        <f t="shared" si="48"/>
        <v>5.9171597633136093E-3</v>
      </c>
      <c r="V404" t="s">
        <v>78</v>
      </c>
    </row>
    <row r="405" spans="1:22">
      <c r="A405" s="3">
        <v>45674</v>
      </c>
      <c r="B405" t="str">
        <f t="shared" si="42"/>
        <v>yyyy-01</v>
      </c>
      <c r="C405">
        <f t="shared" si="43"/>
        <v>3</v>
      </c>
      <c r="D405" t="s">
        <v>53</v>
      </c>
      <c r="E405" t="s">
        <v>64</v>
      </c>
      <c r="F405" t="s">
        <v>65</v>
      </c>
      <c r="G405" t="s">
        <v>31</v>
      </c>
      <c r="H405" t="s">
        <v>32</v>
      </c>
      <c r="I405" s="5">
        <v>211</v>
      </c>
      <c r="J405" s="5">
        <v>142</v>
      </c>
      <c r="K405" s="5">
        <v>15</v>
      </c>
      <c r="L405" s="5">
        <v>2</v>
      </c>
      <c r="M405" s="5">
        <v>2</v>
      </c>
      <c r="N405" s="7">
        <v>770.82</v>
      </c>
      <c r="O405" s="7">
        <f t="shared" si="44"/>
        <v>1541.64</v>
      </c>
      <c r="P405" s="4">
        <v>0</v>
      </c>
      <c r="Q405" s="7">
        <f t="shared" si="45"/>
        <v>0</v>
      </c>
      <c r="R405" s="7">
        <f t="shared" si="46"/>
        <v>1541.64</v>
      </c>
      <c r="S405" s="7">
        <f t="shared" si="47"/>
        <v>770.82</v>
      </c>
      <c r="T405" s="6">
        <f t="shared" si="48"/>
        <v>9.4786729857819912E-3</v>
      </c>
      <c r="V405" t="s">
        <v>29</v>
      </c>
    </row>
    <row r="406" spans="1:22">
      <c r="A406" s="3">
        <v>45674</v>
      </c>
      <c r="B406" t="str">
        <f t="shared" si="42"/>
        <v>yyyy-01</v>
      </c>
      <c r="C406">
        <f t="shared" si="43"/>
        <v>3</v>
      </c>
      <c r="D406" t="s">
        <v>66</v>
      </c>
      <c r="E406" t="s">
        <v>67</v>
      </c>
      <c r="F406" t="s">
        <v>68</v>
      </c>
      <c r="G406" t="s">
        <v>36</v>
      </c>
      <c r="H406" t="s">
        <v>37</v>
      </c>
      <c r="I406" s="5">
        <v>400</v>
      </c>
      <c r="J406" s="5">
        <v>314</v>
      </c>
      <c r="K406" s="5">
        <v>25</v>
      </c>
      <c r="L406" s="5">
        <v>7</v>
      </c>
      <c r="M406" s="5">
        <v>7</v>
      </c>
      <c r="N406" s="7">
        <v>698.44</v>
      </c>
      <c r="O406" s="7">
        <f t="shared" si="44"/>
        <v>4889.08</v>
      </c>
      <c r="P406" s="4">
        <v>0.03</v>
      </c>
      <c r="Q406" s="7">
        <f t="shared" si="45"/>
        <v>146.67239999999998</v>
      </c>
      <c r="R406" s="7">
        <f t="shared" si="46"/>
        <v>4742.4075999999995</v>
      </c>
      <c r="S406" s="7">
        <f t="shared" si="47"/>
        <v>677.4867999999999</v>
      </c>
      <c r="T406" s="6">
        <f t="shared" si="48"/>
        <v>1.7500000000000002E-2</v>
      </c>
      <c r="V406" t="s">
        <v>29</v>
      </c>
    </row>
    <row r="407" spans="1:22">
      <c r="A407" s="3">
        <v>45674</v>
      </c>
      <c r="B407" t="str">
        <f t="shared" si="42"/>
        <v>yyyy-01</v>
      </c>
      <c r="C407">
        <f t="shared" si="43"/>
        <v>3</v>
      </c>
      <c r="D407" t="s">
        <v>66</v>
      </c>
      <c r="E407" t="s">
        <v>67</v>
      </c>
      <c r="F407" t="s">
        <v>69</v>
      </c>
      <c r="G407" t="s">
        <v>31</v>
      </c>
      <c r="H407" t="s">
        <v>32</v>
      </c>
      <c r="I407" s="5">
        <v>288</v>
      </c>
      <c r="J407" s="5">
        <v>220</v>
      </c>
      <c r="K407" s="5">
        <v>24</v>
      </c>
      <c r="L407" s="5">
        <v>5</v>
      </c>
      <c r="M407" s="5">
        <v>5</v>
      </c>
      <c r="N407" s="7">
        <v>396.5</v>
      </c>
      <c r="O407" s="7">
        <f t="shared" si="44"/>
        <v>1982.5</v>
      </c>
      <c r="P407" s="4">
        <v>0</v>
      </c>
      <c r="Q407" s="7">
        <f t="shared" si="45"/>
        <v>0</v>
      </c>
      <c r="R407" s="7">
        <f t="shared" si="46"/>
        <v>1982.5</v>
      </c>
      <c r="S407" s="7">
        <f t="shared" si="47"/>
        <v>396.5</v>
      </c>
      <c r="T407" s="6">
        <f t="shared" si="48"/>
        <v>1.7361111111111112E-2</v>
      </c>
      <c r="V407" t="s">
        <v>78</v>
      </c>
    </row>
    <row r="408" spans="1:22">
      <c r="A408" s="3">
        <v>45674</v>
      </c>
      <c r="B408" t="str">
        <f t="shared" si="42"/>
        <v>yyyy-01</v>
      </c>
      <c r="C408">
        <f t="shared" si="43"/>
        <v>3</v>
      </c>
      <c r="D408" t="s">
        <v>66</v>
      </c>
      <c r="E408" t="s">
        <v>67</v>
      </c>
      <c r="F408" t="s">
        <v>70</v>
      </c>
      <c r="G408" t="s">
        <v>27</v>
      </c>
      <c r="H408" t="s">
        <v>28</v>
      </c>
      <c r="I408" s="5">
        <v>302</v>
      </c>
      <c r="J408" s="5">
        <v>191</v>
      </c>
      <c r="K408" s="5">
        <v>15</v>
      </c>
      <c r="L408" s="5">
        <v>4</v>
      </c>
      <c r="M408" s="5">
        <v>4</v>
      </c>
      <c r="N408" s="7">
        <v>346.77</v>
      </c>
      <c r="O408" s="7">
        <f t="shared" si="44"/>
        <v>1387.08</v>
      </c>
      <c r="P408" s="4">
        <v>0</v>
      </c>
      <c r="Q408" s="7">
        <f t="shared" si="45"/>
        <v>0</v>
      </c>
      <c r="R408" s="7">
        <f t="shared" si="46"/>
        <v>1387.08</v>
      </c>
      <c r="S408" s="7">
        <f t="shared" si="47"/>
        <v>346.77</v>
      </c>
      <c r="T408" s="6">
        <f t="shared" si="48"/>
        <v>1.3245033112582781E-2</v>
      </c>
      <c r="V408" t="s">
        <v>29</v>
      </c>
    </row>
    <row r="409" spans="1:22">
      <c r="A409" s="3">
        <v>45674</v>
      </c>
      <c r="B409" t="str">
        <f t="shared" si="42"/>
        <v>yyyy-01</v>
      </c>
      <c r="C409">
        <f t="shared" si="43"/>
        <v>3</v>
      </c>
      <c r="D409" t="s">
        <v>66</v>
      </c>
      <c r="E409" t="s">
        <v>71</v>
      </c>
      <c r="F409" t="s">
        <v>72</v>
      </c>
      <c r="G409" t="s">
        <v>27</v>
      </c>
      <c r="H409" t="s">
        <v>28</v>
      </c>
      <c r="I409" s="5">
        <v>263</v>
      </c>
      <c r="J409" s="5">
        <v>144</v>
      </c>
      <c r="K409" s="5">
        <v>10</v>
      </c>
      <c r="L409" s="5">
        <v>5</v>
      </c>
      <c r="M409" s="5">
        <v>6</v>
      </c>
      <c r="N409" s="7">
        <v>130.03</v>
      </c>
      <c r="O409" s="7">
        <f t="shared" si="44"/>
        <v>780.18000000000006</v>
      </c>
      <c r="P409" s="4">
        <v>0</v>
      </c>
      <c r="Q409" s="7">
        <f t="shared" si="45"/>
        <v>0</v>
      </c>
      <c r="R409" s="7">
        <f t="shared" si="46"/>
        <v>780.18000000000006</v>
      </c>
      <c r="S409" s="7">
        <f t="shared" si="47"/>
        <v>156.036</v>
      </c>
      <c r="T409" s="6">
        <f t="shared" si="48"/>
        <v>1.9011406844106463E-2</v>
      </c>
      <c r="V409" t="s">
        <v>29</v>
      </c>
    </row>
    <row r="410" spans="1:22">
      <c r="A410" s="3">
        <v>45674</v>
      </c>
      <c r="B410" t="str">
        <f t="shared" si="42"/>
        <v>yyyy-01</v>
      </c>
      <c r="C410">
        <f t="shared" si="43"/>
        <v>3</v>
      </c>
      <c r="D410" t="s">
        <v>66</v>
      </c>
      <c r="E410" t="s">
        <v>73</v>
      </c>
      <c r="F410" t="s">
        <v>74</v>
      </c>
      <c r="G410" t="s">
        <v>27</v>
      </c>
      <c r="H410" t="s">
        <v>28</v>
      </c>
      <c r="I410" s="5">
        <v>215</v>
      </c>
      <c r="J410" s="5">
        <v>114</v>
      </c>
      <c r="K410" s="5">
        <v>11</v>
      </c>
      <c r="L410" s="5">
        <v>3</v>
      </c>
      <c r="M410" s="5">
        <v>3</v>
      </c>
      <c r="N410" s="7">
        <v>1202.95</v>
      </c>
      <c r="O410" s="7">
        <f t="shared" si="44"/>
        <v>3608.8500000000004</v>
      </c>
      <c r="P410" s="4">
        <v>0</v>
      </c>
      <c r="Q410" s="7">
        <f t="shared" si="45"/>
        <v>0</v>
      </c>
      <c r="R410" s="7">
        <f t="shared" si="46"/>
        <v>3608.8500000000004</v>
      </c>
      <c r="S410" s="7">
        <f t="shared" si="47"/>
        <v>1202.95</v>
      </c>
      <c r="T410" s="6">
        <f t="shared" si="48"/>
        <v>1.3953488372093023E-2</v>
      </c>
      <c r="V410" t="s">
        <v>29</v>
      </c>
    </row>
    <row r="411" spans="1:22">
      <c r="A411" s="3">
        <v>45674</v>
      </c>
      <c r="B411" t="str">
        <f t="shared" si="42"/>
        <v>yyyy-01</v>
      </c>
      <c r="C411">
        <f t="shared" si="43"/>
        <v>3</v>
      </c>
      <c r="D411" t="s">
        <v>66</v>
      </c>
      <c r="E411" t="s">
        <v>71</v>
      </c>
      <c r="F411" t="s">
        <v>75</v>
      </c>
      <c r="G411" t="s">
        <v>31</v>
      </c>
      <c r="H411" t="s">
        <v>32</v>
      </c>
      <c r="I411" s="5">
        <v>426</v>
      </c>
      <c r="J411" s="5">
        <v>249</v>
      </c>
      <c r="K411" s="5">
        <v>23</v>
      </c>
      <c r="L411" s="5">
        <v>9</v>
      </c>
      <c r="M411" s="5">
        <v>11</v>
      </c>
      <c r="N411" s="7">
        <v>37.549999999999997</v>
      </c>
      <c r="O411" s="7">
        <f t="shared" si="44"/>
        <v>413.04999999999995</v>
      </c>
      <c r="P411" s="4">
        <v>0.03</v>
      </c>
      <c r="Q411" s="7">
        <f t="shared" si="45"/>
        <v>12.391499999999999</v>
      </c>
      <c r="R411" s="7">
        <f t="shared" si="46"/>
        <v>400.65849999999995</v>
      </c>
      <c r="S411" s="7">
        <f t="shared" si="47"/>
        <v>44.517611111111108</v>
      </c>
      <c r="T411" s="6">
        <f t="shared" si="48"/>
        <v>2.1126760563380281E-2</v>
      </c>
      <c r="V411" t="s">
        <v>29</v>
      </c>
    </row>
    <row r="412" spans="1:22">
      <c r="A412" s="3">
        <v>45674</v>
      </c>
      <c r="B412" t="str">
        <f t="shared" si="42"/>
        <v>yyyy-01</v>
      </c>
      <c r="C412">
        <f t="shared" si="43"/>
        <v>3</v>
      </c>
      <c r="D412" t="s">
        <v>24</v>
      </c>
      <c r="E412" t="s">
        <v>76</v>
      </c>
      <c r="F412" t="s">
        <v>77</v>
      </c>
      <c r="G412" t="s">
        <v>27</v>
      </c>
      <c r="H412" t="s">
        <v>28</v>
      </c>
      <c r="I412" s="5">
        <v>606</v>
      </c>
      <c r="J412" s="5">
        <v>460</v>
      </c>
      <c r="K412" s="5">
        <v>54</v>
      </c>
      <c r="L412" s="5">
        <v>12</v>
      </c>
      <c r="M412" s="5">
        <v>13</v>
      </c>
      <c r="N412" s="7">
        <v>197</v>
      </c>
      <c r="O412" s="7">
        <f t="shared" si="44"/>
        <v>2561</v>
      </c>
      <c r="P412" s="4">
        <v>0.05</v>
      </c>
      <c r="Q412" s="7">
        <f t="shared" si="45"/>
        <v>128.05000000000001</v>
      </c>
      <c r="R412" s="7">
        <f t="shared" si="46"/>
        <v>2432.9499999999998</v>
      </c>
      <c r="S412" s="7">
        <f t="shared" si="47"/>
        <v>202.74583333333331</v>
      </c>
      <c r="T412" s="6">
        <f t="shared" si="48"/>
        <v>1.9801980198019802E-2</v>
      </c>
      <c r="V412" t="s">
        <v>29</v>
      </c>
    </row>
    <row r="413" spans="1:22">
      <c r="A413" s="3">
        <v>45675</v>
      </c>
      <c r="B413" t="str">
        <f t="shared" si="42"/>
        <v>yyyy-01</v>
      </c>
      <c r="C413">
        <f t="shared" si="43"/>
        <v>3</v>
      </c>
      <c r="D413" t="s">
        <v>24</v>
      </c>
      <c r="E413" t="s">
        <v>25</v>
      </c>
      <c r="F413" t="s">
        <v>26</v>
      </c>
      <c r="G413" t="s">
        <v>27</v>
      </c>
      <c r="H413" t="s">
        <v>28</v>
      </c>
      <c r="I413" s="5">
        <v>1947</v>
      </c>
      <c r="J413" s="5">
        <v>1303</v>
      </c>
      <c r="K413" s="5">
        <v>176</v>
      </c>
      <c r="L413" s="5">
        <v>37</v>
      </c>
      <c r="M413" s="5">
        <v>37</v>
      </c>
      <c r="N413" s="7">
        <v>993.72</v>
      </c>
      <c r="O413" s="7">
        <f t="shared" si="44"/>
        <v>36767.64</v>
      </c>
      <c r="P413" s="4">
        <v>0.12</v>
      </c>
      <c r="Q413" s="7">
        <f t="shared" si="45"/>
        <v>4412.1167999999998</v>
      </c>
      <c r="R413" s="7">
        <f t="shared" si="46"/>
        <v>32355.5232</v>
      </c>
      <c r="S413" s="7">
        <f t="shared" si="47"/>
        <v>874.47360000000003</v>
      </c>
      <c r="T413" s="6">
        <f t="shared" si="48"/>
        <v>1.9003595274781716E-2</v>
      </c>
      <c r="U413" t="s">
        <v>79</v>
      </c>
      <c r="V413" t="s">
        <v>78</v>
      </c>
    </row>
    <row r="414" spans="1:22">
      <c r="A414" s="3">
        <v>45675</v>
      </c>
      <c r="B414" t="str">
        <f t="shared" si="42"/>
        <v>yyyy-01</v>
      </c>
      <c r="C414">
        <f t="shared" si="43"/>
        <v>3</v>
      </c>
      <c r="D414" t="s">
        <v>24</v>
      </c>
      <c r="E414" t="s">
        <v>25</v>
      </c>
      <c r="F414" t="s">
        <v>30</v>
      </c>
      <c r="G414" t="s">
        <v>27</v>
      </c>
      <c r="H414" t="s">
        <v>45</v>
      </c>
      <c r="I414" s="5">
        <v>1236</v>
      </c>
      <c r="J414" s="5">
        <v>791</v>
      </c>
      <c r="K414" s="5">
        <v>153</v>
      </c>
      <c r="L414" s="5">
        <v>33</v>
      </c>
      <c r="M414" s="5">
        <v>33</v>
      </c>
      <c r="N414" s="7">
        <v>392.25</v>
      </c>
      <c r="O414" s="7">
        <f t="shared" si="44"/>
        <v>12944.25</v>
      </c>
      <c r="P414" s="4">
        <v>0.12</v>
      </c>
      <c r="Q414" s="7">
        <f t="shared" si="45"/>
        <v>1553.31</v>
      </c>
      <c r="R414" s="7">
        <f t="shared" si="46"/>
        <v>11390.94</v>
      </c>
      <c r="S414" s="7">
        <f t="shared" si="47"/>
        <v>345.18</v>
      </c>
      <c r="T414" s="6">
        <f t="shared" si="48"/>
        <v>2.6699029126213591E-2</v>
      </c>
      <c r="U414" t="s">
        <v>79</v>
      </c>
      <c r="V414" t="s">
        <v>29</v>
      </c>
    </row>
    <row r="415" spans="1:22">
      <c r="A415" s="3">
        <v>45675</v>
      </c>
      <c r="B415" t="str">
        <f t="shared" si="42"/>
        <v>yyyy-01</v>
      </c>
      <c r="C415">
        <f t="shared" si="43"/>
        <v>3</v>
      </c>
      <c r="D415" t="s">
        <v>24</v>
      </c>
      <c r="E415" t="s">
        <v>25</v>
      </c>
      <c r="F415" t="s">
        <v>33</v>
      </c>
      <c r="G415" t="s">
        <v>27</v>
      </c>
      <c r="H415" t="s">
        <v>63</v>
      </c>
      <c r="I415" s="5">
        <v>1111</v>
      </c>
      <c r="J415" s="5">
        <v>909</v>
      </c>
      <c r="K415" s="5">
        <v>118</v>
      </c>
      <c r="L415" s="5">
        <v>35</v>
      </c>
      <c r="M415" s="5">
        <v>35</v>
      </c>
      <c r="N415" s="7">
        <v>1771.59</v>
      </c>
      <c r="O415" s="7">
        <f t="shared" si="44"/>
        <v>62005.649999999994</v>
      </c>
      <c r="P415" s="4">
        <v>0.12</v>
      </c>
      <c r="Q415" s="7">
        <f t="shared" si="45"/>
        <v>7440.677999999999</v>
      </c>
      <c r="R415" s="7">
        <f t="shared" si="46"/>
        <v>54564.971999999994</v>
      </c>
      <c r="S415" s="7">
        <f t="shared" si="47"/>
        <v>1558.9991999999997</v>
      </c>
      <c r="T415" s="6">
        <f t="shared" si="48"/>
        <v>3.1503150315031501E-2</v>
      </c>
      <c r="U415" t="s">
        <v>79</v>
      </c>
      <c r="V415" t="s">
        <v>29</v>
      </c>
    </row>
    <row r="416" spans="1:22">
      <c r="A416" s="3">
        <v>45675</v>
      </c>
      <c r="B416" t="str">
        <f t="shared" si="42"/>
        <v>yyyy-01</v>
      </c>
      <c r="C416">
        <f t="shared" si="43"/>
        <v>3</v>
      </c>
      <c r="D416" t="s">
        <v>24</v>
      </c>
      <c r="E416" t="s">
        <v>34</v>
      </c>
      <c r="F416" t="s">
        <v>35</v>
      </c>
      <c r="G416" t="s">
        <v>27</v>
      </c>
      <c r="H416" t="s">
        <v>45</v>
      </c>
      <c r="I416" s="5">
        <v>777</v>
      </c>
      <c r="J416" s="5">
        <v>607</v>
      </c>
      <c r="K416" s="5">
        <v>60</v>
      </c>
      <c r="L416" s="5">
        <v>16</v>
      </c>
      <c r="M416" s="5">
        <v>16</v>
      </c>
      <c r="N416" s="7">
        <v>892.9</v>
      </c>
      <c r="O416" s="7">
        <f t="shared" si="44"/>
        <v>14286.4</v>
      </c>
      <c r="P416" s="4">
        <v>0.05</v>
      </c>
      <c r="Q416" s="7">
        <f t="shared" si="45"/>
        <v>714.32</v>
      </c>
      <c r="R416" s="7">
        <f t="shared" si="46"/>
        <v>13572.08</v>
      </c>
      <c r="S416" s="7">
        <f t="shared" si="47"/>
        <v>848.255</v>
      </c>
      <c r="T416" s="6">
        <f t="shared" si="48"/>
        <v>2.0592020592020591E-2</v>
      </c>
      <c r="V416" t="s">
        <v>29</v>
      </c>
    </row>
    <row r="417" spans="1:22">
      <c r="A417" s="3">
        <v>45675</v>
      </c>
      <c r="B417" t="str">
        <f t="shared" si="42"/>
        <v>yyyy-01</v>
      </c>
      <c r="C417">
        <f t="shared" si="43"/>
        <v>3</v>
      </c>
      <c r="D417" t="s">
        <v>24</v>
      </c>
      <c r="E417" t="s">
        <v>38</v>
      </c>
      <c r="F417" t="s">
        <v>39</v>
      </c>
      <c r="G417" t="s">
        <v>31</v>
      </c>
      <c r="H417" t="s">
        <v>32</v>
      </c>
      <c r="I417" s="5">
        <v>944</v>
      </c>
      <c r="J417" s="5">
        <v>687</v>
      </c>
      <c r="K417" s="5">
        <v>95</v>
      </c>
      <c r="L417" s="5">
        <v>24</v>
      </c>
      <c r="M417" s="5">
        <v>24</v>
      </c>
      <c r="N417" s="7">
        <v>325.79000000000002</v>
      </c>
      <c r="O417" s="7">
        <f t="shared" si="44"/>
        <v>7818.9600000000009</v>
      </c>
      <c r="P417" s="4">
        <v>0</v>
      </c>
      <c r="Q417" s="7">
        <f t="shared" si="45"/>
        <v>0</v>
      </c>
      <c r="R417" s="7">
        <f t="shared" si="46"/>
        <v>7818.9600000000009</v>
      </c>
      <c r="S417" s="7">
        <f t="shared" si="47"/>
        <v>325.79000000000002</v>
      </c>
      <c r="T417" s="6">
        <f t="shared" si="48"/>
        <v>2.5423728813559324E-2</v>
      </c>
      <c r="V417" t="s">
        <v>29</v>
      </c>
    </row>
    <row r="418" spans="1:22">
      <c r="A418" s="3">
        <v>45675</v>
      </c>
      <c r="B418" t="str">
        <f t="shared" si="42"/>
        <v>yyyy-01</v>
      </c>
      <c r="C418">
        <f t="shared" si="43"/>
        <v>3</v>
      </c>
      <c r="D418" t="s">
        <v>24</v>
      </c>
      <c r="E418" t="s">
        <v>40</v>
      </c>
      <c r="F418" t="s">
        <v>41</v>
      </c>
      <c r="G418" t="s">
        <v>27</v>
      </c>
      <c r="H418" t="s">
        <v>45</v>
      </c>
      <c r="I418" s="5">
        <v>737</v>
      </c>
      <c r="J418" s="5">
        <v>557</v>
      </c>
      <c r="K418" s="5">
        <v>64</v>
      </c>
      <c r="L418" s="5">
        <v>16</v>
      </c>
      <c r="M418" s="5">
        <v>20</v>
      </c>
      <c r="N418" s="7">
        <v>179.08</v>
      </c>
      <c r="O418" s="7">
        <f t="shared" si="44"/>
        <v>3581.6000000000004</v>
      </c>
      <c r="P418" s="4">
        <v>0</v>
      </c>
      <c r="Q418" s="7">
        <f t="shared" si="45"/>
        <v>0</v>
      </c>
      <c r="R418" s="7">
        <f t="shared" si="46"/>
        <v>3581.6000000000004</v>
      </c>
      <c r="S418" s="7">
        <f t="shared" si="47"/>
        <v>223.85000000000002</v>
      </c>
      <c r="T418" s="6">
        <f t="shared" si="48"/>
        <v>2.1709633649932156E-2</v>
      </c>
      <c r="V418" t="s">
        <v>29</v>
      </c>
    </row>
    <row r="419" spans="1:22">
      <c r="A419" s="3">
        <v>45675</v>
      </c>
      <c r="B419" t="str">
        <f t="shared" si="42"/>
        <v>yyyy-01</v>
      </c>
      <c r="C419">
        <f t="shared" si="43"/>
        <v>3</v>
      </c>
      <c r="D419" t="s">
        <v>42</v>
      </c>
      <c r="E419" t="s">
        <v>43</v>
      </c>
      <c r="F419" t="s">
        <v>44</v>
      </c>
      <c r="G419" t="s">
        <v>27</v>
      </c>
      <c r="H419" t="s">
        <v>48</v>
      </c>
      <c r="I419" s="5">
        <v>434</v>
      </c>
      <c r="J419" s="5">
        <v>227</v>
      </c>
      <c r="K419" s="5">
        <v>19</v>
      </c>
      <c r="L419" s="5">
        <v>6</v>
      </c>
      <c r="M419" s="5">
        <v>6</v>
      </c>
      <c r="N419" s="7">
        <v>1251.45</v>
      </c>
      <c r="O419" s="7">
        <f t="shared" si="44"/>
        <v>7508.7000000000007</v>
      </c>
      <c r="P419" s="4">
        <v>0.1</v>
      </c>
      <c r="Q419" s="7">
        <f t="shared" si="45"/>
        <v>750.87000000000012</v>
      </c>
      <c r="R419" s="7">
        <f t="shared" si="46"/>
        <v>6757.8300000000008</v>
      </c>
      <c r="S419" s="7">
        <f t="shared" si="47"/>
        <v>1126.3050000000001</v>
      </c>
      <c r="T419" s="6">
        <f t="shared" si="48"/>
        <v>1.3824884792626729E-2</v>
      </c>
      <c r="U419" t="s">
        <v>80</v>
      </c>
      <c r="V419" t="s">
        <v>29</v>
      </c>
    </row>
    <row r="420" spans="1:22">
      <c r="A420" s="3">
        <v>45675</v>
      </c>
      <c r="B420" t="str">
        <f t="shared" si="42"/>
        <v>yyyy-01</v>
      </c>
      <c r="C420">
        <f t="shared" si="43"/>
        <v>3</v>
      </c>
      <c r="D420" t="s">
        <v>42</v>
      </c>
      <c r="E420" t="s">
        <v>43</v>
      </c>
      <c r="F420" t="s">
        <v>46</v>
      </c>
      <c r="G420" t="s">
        <v>36</v>
      </c>
      <c r="H420" t="s">
        <v>37</v>
      </c>
      <c r="I420" s="5">
        <v>487</v>
      </c>
      <c r="J420" s="5">
        <v>401</v>
      </c>
      <c r="K420" s="5">
        <v>22</v>
      </c>
      <c r="L420" s="5">
        <v>9</v>
      </c>
      <c r="M420" s="5">
        <v>9</v>
      </c>
      <c r="N420" s="7">
        <v>2214.5300000000002</v>
      </c>
      <c r="O420" s="7">
        <f t="shared" si="44"/>
        <v>19930.77</v>
      </c>
      <c r="P420" s="4">
        <v>0.1</v>
      </c>
      <c r="Q420" s="7">
        <f t="shared" si="45"/>
        <v>1993.0770000000002</v>
      </c>
      <c r="R420" s="7">
        <f t="shared" si="46"/>
        <v>17937.692999999999</v>
      </c>
      <c r="S420" s="7">
        <f t="shared" si="47"/>
        <v>1993.077</v>
      </c>
      <c r="T420" s="6">
        <f t="shared" si="48"/>
        <v>1.8480492813141684E-2</v>
      </c>
      <c r="U420" t="s">
        <v>80</v>
      </c>
      <c r="V420" t="s">
        <v>29</v>
      </c>
    </row>
    <row r="421" spans="1:22">
      <c r="A421" s="3">
        <v>45675</v>
      </c>
      <c r="B421" t="str">
        <f t="shared" si="42"/>
        <v>yyyy-01</v>
      </c>
      <c r="C421">
        <f t="shared" si="43"/>
        <v>3</v>
      </c>
      <c r="D421" t="s">
        <v>42</v>
      </c>
      <c r="E421" t="s">
        <v>43</v>
      </c>
      <c r="F421" t="s">
        <v>47</v>
      </c>
      <c r="G421" t="s">
        <v>31</v>
      </c>
      <c r="H421" t="s">
        <v>32</v>
      </c>
      <c r="I421" s="5">
        <v>533</v>
      </c>
      <c r="J421" s="5">
        <v>378</v>
      </c>
      <c r="K421" s="5">
        <v>37</v>
      </c>
      <c r="L421" s="5">
        <v>10</v>
      </c>
      <c r="M421" s="5">
        <v>10</v>
      </c>
      <c r="N421" s="7">
        <v>598.29999999999995</v>
      </c>
      <c r="O421" s="7">
        <f t="shared" si="44"/>
        <v>5983</v>
      </c>
      <c r="P421" s="4">
        <v>0.1</v>
      </c>
      <c r="Q421" s="7">
        <f t="shared" si="45"/>
        <v>598.30000000000007</v>
      </c>
      <c r="R421" s="7">
        <f t="shared" si="46"/>
        <v>5384.7</v>
      </c>
      <c r="S421" s="7">
        <f t="shared" si="47"/>
        <v>538.47</v>
      </c>
      <c r="T421" s="6">
        <f t="shared" si="48"/>
        <v>1.8761726078799251E-2</v>
      </c>
      <c r="U421" t="s">
        <v>80</v>
      </c>
      <c r="V421" t="s">
        <v>29</v>
      </c>
    </row>
    <row r="422" spans="1:22">
      <c r="A422" s="3">
        <v>45675</v>
      </c>
      <c r="B422" t="str">
        <f t="shared" si="42"/>
        <v>yyyy-01</v>
      </c>
      <c r="C422">
        <f t="shared" si="43"/>
        <v>3</v>
      </c>
      <c r="D422" t="s">
        <v>42</v>
      </c>
      <c r="E422" t="s">
        <v>49</v>
      </c>
      <c r="F422" t="s">
        <v>50</v>
      </c>
      <c r="G422" t="s">
        <v>36</v>
      </c>
      <c r="H422" t="s">
        <v>37</v>
      </c>
      <c r="I422" s="5">
        <v>196</v>
      </c>
      <c r="J422" s="5">
        <v>150</v>
      </c>
      <c r="K422" s="5">
        <v>17</v>
      </c>
      <c r="L422" s="5">
        <v>2</v>
      </c>
      <c r="M422" s="5">
        <v>2</v>
      </c>
      <c r="N422" s="7">
        <v>982.27</v>
      </c>
      <c r="O422" s="7">
        <f t="shared" si="44"/>
        <v>1964.54</v>
      </c>
      <c r="P422" s="4">
        <v>0.03</v>
      </c>
      <c r="Q422" s="7">
        <f t="shared" si="45"/>
        <v>58.936199999999999</v>
      </c>
      <c r="R422" s="7">
        <f t="shared" si="46"/>
        <v>1905.6037999999999</v>
      </c>
      <c r="S422" s="7">
        <f t="shared" si="47"/>
        <v>952.80189999999993</v>
      </c>
      <c r="T422" s="6">
        <f t="shared" si="48"/>
        <v>1.020408163265306E-2</v>
      </c>
      <c r="V422" t="s">
        <v>29</v>
      </c>
    </row>
    <row r="423" spans="1:22">
      <c r="A423" s="3">
        <v>45675</v>
      </c>
      <c r="B423" t="str">
        <f t="shared" si="42"/>
        <v>yyyy-01</v>
      </c>
      <c r="C423">
        <f t="shared" si="43"/>
        <v>3</v>
      </c>
      <c r="D423" t="s">
        <v>42</v>
      </c>
      <c r="E423" t="s">
        <v>51</v>
      </c>
      <c r="F423" t="s">
        <v>52</v>
      </c>
      <c r="G423" t="s">
        <v>27</v>
      </c>
      <c r="H423" t="s">
        <v>63</v>
      </c>
      <c r="I423" s="5">
        <v>190</v>
      </c>
      <c r="J423" s="5">
        <v>113</v>
      </c>
      <c r="K423" s="5">
        <v>13</v>
      </c>
      <c r="L423" s="5">
        <v>3</v>
      </c>
      <c r="M423" s="5">
        <v>3</v>
      </c>
      <c r="N423" s="7">
        <v>604.87</v>
      </c>
      <c r="O423" s="7">
        <f t="shared" si="44"/>
        <v>1814.6100000000001</v>
      </c>
      <c r="P423" s="4">
        <v>0.05</v>
      </c>
      <c r="Q423" s="7">
        <f t="shared" si="45"/>
        <v>90.730500000000006</v>
      </c>
      <c r="R423" s="7">
        <f t="shared" si="46"/>
        <v>1723.8795</v>
      </c>
      <c r="S423" s="7">
        <f t="shared" si="47"/>
        <v>574.62649999999996</v>
      </c>
      <c r="T423" s="6">
        <f t="shared" si="48"/>
        <v>1.5789473684210527E-2</v>
      </c>
      <c r="V423" t="s">
        <v>29</v>
      </c>
    </row>
    <row r="424" spans="1:22">
      <c r="A424" s="3">
        <v>45675</v>
      </c>
      <c r="B424" t="str">
        <f t="shared" si="42"/>
        <v>yyyy-01</v>
      </c>
      <c r="C424">
        <f t="shared" si="43"/>
        <v>3</v>
      </c>
      <c r="D424" t="s">
        <v>53</v>
      </c>
      <c r="E424" t="s">
        <v>54</v>
      </c>
      <c r="F424" t="s">
        <v>55</v>
      </c>
      <c r="G424" t="s">
        <v>27</v>
      </c>
      <c r="H424" t="s">
        <v>48</v>
      </c>
      <c r="I424" s="5">
        <v>141</v>
      </c>
      <c r="J424" s="5">
        <v>89</v>
      </c>
      <c r="K424" s="5">
        <v>8</v>
      </c>
      <c r="L424" s="5">
        <v>2</v>
      </c>
      <c r="M424" s="5">
        <v>2</v>
      </c>
      <c r="N424" s="7">
        <v>1303.54</v>
      </c>
      <c r="O424" s="7">
        <f t="shared" si="44"/>
        <v>2607.08</v>
      </c>
      <c r="P424" s="4">
        <v>0.05</v>
      </c>
      <c r="Q424" s="7">
        <f t="shared" si="45"/>
        <v>130.35400000000001</v>
      </c>
      <c r="R424" s="7">
        <f t="shared" si="46"/>
        <v>2476.7260000000001</v>
      </c>
      <c r="S424" s="7">
        <f t="shared" si="47"/>
        <v>1238.3630000000001</v>
      </c>
      <c r="T424" s="6">
        <f t="shared" si="48"/>
        <v>1.4184397163120567E-2</v>
      </c>
      <c r="V424" t="s">
        <v>29</v>
      </c>
    </row>
    <row r="425" spans="1:22">
      <c r="A425" s="3">
        <v>45675</v>
      </c>
      <c r="B425" t="str">
        <f t="shared" si="42"/>
        <v>yyyy-01</v>
      </c>
      <c r="C425">
        <f t="shared" si="43"/>
        <v>3</v>
      </c>
      <c r="D425" t="s">
        <v>53</v>
      </c>
      <c r="E425" t="s">
        <v>56</v>
      </c>
      <c r="F425" t="s">
        <v>57</v>
      </c>
      <c r="G425" t="s">
        <v>31</v>
      </c>
      <c r="H425" t="s">
        <v>32</v>
      </c>
      <c r="I425" s="5">
        <v>241</v>
      </c>
      <c r="J425" s="5">
        <v>138</v>
      </c>
      <c r="K425" s="5">
        <v>10</v>
      </c>
      <c r="L425" s="5">
        <v>3</v>
      </c>
      <c r="M425" s="5">
        <v>3</v>
      </c>
      <c r="N425" s="7">
        <v>744.05</v>
      </c>
      <c r="O425" s="7">
        <f t="shared" si="44"/>
        <v>2232.1499999999996</v>
      </c>
      <c r="P425" s="4">
        <v>0</v>
      </c>
      <c r="Q425" s="7">
        <f t="shared" si="45"/>
        <v>0</v>
      </c>
      <c r="R425" s="7">
        <f t="shared" si="46"/>
        <v>2232.1499999999996</v>
      </c>
      <c r="S425" s="7">
        <f t="shared" si="47"/>
        <v>744.04999999999984</v>
      </c>
      <c r="T425" s="6">
        <f t="shared" si="48"/>
        <v>1.2448132780082987E-2</v>
      </c>
      <c r="V425" t="s">
        <v>29</v>
      </c>
    </row>
    <row r="426" spans="1:22">
      <c r="A426" s="3">
        <v>45675</v>
      </c>
      <c r="B426" t="str">
        <f t="shared" si="42"/>
        <v>yyyy-01</v>
      </c>
      <c r="C426">
        <f t="shared" si="43"/>
        <v>3</v>
      </c>
      <c r="D426" t="s">
        <v>53</v>
      </c>
      <c r="E426" t="s">
        <v>56</v>
      </c>
      <c r="F426" t="s">
        <v>58</v>
      </c>
      <c r="G426" t="s">
        <v>31</v>
      </c>
      <c r="H426" t="s">
        <v>32</v>
      </c>
      <c r="I426" s="5">
        <v>229</v>
      </c>
      <c r="J426" s="5">
        <v>119</v>
      </c>
      <c r="K426" s="5">
        <v>14</v>
      </c>
      <c r="L426" s="5">
        <v>3</v>
      </c>
      <c r="M426" s="5">
        <v>3</v>
      </c>
      <c r="N426" s="7">
        <v>913.13</v>
      </c>
      <c r="O426" s="7">
        <f t="shared" si="44"/>
        <v>2739.39</v>
      </c>
      <c r="P426" s="4">
        <v>0.03</v>
      </c>
      <c r="Q426" s="7">
        <f t="shared" si="45"/>
        <v>82.181699999999992</v>
      </c>
      <c r="R426" s="7">
        <f t="shared" si="46"/>
        <v>2657.2082999999998</v>
      </c>
      <c r="S426" s="7">
        <f t="shared" si="47"/>
        <v>885.73609999999996</v>
      </c>
      <c r="T426" s="6">
        <f t="shared" si="48"/>
        <v>1.3100436681222707E-2</v>
      </c>
      <c r="V426" t="s">
        <v>29</v>
      </c>
    </row>
    <row r="427" spans="1:22">
      <c r="A427" s="3">
        <v>45675</v>
      </c>
      <c r="B427" t="str">
        <f t="shared" si="42"/>
        <v>yyyy-01</v>
      </c>
      <c r="C427">
        <f t="shared" si="43"/>
        <v>3</v>
      </c>
      <c r="D427" t="s">
        <v>53</v>
      </c>
      <c r="E427" t="s">
        <v>59</v>
      </c>
      <c r="F427" t="s">
        <v>60</v>
      </c>
      <c r="G427" t="s">
        <v>27</v>
      </c>
      <c r="H427" t="s">
        <v>28</v>
      </c>
      <c r="I427" s="5">
        <v>140</v>
      </c>
      <c r="J427" s="5">
        <v>97</v>
      </c>
      <c r="K427" s="5">
        <v>6</v>
      </c>
      <c r="L427" s="5">
        <v>1</v>
      </c>
      <c r="M427" s="5">
        <v>1</v>
      </c>
      <c r="N427" s="7">
        <v>680.27</v>
      </c>
      <c r="O427" s="7">
        <f t="shared" si="44"/>
        <v>680.27</v>
      </c>
      <c r="P427" s="4">
        <v>0.05</v>
      </c>
      <c r="Q427" s="7">
        <f t="shared" si="45"/>
        <v>34.013500000000001</v>
      </c>
      <c r="R427" s="7">
        <f t="shared" si="46"/>
        <v>646.25649999999996</v>
      </c>
      <c r="S427" s="7">
        <f t="shared" si="47"/>
        <v>646.25649999999996</v>
      </c>
      <c r="T427" s="6">
        <f t="shared" si="48"/>
        <v>7.1428571428571426E-3</v>
      </c>
      <c r="V427" t="s">
        <v>29</v>
      </c>
    </row>
    <row r="428" spans="1:22">
      <c r="A428" s="3">
        <v>45675</v>
      </c>
      <c r="B428" t="str">
        <f t="shared" si="42"/>
        <v>yyyy-01</v>
      </c>
      <c r="C428">
        <f t="shared" si="43"/>
        <v>3</v>
      </c>
      <c r="D428" t="s">
        <v>53</v>
      </c>
      <c r="E428" t="s">
        <v>61</v>
      </c>
      <c r="F428" t="s">
        <v>62</v>
      </c>
      <c r="G428" t="s">
        <v>31</v>
      </c>
      <c r="H428" t="s">
        <v>32</v>
      </c>
      <c r="I428" s="5">
        <v>171</v>
      </c>
      <c r="J428" s="5">
        <v>97</v>
      </c>
      <c r="K428" s="5">
        <v>7</v>
      </c>
      <c r="L428" s="5">
        <v>2</v>
      </c>
      <c r="M428" s="5">
        <v>2</v>
      </c>
      <c r="N428" s="7">
        <v>505.49</v>
      </c>
      <c r="O428" s="7">
        <f t="shared" si="44"/>
        <v>1010.98</v>
      </c>
      <c r="P428" s="4">
        <v>0</v>
      </c>
      <c r="Q428" s="7">
        <f t="shared" si="45"/>
        <v>0</v>
      </c>
      <c r="R428" s="7">
        <f t="shared" si="46"/>
        <v>1010.98</v>
      </c>
      <c r="S428" s="7">
        <f t="shared" si="47"/>
        <v>505.49</v>
      </c>
      <c r="T428" s="6">
        <f t="shared" si="48"/>
        <v>1.1695906432748537E-2</v>
      </c>
      <c r="V428" t="s">
        <v>29</v>
      </c>
    </row>
    <row r="429" spans="1:22">
      <c r="A429" s="3">
        <v>45675</v>
      </c>
      <c r="B429" t="str">
        <f t="shared" si="42"/>
        <v>yyyy-01</v>
      </c>
      <c r="C429">
        <f t="shared" si="43"/>
        <v>3</v>
      </c>
      <c r="D429" t="s">
        <v>53</v>
      </c>
      <c r="E429" t="s">
        <v>64</v>
      </c>
      <c r="F429" t="s">
        <v>65</v>
      </c>
      <c r="G429" t="s">
        <v>27</v>
      </c>
      <c r="H429" t="s">
        <v>45</v>
      </c>
      <c r="I429" s="5">
        <v>200</v>
      </c>
      <c r="J429" s="5">
        <v>136</v>
      </c>
      <c r="K429" s="5">
        <v>16</v>
      </c>
      <c r="L429" s="5">
        <v>3</v>
      </c>
      <c r="M429" s="5">
        <v>3</v>
      </c>
      <c r="N429" s="7">
        <v>767.46</v>
      </c>
      <c r="O429" s="7">
        <f t="shared" si="44"/>
        <v>2302.38</v>
      </c>
      <c r="P429" s="4">
        <v>0</v>
      </c>
      <c r="Q429" s="7">
        <f t="shared" si="45"/>
        <v>0</v>
      </c>
      <c r="R429" s="7">
        <f t="shared" si="46"/>
        <v>2302.38</v>
      </c>
      <c r="S429" s="7">
        <f t="shared" si="47"/>
        <v>767.46</v>
      </c>
      <c r="T429" s="6">
        <f t="shared" si="48"/>
        <v>1.4999999999999999E-2</v>
      </c>
      <c r="V429" t="s">
        <v>29</v>
      </c>
    </row>
    <row r="430" spans="1:22">
      <c r="A430" s="3">
        <v>45675</v>
      </c>
      <c r="B430" t="str">
        <f t="shared" si="42"/>
        <v>yyyy-01</v>
      </c>
      <c r="C430">
        <f t="shared" si="43"/>
        <v>3</v>
      </c>
      <c r="D430" t="s">
        <v>66</v>
      </c>
      <c r="E430" t="s">
        <v>67</v>
      </c>
      <c r="F430" t="s">
        <v>68</v>
      </c>
      <c r="G430" t="s">
        <v>27</v>
      </c>
      <c r="H430" t="s">
        <v>45</v>
      </c>
      <c r="I430" s="5">
        <v>417</v>
      </c>
      <c r="J430" s="5">
        <v>299</v>
      </c>
      <c r="K430" s="5">
        <v>25</v>
      </c>
      <c r="L430" s="5">
        <v>9</v>
      </c>
      <c r="M430" s="5">
        <v>9</v>
      </c>
      <c r="N430" s="7">
        <v>708.18</v>
      </c>
      <c r="O430" s="7">
        <f t="shared" si="44"/>
        <v>6373.62</v>
      </c>
      <c r="P430" s="4">
        <v>0</v>
      </c>
      <c r="Q430" s="7">
        <f t="shared" si="45"/>
        <v>0</v>
      </c>
      <c r="R430" s="7">
        <f t="shared" si="46"/>
        <v>6373.62</v>
      </c>
      <c r="S430" s="7">
        <f t="shared" si="47"/>
        <v>708.18</v>
      </c>
      <c r="T430" s="6">
        <f t="shared" si="48"/>
        <v>2.1582733812949641E-2</v>
      </c>
      <c r="V430" t="s">
        <v>29</v>
      </c>
    </row>
    <row r="431" spans="1:22">
      <c r="A431" s="3">
        <v>45675</v>
      </c>
      <c r="B431" t="str">
        <f t="shared" si="42"/>
        <v>yyyy-01</v>
      </c>
      <c r="C431">
        <f t="shared" si="43"/>
        <v>3</v>
      </c>
      <c r="D431" t="s">
        <v>66</v>
      </c>
      <c r="E431" t="s">
        <v>67</v>
      </c>
      <c r="F431" t="s">
        <v>69</v>
      </c>
      <c r="G431" t="s">
        <v>36</v>
      </c>
      <c r="H431" t="s">
        <v>37</v>
      </c>
      <c r="I431" s="5">
        <v>357</v>
      </c>
      <c r="J431" s="5">
        <v>286</v>
      </c>
      <c r="K431" s="5">
        <v>30</v>
      </c>
      <c r="L431" s="5">
        <v>8</v>
      </c>
      <c r="M431" s="5">
        <v>8</v>
      </c>
      <c r="N431" s="7">
        <v>393.71</v>
      </c>
      <c r="O431" s="7">
        <f t="shared" si="44"/>
        <v>3149.68</v>
      </c>
      <c r="P431" s="4">
        <v>0</v>
      </c>
      <c r="Q431" s="7">
        <f t="shared" si="45"/>
        <v>0</v>
      </c>
      <c r="R431" s="7">
        <f t="shared" si="46"/>
        <v>3149.68</v>
      </c>
      <c r="S431" s="7">
        <f t="shared" si="47"/>
        <v>393.71</v>
      </c>
      <c r="T431" s="6">
        <f t="shared" si="48"/>
        <v>2.2408963585434174E-2</v>
      </c>
      <c r="V431" t="s">
        <v>29</v>
      </c>
    </row>
    <row r="432" spans="1:22">
      <c r="A432" s="3">
        <v>45675</v>
      </c>
      <c r="B432" t="str">
        <f t="shared" si="42"/>
        <v>yyyy-01</v>
      </c>
      <c r="C432">
        <f t="shared" si="43"/>
        <v>3</v>
      </c>
      <c r="D432" t="s">
        <v>66</v>
      </c>
      <c r="E432" t="s">
        <v>67</v>
      </c>
      <c r="F432" t="s">
        <v>70</v>
      </c>
      <c r="G432" t="s">
        <v>31</v>
      </c>
      <c r="H432" t="s">
        <v>32</v>
      </c>
      <c r="I432" s="5">
        <v>427</v>
      </c>
      <c r="J432" s="5">
        <v>290</v>
      </c>
      <c r="K432" s="5">
        <v>34</v>
      </c>
      <c r="L432" s="5">
        <v>10</v>
      </c>
      <c r="M432" s="5">
        <v>10</v>
      </c>
      <c r="N432" s="7">
        <v>346.31</v>
      </c>
      <c r="O432" s="7">
        <f t="shared" si="44"/>
        <v>3463.1</v>
      </c>
      <c r="P432" s="4">
        <v>0.05</v>
      </c>
      <c r="Q432" s="7">
        <f t="shared" si="45"/>
        <v>173.155</v>
      </c>
      <c r="R432" s="7">
        <f t="shared" si="46"/>
        <v>3289.9449999999997</v>
      </c>
      <c r="S432" s="7">
        <f t="shared" si="47"/>
        <v>328.99449999999996</v>
      </c>
      <c r="T432" s="6">
        <f t="shared" si="48"/>
        <v>2.3419203747072601E-2</v>
      </c>
      <c r="V432" t="s">
        <v>29</v>
      </c>
    </row>
    <row r="433" spans="1:22">
      <c r="A433" s="3">
        <v>45675</v>
      </c>
      <c r="B433" t="str">
        <f t="shared" si="42"/>
        <v>yyyy-01</v>
      </c>
      <c r="C433">
        <f t="shared" si="43"/>
        <v>3</v>
      </c>
      <c r="D433" t="s">
        <v>66</v>
      </c>
      <c r="E433" t="s">
        <v>71</v>
      </c>
      <c r="F433" t="s">
        <v>72</v>
      </c>
      <c r="G433" t="s">
        <v>31</v>
      </c>
      <c r="H433" t="s">
        <v>32</v>
      </c>
      <c r="I433" s="5">
        <v>366</v>
      </c>
      <c r="J433" s="5">
        <v>268</v>
      </c>
      <c r="K433" s="5">
        <v>28</v>
      </c>
      <c r="L433" s="5">
        <v>8</v>
      </c>
      <c r="M433" s="5">
        <v>11</v>
      </c>
      <c r="N433" s="7">
        <v>129.58000000000001</v>
      </c>
      <c r="O433" s="7">
        <f t="shared" si="44"/>
        <v>1425.38</v>
      </c>
      <c r="P433" s="4">
        <v>0</v>
      </c>
      <c r="Q433" s="7">
        <f t="shared" si="45"/>
        <v>0</v>
      </c>
      <c r="R433" s="7">
        <f t="shared" si="46"/>
        <v>1425.38</v>
      </c>
      <c r="S433" s="7">
        <f t="shared" si="47"/>
        <v>178.17250000000001</v>
      </c>
      <c r="T433" s="6">
        <f t="shared" si="48"/>
        <v>2.185792349726776E-2</v>
      </c>
      <c r="V433" t="s">
        <v>29</v>
      </c>
    </row>
    <row r="434" spans="1:22">
      <c r="A434" s="3">
        <v>45675</v>
      </c>
      <c r="B434" t="str">
        <f t="shared" si="42"/>
        <v>yyyy-01</v>
      </c>
      <c r="C434">
        <f t="shared" si="43"/>
        <v>3</v>
      </c>
      <c r="D434" t="s">
        <v>66</v>
      </c>
      <c r="E434" t="s">
        <v>73</v>
      </c>
      <c r="F434" t="s">
        <v>74</v>
      </c>
      <c r="G434" t="s">
        <v>36</v>
      </c>
      <c r="H434" t="s">
        <v>37</v>
      </c>
      <c r="I434" s="5">
        <v>216</v>
      </c>
      <c r="J434" s="5">
        <v>122</v>
      </c>
      <c r="K434" s="5">
        <v>12</v>
      </c>
      <c r="L434" s="5">
        <v>4</v>
      </c>
      <c r="M434" s="5">
        <v>4</v>
      </c>
      <c r="N434" s="7">
        <v>1154.94</v>
      </c>
      <c r="O434" s="7">
        <f t="shared" si="44"/>
        <v>4619.76</v>
      </c>
      <c r="P434" s="4">
        <v>0</v>
      </c>
      <c r="Q434" s="7">
        <f t="shared" si="45"/>
        <v>0</v>
      </c>
      <c r="R434" s="7">
        <f t="shared" si="46"/>
        <v>4619.76</v>
      </c>
      <c r="S434" s="7">
        <f t="shared" si="47"/>
        <v>1154.94</v>
      </c>
      <c r="T434" s="6">
        <f t="shared" si="48"/>
        <v>1.8518518518518517E-2</v>
      </c>
      <c r="V434" t="s">
        <v>29</v>
      </c>
    </row>
    <row r="435" spans="1:22">
      <c r="A435" s="3">
        <v>45675</v>
      </c>
      <c r="B435" t="str">
        <f t="shared" si="42"/>
        <v>yyyy-01</v>
      </c>
      <c r="C435">
        <f t="shared" si="43"/>
        <v>3</v>
      </c>
      <c r="D435" t="s">
        <v>66</v>
      </c>
      <c r="E435" t="s">
        <v>71</v>
      </c>
      <c r="F435" t="s">
        <v>75</v>
      </c>
      <c r="G435" t="s">
        <v>27</v>
      </c>
      <c r="H435" t="s">
        <v>45</v>
      </c>
      <c r="I435" s="5">
        <v>342</v>
      </c>
      <c r="J435" s="5">
        <v>221</v>
      </c>
      <c r="K435" s="5">
        <v>16</v>
      </c>
      <c r="L435" s="5">
        <v>5</v>
      </c>
      <c r="M435" s="5">
        <v>6</v>
      </c>
      <c r="N435" s="7">
        <v>37.72</v>
      </c>
      <c r="O435" s="7">
        <f t="shared" si="44"/>
        <v>226.32</v>
      </c>
      <c r="P435" s="4">
        <v>0.03</v>
      </c>
      <c r="Q435" s="7">
        <f t="shared" si="45"/>
        <v>6.7895999999999992</v>
      </c>
      <c r="R435" s="7">
        <f t="shared" si="46"/>
        <v>219.53039999999999</v>
      </c>
      <c r="S435" s="7">
        <f t="shared" si="47"/>
        <v>43.906079999999996</v>
      </c>
      <c r="T435" s="6">
        <f t="shared" si="48"/>
        <v>1.4619883040935672E-2</v>
      </c>
      <c r="V435" t="s">
        <v>78</v>
      </c>
    </row>
    <row r="436" spans="1:22">
      <c r="A436" s="3">
        <v>45675</v>
      </c>
      <c r="B436" t="str">
        <f t="shared" si="42"/>
        <v>yyyy-01</v>
      </c>
      <c r="C436">
        <f t="shared" si="43"/>
        <v>3</v>
      </c>
      <c r="D436" t="s">
        <v>24</v>
      </c>
      <c r="E436" t="s">
        <v>76</v>
      </c>
      <c r="F436" t="s">
        <v>77</v>
      </c>
      <c r="G436" t="s">
        <v>31</v>
      </c>
      <c r="H436" t="s">
        <v>32</v>
      </c>
      <c r="I436" s="5">
        <v>473</v>
      </c>
      <c r="J436" s="5">
        <v>356</v>
      </c>
      <c r="K436" s="5">
        <v>41</v>
      </c>
      <c r="L436" s="5">
        <v>10</v>
      </c>
      <c r="M436" s="5">
        <v>13</v>
      </c>
      <c r="N436" s="7">
        <v>192.31</v>
      </c>
      <c r="O436" s="7">
        <f t="shared" si="44"/>
        <v>2500.0300000000002</v>
      </c>
      <c r="P436" s="4">
        <v>0.05</v>
      </c>
      <c r="Q436" s="7">
        <f t="shared" si="45"/>
        <v>125.00150000000002</v>
      </c>
      <c r="R436" s="7">
        <f t="shared" si="46"/>
        <v>2375.0285000000003</v>
      </c>
      <c r="S436" s="7">
        <f t="shared" si="47"/>
        <v>237.50285000000002</v>
      </c>
      <c r="T436" s="6">
        <f t="shared" si="48"/>
        <v>2.1141649048625793E-2</v>
      </c>
      <c r="V436" t="s">
        <v>29</v>
      </c>
    </row>
    <row r="437" spans="1:22">
      <c r="A437" s="3">
        <v>45676</v>
      </c>
      <c r="B437" t="str">
        <f t="shared" si="42"/>
        <v>yyyy-01</v>
      </c>
      <c r="C437">
        <f t="shared" si="43"/>
        <v>3</v>
      </c>
      <c r="D437" t="s">
        <v>24</v>
      </c>
      <c r="E437" t="s">
        <v>25</v>
      </c>
      <c r="F437" t="s">
        <v>26</v>
      </c>
      <c r="G437" t="s">
        <v>27</v>
      </c>
      <c r="H437" t="s">
        <v>45</v>
      </c>
      <c r="I437" s="5">
        <v>1699</v>
      </c>
      <c r="J437" s="5">
        <v>1113</v>
      </c>
      <c r="K437" s="5">
        <v>159</v>
      </c>
      <c r="L437" s="5">
        <v>40</v>
      </c>
      <c r="M437" s="5">
        <v>40</v>
      </c>
      <c r="N437" s="7">
        <v>991.02</v>
      </c>
      <c r="O437" s="7">
        <f t="shared" si="44"/>
        <v>39640.800000000003</v>
      </c>
      <c r="P437" s="4">
        <v>0.12</v>
      </c>
      <c r="Q437" s="7">
        <f t="shared" si="45"/>
        <v>4756.8959999999997</v>
      </c>
      <c r="R437" s="7">
        <f t="shared" si="46"/>
        <v>34883.904000000002</v>
      </c>
      <c r="S437" s="7">
        <f t="shared" si="47"/>
        <v>872.09760000000006</v>
      </c>
      <c r="T437" s="6">
        <f t="shared" si="48"/>
        <v>2.3543260741612712E-2</v>
      </c>
      <c r="U437" t="s">
        <v>79</v>
      </c>
      <c r="V437" t="s">
        <v>29</v>
      </c>
    </row>
    <row r="438" spans="1:22">
      <c r="A438" s="3">
        <v>45676</v>
      </c>
      <c r="B438" t="str">
        <f t="shared" si="42"/>
        <v>yyyy-01</v>
      </c>
      <c r="C438">
        <f t="shared" si="43"/>
        <v>3</v>
      </c>
      <c r="D438" t="s">
        <v>24</v>
      </c>
      <c r="E438" t="s">
        <v>25</v>
      </c>
      <c r="F438" t="s">
        <v>30</v>
      </c>
      <c r="G438" t="s">
        <v>31</v>
      </c>
      <c r="H438" t="s">
        <v>32</v>
      </c>
      <c r="I438" s="5">
        <v>2077</v>
      </c>
      <c r="J438" s="5">
        <v>1593</v>
      </c>
      <c r="K438" s="5">
        <v>259</v>
      </c>
      <c r="L438" s="5">
        <v>53</v>
      </c>
      <c r="M438" s="5">
        <v>53</v>
      </c>
      <c r="N438" s="7">
        <v>399.25</v>
      </c>
      <c r="O438" s="7">
        <f t="shared" si="44"/>
        <v>21160.25</v>
      </c>
      <c r="P438" s="4">
        <v>0.12</v>
      </c>
      <c r="Q438" s="7">
        <f t="shared" si="45"/>
        <v>2539.23</v>
      </c>
      <c r="R438" s="7">
        <f t="shared" si="46"/>
        <v>18621.02</v>
      </c>
      <c r="S438" s="7">
        <f t="shared" si="47"/>
        <v>351.34000000000003</v>
      </c>
      <c r="T438" s="6">
        <f t="shared" si="48"/>
        <v>2.5517573423206548E-2</v>
      </c>
      <c r="U438" t="s">
        <v>79</v>
      </c>
      <c r="V438" t="s">
        <v>29</v>
      </c>
    </row>
    <row r="439" spans="1:22">
      <c r="A439" s="3">
        <v>45676</v>
      </c>
      <c r="B439" t="str">
        <f t="shared" si="42"/>
        <v>yyyy-01</v>
      </c>
      <c r="C439">
        <f t="shared" si="43"/>
        <v>3</v>
      </c>
      <c r="D439" t="s">
        <v>24</v>
      </c>
      <c r="E439" t="s">
        <v>25</v>
      </c>
      <c r="F439" t="s">
        <v>33</v>
      </c>
      <c r="G439" t="s">
        <v>27</v>
      </c>
      <c r="H439" t="s">
        <v>48</v>
      </c>
      <c r="I439" s="5">
        <v>1181</v>
      </c>
      <c r="J439" s="5">
        <v>961</v>
      </c>
      <c r="K439" s="5">
        <v>110</v>
      </c>
      <c r="L439" s="5">
        <v>30</v>
      </c>
      <c r="M439" s="5">
        <v>30</v>
      </c>
      <c r="N439" s="7">
        <v>1727.58</v>
      </c>
      <c r="O439" s="7">
        <f t="shared" si="44"/>
        <v>51827.399999999994</v>
      </c>
      <c r="P439" s="4">
        <v>0.12</v>
      </c>
      <c r="Q439" s="7">
        <f t="shared" si="45"/>
        <v>6219.2879999999986</v>
      </c>
      <c r="R439" s="7">
        <f t="shared" si="46"/>
        <v>45608.111999999994</v>
      </c>
      <c r="S439" s="7">
        <f t="shared" si="47"/>
        <v>1520.2703999999999</v>
      </c>
      <c r="T439" s="6">
        <f t="shared" si="48"/>
        <v>2.5402201524132091E-2</v>
      </c>
      <c r="U439" t="s">
        <v>79</v>
      </c>
      <c r="V439" t="s">
        <v>29</v>
      </c>
    </row>
    <row r="440" spans="1:22">
      <c r="A440" s="3">
        <v>45676</v>
      </c>
      <c r="B440" t="str">
        <f t="shared" si="42"/>
        <v>yyyy-01</v>
      </c>
      <c r="C440">
        <f t="shared" si="43"/>
        <v>3</v>
      </c>
      <c r="D440" t="s">
        <v>24</v>
      </c>
      <c r="E440" t="s">
        <v>34</v>
      </c>
      <c r="F440" t="s">
        <v>35</v>
      </c>
      <c r="G440" t="s">
        <v>27</v>
      </c>
      <c r="H440" t="s">
        <v>28</v>
      </c>
      <c r="I440" s="5">
        <v>836</v>
      </c>
      <c r="J440" s="5">
        <v>456</v>
      </c>
      <c r="K440" s="5">
        <v>59</v>
      </c>
      <c r="L440" s="5">
        <v>14</v>
      </c>
      <c r="M440" s="5">
        <v>14</v>
      </c>
      <c r="N440" s="7">
        <v>874.46</v>
      </c>
      <c r="O440" s="7">
        <f t="shared" si="44"/>
        <v>12242.44</v>
      </c>
      <c r="P440" s="4">
        <v>0.03</v>
      </c>
      <c r="Q440" s="7">
        <f t="shared" si="45"/>
        <v>367.27319999999997</v>
      </c>
      <c r="R440" s="7">
        <f t="shared" si="46"/>
        <v>11875.166800000001</v>
      </c>
      <c r="S440" s="7">
        <f t="shared" si="47"/>
        <v>848.22620000000006</v>
      </c>
      <c r="T440" s="6">
        <f t="shared" si="48"/>
        <v>1.6746411483253589E-2</v>
      </c>
      <c r="V440" t="s">
        <v>29</v>
      </c>
    </row>
    <row r="441" spans="1:22">
      <c r="A441" s="3">
        <v>45676</v>
      </c>
      <c r="B441" t="str">
        <f t="shared" si="42"/>
        <v>yyyy-01</v>
      </c>
      <c r="C441">
        <f t="shared" si="43"/>
        <v>3</v>
      </c>
      <c r="D441" t="s">
        <v>24</v>
      </c>
      <c r="E441" t="s">
        <v>38</v>
      </c>
      <c r="F441" t="s">
        <v>39</v>
      </c>
      <c r="G441" t="s">
        <v>27</v>
      </c>
      <c r="H441" t="s">
        <v>48</v>
      </c>
      <c r="I441" s="5">
        <v>695</v>
      </c>
      <c r="J441" s="5">
        <v>415</v>
      </c>
      <c r="K441" s="5">
        <v>44</v>
      </c>
      <c r="L441" s="5">
        <v>11</v>
      </c>
      <c r="M441" s="5">
        <v>11</v>
      </c>
      <c r="N441" s="7">
        <v>316.91000000000003</v>
      </c>
      <c r="O441" s="7">
        <f t="shared" si="44"/>
        <v>3486.01</v>
      </c>
      <c r="P441" s="4">
        <v>0.03</v>
      </c>
      <c r="Q441" s="7">
        <f t="shared" si="45"/>
        <v>104.58030000000001</v>
      </c>
      <c r="R441" s="7">
        <f t="shared" si="46"/>
        <v>3381.4297000000001</v>
      </c>
      <c r="S441" s="7">
        <f t="shared" si="47"/>
        <v>307.40270000000004</v>
      </c>
      <c r="T441" s="6">
        <f t="shared" si="48"/>
        <v>1.5827338129496403E-2</v>
      </c>
      <c r="V441" t="s">
        <v>29</v>
      </c>
    </row>
    <row r="442" spans="1:22">
      <c r="A442" s="3">
        <v>45676</v>
      </c>
      <c r="B442" t="str">
        <f t="shared" si="42"/>
        <v>yyyy-01</v>
      </c>
      <c r="C442">
        <f t="shared" si="43"/>
        <v>3</v>
      </c>
      <c r="D442" t="s">
        <v>24</v>
      </c>
      <c r="E442" t="s">
        <v>40</v>
      </c>
      <c r="F442" t="s">
        <v>41</v>
      </c>
      <c r="G442" t="s">
        <v>27</v>
      </c>
      <c r="H442" t="s">
        <v>45</v>
      </c>
      <c r="I442" s="5">
        <v>774</v>
      </c>
      <c r="J442" s="5">
        <v>534</v>
      </c>
      <c r="K442" s="5">
        <v>31</v>
      </c>
      <c r="L442" s="5">
        <v>14</v>
      </c>
      <c r="M442" s="5">
        <v>18</v>
      </c>
      <c r="N442" s="7">
        <v>177.07</v>
      </c>
      <c r="O442" s="7">
        <f t="shared" si="44"/>
        <v>3187.2599999999998</v>
      </c>
      <c r="P442" s="4">
        <v>0.03</v>
      </c>
      <c r="Q442" s="7">
        <f t="shared" si="45"/>
        <v>95.617799999999988</v>
      </c>
      <c r="R442" s="7">
        <f t="shared" si="46"/>
        <v>3091.6421999999998</v>
      </c>
      <c r="S442" s="7">
        <f t="shared" si="47"/>
        <v>220.83158571428569</v>
      </c>
      <c r="T442" s="6">
        <f t="shared" si="48"/>
        <v>1.8087855297157621E-2</v>
      </c>
      <c r="V442" t="s">
        <v>29</v>
      </c>
    </row>
    <row r="443" spans="1:22">
      <c r="A443" s="3">
        <v>45676</v>
      </c>
      <c r="B443" t="str">
        <f t="shared" si="42"/>
        <v>yyyy-01</v>
      </c>
      <c r="C443">
        <f t="shared" si="43"/>
        <v>3</v>
      </c>
      <c r="D443" t="s">
        <v>42</v>
      </c>
      <c r="E443" t="s">
        <v>43</v>
      </c>
      <c r="F443" t="s">
        <v>44</v>
      </c>
      <c r="G443" t="s">
        <v>36</v>
      </c>
      <c r="H443" t="s">
        <v>37</v>
      </c>
      <c r="I443" s="5">
        <v>526</v>
      </c>
      <c r="J443" s="5">
        <v>374</v>
      </c>
      <c r="K443" s="5">
        <v>32</v>
      </c>
      <c r="L443" s="5">
        <v>11</v>
      </c>
      <c r="M443" s="5">
        <v>11</v>
      </c>
      <c r="N443" s="7">
        <v>1295.08</v>
      </c>
      <c r="O443" s="7">
        <f t="shared" si="44"/>
        <v>14245.88</v>
      </c>
      <c r="P443" s="4">
        <v>0.1</v>
      </c>
      <c r="Q443" s="7">
        <f t="shared" si="45"/>
        <v>1424.588</v>
      </c>
      <c r="R443" s="7">
        <f t="shared" si="46"/>
        <v>12821.291999999999</v>
      </c>
      <c r="S443" s="7">
        <f t="shared" si="47"/>
        <v>1165.5719999999999</v>
      </c>
      <c r="T443" s="6">
        <f t="shared" si="48"/>
        <v>2.0912547528517109E-2</v>
      </c>
      <c r="U443" t="s">
        <v>80</v>
      </c>
      <c r="V443" t="s">
        <v>29</v>
      </c>
    </row>
    <row r="444" spans="1:22">
      <c r="A444" s="3">
        <v>45676</v>
      </c>
      <c r="B444" t="str">
        <f t="shared" si="42"/>
        <v>yyyy-01</v>
      </c>
      <c r="C444">
        <f t="shared" si="43"/>
        <v>3</v>
      </c>
      <c r="D444" t="s">
        <v>42</v>
      </c>
      <c r="E444" t="s">
        <v>43</v>
      </c>
      <c r="F444" t="s">
        <v>46</v>
      </c>
      <c r="G444" t="s">
        <v>36</v>
      </c>
      <c r="H444" t="s">
        <v>37</v>
      </c>
      <c r="I444" s="5">
        <v>516</v>
      </c>
      <c r="J444" s="5">
        <v>358</v>
      </c>
      <c r="K444" s="5">
        <v>27</v>
      </c>
      <c r="L444" s="5">
        <v>8</v>
      </c>
      <c r="M444" s="5">
        <v>8</v>
      </c>
      <c r="N444" s="7">
        <v>2111.6799999999998</v>
      </c>
      <c r="O444" s="7">
        <f t="shared" si="44"/>
        <v>16893.439999999999</v>
      </c>
      <c r="P444" s="4">
        <v>0.1</v>
      </c>
      <c r="Q444" s="7">
        <f t="shared" si="45"/>
        <v>1689.3440000000001</v>
      </c>
      <c r="R444" s="7">
        <f t="shared" si="46"/>
        <v>15204.095999999998</v>
      </c>
      <c r="S444" s="7">
        <f t="shared" si="47"/>
        <v>1900.5119999999997</v>
      </c>
      <c r="T444" s="6">
        <f t="shared" si="48"/>
        <v>1.5503875968992248E-2</v>
      </c>
      <c r="U444" t="s">
        <v>80</v>
      </c>
      <c r="V444" t="s">
        <v>29</v>
      </c>
    </row>
    <row r="445" spans="1:22">
      <c r="A445" s="3">
        <v>45676</v>
      </c>
      <c r="B445" t="str">
        <f t="shared" si="42"/>
        <v>yyyy-01</v>
      </c>
      <c r="C445">
        <f t="shared" si="43"/>
        <v>3</v>
      </c>
      <c r="D445" t="s">
        <v>42</v>
      </c>
      <c r="E445" t="s">
        <v>43</v>
      </c>
      <c r="F445" t="s">
        <v>47</v>
      </c>
      <c r="G445" t="s">
        <v>31</v>
      </c>
      <c r="H445" t="s">
        <v>32</v>
      </c>
      <c r="I445" s="5">
        <v>588</v>
      </c>
      <c r="J445" s="5">
        <v>458</v>
      </c>
      <c r="K445" s="5">
        <v>50</v>
      </c>
      <c r="L445" s="5">
        <v>8</v>
      </c>
      <c r="M445" s="5">
        <v>8</v>
      </c>
      <c r="N445" s="7">
        <v>591.66999999999996</v>
      </c>
      <c r="O445" s="7">
        <f t="shared" si="44"/>
        <v>4733.3599999999997</v>
      </c>
      <c r="P445" s="4">
        <v>0.1</v>
      </c>
      <c r="Q445" s="7">
        <f t="shared" si="45"/>
        <v>473.33600000000001</v>
      </c>
      <c r="R445" s="7">
        <f t="shared" si="46"/>
        <v>4260.0239999999994</v>
      </c>
      <c r="S445" s="7">
        <f t="shared" si="47"/>
        <v>532.50299999999993</v>
      </c>
      <c r="T445" s="6">
        <f t="shared" si="48"/>
        <v>1.3605442176870748E-2</v>
      </c>
      <c r="U445" t="s">
        <v>80</v>
      </c>
      <c r="V445" t="s">
        <v>29</v>
      </c>
    </row>
    <row r="446" spans="1:22">
      <c r="A446" s="3">
        <v>45676</v>
      </c>
      <c r="B446" t="str">
        <f t="shared" si="42"/>
        <v>yyyy-01</v>
      </c>
      <c r="C446">
        <f t="shared" si="43"/>
        <v>3</v>
      </c>
      <c r="D446" t="s">
        <v>42</v>
      </c>
      <c r="E446" t="s">
        <v>49</v>
      </c>
      <c r="F446" t="s">
        <v>50</v>
      </c>
      <c r="G446" t="s">
        <v>36</v>
      </c>
      <c r="H446" t="s">
        <v>37</v>
      </c>
      <c r="I446" s="5">
        <v>146</v>
      </c>
      <c r="J446" s="5">
        <v>80</v>
      </c>
      <c r="K446" s="5">
        <v>5</v>
      </c>
      <c r="L446" s="5">
        <v>2</v>
      </c>
      <c r="M446" s="5">
        <v>2</v>
      </c>
      <c r="N446" s="7">
        <v>1008.58</v>
      </c>
      <c r="O446" s="7">
        <f t="shared" si="44"/>
        <v>2017.16</v>
      </c>
      <c r="P446" s="4">
        <v>0</v>
      </c>
      <c r="Q446" s="7">
        <f t="shared" si="45"/>
        <v>0</v>
      </c>
      <c r="R446" s="7">
        <f t="shared" si="46"/>
        <v>2017.16</v>
      </c>
      <c r="S446" s="7">
        <f t="shared" si="47"/>
        <v>1008.58</v>
      </c>
      <c r="T446" s="6">
        <f t="shared" si="48"/>
        <v>1.3698630136986301E-2</v>
      </c>
      <c r="V446" t="s">
        <v>29</v>
      </c>
    </row>
    <row r="447" spans="1:22">
      <c r="A447" s="3">
        <v>45676</v>
      </c>
      <c r="B447" t="str">
        <f t="shared" si="42"/>
        <v>yyyy-01</v>
      </c>
      <c r="C447">
        <f t="shared" si="43"/>
        <v>3</v>
      </c>
      <c r="D447" t="s">
        <v>42</v>
      </c>
      <c r="E447" t="s">
        <v>51</v>
      </c>
      <c r="F447" t="s">
        <v>52</v>
      </c>
      <c r="G447" t="s">
        <v>27</v>
      </c>
      <c r="H447" t="s">
        <v>48</v>
      </c>
      <c r="I447" s="5">
        <v>222</v>
      </c>
      <c r="J447" s="5">
        <v>120</v>
      </c>
      <c r="K447" s="5">
        <v>7</v>
      </c>
      <c r="L447" s="5">
        <v>2</v>
      </c>
      <c r="M447" s="5">
        <v>2</v>
      </c>
      <c r="N447" s="7">
        <v>595.95000000000005</v>
      </c>
      <c r="O447" s="7">
        <f t="shared" si="44"/>
        <v>1191.9000000000001</v>
      </c>
      <c r="P447" s="4">
        <v>0</v>
      </c>
      <c r="Q447" s="7">
        <f t="shared" si="45"/>
        <v>0</v>
      </c>
      <c r="R447" s="7">
        <f t="shared" si="46"/>
        <v>1191.9000000000001</v>
      </c>
      <c r="S447" s="7">
        <f t="shared" si="47"/>
        <v>595.95000000000005</v>
      </c>
      <c r="T447" s="6">
        <f t="shared" si="48"/>
        <v>9.0090090090090089E-3</v>
      </c>
      <c r="V447" t="s">
        <v>29</v>
      </c>
    </row>
    <row r="448" spans="1:22">
      <c r="A448" s="3">
        <v>45676</v>
      </c>
      <c r="B448" t="str">
        <f t="shared" si="42"/>
        <v>yyyy-01</v>
      </c>
      <c r="C448">
        <f t="shared" si="43"/>
        <v>3</v>
      </c>
      <c r="D448" t="s">
        <v>53</v>
      </c>
      <c r="E448" t="s">
        <v>54</v>
      </c>
      <c r="F448" t="s">
        <v>55</v>
      </c>
      <c r="G448" t="s">
        <v>36</v>
      </c>
      <c r="H448" t="s">
        <v>37</v>
      </c>
      <c r="I448" s="5">
        <v>192</v>
      </c>
      <c r="J448" s="5">
        <v>102</v>
      </c>
      <c r="K448" s="5">
        <v>9</v>
      </c>
      <c r="L448" s="5">
        <v>2</v>
      </c>
      <c r="M448" s="5">
        <v>2</v>
      </c>
      <c r="N448" s="7">
        <v>1298.01</v>
      </c>
      <c r="O448" s="7">
        <f t="shared" si="44"/>
        <v>2596.02</v>
      </c>
      <c r="P448" s="4">
        <v>0.03</v>
      </c>
      <c r="Q448" s="7">
        <f t="shared" si="45"/>
        <v>77.880600000000001</v>
      </c>
      <c r="R448" s="7">
        <f t="shared" si="46"/>
        <v>2518.1394</v>
      </c>
      <c r="S448" s="7">
        <f t="shared" si="47"/>
        <v>1259.0697</v>
      </c>
      <c r="T448" s="6">
        <f t="shared" si="48"/>
        <v>1.0416666666666666E-2</v>
      </c>
      <c r="V448" t="s">
        <v>29</v>
      </c>
    </row>
    <row r="449" spans="1:22">
      <c r="A449" s="3">
        <v>45676</v>
      </c>
      <c r="B449" t="str">
        <f t="shared" si="42"/>
        <v>yyyy-01</v>
      </c>
      <c r="C449">
        <f t="shared" si="43"/>
        <v>3</v>
      </c>
      <c r="D449" t="s">
        <v>53</v>
      </c>
      <c r="E449" t="s">
        <v>56</v>
      </c>
      <c r="F449" t="s">
        <v>57</v>
      </c>
      <c r="G449" t="s">
        <v>31</v>
      </c>
      <c r="H449" t="s">
        <v>32</v>
      </c>
      <c r="I449" s="5">
        <v>259</v>
      </c>
      <c r="J449" s="5">
        <v>158</v>
      </c>
      <c r="K449" s="5">
        <v>11</v>
      </c>
      <c r="L449" s="5">
        <v>3</v>
      </c>
      <c r="M449" s="5">
        <v>3</v>
      </c>
      <c r="N449" s="7">
        <v>741.61</v>
      </c>
      <c r="O449" s="7">
        <f t="shared" si="44"/>
        <v>2224.83</v>
      </c>
      <c r="P449" s="4">
        <v>0</v>
      </c>
      <c r="Q449" s="7">
        <f t="shared" si="45"/>
        <v>0</v>
      </c>
      <c r="R449" s="7">
        <f t="shared" si="46"/>
        <v>2224.83</v>
      </c>
      <c r="S449" s="7">
        <f t="shared" si="47"/>
        <v>741.61</v>
      </c>
      <c r="T449" s="6">
        <f t="shared" si="48"/>
        <v>1.1583011583011582E-2</v>
      </c>
      <c r="V449" t="s">
        <v>29</v>
      </c>
    </row>
    <row r="450" spans="1:22">
      <c r="A450" s="3">
        <v>45676</v>
      </c>
      <c r="B450" t="str">
        <f t="shared" si="42"/>
        <v>yyyy-01</v>
      </c>
      <c r="C450">
        <f t="shared" si="43"/>
        <v>3</v>
      </c>
      <c r="D450" t="s">
        <v>53</v>
      </c>
      <c r="E450" t="s">
        <v>56</v>
      </c>
      <c r="F450" t="s">
        <v>58</v>
      </c>
      <c r="G450" t="s">
        <v>27</v>
      </c>
      <c r="H450" t="s">
        <v>45</v>
      </c>
      <c r="I450" s="5">
        <v>144</v>
      </c>
      <c r="J450" s="5">
        <v>108</v>
      </c>
      <c r="K450" s="5">
        <v>9</v>
      </c>
      <c r="L450" s="5">
        <v>1</v>
      </c>
      <c r="M450" s="5">
        <v>1</v>
      </c>
      <c r="N450" s="7">
        <v>893.56</v>
      </c>
      <c r="O450" s="7">
        <f t="shared" si="44"/>
        <v>893.56</v>
      </c>
      <c r="P450" s="4">
        <v>0.03</v>
      </c>
      <c r="Q450" s="7">
        <f t="shared" si="45"/>
        <v>26.806799999999999</v>
      </c>
      <c r="R450" s="7">
        <f t="shared" si="46"/>
        <v>866.75319999999999</v>
      </c>
      <c r="S450" s="7">
        <f t="shared" si="47"/>
        <v>866.75319999999999</v>
      </c>
      <c r="T450" s="6">
        <f t="shared" si="48"/>
        <v>6.9444444444444441E-3</v>
      </c>
      <c r="V450" t="s">
        <v>29</v>
      </c>
    </row>
    <row r="451" spans="1:22">
      <c r="A451" s="3">
        <v>45676</v>
      </c>
      <c r="B451" t="str">
        <f t="shared" si="42"/>
        <v>yyyy-01</v>
      </c>
      <c r="C451">
        <f t="shared" si="43"/>
        <v>3</v>
      </c>
      <c r="D451" t="s">
        <v>53</v>
      </c>
      <c r="E451" t="s">
        <v>59</v>
      </c>
      <c r="F451" t="s">
        <v>60</v>
      </c>
      <c r="G451" t="s">
        <v>27</v>
      </c>
      <c r="H451" t="s">
        <v>48</v>
      </c>
      <c r="I451" s="5">
        <v>103</v>
      </c>
      <c r="J451" s="5">
        <v>60</v>
      </c>
      <c r="K451" s="5">
        <v>4</v>
      </c>
      <c r="L451" s="5">
        <v>1</v>
      </c>
      <c r="M451" s="5">
        <v>1</v>
      </c>
      <c r="N451" s="7">
        <v>672.84</v>
      </c>
      <c r="O451" s="7">
        <f t="shared" si="44"/>
        <v>672.84</v>
      </c>
      <c r="P451" s="4">
        <v>0</v>
      </c>
      <c r="Q451" s="7">
        <f t="shared" si="45"/>
        <v>0</v>
      </c>
      <c r="R451" s="7">
        <f t="shared" si="46"/>
        <v>672.84</v>
      </c>
      <c r="S451" s="7">
        <f t="shared" si="47"/>
        <v>672.84</v>
      </c>
      <c r="T451" s="6">
        <f t="shared" si="48"/>
        <v>9.7087378640776691E-3</v>
      </c>
      <c r="V451" t="s">
        <v>29</v>
      </c>
    </row>
    <row r="452" spans="1:22">
      <c r="A452" s="3">
        <v>45676</v>
      </c>
      <c r="B452" t="str">
        <f t="shared" si="42"/>
        <v>yyyy-01</v>
      </c>
      <c r="C452">
        <f t="shared" si="43"/>
        <v>3</v>
      </c>
      <c r="D452" t="s">
        <v>53</v>
      </c>
      <c r="E452" t="s">
        <v>61</v>
      </c>
      <c r="F452" t="s">
        <v>62</v>
      </c>
      <c r="G452" t="s">
        <v>31</v>
      </c>
      <c r="H452" t="s">
        <v>32</v>
      </c>
      <c r="I452" s="5">
        <v>203</v>
      </c>
      <c r="J452" s="5">
        <v>163</v>
      </c>
      <c r="K452" s="5">
        <v>15</v>
      </c>
      <c r="L452" s="5">
        <v>3</v>
      </c>
      <c r="M452" s="5">
        <v>3</v>
      </c>
      <c r="N452" s="7">
        <v>482.13</v>
      </c>
      <c r="O452" s="7">
        <f t="shared" si="44"/>
        <v>1446.3899999999999</v>
      </c>
      <c r="P452" s="4">
        <v>0</v>
      </c>
      <c r="Q452" s="7">
        <f t="shared" si="45"/>
        <v>0</v>
      </c>
      <c r="R452" s="7">
        <f t="shared" si="46"/>
        <v>1446.3899999999999</v>
      </c>
      <c r="S452" s="7">
        <f t="shared" si="47"/>
        <v>482.12999999999994</v>
      </c>
      <c r="T452" s="6">
        <f t="shared" si="48"/>
        <v>1.4778325123152709E-2</v>
      </c>
      <c r="V452" t="s">
        <v>29</v>
      </c>
    </row>
    <row r="453" spans="1:22">
      <c r="A453" s="3">
        <v>45676</v>
      </c>
      <c r="B453" t="str">
        <f t="shared" ref="B453:B516" si="49">TEXT(A453,"yyyy-mm")</f>
        <v>yyyy-01</v>
      </c>
      <c r="C453">
        <f t="shared" ref="C453:C516" si="50">WEEKNUM(A453,2)</f>
        <v>3</v>
      </c>
      <c r="D453" t="s">
        <v>53</v>
      </c>
      <c r="E453" t="s">
        <v>64</v>
      </c>
      <c r="F453" t="s">
        <v>65</v>
      </c>
      <c r="G453" t="s">
        <v>27</v>
      </c>
      <c r="H453" t="s">
        <v>63</v>
      </c>
      <c r="I453" s="5">
        <v>159</v>
      </c>
      <c r="J453" s="5">
        <v>109</v>
      </c>
      <c r="K453" s="5">
        <v>8</v>
      </c>
      <c r="L453" s="5">
        <v>1</v>
      </c>
      <c r="M453" s="5">
        <v>1</v>
      </c>
      <c r="N453" s="7">
        <v>798.36</v>
      </c>
      <c r="O453" s="7">
        <f t="shared" ref="O453:O516" si="51">M453*N453</f>
        <v>798.36</v>
      </c>
      <c r="P453" s="4">
        <v>0.05</v>
      </c>
      <c r="Q453" s="7">
        <f t="shared" ref="Q453:Q516" si="52">O453*P453</f>
        <v>39.918000000000006</v>
      </c>
      <c r="R453" s="7">
        <f t="shared" ref="R453:R516" si="53">O453-Q453</f>
        <v>758.44200000000001</v>
      </c>
      <c r="S453" s="7">
        <f t="shared" ref="S453:S516" si="54">IFERROR(R453/L453,0)</f>
        <v>758.44200000000001</v>
      </c>
      <c r="T453" s="6">
        <f t="shared" ref="T453:T516" si="55">IFERROR(L453/I453,0)</f>
        <v>6.2893081761006293E-3</v>
      </c>
      <c r="V453" t="s">
        <v>29</v>
      </c>
    </row>
    <row r="454" spans="1:22">
      <c r="A454" s="3">
        <v>45676</v>
      </c>
      <c r="B454" t="str">
        <f t="shared" si="49"/>
        <v>yyyy-01</v>
      </c>
      <c r="C454">
        <f t="shared" si="50"/>
        <v>3</v>
      </c>
      <c r="D454" t="s">
        <v>66</v>
      </c>
      <c r="E454" t="s">
        <v>67</v>
      </c>
      <c r="F454" t="s">
        <v>68</v>
      </c>
      <c r="G454" t="s">
        <v>27</v>
      </c>
      <c r="H454" t="s">
        <v>48</v>
      </c>
      <c r="I454" s="5">
        <v>259</v>
      </c>
      <c r="J454" s="5">
        <v>212</v>
      </c>
      <c r="K454" s="5">
        <v>22</v>
      </c>
      <c r="L454" s="5">
        <v>4</v>
      </c>
      <c r="M454" s="5">
        <v>4</v>
      </c>
      <c r="N454" s="7">
        <v>685.51</v>
      </c>
      <c r="O454" s="7">
        <f t="shared" si="51"/>
        <v>2742.04</v>
      </c>
      <c r="P454" s="4">
        <v>0.03</v>
      </c>
      <c r="Q454" s="7">
        <f t="shared" si="52"/>
        <v>82.261200000000002</v>
      </c>
      <c r="R454" s="7">
        <f t="shared" si="53"/>
        <v>2659.7788</v>
      </c>
      <c r="S454" s="7">
        <f t="shared" si="54"/>
        <v>664.94470000000001</v>
      </c>
      <c r="T454" s="6">
        <f t="shared" si="55"/>
        <v>1.5444015444015444E-2</v>
      </c>
      <c r="V454" t="s">
        <v>29</v>
      </c>
    </row>
    <row r="455" spans="1:22">
      <c r="A455" s="3">
        <v>45676</v>
      </c>
      <c r="B455" t="str">
        <f t="shared" si="49"/>
        <v>yyyy-01</v>
      </c>
      <c r="C455">
        <f t="shared" si="50"/>
        <v>3</v>
      </c>
      <c r="D455" t="s">
        <v>66</v>
      </c>
      <c r="E455" t="s">
        <v>67</v>
      </c>
      <c r="F455" t="s">
        <v>69</v>
      </c>
      <c r="G455" t="s">
        <v>27</v>
      </c>
      <c r="H455" t="s">
        <v>45</v>
      </c>
      <c r="I455" s="5">
        <v>161</v>
      </c>
      <c r="J455" s="5">
        <v>109</v>
      </c>
      <c r="K455" s="5">
        <v>3</v>
      </c>
      <c r="L455" s="5">
        <v>0</v>
      </c>
      <c r="M455" s="5">
        <v>0</v>
      </c>
      <c r="N455" s="7">
        <v>397.45</v>
      </c>
      <c r="O455" s="7">
        <f t="shared" si="51"/>
        <v>0</v>
      </c>
      <c r="P455" s="4">
        <v>0.03</v>
      </c>
      <c r="Q455" s="7">
        <f t="shared" si="52"/>
        <v>0</v>
      </c>
      <c r="R455" s="7">
        <f t="shared" si="53"/>
        <v>0</v>
      </c>
      <c r="S455" s="7">
        <f t="shared" si="54"/>
        <v>0</v>
      </c>
      <c r="T455" s="6">
        <f t="shared" si="55"/>
        <v>0</v>
      </c>
      <c r="V455" t="s">
        <v>81</v>
      </c>
    </row>
    <row r="456" spans="1:22">
      <c r="A456" s="3">
        <v>45676</v>
      </c>
      <c r="B456" t="str">
        <f t="shared" si="49"/>
        <v>yyyy-01</v>
      </c>
      <c r="C456">
        <f t="shared" si="50"/>
        <v>3</v>
      </c>
      <c r="D456" t="s">
        <v>66</v>
      </c>
      <c r="E456" t="s">
        <v>67</v>
      </c>
      <c r="F456" t="s">
        <v>70</v>
      </c>
      <c r="G456" t="s">
        <v>27</v>
      </c>
      <c r="H456" t="s">
        <v>45</v>
      </c>
      <c r="I456" s="5">
        <v>298</v>
      </c>
      <c r="J456" s="5">
        <v>229</v>
      </c>
      <c r="K456" s="5">
        <v>21</v>
      </c>
      <c r="L456" s="5">
        <v>6</v>
      </c>
      <c r="M456" s="5">
        <v>6</v>
      </c>
      <c r="N456" s="7">
        <v>339.45</v>
      </c>
      <c r="O456" s="7">
        <f t="shared" si="51"/>
        <v>2036.6999999999998</v>
      </c>
      <c r="P456" s="4">
        <v>0.05</v>
      </c>
      <c r="Q456" s="7">
        <f t="shared" si="52"/>
        <v>101.83499999999999</v>
      </c>
      <c r="R456" s="7">
        <f t="shared" si="53"/>
        <v>1934.8649999999998</v>
      </c>
      <c r="S456" s="7">
        <f t="shared" si="54"/>
        <v>322.47749999999996</v>
      </c>
      <c r="T456" s="6">
        <f t="shared" si="55"/>
        <v>2.0134228187919462E-2</v>
      </c>
      <c r="V456" t="s">
        <v>29</v>
      </c>
    </row>
    <row r="457" spans="1:22">
      <c r="A457" s="3">
        <v>45676</v>
      </c>
      <c r="B457" t="str">
        <f t="shared" si="49"/>
        <v>yyyy-01</v>
      </c>
      <c r="C457">
        <f t="shared" si="50"/>
        <v>3</v>
      </c>
      <c r="D457" t="s">
        <v>66</v>
      </c>
      <c r="E457" t="s">
        <v>71</v>
      </c>
      <c r="F457" t="s">
        <v>72</v>
      </c>
      <c r="G457" t="s">
        <v>31</v>
      </c>
      <c r="H457" t="s">
        <v>32</v>
      </c>
      <c r="I457" s="5">
        <v>468</v>
      </c>
      <c r="J457" s="5">
        <v>266</v>
      </c>
      <c r="K457" s="5">
        <v>23</v>
      </c>
      <c r="L457" s="5">
        <v>7</v>
      </c>
      <c r="M457" s="5">
        <v>7</v>
      </c>
      <c r="N457" s="7">
        <v>125.84</v>
      </c>
      <c r="O457" s="7">
        <f t="shared" si="51"/>
        <v>880.88</v>
      </c>
      <c r="P457" s="4">
        <v>0</v>
      </c>
      <c r="Q457" s="7">
        <f t="shared" si="52"/>
        <v>0</v>
      </c>
      <c r="R457" s="7">
        <f t="shared" si="53"/>
        <v>880.88</v>
      </c>
      <c r="S457" s="7">
        <f t="shared" si="54"/>
        <v>125.84</v>
      </c>
      <c r="T457" s="6">
        <f t="shared" si="55"/>
        <v>1.4957264957264958E-2</v>
      </c>
      <c r="V457" t="s">
        <v>78</v>
      </c>
    </row>
    <row r="458" spans="1:22">
      <c r="A458" s="3">
        <v>45676</v>
      </c>
      <c r="B458" t="str">
        <f t="shared" si="49"/>
        <v>yyyy-01</v>
      </c>
      <c r="C458">
        <f t="shared" si="50"/>
        <v>3</v>
      </c>
      <c r="D458" t="s">
        <v>66</v>
      </c>
      <c r="E458" t="s">
        <v>73</v>
      </c>
      <c r="F458" t="s">
        <v>74</v>
      </c>
      <c r="G458" t="s">
        <v>31</v>
      </c>
      <c r="H458" t="s">
        <v>32</v>
      </c>
      <c r="I458" s="5">
        <v>268</v>
      </c>
      <c r="J458" s="5">
        <v>186</v>
      </c>
      <c r="K458" s="5">
        <v>17</v>
      </c>
      <c r="L458" s="5">
        <v>4</v>
      </c>
      <c r="M458" s="5">
        <v>4</v>
      </c>
      <c r="N458" s="7">
        <v>1171.43</v>
      </c>
      <c r="O458" s="7">
        <f t="shared" si="51"/>
        <v>4685.72</v>
      </c>
      <c r="P458" s="4">
        <v>0</v>
      </c>
      <c r="Q458" s="7">
        <f t="shared" si="52"/>
        <v>0</v>
      </c>
      <c r="R458" s="7">
        <f t="shared" si="53"/>
        <v>4685.72</v>
      </c>
      <c r="S458" s="7">
        <f t="shared" si="54"/>
        <v>1171.43</v>
      </c>
      <c r="T458" s="6">
        <f t="shared" si="55"/>
        <v>1.4925373134328358E-2</v>
      </c>
      <c r="V458" t="s">
        <v>29</v>
      </c>
    </row>
    <row r="459" spans="1:22">
      <c r="A459" s="3">
        <v>45676</v>
      </c>
      <c r="B459" t="str">
        <f t="shared" si="49"/>
        <v>yyyy-01</v>
      </c>
      <c r="C459">
        <f t="shared" si="50"/>
        <v>3</v>
      </c>
      <c r="D459" t="s">
        <v>66</v>
      </c>
      <c r="E459" t="s">
        <v>71</v>
      </c>
      <c r="F459" t="s">
        <v>75</v>
      </c>
      <c r="G459" t="s">
        <v>31</v>
      </c>
      <c r="H459" t="s">
        <v>32</v>
      </c>
      <c r="I459" s="5">
        <v>327</v>
      </c>
      <c r="J459" s="5">
        <v>192</v>
      </c>
      <c r="K459" s="5">
        <v>17</v>
      </c>
      <c r="L459" s="5">
        <v>6</v>
      </c>
      <c r="M459" s="5">
        <v>8</v>
      </c>
      <c r="N459" s="7">
        <v>38.9</v>
      </c>
      <c r="O459" s="7">
        <f t="shared" si="51"/>
        <v>311.2</v>
      </c>
      <c r="P459" s="4">
        <v>0</v>
      </c>
      <c r="Q459" s="7">
        <f t="shared" si="52"/>
        <v>0</v>
      </c>
      <c r="R459" s="7">
        <f t="shared" si="53"/>
        <v>311.2</v>
      </c>
      <c r="S459" s="7">
        <f t="shared" si="54"/>
        <v>51.866666666666667</v>
      </c>
      <c r="T459" s="6">
        <f t="shared" si="55"/>
        <v>1.834862385321101E-2</v>
      </c>
      <c r="V459" t="s">
        <v>29</v>
      </c>
    </row>
    <row r="460" spans="1:22">
      <c r="A460" s="3">
        <v>45676</v>
      </c>
      <c r="B460" t="str">
        <f t="shared" si="49"/>
        <v>yyyy-01</v>
      </c>
      <c r="C460">
        <f t="shared" si="50"/>
        <v>3</v>
      </c>
      <c r="D460" t="s">
        <v>24</v>
      </c>
      <c r="E460" t="s">
        <v>76</v>
      </c>
      <c r="F460" t="s">
        <v>77</v>
      </c>
      <c r="G460" t="s">
        <v>27</v>
      </c>
      <c r="H460" t="s">
        <v>28</v>
      </c>
      <c r="I460" s="5">
        <v>582</v>
      </c>
      <c r="J460" s="5">
        <v>364</v>
      </c>
      <c r="K460" s="5">
        <v>45</v>
      </c>
      <c r="L460" s="5">
        <v>12</v>
      </c>
      <c r="M460" s="5">
        <v>14</v>
      </c>
      <c r="N460" s="7">
        <v>192.34</v>
      </c>
      <c r="O460" s="7">
        <f t="shared" si="51"/>
        <v>2692.76</v>
      </c>
      <c r="P460" s="4">
        <v>0</v>
      </c>
      <c r="Q460" s="7">
        <f t="shared" si="52"/>
        <v>0</v>
      </c>
      <c r="R460" s="7">
        <f t="shared" si="53"/>
        <v>2692.76</v>
      </c>
      <c r="S460" s="7">
        <f t="shared" si="54"/>
        <v>224.39666666666668</v>
      </c>
      <c r="T460" s="6">
        <f t="shared" si="55"/>
        <v>2.0618556701030927E-2</v>
      </c>
      <c r="V460" t="s">
        <v>29</v>
      </c>
    </row>
    <row r="461" spans="1:22">
      <c r="A461" s="3">
        <v>45677</v>
      </c>
      <c r="B461" t="str">
        <f t="shared" si="49"/>
        <v>yyyy-01</v>
      </c>
      <c r="C461">
        <f t="shared" si="50"/>
        <v>4</v>
      </c>
      <c r="D461" t="s">
        <v>24</v>
      </c>
      <c r="E461" t="s">
        <v>25</v>
      </c>
      <c r="F461" t="s">
        <v>26</v>
      </c>
      <c r="G461" t="s">
        <v>31</v>
      </c>
      <c r="H461" t="s">
        <v>32</v>
      </c>
      <c r="I461" s="5">
        <v>1793</v>
      </c>
      <c r="J461" s="5">
        <v>1030</v>
      </c>
      <c r="K461" s="5">
        <v>171</v>
      </c>
      <c r="L461" s="5">
        <v>45</v>
      </c>
      <c r="M461" s="5">
        <v>45</v>
      </c>
      <c r="N461" s="7">
        <v>990.89</v>
      </c>
      <c r="O461" s="7">
        <f t="shared" si="51"/>
        <v>44590.05</v>
      </c>
      <c r="P461" s="4">
        <v>0.03</v>
      </c>
      <c r="Q461" s="7">
        <f t="shared" si="52"/>
        <v>1337.7015000000001</v>
      </c>
      <c r="R461" s="7">
        <f t="shared" si="53"/>
        <v>43252.3485</v>
      </c>
      <c r="S461" s="7">
        <f t="shared" si="54"/>
        <v>961.16330000000005</v>
      </c>
      <c r="T461" s="6">
        <f t="shared" si="55"/>
        <v>2.509760178471835E-2</v>
      </c>
      <c r="V461" t="s">
        <v>29</v>
      </c>
    </row>
    <row r="462" spans="1:22">
      <c r="A462" s="3">
        <v>45677</v>
      </c>
      <c r="B462" t="str">
        <f t="shared" si="49"/>
        <v>yyyy-01</v>
      </c>
      <c r="C462">
        <f t="shared" si="50"/>
        <v>4</v>
      </c>
      <c r="D462" t="s">
        <v>24</v>
      </c>
      <c r="E462" t="s">
        <v>25</v>
      </c>
      <c r="F462" t="s">
        <v>30</v>
      </c>
      <c r="G462" t="s">
        <v>27</v>
      </c>
      <c r="H462" t="s">
        <v>45</v>
      </c>
      <c r="I462" s="5">
        <v>1019</v>
      </c>
      <c r="J462" s="5">
        <v>571</v>
      </c>
      <c r="K462" s="5">
        <v>99</v>
      </c>
      <c r="L462" s="5">
        <v>22</v>
      </c>
      <c r="M462" s="5">
        <v>22</v>
      </c>
      <c r="N462" s="7">
        <v>401.59</v>
      </c>
      <c r="O462" s="7">
        <f t="shared" si="51"/>
        <v>8834.98</v>
      </c>
      <c r="P462" s="4">
        <v>0</v>
      </c>
      <c r="Q462" s="7">
        <f t="shared" si="52"/>
        <v>0</v>
      </c>
      <c r="R462" s="7">
        <f t="shared" si="53"/>
        <v>8834.98</v>
      </c>
      <c r="S462" s="7">
        <f t="shared" si="54"/>
        <v>401.59</v>
      </c>
      <c r="T462" s="6">
        <f t="shared" si="55"/>
        <v>2.1589793915603533E-2</v>
      </c>
      <c r="V462" t="s">
        <v>29</v>
      </c>
    </row>
    <row r="463" spans="1:22">
      <c r="A463" s="3">
        <v>45677</v>
      </c>
      <c r="B463" t="str">
        <f t="shared" si="49"/>
        <v>yyyy-01</v>
      </c>
      <c r="C463">
        <f t="shared" si="50"/>
        <v>4</v>
      </c>
      <c r="D463" t="s">
        <v>24</v>
      </c>
      <c r="E463" t="s">
        <v>25</v>
      </c>
      <c r="F463" t="s">
        <v>33</v>
      </c>
      <c r="G463" t="s">
        <v>27</v>
      </c>
      <c r="H463" t="s">
        <v>28</v>
      </c>
      <c r="I463" s="5">
        <v>1602</v>
      </c>
      <c r="J463" s="5">
        <v>1046</v>
      </c>
      <c r="K463" s="5">
        <v>141</v>
      </c>
      <c r="L463" s="5">
        <v>41</v>
      </c>
      <c r="M463" s="5">
        <v>41</v>
      </c>
      <c r="N463" s="7">
        <v>1764.87</v>
      </c>
      <c r="O463" s="7">
        <f t="shared" si="51"/>
        <v>72359.67</v>
      </c>
      <c r="P463" s="4">
        <v>0.03</v>
      </c>
      <c r="Q463" s="7">
        <f t="shared" si="52"/>
        <v>2170.7900999999997</v>
      </c>
      <c r="R463" s="7">
        <f t="shared" si="53"/>
        <v>70188.8799</v>
      </c>
      <c r="S463" s="7">
        <f t="shared" si="54"/>
        <v>1711.9239</v>
      </c>
      <c r="T463" s="6">
        <f t="shared" si="55"/>
        <v>2.5593008739076155E-2</v>
      </c>
      <c r="V463" t="s">
        <v>29</v>
      </c>
    </row>
    <row r="464" spans="1:22">
      <c r="A464" s="3">
        <v>45677</v>
      </c>
      <c r="B464" t="str">
        <f t="shared" si="49"/>
        <v>yyyy-01</v>
      </c>
      <c r="C464">
        <f t="shared" si="50"/>
        <v>4</v>
      </c>
      <c r="D464" t="s">
        <v>24</v>
      </c>
      <c r="E464" t="s">
        <v>34</v>
      </c>
      <c r="F464" t="s">
        <v>35</v>
      </c>
      <c r="G464" t="s">
        <v>27</v>
      </c>
      <c r="H464" t="s">
        <v>45</v>
      </c>
      <c r="I464" s="5">
        <v>659</v>
      </c>
      <c r="J464" s="5">
        <v>429</v>
      </c>
      <c r="K464" s="5">
        <v>52</v>
      </c>
      <c r="L464" s="5">
        <v>12</v>
      </c>
      <c r="M464" s="5">
        <v>12</v>
      </c>
      <c r="N464" s="7">
        <v>867.56</v>
      </c>
      <c r="O464" s="7">
        <f t="shared" si="51"/>
        <v>10410.719999999999</v>
      </c>
      <c r="P464" s="4">
        <v>0.05</v>
      </c>
      <c r="Q464" s="7">
        <f t="shared" si="52"/>
        <v>520.53599999999994</v>
      </c>
      <c r="R464" s="7">
        <f t="shared" si="53"/>
        <v>9890.1839999999993</v>
      </c>
      <c r="S464" s="7">
        <f t="shared" si="54"/>
        <v>824.1819999999999</v>
      </c>
      <c r="T464" s="6">
        <f t="shared" si="55"/>
        <v>1.8209408194233688E-2</v>
      </c>
      <c r="V464" t="s">
        <v>29</v>
      </c>
    </row>
    <row r="465" spans="1:22">
      <c r="A465" s="3">
        <v>45677</v>
      </c>
      <c r="B465" t="str">
        <f t="shared" si="49"/>
        <v>yyyy-01</v>
      </c>
      <c r="C465">
        <f t="shared" si="50"/>
        <v>4</v>
      </c>
      <c r="D465" t="s">
        <v>24</v>
      </c>
      <c r="E465" t="s">
        <v>38</v>
      </c>
      <c r="F465" t="s">
        <v>39</v>
      </c>
      <c r="G465" t="s">
        <v>27</v>
      </c>
      <c r="H465" t="s">
        <v>28</v>
      </c>
      <c r="I465" s="5">
        <v>798</v>
      </c>
      <c r="J465" s="5">
        <v>610</v>
      </c>
      <c r="K465" s="5">
        <v>40</v>
      </c>
      <c r="L465" s="5">
        <v>17</v>
      </c>
      <c r="M465" s="5">
        <v>17</v>
      </c>
      <c r="N465" s="7">
        <v>328.76</v>
      </c>
      <c r="O465" s="7">
        <f t="shared" si="51"/>
        <v>5588.92</v>
      </c>
      <c r="P465" s="4">
        <v>0.03</v>
      </c>
      <c r="Q465" s="7">
        <f t="shared" si="52"/>
        <v>167.66759999999999</v>
      </c>
      <c r="R465" s="7">
        <f t="shared" si="53"/>
        <v>5421.2524000000003</v>
      </c>
      <c r="S465" s="7">
        <f t="shared" si="54"/>
        <v>318.8972</v>
      </c>
      <c r="T465" s="6">
        <f t="shared" si="55"/>
        <v>2.1303258145363407E-2</v>
      </c>
      <c r="V465" t="s">
        <v>29</v>
      </c>
    </row>
    <row r="466" spans="1:22">
      <c r="A466" s="3">
        <v>45677</v>
      </c>
      <c r="B466" t="str">
        <f t="shared" si="49"/>
        <v>yyyy-01</v>
      </c>
      <c r="C466">
        <f t="shared" si="50"/>
        <v>4</v>
      </c>
      <c r="D466" t="s">
        <v>24</v>
      </c>
      <c r="E466" t="s">
        <v>40</v>
      </c>
      <c r="F466" t="s">
        <v>41</v>
      </c>
      <c r="G466" t="s">
        <v>27</v>
      </c>
      <c r="H466" t="s">
        <v>45</v>
      </c>
      <c r="I466" s="5">
        <v>708</v>
      </c>
      <c r="J466" s="5">
        <v>391</v>
      </c>
      <c r="K466" s="5">
        <v>53</v>
      </c>
      <c r="L466" s="5">
        <v>14</v>
      </c>
      <c r="M466" s="5">
        <v>17</v>
      </c>
      <c r="N466" s="7">
        <v>177.9</v>
      </c>
      <c r="O466" s="7">
        <f t="shared" si="51"/>
        <v>3024.3</v>
      </c>
      <c r="P466" s="4">
        <v>0</v>
      </c>
      <c r="Q466" s="7">
        <f t="shared" si="52"/>
        <v>0</v>
      </c>
      <c r="R466" s="7">
        <f t="shared" si="53"/>
        <v>3024.3</v>
      </c>
      <c r="S466" s="7">
        <f t="shared" si="54"/>
        <v>216.02142857142857</v>
      </c>
      <c r="T466" s="6">
        <f t="shared" si="55"/>
        <v>1.977401129943503E-2</v>
      </c>
      <c r="V466" t="s">
        <v>29</v>
      </c>
    </row>
    <row r="467" spans="1:22">
      <c r="A467" s="3">
        <v>45677</v>
      </c>
      <c r="B467" t="str">
        <f t="shared" si="49"/>
        <v>yyyy-01</v>
      </c>
      <c r="C467">
        <f t="shared" si="50"/>
        <v>4</v>
      </c>
      <c r="D467" t="s">
        <v>42</v>
      </c>
      <c r="E467" t="s">
        <v>43</v>
      </c>
      <c r="F467" t="s">
        <v>44</v>
      </c>
      <c r="G467" t="s">
        <v>27</v>
      </c>
      <c r="H467" t="s">
        <v>28</v>
      </c>
      <c r="I467" s="5">
        <v>410</v>
      </c>
      <c r="J467" s="5">
        <v>283</v>
      </c>
      <c r="K467" s="5">
        <v>24</v>
      </c>
      <c r="L467" s="5">
        <v>7</v>
      </c>
      <c r="M467" s="5">
        <v>7</v>
      </c>
      <c r="N467" s="7">
        <v>1284.74</v>
      </c>
      <c r="O467" s="7">
        <f t="shared" si="51"/>
        <v>8993.18</v>
      </c>
      <c r="P467" s="4">
        <v>0.1</v>
      </c>
      <c r="Q467" s="7">
        <f t="shared" si="52"/>
        <v>899.3180000000001</v>
      </c>
      <c r="R467" s="7">
        <f t="shared" si="53"/>
        <v>8093.8620000000001</v>
      </c>
      <c r="S467" s="7">
        <f t="shared" si="54"/>
        <v>1156.2660000000001</v>
      </c>
      <c r="T467" s="6">
        <f t="shared" si="55"/>
        <v>1.7073170731707318E-2</v>
      </c>
      <c r="U467" t="s">
        <v>80</v>
      </c>
      <c r="V467" t="s">
        <v>29</v>
      </c>
    </row>
    <row r="468" spans="1:22">
      <c r="A468" s="3">
        <v>45677</v>
      </c>
      <c r="B468" t="str">
        <f t="shared" si="49"/>
        <v>yyyy-01</v>
      </c>
      <c r="C468">
        <f t="shared" si="50"/>
        <v>4</v>
      </c>
      <c r="D468" t="s">
        <v>42</v>
      </c>
      <c r="E468" t="s">
        <v>43</v>
      </c>
      <c r="F468" t="s">
        <v>46</v>
      </c>
      <c r="G468" t="s">
        <v>27</v>
      </c>
      <c r="H468" t="s">
        <v>63</v>
      </c>
      <c r="I468" s="5">
        <v>338</v>
      </c>
      <c r="J468" s="5">
        <v>256</v>
      </c>
      <c r="K468" s="5">
        <v>28</v>
      </c>
      <c r="L468" s="5">
        <v>6</v>
      </c>
      <c r="M468" s="5">
        <v>6</v>
      </c>
      <c r="N468" s="7">
        <v>2126.75</v>
      </c>
      <c r="O468" s="7">
        <f t="shared" si="51"/>
        <v>12760.5</v>
      </c>
      <c r="P468" s="4">
        <v>0.1</v>
      </c>
      <c r="Q468" s="7">
        <f t="shared" si="52"/>
        <v>1276.0500000000002</v>
      </c>
      <c r="R468" s="7">
        <f t="shared" si="53"/>
        <v>11484.45</v>
      </c>
      <c r="S468" s="7">
        <f t="shared" si="54"/>
        <v>1914.075</v>
      </c>
      <c r="T468" s="6">
        <f t="shared" si="55"/>
        <v>1.7751479289940829E-2</v>
      </c>
      <c r="U468" t="s">
        <v>80</v>
      </c>
      <c r="V468" t="s">
        <v>29</v>
      </c>
    </row>
    <row r="469" spans="1:22">
      <c r="A469" s="3">
        <v>45677</v>
      </c>
      <c r="B469" t="str">
        <f t="shared" si="49"/>
        <v>yyyy-01</v>
      </c>
      <c r="C469">
        <f t="shared" si="50"/>
        <v>4</v>
      </c>
      <c r="D469" t="s">
        <v>42</v>
      </c>
      <c r="E469" t="s">
        <v>43</v>
      </c>
      <c r="F469" t="s">
        <v>47</v>
      </c>
      <c r="G469" t="s">
        <v>31</v>
      </c>
      <c r="H469" t="s">
        <v>32</v>
      </c>
      <c r="I469" s="5">
        <v>566</v>
      </c>
      <c r="J469" s="5">
        <v>383</v>
      </c>
      <c r="K469" s="5">
        <v>48</v>
      </c>
      <c r="L469" s="5">
        <v>11</v>
      </c>
      <c r="M469" s="5">
        <v>11</v>
      </c>
      <c r="N469" s="7">
        <v>599.64</v>
      </c>
      <c r="O469" s="7">
        <f t="shared" si="51"/>
        <v>6596.04</v>
      </c>
      <c r="P469" s="4">
        <v>0.1</v>
      </c>
      <c r="Q469" s="7">
        <f t="shared" si="52"/>
        <v>659.60400000000004</v>
      </c>
      <c r="R469" s="7">
        <f t="shared" si="53"/>
        <v>5936.4359999999997</v>
      </c>
      <c r="S469" s="7">
        <f t="shared" si="54"/>
        <v>539.67599999999993</v>
      </c>
      <c r="T469" s="6">
        <f t="shared" si="55"/>
        <v>1.9434628975265017E-2</v>
      </c>
      <c r="U469" t="s">
        <v>80</v>
      </c>
      <c r="V469" t="s">
        <v>29</v>
      </c>
    </row>
    <row r="470" spans="1:22">
      <c r="A470" s="3">
        <v>45677</v>
      </c>
      <c r="B470" t="str">
        <f t="shared" si="49"/>
        <v>yyyy-01</v>
      </c>
      <c r="C470">
        <f t="shared" si="50"/>
        <v>4</v>
      </c>
      <c r="D470" t="s">
        <v>42</v>
      </c>
      <c r="E470" t="s">
        <v>49</v>
      </c>
      <c r="F470" t="s">
        <v>50</v>
      </c>
      <c r="G470" t="s">
        <v>31</v>
      </c>
      <c r="H470" t="s">
        <v>32</v>
      </c>
      <c r="I470" s="5">
        <v>165</v>
      </c>
      <c r="J470" s="5">
        <v>86</v>
      </c>
      <c r="K470" s="5">
        <v>10</v>
      </c>
      <c r="L470" s="5">
        <v>2</v>
      </c>
      <c r="M470" s="5">
        <v>2</v>
      </c>
      <c r="N470" s="7">
        <v>985.14</v>
      </c>
      <c r="O470" s="7">
        <f t="shared" si="51"/>
        <v>1970.28</v>
      </c>
      <c r="P470" s="4">
        <v>0</v>
      </c>
      <c r="Q470" s="7">
        <f t="shared" si="52"/>
        <v>0</v>
      </c>
      <c r="R470" s="7">
        <f t="shared" si="53"/>
        <v>1970.28</v>
      </c>
      <c r="S470" s="7">
        <f t="shared" si="54"/>
        <v>985.14</v>
      </c>
      <c r="T470" s="6">
        <f t="shared" si="55"/>
        <v>1.2121212121212121E-2</v>
      </c>
      <c r="V470" t="s">
        <v>29</v>
      </c>
    </row>
    <row r="471" spans="1:22">
      <c r="A471" s="3">
        <v>45677</v>
      </c>
      <c r="B471" t="str">
        <f t="shared" si="49"/>
        <v>yyyy-01</v>
      </c>
      <c r="C471">
        <f t="shared" si="50"/>
        <v>4</v>
      </c>
      <c r="D471" t="s">
        <v>42</v>
      </c>
      <c r="E471" t="s">
        <v>51</v>
      </c>
      <c r="F471" t="s">
        <v>52</v>
      </c>
      <c r="G471" t="s">
        <v>31</v>
      </c>
      <c r="H471" t="s">
        <v>32</v>
      </c>
      <c r="I471" s="5">
        <v>235</v>
      </c>
      <c r="J471" s="5">
        <v>190</v>
      </c>
      <c r="K471" s="5">
        <v>12</v>
      </c>
      <c r="L471" s="5">
        <v>3</v>
      </c>
      <c r="M471" s="5">
        <v>3</v>
      </c>
      <c r="N471" s="7">
        <v>609.66999999999996</v>
      </c>
      <c r="O471" s="7">
        <f t="shared" si="51"/>
        <v>1829.0099999999998</v>
      </c>
      <c r="P471" s="4">
        <v>0</v>
      </c>
      <c r="Q471" s="7">
        <f t="shared" si="52"/>
        <v>0</v>
      </c>
      <c r="R471" s="7">
        <f t="shared" si="53"/>
        <v>1829.0099999999998</v>
      </c>
      <c r="S471" s="7">
        <f t="shared" si="54"/>
        <v>609.66999999999996</v>
      </c>
      <c r="T471" s="6">
        <f t="shared" si="55"/>
        <v>1.276595744680851E-2</v>
      </c>
      <c r="V471" t="s">
        <v>29</v>
      </c>
    </row>
    <row r="472" spans="1:22">
      <c r="A472" s="3">
        <v>45677</v>
      </c>
      <c r="B472" t="str">
        <f t="shared" si="49"/>
        <v>yyyy-01</v>
      </c>
      <c r="C472">
        <f t="shared" si="50"/>
        <v>4</v>
      </c>
      <c r="D472" t="s">
        <v>53</v>
      </c>
      <c r="E472" t="s">
        <v>54</v>
      </c>
      <c r="F472" t="s">
        <v>55</v>
      </c>
      <c r="G472" t="s">
        <v>31</v>
      </c>
      <c r="H472" t="s">
        <v>32</v>
      </c>
      <c r="I472" s="5">
        <v>164</v>
      </c>
      <c r="J472" s="5">
        <v>107</v>
      </c>
      <c r="K472" s="5">
        <v>11</v>
      </c>
      <c r="L472" s="5">
        <v>2</v>
      </c>
      <c r="M472" s="5">
        <v>2</v>
      </c>
      <c r="N472" s="7">
        <v>1269.33</v>
      </c>
      <c r="O472" s="7">
        <f t="shared" si="51"/>
        <v>2538.66</v>
      </c>
      <c r="P472" s="4">
        <v>0</v>
      </c>
      <c r="Q472" s="7">
        <f t="shared" si="52"/>
        <v>0</v>
      </c>
      <c r="R472" s="7">
        <f t="shared" si="53"/>
        <v>2538.66</v>
      </c>
      <c r="S472" s="7">
        <f t="shared" si="54"/>
        <v>1269.33</v>
      </c>
      <c r="T472" s="6">
        <f t="shared" si="55"/>
        <v>1.2195121951219513E-2</v>
      </c>
      <c r="V472" t="s">
        <v>29</v>
      </c>
    </row>
    <row r="473" spans="1:22">
      <c r="A473" s="3">
        <v>45677</v>
      </c>
      <c r="B473" t="str">
        <f t="shared" si="49"/>
        <v>yyyy-01</v>
      </c>
      <c r="C473">
        <f t="shared" si="50"/>
        <v>4</v>
      </c>
      <c r="D473" t="s">
        <v>53</v>
      </c>
      <c r="E473" t="s">
        <v>56</v>
      </c>
      <c r="F473" t="s">
        <v>57</v>
      </c>
      <c r="G473" t="s">
        <v>31</v>
      </c>
      <c r="H473" t="s">
        <v>32</v>
      </c>
      <c r="I473" s="5">
        <v>199</v>
      </c>
      <c r="J473" s="5">
        <v>113</v>
      </c>
      <c r="K473" s="5">
        <v>5</v>
      </c>
      <c r="L473" s="5">
        <v>2</v>
      </c>
      <c r="M473" s="5">
        <v>2</v>
      </c>
      <c r="N473" s="7">
        <v>726.12</v>
      </c>
      <c r="O473" s="7">
        <f t="shared" si="51"/>
        <v>1452.24</v>
      </c>
      <c r="P473" s="4">
        <v>0.08</v>
      </c>
      <c r="Q473" s="7">
        <f t="shared" si="52"/>
        <v>116.17920000000001</v>
      </c>
      <c r="R473" s="7">
        <f t="shared" si="53"/>
        <v>1336.0608</v>
      </c>
      <c r="S473" s="7">
        <f t="shared" si="54"/>
        <v>668.03039999999999</v>
      </c>
      <c r="T473" s="6">
        <f t="shared" si="55"/>
        <v>1.0050251256281407E-2</v>
      </c>
      <c r="U473" t="s">
        <v>82</v>
      </c>
      <c r="V473" t="s">
        <v>29</v>
      </c>
    </row>
    <row r="474" spans="1:22">
      <c r="A474" s="3">
        <v>45677</v>
      </c>
      <c r="B474" t="str">
        <f t="shared" si="49"/>
        <v>yyyy-01</v>
      </c>
      <c r="C474">
        <f t="shared" si="50"/>
        <v>4</v>
      </c>
      <c r="D474" t="s">
        <v>53</v>
      </c>
      <c r="E474" t="s">
        <v>56</v>
      </c>
      <c r="F474" t="s">
        <v>58</v>
      </c>
      <c r="G474" t="s">
        <v>27</v>
      </c>
      <c r="H474" t="s">
        <v>63</v>
      </c>
      <c r="I474" s="5">
        <v>133</v>
      </c>
      <c r="J474" s="5">
        <v>83</v>
      </c>
      <c r="K474" s="5">
        <v>8</v>
      </c>
      <c r="L474" s="5">
        <v>2</v>
      </c>
      <c r="M474" s="5">
        <v>2</v>
      </c>
      <c r="N474" s="7">
        <v>902.79</v>
      </c>
      <c r="O474" s="7">
        <f t="shared" si="51"/>
        <v>1805.58</v>
      </c>
      <c r="P474" s="4">
        <v>0.08</v>
      </c>
      <c r="Q474" s="7">
        <f t="shared" si="52"/>
        <v>144.44640000000001</v>
      </c>
      <c r="R474" s="7">
        <f t="shared" si="53"/>
        <v>1661.1335999999999</v>
      </c>
      <c r="S474" s="7">
        <f t="shared" si="54"/>
        <v>830.56679999999994</v>
      </c>
      <c r="T474" s="6">
        <f t="shared" si="55"/>
        <v>1.5037593984962405E-2</v>
      </c>
      <c r="U474" t="s">
        <v>82</v>
      </c>
      <c r="V474" t="s">
        <v>29</v>
      </c>
    </row>
    <row r="475" spans="1:22">
      <c r="A475" s="3">
        <v>45677</v>
      </c>
      <c r="B475" t="str">
        <f t="shared" si="49"/>
        <v>yyyy-01</v>
      </c>
      <c r="C475">
        <f t="shared" si="50"/>
        <v>4</v>
      </c>
      <c r="D475" t="s">
        <v>53</v>
      </c>
      <c r="E475" t="s">
        <v>59</v>
      </c>
      <c r="F475" t="s">
        <v>60</v>
      </c>
      <c r="G475" t="s">
        <v>31</v>
      </c>
      <c r="H475" t="s">
        <v>32</v>
      </c>
      <c r="I475" s="5">
        <v>159</v>
      </c>
      <c r="J475" s="5">
        <v>111</v>
      </c>
      <c r="K475" s="5">
        <v>9</v>
      </c>
      <c r="L475" s="5">
        <v>2</v>
      </c>
      <c r="M475" s="5">
        <v>2</v>
      </c>
      <c r="N475" s="7">
        <v>711.43</v>
      </c>
      <c r="O475" s="7">
        <f t="shared" si="51"/>
        <v>1422.86</v>
      </c>
      <c r="P475" s="4">
        <v>0</v>
      </c>
      <c r="Q475" s="7">
        <f t="shared" si="52"/>
        <v>0</v>
      </c>
      <c r="R475" s="7">
        <f t="shared" si="53"/>
        <v>1422.86</v>
      </c>
      <c r="S475" s="7">
        <f t="shared" si="54"/>
        <v>711.43</v>
      </c>
      <c r="T475" s="6">
        <f t="shared" si="55"/>
        <v>1.2578616352201259E-2</v>
      </c>
      <c r="V475" t="s">
        <v>29</v>
      </c>
    </row>
    <row r="476" spans="1:22">
      <c r="A476" s="3">
        <v>45677</v>
      </c>
      <c r="B476" t="str">
        <f t="shared" si="49"/>
        <v>yyyy-01</v>
      </c>
      <c r="C476">
        <f t="shared" si="50"/>
        <v>4</v>
      </c>
      <c r="D476" t="s">
        <v>53</v>
      </c>
      <c r="E476" t="s">
        <v>61</v>
      </c>
      <c r="F476" t="s">
        <v>62</v>
      </c>
      <c r="G476" t="s">
        <v>36</v>
      </c>
      <c r="H476" t="s">
        <v>37</v>
      </c>
      <c r="I476" s="5">
        <v>133</v>
      </c>
      <c r="J476" s="5">
        <v>79</v>
      </c>
      <c r="K476" s="5">
        <v>4</v>
      </c>
      <c r="L476" s="5">
        <v>1</v>
      </c>
      <c r="M476" s="5">
        <v>1</v>
      </c>
      <c r="N476" s="7">
        <v>487.85</v>
      </c>
      <c r="O476" s="7">
        <f t="shared" si="51"/>
        <v>487.85</v>
      </c>
      <c r="P476" s="4">
        <v>0</v>
      </c>
      <c r="Q476" s="7">
        <f t="shared" si="52"/>
        <v>0</v>
      </c>
      <c r="R476" s="7">
        <f t="shared" si="53"/>
        <v>487.85</v>
      </c>
      <c r="S476" s="7">
        <f t="shared" si="54"/>
        <v>487.85</v>
      </c>
      <c r="T476" s="6">
        <f t="shared" si="55"/>
        <v>7.5187969924812026E-3</v>
      </c>
      <c r="V476" t="s">
        <v>29</v>
      </c>
    </row>
    <row r="477" spans="1:22">
      <c r="A477" s="3">
        <v>45677</v>
      </c>
      <c r="B477" t="str">
        <f t="shared" si="49"/>
        <v>yyyy-01</v>
      </c>
      <c r="C477">
        <f t="shared" si="50"/>
        <v>4</v>
      </c>
      <c r="D477" t="s">
        <v>53</v>
      </c>
      <c r="E477" t="s">
        <v>64</v>
      </c>
      <c r="F477" t="s">
        <v>65</v>
      </c>
      <c r="G477" t="s">
        <v>27</v>
      </c>
      <c r="H477" t="s">
        <v>63</v>
      </c>
      <c r="I477" s="5">
        <v>160</v>
      </c>
      <c r="J477" s="5">
        <v>111</v>
      </c>
      <c r="K477" s="5">
        <v>10</v>
      </c>
      <c r="L477" s="5">
        <v>2</v>
      </c>
      <c r="M477" s="5">
        <v>2</v>
      </c>
      <c r="N477" s="7">
        <v>803.95</v>
      </c>
      <c r="O477" s="7">
        <f t="shared" si="51"/>
        <v>1607.9</v>
      </c>
      <c r="P477" s="4">
        <v>0.03</v>
      </c>
      <c r="Q477" s="7">
        <f t="shared" si="52"/>
        <v>48.237000000000002</v>
      </c>
      <c r="R477" s="7">
        <f t="shared" si="53"/>
        <v>1559.663</v>
      </c>
      <c r="S477" s="7">
        <f t="shared" si="54"/>
        <v>779.83150000000001</v>
      </c>
      <c r="T477" s="6">
        <f t="shared" si="55"/>
        <v>1.2500000000000001E-2</v>
      </c>
      <c r="V477" t="s">
        <v>29</v>
      </c>
    </row>
    <row r="478" spans="1:22">
      <c r="A478" s="3">
        <v>45677</v>
      </c>
      <c r="B478" t="str">
        <f t="shared" si="49"/>
        <v>yyyy-01</v>
      </c>
      <c r="C478">
        <f t="shared" si="50"/>
        <v>4</v>
      </c>
      <c r="D478" t="s">
        <v>66</v>
      </c>
      <c r="E478" t="s">
        <v>67</v>
      </c>
      <c r="F478" t="s">
        <v>68</v>
      </c>
      <c r="G478" t="s">
        <v>27</v>
      </c>
      <c r="H478" t="s">
        <v>45</v>
      </c>
      <c r="I478" s="5">
        <v>241</v>
      </c>
      <c r="J478" s="5">
        <v>192</v>
      </c>
      <c r="K478" s="5">
        <v>17</v>
      </c>
      <c r="L478" s="5">
        <v>5</v>
      </c>
      <c r="M478" s="5">
        <v>5</v>
      </c>
      <c r="N478" s="7">
        <v>687.09</v>
      </c>
      <c r="O478" s="7">
        <f t="shared" si="51"/>
        <v>3435.4500000000003</v>
      </c>
      <c r="P478" s="4">
        <v>0</v>
      </c>
      <c r="Q478" s="7">
        <f t="shared" si="52"/>
        <v>0</v>
      </c>
      <c r="R478" s="7">
        <f t="shared" si="53"/>
        <v>3435.4500000000003</v>
      </c>
      <c r="S478" s="7">
        <f t="shared" si="54"/>
        <v>687.09</v>
      </c>
      <c r="T478" s="6">
        <f t="shared" si="55"/>
        <v>2.0746887966804978E-2</v>
      </c>
      <c r="V478" t="s">
        <v>29</v>
      </c>
    </row>
    <row r="479" spans="1:22">
      <c r="A479" s="3">
        <v>45677</v>
      </c>
      <c r="B479" t="str">
        <f t="shared" si="49"/>
        <v>yyyy-01</v>
      </c>
      <c r="C479">
        <f t="shared" si="50"/>
        <v>4</v>
      </c>
      <c r="D479" t="s">
        <v>66</v>
      </c>
      <c r="E479" t="s">
        <v>67</v>
      </c>
      <c r="F479" t="s">
        <v>69</v>
      </c>
      <c r="G479" t="s">
        <v>27</v>
      </c>
      <c r="H479" t="s">
        <v>45</v>
      </c>
      <c r="I479" s="5">
        <v>303</v>
      </c>
      <c r="J479" s="5">
        <v>247</v>
      </c>
      <c r="K479" s="5">
        <v>26</v>
      </c>
      <c r="L479" s="5">
        <v>6</v>
      </c>
      <c r="M479" s="5">
        <v>6</v>
      </c>
      <c r="N479" s="7">
        <v>388.98</v>
      </c>
      <c r="O479" s="7">
        <f t="shared" si="51"/>
        <v>2333.88</v>
      </c>
      <c r="P479" s="4">
        <v>0</v>
      </c>
      <c r="Q479" s="7">
        <f t="shared" si="52"/>
        <v>0</v>
      </c>
      <c r="R479" s="7">
        <f t="shared" si="53"/>
        <v>2333.88</v>
      </c>
      <c r="S479" s="7">
        <f t="shared" si="54"/>
        <v>388.98</v>
      </c>
      <c r="T479" s="6">
        <f t="shared" si="55"/>
        <v>1.9801980198019802E-2</v>
      </c>
      <c r="V479" t="s">
        <v>29</v>
      </c>
    </row>
    <row r="480" spans="1:22">
      <c r="A480" s="3">
        <v>45677</v>
      </c>
      <c r="B480" t="str">
        <f t="shared" si="49"/>
        <v>yyyy-01</v>
      </c>
      <c r="C480">
        <f t="shared" si="50"/>
        <v>4</v>
      </c>
      <c r="D480" t="s">
        <v>66</v>
      </c>
      <c r="E480" t="s">
        <v>67</v>
      </c>
      <c r="F480" t="s">
        <v>70</v>
      </c>
      <c r="G480" t="s">
        <v>31</v>
      </c>
      <c r="H480" t="s">
        <v>32</v>
      </c>
      <c r="I480" s="5">
        <v>444</v>
      </c>
      <c r="J480" s="5">
        <v>277</v>
      </c>
      <c r="K480" s="5">
        <v>20</v>
      </c>
      <c r="L480" s="5">
        <v>8</v>
      </c>
      <c r="M480" s="5">
        <v>8</v>
      </c>
      <c r="N480" s="7">
        <v>339.62</v>
      </c>
      <c r="O480" s="7">
        <f t="shared" si="51"/>
        <v>2716.96</v>
      </c>
      <c r="P480" s="4">
        <v>0.05</v>
      </c>
      <c r="Q480" s="7">
        <f t="shared" si="52"/>
        <v>135.84800000000001</v>
      </c>
      <c r="R480" s="7">
        <f t="shared" si="53"/>
        <v>2581.1120000000001</v>
      </c>
      <c r="S480" s="7">
        <f t="shared" si="54"/>
        <v>322.63900000000001</v>
      </c>
      <c r="T480" s="6">
        <f t="shared" si="55"/>
        <v>1.8018018018018018E-2</v>
      </c>
      <c r="V480" t="s">
        <v>29</v>
      </c>
    </row>
    <row r="481" spans="1:22">
      <c r="A481" s="3">
        <v>45677</v>
      </c>
      <c r="B481" t="str">
        <f t="shared" si="49"/>
        <v>yyyy-01</v>
      </c>
      <c r="C481">
        <f t="shared" si="50"/>
        <v>4</v>
      </c>
      <c r="D481" t="s">
        <v>66</v>
      </c>
      <c r="E481" t="s">
        <v>71</v>
      </c>
      <c r="F481" t="s">
        <v>72</v>
      </c>
      <c r="G481" t="s">
        <v>27</v>
      </c>
      <c r="H481" t="s">
        <v>28</v>
      </c>
      <c r="I481" s="5">
        <v>255</v>
      </c>
      <c r="J481" s="5">
        <v>172</v>
      </c>
      <c r="K481" s="5">
        <v>19</v>
      </c>
      <c r="L481" s="5">
        <v>4</v>
      </c>
      <c r="M481" s="5">
        <v>4</v>
      </c>
      <c r="N481" s="7">
        <v>125.41</v>
      </c>
      <c r="O481" s="7">
        <f t="shared" si="51"/>
        <v>501.64</v>
      </c>
      <c r="P481" s="4">
        <v>0</v>
      </c>
      <c r="Q481" s="7">
        <f t="shared" si="52"/>
        <v>0</v>
      </c>
      <c r="R481" s="7">
        <f t="shared" si="53"/>
        <v>501.64</v>
      </c>
      <c r="S481" s="7">
        <f t="shared" si="54"/>
        <v>125.41</v>
      </c>
      <c r="T481" s="6">
        <f t="shared" si="55"/>
        <v>1.5686274509803921E-2</v>
      </c>
      <c r="V481" t="s">
        <v>29</v>
      </c>
    </row>
    <row r="482" spans="1:22">
      <c r="A482" s="3">
        <v>45677</v>
      </c>
      <c r="B482" t="str">
        <f t="shared" si="49"/>
        <v>yyyy-01</v>
      </c>
      <c r="C482">
        <f t="shared" si="50"/>
        <v>4</v>
      </c>
      <c r="D482" t="s">
        <v>66</v>
      </c>
      <c r="E482" t="s">
        <v>73</v>
      </c>
      <c r="F482" t="s">
        <v>74</v>
      </c>
      <c r="G482" t="s">
        <v>31</v>
      </c>
      <c r="H482" t="s">
        <v>32</v>
      </c>
      <c r="I482" s="5">
        <v>159</v>
      </c>
      <c r="J482" s="5">
        <v>121</v>
      </c>
      <c r="K482" s="5">
        <v>14</v>
      </c>
      <c r="L482" s="5">
        <v>2</v>
      </c>
      <c r="M482" s="5">
        <v>2</v>
      </c>
      <c r="N482" s="7">
        <v>1186.48</v>
      </c>
      <c r="O482" s="7">
        <f t="shared" si="51"/>
        <v>2372.96</v>
      </c>
      <c r="P482" s="4">
        <v>0.03</v>
      </c>
      <c r="Q482" s="7">
        <f t="shared" si="52"/>
        <v>71.188800000000001</v>
      </c>
      <c r="R482" s="7">
        <f t="shared" si="53"/>
        <v>2301.7712000000001</v>
      </c>
      <c r="S482" s="7">
        <f t="shared" si="54"/>
        <v>1150.8856000000001</v>
      </c>
      <c r="T482" s="6">
        <f t="shared" si="55"/>
        <v>1.2578616352201259E-2</v>
      </c>
      <c r="V482" t="s">
        <v>29</v>
      </c>
    </row>
    <row r="483" spans="1:22">
      <c r="A483" s="3">
        <v>45677</v>
      </c>
      <c r="B483" t="str">
        <f t="shared" si="49"/>
        <v>yyyy-01</v>
      </c>
      <c r="C483">
        <f t="shared" si="50"/>
        <v>4</v>
      </c>
      <c r="D483" t="s">
        <v>66</v>
      </c>
      <c r="E483" t="s">
        <v>71</v>
      </c>
      <c r="F483" t="s">
        <v>75</v>
      </c>
      <c r="G483" t="s">
        <v>31</v>
      </c>
      <c r="H483" t="s">
        <v>32</v>
      </c>
      <c r="I483" s="5">
        <v>381</v>
      </c>
      <c r="J483" s="5">
        <v>235</v>
      </c>
      <c r="K483" s="5">
        <v>42</v>
      </c>
      <c r="L483" s="5">
        <v>9</v>
      </c>
      <c r="M483" s="5">
        <v>10</v>
      </c>
      <c r="N483" s="7">
        <v>37.869999999999997</v>
      </c>
      <c r="O483" s="7">
        <f t="shared" si="51"/>
        <v>378.7</v>
      </c>
      <c r="P483" s="4">
        <v>0.03</v>
      </c>
      <c r="Q483" s="7">
        <f t="shared" si="52"/>
        <v>11.360999999999999</v>
      </c>
      <c r="R483" s="7">
        <f t="shared" si="53"/>
        <v>367.339</v>
      </c>
      <c r="S483" s="7">
        <f t="shared" si="54"/>
        <v>40.815444444444445</v>
      </c>
      <c r="T483" s="6">
        <f t="shared" si="55"/>
        <v>2.3622047244094488E-2</v>
      </c>
      <c r="V483" t="s">
        <v>29</v>
      </c>
    </row>
    <row r="484" spans="1:22">
      <c r="A484" s="3">
        <v>45677</v>
      </c>
      <c r="B484" t="str">
        <f t="shared" si="49"/>
        <v>yyyy-01</v>
      </c>
      <c r="C484">
        <f t="shared" si="50"/>
        <v>4</v>
      </c>
      <c r="D484" t="s">
        <v>24</v>
      </c>
      <c r="E484" t="s">
        <v>76</v>
      </c>
      <c r="F484" t="s">
        <v>77</v>
      </c>
      <c r="G484" t="s">
        <v>27</v>
      </c>
      <c r="H484" t="s">
        <v>45</v>
      </c>
      <c r="I484" s="5">
        <v>402</v>
      </c>
      <c r="J484" s="5">
        <v>236</v>
      </c>
      <c r="K484" s="5">
        <v>25</v>
      </c>
      <c r="L484" s="5">
        <v>9</v>
      </c>
      <c r="M484" s="5">
        <v>11</v>
      </c>
      <c r="N484" s="7">
        <v>197.5</v>
      </c>
      <c r="O484" s="7">
        <f t="shared" si="51"/>
        <v>2172.5</v>
      </c>
      <c r="P484" s="4">
        <v>0.03</v>
      </c>
      <c r="Q484" s="7">
        <f t="shared" si="52"/>
        <v>65.174999999999997</v>
      </c>
      <c r="R484" s="7">
        <f t="shared" si="53"/>
        <v>2107.3249999999998</v>
      </c>
      <c r="S484" s="7">
        <f t="shared" si="54"/>
        <v>234.14722222222221</v>
      </c>
      <c r="T484" s="6">
        <f t="shared" si="55"/>
        <v>2.2388059701492536E-2</v>
      </c>
      <c r="V484" t="s">
        <v>29</v>
      </c>
    </row>
    <row r="485" spans="1:22">
      <c r="A485" s="3">
        <v>45678</v>
      </c>
      <c r="B485" t="str">
        <f t="shared" si="49"/>
        <v>yyyy-01</v>
      </c>
      <c r="C485">
        <f t="shared" si="50"/>
        <v>4</v>
      </c>
      <c r="D485" t="s">
        <v>24</v>
      </c>
      <c r="E485" t="s">
        <v>25</v>
      </c>
      <c r="F485" t="s">
        <v>26</v>
      </c>
      <c r="G485" t="s">
        <v>27</v>
      </c>
      <c r="H485" t="s">
        <v>28</v>
      </c>
      <c r="I485" s="5">
        <v>1413</v>
      </c>
      <c r="J485" s="5">
        <v>787</v>
      </c>
      <c r="K485" s="5">
        <v>85</v>
      </c>
      <c r="L485" s="5">
        <v>29</v>
      </c>
      <c r="M485" s="5">
        <v>29</v>
      </c>
      <c r="N485" s="7">
        <v>999.45</v>
      </c>
      <c r="O485" s="7">
        <f t="shared" si="51"/>
        <v>28984.050000000003</v>
      </c>
      <c r="P485" s="4">
        <v>0</v>
      </c>
      <c r="Q485" s="7">
        <f t="shared" si="52"/>
        <v>0</v>
      </c>
      <c r="R485" s="7">
        <f t="shared" si="53"/>
        <v>28984.050000000003</v>
      </c>
      <c r="S485" s="7">
        <f t="shared" si="54"/>
        <v>999.45</v>
      </c>
      <c r="T485" s="6">
        <f t="shared" si="55"/>
        <v>2.0523708421797595E-2</v>
      </c>
      <c r="V485" t="s">
        <v>29</v>
      </c>
    </row>
    <row r="486" spans="1:22">
      <c r="A486" s="3">
        <v>45678</v>
      </c>
      <c r="B486" t="str">
        <f t="shared" si="49"/>
        <v>yyyy-01</v>
      </c>
      <c r="C486">
        <f t="shared" si="50"/>
        <v>4</v>
      </c>
      <c r="D486" t="s">
        <v>24</v>
      </c>
      <c r="E486" t="s">
        <v>25</v>
      </c>
      <c r="F486" t="s">
        <v>30</v>
      </c>
      <c r="G486" t="s">
        <v>36</v>
      </c>
      <c r="H486" t="s">
        <v>37</v>
      </c>
      <c r="I486" s="5">
        <v>1260</v>
      </c>
      <c r="J486" s="5">
        <v>894</v>
      </c>
      <c r="K486" s="5">
        <v>80</v>
      </c>
      <c r="L486" s="5">
        <v>22</v>
      </c>
      <c r="M486" s="5">
        <v>22</v>
      </c>
      <c r="N486" s="7">
        <v>394.32</v>
      </c>
      <c r="O486" s="7">
        <f t="shared" si="51"/>
        <v>8675.0399999999991</v>
      </c>
      <c r="P486" s="4">
        <v>0</v>
      </c>
      <c r="Q486" s="7">
        <f t="shared" si="52"/>
        <v>0</v>
      </c>
      <c r="R486" s="7">
        <f t="shared" si="53"/>
        <v>8675.0399999999991</v>
      </c>
      <c r="S486" s="7">
        <f t="shared" si="54"/>
        <v>394.31999999999994</v>
      </c>
      <c r="T486" s="6">
        <f t="shared" si="55"/>
        <v>1.7460317460317461E-2</v>
      </c>
      <c r="V486" t="s">
        <v>29</v>
      </c>
    </row>
    <row r="487" spans="1:22">
      <c r="A487" s="3">
        <v>45678</v>
      </c>
      <c r="B487" t="str">
        <f t="shared" si="49"/>
        <v>yyyy-01</v>
      </c>
      <c r="C487">
        <f t="shared" si="50"/>
        <v>4</v>
      </c>
      <c r="D487" t="s">
        <v>24</v>
      </c>
      <c r="E487" t="s">
        <v>25</v>
      </c>
      <c r="F487" t="s">
        <v>33</v>
      </c>
      <c r="G487" t="s">
        <v>27</v>
      </c>
      <c r="H487" t="s">
        <v>28</v>
      </c>
      <c r="I487" s="5">
        <v>1185</v>
      </c>
      <c r="J487" s="5">
        <v>892</v>
      </c>
      <c r="K487" s="5">
        <v>74</v>
      </c>
      <c r="L487" s="5">
        <v>23</v>
      </c>
      <c r="M487" s="5">
        <v>23</v>
      </c>
      <c r="N487" s="7">
        <v>1788.72</v>
      </c>
      <c r="O487" s="7">
        <f t="shared" si="51"/>
        <v>41140.559999999998</v>
      </c>
      <c r="P487" s="4">
        <v>0</v>
      </c>
      <c r="Q487" s="7">
        <f t="shared" si="52"/>
        <v>0</v>
      </c>
      <c r="R487" s="7">
        <f t="shared" si="53"/>
        <v>41140.559999999998</v>
      </c>
      <c r="S487" s="7">
        <f t="shared" si="54"/>
        <v>1788.7199999999998</v>
      </c>
      <c r="T487" s="6">
        <f t="shared" si="55"/>
        <v>1.9409282700421943E-2</v>
      </c>
      <c r="V487" t="s">
        <v>29</v>
      </c>
    </row>
    <row r="488" spans="1:22">
      <c r="A488" s="3">
        <v>45678</v>
      </c>
      <c r="B488" t="str">
        <f t="shared" si="49"/>
        <v>yyyy-01</v>
      </c>
      <c r="C488">
        <f t="shared" si="50"/>
        <v>4</v>
      </c>
      <c r="D488" t="s">
        <v>24</v>
      </c>
      <c r="E488" t="s">
        <v>34</v>
      </c>
      <c r="F488" t="s">
        <v>35</v>
      </c>
      <c r="G488" t="s">
        <v>27</v>
      </c>
      <c r="H488" t="s">
        <v>63</v>
      </c>
      <c r="I488" s="5">
        <v>667</v>
      </c>
      <c r="J488" s="5">
        <v>367</v>
      </c>
      <c r="K488" s="5">
        <v>32</v>
      </c>
      <c r="L488" s="5">
        <v>12</v>
      </c>
      <c r="M488" s="5">
        <v>12</v>
      </c>
      <c r="N488" s="7">
        <v>883.58</v>
      </c>
      <c r="O488" s="7">
        <f t="shared" si="51"/>
        <v>10602.960000000001</v>
      </c>
      <c r="P488" s="4">
        <v>0.05</v>
      </c>
      <c r="Q488" s="7">
        <f t="shared" si="52"/>
        <v>530.14800000000002</v>
      </c>
      <c r="R488" s="7">
        <f t="shared" si="53"/>
        <v>10072.812000000002</v>
      </c>
      <c r="S488" s="7">
        <f t="shared" si="54"/>
        <v>839.40100000000018</v>
      </c>
      <c r="T488" s="6">
        <f t="shared" si="55"/>
        <v>1.7991004497751123E-2</v>
      </c>
      <c r="V488" t="s">
        <v>29</v>
      </c>
    </row>
    <row r="489" spans="1:22">
      <c r="A489" s="3">
        <v>45678</v>
      </c>
      <c r="B489" t="str">
        <f t="shared" si="49"/>
        <v>yyyy-01</v>
      </c>
      <c r="C489">
        <f t="shared" si="50"/>
        <v>4</v>
      </c>
      <c r="D489" t="s">
        <v>24</v>
      </c>
      <c r="E489" t="s">
        <v>38</v>
      </c>
      <c r="F489" t="s">
        <v>39</v>
      </c>
      <c r="G489" t="s">
        <v>31</v>
      </c>
      <c r="H489" t="s">
        <v>32</v>
      </c>
      <c r="I489" s="5">
        <v>902</v>
      </c>
      <c r="J489" s="5">
        <v>608</v>
      </c>
      <c r="K489" s="5">
        <v>105</v>
      </c>
      <c r="L489" s="5">
        <v>23</v>
      </c>
      <c r="M489" s="5">
        <v>23</v>
      </c>
      <c r="N489" s="7">
        <v>330.06</v>
      </c>
      <c r="O489" s="7">
        <f t="shared" si="51"/>
        <v>7591.38</v>
      </c>
      <c r="P489" s="4">
        <v>0.05</v>
      </c>
      <c r="Q489" s="7">
        <f t="shared" si="52"/>
        <v>379.56900000000002</v>
      </c>
      <c r="R489" s="7">
        <f t="shared" si="53"/>
        <v>7211.8109999999997</v>
      </c>
      <c r="S489" s="7">
        <f t="shared" si="54"/>
        <v>313.55699999999996</v>
      </c>
      <c r="T489" s="6">
        <f t="shared" si="55"/>
        <v>2.5498891352549888E-2</v>
      </c>
      <c r="V489" t="s">
        <v>29</v>
      </c>
    </row>
    <row r="490" spans="1:22">
      <c r="A490" s="3">
        <v>45678</v>
      </c>
      <c r="B490" t="str">
        <f t="shared" si="49"/>
        <v>yyyy-01</v>
      </c>
      <c r="C490">
        <f t="shared" si="50"/>
        <v>4</v>
      </c>
      <c r="D490" t="s">
        <v>24</v>
      </c>
      <c r="E490" t="s">
        <v>40</v>
      </c>
      <c r="F490" t="s">
        <v>41</v>
      </c>
      <c r="G490" t="s">
        <v>27</v>
      </c>
      <c r="H490" t="s">
        <v>45</v>
      </c>
      <c r="I490" s="5">
        <v>530</v>
      </c>
      <c r="J490" s="5">
        <v>416</v>
      </c>
      <c r="K490" s="5">
        <v>22</v>
      </c>
      <c r="L490" s="5">
        <v>8</v>
      </c>
      <c r="M490" s="5">
        <v>9</v>
      </c>
      <c r="N490" s="7">
        <v>174.57</v>
      </c>
      <c r="O490" s="7">
        <f t="shared" si="51"/>
        <v>1571.1299999999999</v>
      </c>
      <c r="P490" s="4">
        <v>0</v>
      </c>
      <c r="Q490" s="7">
        <f t="shared" si="52"/>
        <v>0</v>
      </c>
      <c r="R490" s="7">
        <f t="shared" si="53"/>
        <v>1571.1299999999999</v>
      </c>
      <c r="S490" s="7">
        <f t="shared" si="54"/>
        <v>196.39124999999999</v>
      </c>
      <c r="T490" s="6">
        <f t="shared" si="55"/>
        <v>1.509433962264151E-2</v>
      </c>
      <c r="V490" t="s">
        <v>29</v>
      </c>
    </row>
    <row r="491" spans="1:22">
      <c r="A491" s="3">
        <v>45678</v>
      </c>
      <c r="B491" t="str">
        <f t="shared" si="49"/>
        <v>yyyy-01</v>
      </c>
      <c r="C491">
        <f t="shared" si="50"/>
        <v>4</v>
      </c>
      <c r="D491" t="s">
        <v>42</v>
      </c>
      <c r="E491" t="s">
        <v>43</v>
      </c>
      <c r="F491" t="s">
        <v>44</v>
      </c>
      <c r="G491" t="s">
        <v>27</v>
      </c>
      <c r="H491" t="s">
        <v>48</v>
      </c>
      <c r="I491" s="5">
        <v>347</v>
      </c>
      <c r="J491" s="5">
        <v>219</v>
      </c>
      <c r="K491" s="5">
        <v>27</v>
      </c>
      <c r="L491" s="5">
        <v>6</v>
      </c>
      <c r="M491" s="5">
        <v>6</v>
      </c>
      <c r="N491" s="7">
        <v>1279.1300000000001</v>
      </c>
      <c r="O491" s="7">
        <f t="shared" si="51"/>
        <v>7674.7800000000007</v>
      </c>
      <c r="P491" s="4">
        <v>0.1</v>
      </c>
      <c r="Q491" s="7">
        <f t="shared" si="52"/>
        <v>767.47800000000007</v>
      </c>
      <c r="R491" s="7">
        <f t="shared" si="53"/>
        <v>6907.3020000000006</v>
      </c>
      <c r="S491" s="7">
        <f t="shared" si="54"/>
        <v>1151.2170000000001</v>
      </c>
      <c r="T491" s="6">
        <f t="shared" si="55"/>
        <v>1.7291066282420751E-2</v>
      </c>
      <c r="U491" t="s">
        <v>80</v>
      </c>
      <c r="V491" t="s">
        <v>29</v>
      </c>
    </row>
    <row r="492" spans="1:22">
      <c r="A492" s="3">
        <v>45678</v>
      </c>
      <c r="B492" t="str">
        <f t="shared" si="49"/>
        <v>yyyy-01</v>
      </c>
      <c r="C492">
        <f t="shared" si="50"/>
        <v>4</v>
      </c>
      <c r="D492" t="s">
        <v>42</v>
      </c>
      <c r="E492" t="s">
        <v>43</v>
      </c>
      <c r="F492" t="s">
        <v>46</v>
      </c>
      <c r="G492" t="s">
        <v>36</v>
      </c>
      <c r="H492" t="s">
        <v>37</v>
      </c>
      <c r="I492" s="5">
        <v>431</v>
      </c>
      <c r="J492" s="5">
        <v>305</v>
      </c>
      <c r="K492" s="5">
        <v>32</v>
      </c>
      <c r="L492" s="5">
        <v>8</v>
      </c>
      <c r="M492" s="5">
        <v>8</v>
      </c>
      <c r="N492" s="7">
        <v>2240.2600000000002</v>
      </c>
      <c r="O492" s="7">
        <f t="shared" si="51"/>
        <v>17922.080000000002</v>
      </c>
      <c r="P492" s="4">
        <v>0.1</v>
      </c>
      <c r="Q492" s="7">
        <f t="shared" si="52"/>
        <v>1792.2080000000003</v>
      </c>
      <c r="R492" s="7">
        <f t="shared" si="53"/>
        <v>16129.872000000001</v>
      </c>
      <c r="S492" s="7">
        <f t="shared" si="54"/>
        <v>2016.2340000000002</v>
      </c>
      <c r="T492" s="6">
        <f t="shared" si="55"/>
        <v>1.8561484918793503E-2</v>
      </c>
      <c r="U492" t="s">
        <v>80</v>
      </c>
      <c r="V492" t="s">
        <v>29</v>
      </c>
    </row>
    <row r="493" spans="1:22">
      <c r="A493" s="3">
        <v>45678</v>
      </c>
      <c r="B493" t="str">
        <f t="shared" si="49"/>
        <v>yyyy-01</v>
      </c>
      <c r="C493">
        <f t="shared" si="50"/>
        <v>4</v>
      </c>
      <c r="D493" t="s">
        <v>42</v>
      </c>
      <c r="E493" t="s">
        <v>43</v>
      </c>
      <c r="F493" t="s">
        <v>47</v>
      </c>
      <c r="G493" t="s">
        <v>36</v>
      </c>
      <c r="H493" t="s">
        <v>37</v>
      </c>
      <c r="I493" s="5">
        <v>362</v>
      </c>
      <c r="J493" s="5">
        <v>238</v>
      </c>
      <c r="K493" s="5">
        <v>19</v>
      </c>
      <c r="L493" s="5">
        <v>5</v>
      </c>
      <c r="M493" s="5">
        <v>5</v>
      </c>
      <c r="N493" s="7">
        <v>609.41999999999996</v>
      </c>
      <c r="O493" s="7">
        <f t="shared" si="51"/>
        <v>3047.1</v>
      </c>
      <c r="P493" s="4">
        <v>0.1</v>
      </c>
      <c r="Q493" s="7">
        <f t="shared" si="52"/>
        <v>304.70999999999998</v>
      </c>
      <c r="R493" s="7">
        <f t="shared" si="53"/>
        <v>2742.39</v>
      </c>
      <c r="S493" s="7">
        <f t="shared" si="54"/>
        <v>548.47799999999995</v>
      </c>
      <c r="T493" s="6">
        <f t="shared" si="55"/>
        <v>1.3812154696132596E-2</v>
      </c>
      <c r="U493" t="s">
        <v>80</v>
      </c>
      <c r="V493" t="s">
        <v>29</v>
      </c>
    </row>
    <row r="494" spans="1:22">
      <c r="A494" s="3">
        <v>45678</v>
      </c>
      <c r="B494" t="str">
        <f t="shared" si="49"/>
        <v>yyyy-01</v>
      </c>
      <c r="C494">
        <f t="shared" si="50"/>
        <v>4</v>
      </c>
      <c r="D494" t="s">
        <v>42</v>
      </c>
      <c r="E494" t="s">
        <v>49</v>
      </c>
      <c r="F494" t="s">
        <v>50</v>
      </c>
      <c r="G494" t="s">
        <v>27</v>
      </c>
      <c r="H494" t="s">
        <v>48</v>
      </c>
      <c r="I494" s="5">
        <v>109</v>
      </c>
      <c r="J494" s="5">
        <v>68</v>
      </c>
      <c r="K494" s="5">
        <v>7</v>
      </c>
      <c r="L494" s="5">
        <v>2</v>
      </c>
      <c r="M494" s="5">
        <v>2</v>
      </c>
      <c r="N494" s="7">
        <v>963.32</v>
      </c>
      <c r="O494" s="7">
        <f t="shared" si="51"/>
        <v>1926.64</v>
      </c>
      <c r="P494" s="4">
        <v>0.05</v>
      </c>
      <c r="Q494" s="7">
        <f t="shared" si="52"/>
        <v>96.332000000000008</v>
      </c>
      <c r="R494" s="7">
        <f t="shared" si="53"/>
        <v>1830.308</v>
      </c>
      <c r="S494" s="7">
        <f t="shared" si="54"/>
        <v>915.154</v>
      </c>
      <c r="T494" s="6">
        <f t="shared" si="55"/>
        <v>1.834862385321101E-2</v>
      </c>
      <c r="V494" t="s">
        <v>29</v>
      </c>
    </row>
    <row r="495" spans="1:22">
      <c r="A495" s="3">
        <v>45678</v>
      </c>
      <c r="B495" t="str">
        <f t="shared" si="49"/>
        <v>yyyy-01</v>
      </c>
      <c r="C495">
        <f t="shared" si="50"/>
        <v>4</v>
      </c>
      <c r="D495" t="s">
        <v>42</v>
      </c>
      <c r="E495" t="s">
        <v>51</v>
      </c>
      <c r="F495" t="s">
        <v>52</v>
      </c>
      <c r="G495" t="s">
        <v>31</v>
      </c>
      <c r="H495" t="s">
        <v>32</v>
      </c>
      <c r="I495" s="5">
        <v>250</v>
      </c>
      <c r="J495" s="5">
        <v>176</v>
      </c>
      <c r="K495" s="5">
        <v>18</v>
      </c>
      <c r="L495" s="5">
        <v>3</v>
      </c>
      <c r="M495" s="5">
        <v>3</v>
      </c>
      <c r="N495" s="7">
        <v>608.78</v>
      </c>
      <c r="O495" s="7">
        <f t="shared" si="51"/>
        <v>1826.34</v>
      </c>
      <c r="P495" s="4">
        <v>0</v>
      </c>
      <c r="Q495" s="7">
        <f t="shared" si="52"/>
        <v>0</v>
      </c>
      <c r="R495" s="7">
        <f t="shared" si="53"/>
        <v>1826.34</v>
      </c>
      <c r="S495" s="7">
        <f t="shared" si="54"/>
        <v>608.78</v>
      </c>
      <c r="T495" s="6">
        <f t="shared" si="55"/>
        <v>1.2E-2</v>
      </c>
      <c r="V495" t="s">
        <v>29</v>
      </c>
    </row>
    <row r="496" spans="1:22">
      <c r="A496" s="3">
        <v>45678</v>
      </c>
      <c r="B496" t="str">
        <f t="shared" si="49"/>
        <v>yyyy-01</v>
      </c>
      <c r="C496">
        <f t="shared" si="50"/>
        <v>4</v>
      </c>
      <c r="D496" t="s">
        <v>53</v>
      </c>
      <c r="E496" t="s">
        <v>54</v>
      </c>
      <c r="F496" t="s">
        <v>55</v>
      </c>
      <c r="G496" t="s">
        <v>27</v>
      </c>
      <c r="H496" t="s">
        <v>45</v>
      </c>
      <c r="I496" s="5">
        <v>119</v>
      </c>
      <c r="J496" s="5">
        <v>77</v>
      </c>
      <c r="K496" s="5">
        <v>8</v>
      </c>
      <c r="L496" s="5">
        <v>1</v>
      </c>
      <c r="M496" s="5">
        <v>1</v>
      </c>
      <c r="N496" s="7">
        <v>1298.6400000000001</v>
      </c>
      <c r="O496" s="7">
        <f t="shared" si="51"/>
        <v>1298.6400000000001</v>
      </c>
      <c r="P496" s="4">
        <v>0.03</v>
      </c>
      <c r="Q496" s="7">
        <f t="shared" si="52"/>
        <v>38.959200000000003</v>
      </c>
      <c r="R496" s="7">
        <f t="shared" si="53"/>
        <v>1259.6808000000001</v>
      </c>
      <c r="S496" s="7">
        <f t="shared" si="54"/>
        <v>1259.6808000000001</v>
      </c>
      <c r="T496" s="6">
        <f t="shared" si="55"/>
        <v>8.4033613445378148E-3</v>
      </c>
      <c r="V496" t="s">
        <v>29</v>
      </c>
    </row>
    <row r="497" spans="1:22">
      <c r="A497" s="3">
        <v>45678</v>
      </c>
      <c r="B497" t="str">
        <f t="shared" si="49"/>
        <v>yyyy-01</v>
      </c>
      <c r="C497">
        <f t="shared" si="50"/>
        <v>4</v>
      </c>
      <c r="D497" t="s">
        <v>53</v>
      </c>
      <c r="E497" t="s">
        <v>56</v>
      </c>
      <c r="F497" t="s">
        <v>57</v>
      </c>
      <c r="G497" t="s">
        <v>27</v>
      </c>
      <c r="H497" t="s">
        <v>63</v>
      </c>
      <c r="I497" s="5">
        <v>145</v>
      </c>
      <c r="J497" s="5">
        <v>80</v>
      </c>
      <c r="K497" s="5">
        <v>9</v>
      </c>
      <c r="L497" s="5">
        <v>2</v>
      </c>
      <c r="M497" s="5">
        <v>2</v>
      </c>
      <c r="N497" s="7">
        <v>720.22</v>
      </c>
      <c r="O497" s="7">
        <f t="shared" si="51"/>
        <v>1440.44</v>
      </c>
      <c r="P497" s="4">
        <v>0.08</v>
      </c>
      <c r="Q497" s="7">
        <f t="shared" si="52"/>
        <v>115.23520000000001</v>
      </c>
      <c r="R497" s="7">
        <f t="shared" si="53"/>
        <v>1325.2048</v>
      </c>
      <c r="S497" s="7">
        <f t="shared" si="54"/>
        <v>662.60239999999999</v>
      </c>
      <c r="T497" s="6">
        <f t="shared" si="55"/>
        <v>1.3793103448275862E-2</v>
      </c>
      <c r="U497" t="s">
        <v>82</v>
      </c>
      <c r="V497" t="s">
        <v>29</v>
      </c>
    </row>
    <row r="498" spans="1:22">
      <c r="A498" s="3">
        <v>45678</v>
      </c>
      <c r="B498" t="str">
        <f t="shared" si="49"/>
        <v>yyyy-01</v>
      </c>
      <c r="C498">
        <f t="shared" si="50"/>
        <v>4</v>
      </c>
      <c r="D498" t="s">
        <v>53</v>
      </c>
      <c r="E498" t="s">
        <v>56</v>
      </c>
      <c r="F498" t="s">
        <v>58</v>
      </c>
      <c r="G498" t="s">
        <v>36</v>
      </c>
      <c r="H498" t="s">
        <v>37</v>
      </c>
      <c r="I498" s="5">
        <v>215</v>
      </c>
      <c r="J498" s="5">
        <v>117</v>
      </c>
      <c r="K498" s="5">
        <v>11</v>
      </c>
      <c r="L498" s="5">
        <v>3</v>
      </c>
      <c r="M498" s="5">
        <v>3</v>
      </c>
      <c r="N498" s="7">
        <v>910.8</v>
      </c>
      <c r="O498" s="7">
        <f t="shared" si="51"/>
        <v>2732.3999999999996</v>
      </c>
      <c r="P498" s="4">
        <v>0.08</v>
      </c>
      <c r="Q498" s="7">
        <f t="shared" si="52"/>
        <v>218.59199999999998</v>
      </c>
      <c r="R498" s="7">
        <f t="shared" si="53"/>
        <v>2513.8079999999995</v>
      </c>
      <c r="S498" s="7">
        <f t="shared" si="54"/>
        <v>837.93599999999981</v>
      </c>
      <c r="T498" s="6">
        <f t="shared" si="55"/>
        <v>1.3953488372093023E-2</v>
      </c>
      <c r="U498" t="s">
        <v>82</v>
      </c>
      <c r="V498" t="s">
        <v>29</v>
      </c>
    </row>
    <row r="499" spans="1:22">
      <c r="A499" s="3">
        <v>45678</v>
      </c>
      <c r="B499" t="str">
        <f t="shared" si="49"/>
        <v>yyyy-01</v>
      </c>
      <c r="C499">
        <f t="shared" si="50"/>
        <v>4</v>
      </c>
      <c r="D499" t="s">
        <v>53</v>
      </c>
      <c r="E499" t="s">
        <v>59</v>
      </c>
      <c r="F499" t="s">
        <v>60</v>
      </c>
      <c r="G499" t="s">
        <v>36</v>
      </c>
      <c r="H499" t="s">
        <v>37</v>
      </c>
      <c r="I499" s="5">
        <v>140</v>
      </c>
      <c r="J499" s="5">
        <v>95</v>
      </c>
      <c r="K499" s="5">
        <v>7</v>
      </c>
      <c r="L499" s="5">
        <v>1</v>
      </c>
      <c r="M499" s="5">
        <v>1</v>
      </c>
      <c r="N499" s="7">
        <v>709.43</v>
      </c>
      <c r="O499" s="7">
        <f t="shared" si="51"/>
        <v>709.43</v>
      </c>
      <c r="P499" s="4">
        <v>0</v>
      </c>
      <c r="Q499" s="7">
        <f t="shared" si="52"/>
        <v>0</v>
      </c>
      <c r="R499" s="7">
        <f t="shared" si="53"/>
        <v>709.43</v>
      </c>
      <c r="S499" s="7">
        <f t="shared" si="54"/>
        <v>709.43</v>
      </c>
      <c r="T499" s="6">
        <f t="shared" si="55"/>
        <v>7.1428571428571426E-3</v>
      </c>
      <c r="V499" t="s">
        <v>29</v>
      </c>
    </row>
    <row r="500" spans="1:22">
      <c r="A500" s="3">
        <v>45678</v>
      </c>
      <c r="B500" t="str">
        <f t="shared" si="49"/>
        <v>yyyy-01</v>
      </c>
      <c r="C500">
        <f t="shared" si="50"/>
        <v>4</v>
      </c>
      <c r="D500" t="s">
        <v>53</v>
      </c>
      <c r="E500" t="s">
        <v>61</v>
      </c>
      <c r="F500" t="s">
        <v>62</v>
      </c>
      <c r="G500" t="s">
        <v>27</v>
      </c>
      <c r="H500" t="s">
        <v>48</v>
      </c>
      <c r="I500" s="5">
        <v>120</v>
      </c>
      <c r="J500" s="5">
        <v>82</v>
      </c>
      <c r="K500" s="5">
        <v>10</v>
      </c>
      <c r="L500" s="5">
        <v>1</v>
      </c>
      <c r="M500" s="5">
        <v>1</v>
      </c>
      <c r="N500" s="7">
        <v>499.93</v>
      </c>
      <c r="O500" s="7">
        <f t="shared" si="51"/>
        <v>499.93</v>
      </c>
      <c r="P500" s="4">
        <v>0</v>
      </c>
      <c r="Q500" s="7">
        <f t="shared" si="52"/>
        <v>0</v>
      </c>
      <c r="R500" s="7">
        <f t="shared" si="53"/>
        <v>499.93</v>
      </c>
      <c r="S500" s="7">
        <f t="shared" si="54"/>
        <v>499.93</v>
      </c>
      <c r="T500" s="6">
        <f t="shared" si="55"/>
        <v>8.3333333333333332E-3</v>
      </c>
      <c r="V500" t="s">
        <v>29</v>
      </c>
    </row>
    <row r="501" spans="1:22">
      <c r="A501" s="3">
        <v>45678</v>
      </c>
      <c r="B501" t="str">
        <f t="shared" si="49"/>
        <v>yyyy-01</v>
      </c>
      <c r="C501">
        <f t="shared" si="50"/>
        <v>4</v>
      </c>
      <c r="D501" t="s">
        <v>53</v>
      </c>
      <c r="E501" t="s">
        <v>64</v>
      </c>
      <c r="F501" t="s">
        <v>65</v>
      </c>
      <c r="G501" t="s">
        <v>31</v>
      </c>
      <c r="H501" t="s">
        <v>32</v>
      </c>
      <c r="I501" s="5">
        <v>223</v>
      </c>
      <c r="J501" s="5">
        <v>146</v>
      </c>
      <c r="K501" s="5">
        <v>16</v>
      </c>
      <c r="L501" s="5">
        <v>3</v>
      </c>
      <c r="M501" s="5">
        <v>3</v>
      </c>
      <c r="N501" s="7">
        <v>790.13</v>
      </c>
      <c r="O501" s="7">
        <f t="shared" si="51"/>
        <v>2370.39</v>
      </c>
      <c r="P501" s="4">
        <v>0.03</v>
      </c>
      <c r="Q501" s="7">
        <f t="shared" si="52"/>
        <v>71.111699999999999</v>
      </c>
      <c r="R501" s="7">
        <f t="shared" si="53"/>
        <v>2299.2782999999999</v>
      </c>
      <c r="S501" s="7">
        <f t="shared" si="54"/>
        <v>766.42610000000002</v>
      </c>
      <c r="T501" s="6">
        <f t="shared" si="55"/>
        <v>1.3452914798206279E-2</v>
      </c>
      <c r="V501" t="s">
        <v>29</v>
      </c>
    </row>
    <row r="502" spans="1:22">
      <c r="A502" s="3">
        <v>45678</v>
      </c>
      <c r="B502" t="str">
        <f t="shared" si="49"/>
        <v>yyyy-01</v>
      </c>
      <c r="C502">
        <f t="shared" si="50"/>
        <v>4</v>
      </c>
      <c r="D502" t="s">
        <v>66</v>
      </c>
      <c r="E502" t="s">
        <v>67</v>
      </c>
      <c r="F502" t="s">
        <v>68</v>
      </c>
      <c r="G502" t="s">
        <v>31</v>
      </c>
      <c r="H502" t="s">
        <v>32</v>
      </c>
      <c r="I502" s="5">
        <v>272</v>
      </c>
      <c r="J502" s="5">
        <v>172</v>
      </c>
      <c r="K502" s="5">
        <v>12</v>
      </c>
      <c r="L502" s="5">
        <v>4</v>
      </c>
      <c r="M502" s="5">
        <v>4</v>
      </c>
      <c r="N502" s="7">
        <v>705.24</v>
      </c>
      <c r="O502" s="7">
        <f t="shared" si="51"/>
        <v>2820.96</v>
      </c>
      <c r="P502" s="4">
        <v>0</v>
      </c>
      <c r="Q502" s="7">
        <f t="shared" si="52"/>
        <v>0</v>
      </c>
      <c r="R502" s="7">
        <f t="shared" si="53"/>
        <v>2820.96</v>
      </c>
      <c r="S502" s="7">
        <f t="shared" si="54"/>
        <v>705.24</v>
      </c>
      <c r="T502" s="6">
        <f t="shared" si="55"/>
        <v>1.4705882352941176E-2</v>
      </c>
      <c r="V502" t="s">
        <v>29</v>
      </c>
    </row>
    <row r="503" spans="1:22">
      <c r="A503" s="3">
        <v>45678</v>
      </c>
      <c r="B503" t="str">
        <f t="shared" si="49"/>
        <v>yyyy-01</v>
      </c>
      <c r="C503">
        <f t="shared" si="50"/>
        <v>4</v>
      </c>
      <c r="D503" t="s">
        <v>66</v>
      </c>
      <c r="E503" t="s">
        <v>67</v>
      </c>
      <c r="F503" t="s">
        <v>69</v>
      </c>
      <c r="G503" t="s">
        <v>27</v>
      </c>
      <c r="H503" t="s">
        <v>48</v>
      </c>
      <c r="I503" s="5">
        <v>200</v>
      </c>
      <c r="J503" s="5">
        <v>134</v>
      </c>
      <c r="K503" s="5">
        <v>14</v>
      </c>
      <c r="L503" s="5">
        <v>4</v>
      </c>
      <c r="M503" s="5">
        <v>4</v>
      </c>
      <c r="N503" s="7">
        <v>402.14</v>
      </c>
      <c r="O503" s="7">
        <f t="shared" si="51"/>
        <v>1608.56</v>
      </c>
      <c r="P503" s="4">
        <v>0</v>
      </c>
      <c r="Q503" s="7">
        <f t="shared" si="52"/>
        <v>0</v>
      </c>
      <c r="R503" s="7">
        <f t="shared" si="53"/>
        <v>1608.56</v>
      </c>
      <c r="S503" s="7">
        <f t="shared" si="54"/>
        <v>402.14</v>
      </c>
      <c r="T503" s="6">
        <f t="shared" si="55"/>
        <v>0.02</v>
      </c>
      <c r="V503" t="s">
        <v>29</v>
      </c>
    </row>
    <row r="504" spans="1:22">
      <c r="A504" s="3">
        <v>45678</v>
      </c>
      <c r="B504" t="str">
        <f t="shared" si="49"/>
        <v>yyyy-01</v>
      </c>
      <c r="C504">
        <f t="shared" si="50"/>
        <v>4</v>
      </c>
      <c r="D504" t="s">
        <v>66</v>
      </c>
      <c r="E504" t="s">
        <v>67</v>
      </c>
      <c r="F504" t="s">
        <v>70</v>
      </c>
      <c r="G504" t="s">
        <v>27</v>
      </c>
      <c r="H504" t="s">
        <v>28</v>
      </c>
      <c r="I504" s="5">
        <v>313</v>
      </c>
      <c r="J504" s="5">
        <v>181</v>
      </c>
      <c r="K504" s="5">
        <v>23</v>
      </c>
      <c r="L504" s="5">
        <v>7</v>
      </c>
      <c r="M504" s="5">
        <v>7</v>
      </c>
      <c r="N504" s="7">
        <v>350.01</v>
      </c>
      <c r="O504" s="7">
        <f t="shared" si="51"/>
        <v>2450.0699999999997</v>
      </c>
      <c r="P504" s="4">
        <v>0</v>
      </c>
      <c r="Q504" s="7">
        <f t="shared" si="52"/>
        <v>0</v>
      </c>
      <c r="R504" s="7">
        <f t="shared" si="53"/>
        <v>2450.0699999999997</v>
      </c>
      <c r="S504" s="7">
        <f t="shared" si="54"/>
        <v>350.00999999999993</v>
      </c>
      <c r="T504" s="6">
        <f t="shared" si="55"/>
        <v>2.2364217252396165E-2</v>
      </c>
      <c r="V504" t="s">
        <v>29</v>
      </c>
    </row>
    <row r="505" spans="1:22">
      <c r="A505" s="3">
        <v>45678</v>
      </c>
      <c r="B505" t="str">
        <f t="shared" si="49"/>
        <v>yyyy-01</v>
      </c>
      <c r="C505">
        <f t="shared" si="50"/>
        <v>4</v>
      </c>
      <c r="D505" t="s">
        <v>66</v>
      </c>
      <c r="E505" t="s">
        <v>71</v>
      </c>
      <c r="F505" t="s">
        <v>72</v>
      </c>
      <c r="G505" t="s">
        <v>27</v>
      </c>
      <c r="H505" t="s">
        <v>28</v>
      </c>
      <c r="I505" s="5">
        <v>350</v>
      </c>
      <c r="J505" s="5">
        <v>238</v>
      </c>
      <c r="K505" s="5">
        <v>27</v>
      </c>
      <c r="L505" s="5">
        <v>7</v>
      </c>
      <c r="M505" s="5">
        <v>8</v>
      </c>
      <c r="N505" s="7">
        <v>128.86000000000001</v>
      </c>
      <c r="O505" s="7">
        <f t="shared" si="51"/>
        <v>1030.8800000000001</v>
      </c>
      <c r="P505" s="4">
        <v>0</v>
      </c>
      <c r="Q505" s="7">
        <f t="shared" si="52"/>
        <v>0</v>
      </c>
      <c r="R505" s="7">
        <f t="shared" si="53"/>
        <v>1030.8800000000001</v>
      </c>
      <c r="S505" s="7">
        <f t="shared" si="54"/>
        <v>147.26857142857145</v>
      </c>
      <c r="T505" s="6">
        <f t="shared" si="55"/>
        <v>0.02</v>
      </c>
      <c r="V505" t="s">
        <v>29</v>
      </c>
    </row>
    <row r="506" spans="1:22">
      <c r="A506" s="3">
        <v>45678</v>
      </c>
      <c r="B506" t="str">
        <f t="shared" si="49"/>
        <v>yyyy-01</v>
      </c>
      <c r="C506">
        <f t="shared" si="50"/>
        <v>4</v>
      </c>
      <c r="D506" t="s">
        <v>66</v>
      </c>
      <c r="E506" t="s">
        <v>73</v>
      </c>
      <c r="F506" t="s">
        <v>74</v>
      </c>
      <c r="G506" t="s">
        <v>27</v>
      </c>
      <c r="H506" t="s">
        <v>28</v>
      </c>
      <c r="I506" s="5">
        <v>210</v>
      </c>
      <c r="J506" s="5">
        <v>164</v>
      </c>
      <c r="K506" s="5">
        <v>15</v>
      </c>
      <c r="L506" s="5">
        <v>3</v>
      </c>
      <c r="M506" s="5">
        <v>3</v>
      </c>
      <c r="N506" s="7">
        <v>1195.48</v>
      </c>
      <c r="O506" s="7">
        <f t="shared" si="51"/>
        <v>3586.44</v>
      </c>
      <c r="P506" s="4">
        <v>0</v>
      </c>
      <c r="Q506" s="7">
        <f t="shared" si="52"/>
        <v>0</v>
      </c>
      <c r="R506" s="7">
        <f t="shared" si="53"/>
        <v>3586.44</v>
      </c>
      <c r="S506" s="7">
        <f t="shared" si="54"/>
        <v>1195.48</v>
      </c>
      <c r="T506" s="6">
        <f t="shared" si="55"/>
        <v>1.4285714285714285E-2</v>
      </c>
      <c r="V506" t="s">
        <v>29</v>
      </c>
    </row>
    <row r="507" spans="1:22">
      <c r="A507" s="3">
        <v>45678</v>
      </c>
      <c r="B507" t="str">
        <f t="shared" si="49"/>
        <v>yyyy-01</v>
      </c>
      <c r="C507">
        <f t="shared" si="50"/>
        <v>4</v>
      </c>
      <c r="D507" t="s">
        <v>66</v>
      </c>
      <c r="E507" t="s">
        <v>71</v>
      </c>
      <c r="F507" t="s">
        <v>75</v>
      </c>
      <c r="G507" t="s">
        <v>36</v>
      </c>
      <c r="H507" t="s">
        <v>37</v>
      </c>
      <c r="I507" s="5">
        <v>311</v>
      </c>
      <c r="J507" s="5">
        <v>255</v>
      </c>
      <c r="K507" s="5">
        <v>20</v>
      </c>
      <c r="L507" s="5">
        <v>4</v>
      </c>
      <c r="M507" s="5">
        <v>4</v>
      </c>
      <c r="N507" s="7">
        <v>38.47</v>
      </c>
      <c r="O507" s="7">
        <f t="shared" si="51"/>
        <v>153.88</v>
      </c>
      <c r="P507" s="4">
        <v>0.03</v>
      </c>
      <c r="Q507" s="7">
        <f t="shared" si="52"/>
        <v>4.6163999999999996</v>
      </c>
      <c r="R507" s="7">
        <f t="shared" si="53"/>
        <v>149.2636</v>
      </c>
      <c r="S507" s="7">
        <f t="shared" si="54"/>
        <v>37.315899999999999</v>
      </c>
      <c r="T507" s="6">
        <f t="shared" si="55"/>
        <v>1.2861736334405145E-2</v>
      </c>
      <c r="V507" t="s">
        <v>29</v>
      </c>
    </row>
    <row r="508" spans="1:22">
      <c r="A508" s="3">
        <v>45678</v>
      </c>
      <c r="B508" t="str">
        <f t="shared" si="49"/>
        <v>yyyy-01</v>
      </c>
      <c r="C508">
        <f t="shared" si="50"/>
        <v>4</v>
      </c>
      <c r="D508" t="s">
        <v>24</v>
      </c>
      <c r="E508" t="s">
        <v>76</v>
      </c>
      <c r="F508" t="s">
        <v>77</v>
      </c>
      <c r="G508" t="s">
        <v>31</v>
      </c>
      <c r="H508" t="s">
        <v>32</v>
      </c>
      <c r="I508" s="5">
        <v>647</v>
      </c>
      <c r="J508" s="5">
        <v>435</v>
      </c>
      <c r="K508" s="5">
        <v>45</v>
      </c>
      <c r="L508" s="5">
        <v>12</v>
      </c>
      <c r="M508" s="5">
        <v>16</v>
      </c>
      <c r="N508" s="7">
        <v>196.58</v>
      </c>
      <c r="O508" s="7">
        <f t="shared" si="51"/>
        <v>3145.28</v>
      </c>
      <c r="P508" s="4">
        <v>0</v>
      </c>
      <c r="Q508" s="7">
        <f t="shared" si="52"/>
        <v>0</v>
      </c>
      <c r="R508" s="7">
        <f t="shared" si="53"/>
        <v>3145.28</v>
      </c>
      <c r="S508" s="7">
        <f t="shared" si="54"/>
        <v>262.10666666666668</v>
      </c>
      <c r="T508" s="6">
        <f t="shared" si="55"/>
        <v>1.8547140649149921E-2</v>
      </c>
      <c r="V508" t="s">
        <v>29</v>
      </c>
    </row>
    <row r="509" spans="1:22">
      <c r="A509" s="3">
        <v>45679</v>
      </c>
      <c r="B509" t="str">
        <f t="shared" si="49"/>
        <v>yyyy-01</v>
      </c>
      <c r="C509">
        <f t="shared" si="50"/>
        <v>4</v>
      </c>
      <c r="D509" t="s">
        <v>24</v>
      </c>
      <c r="E509" t="s">
        <v>25</v>
      </c>
      <c r="F509" t="s">
        <v>26</v>
      </c>
      <c r="G509" t="s">
        <v>27</v>
      </c>
      <c r="H509" t="s">
        <v>45</v>
      </c>
      <c r="I509" s="5">
        <v>1245</v>
      </c>
      <c r="J509" s="5">
        <v>750</v>
      </c>
      <c r="K509" s="5">
        <v>87</v>
      </c>
      <c r="L509" s="5">
        <v>24</v>
      </c>
      <c r="M509" s="5">
        <v>24</v>
      </c>
      <c r="N509" s="7">
        <v>1012.73</v>
      </c>
      <c r="O509" s="7">
        <f t="shared" si="51"/>
        <v>24305.52</v>
      </c>
      <c r="P509" s="4">
        <v>0</v>
      </c>
      <c r="Q509" s="7">
        <f t="shared" si="52"/>
        <v>0</v>
      </c>
      <c r="R509" s="7">
        <f t="shared" si="53"/>
        <v>24305.52</v>
      </c>
      <c r="S509" s="7">
        <f t="shared" si="54"/>
        <v>1012.73</v>
      </c>
      <c r="T509" s="6">
        <f t="shared" si="55"/>
        <v>1.9277108433734941E-2</v>
      </c>
      <c r="V509" t="s">
        <v>29</v>
      </c>
    </row>
    <row r="510" spans="1:22">
      <c r="A510" s="3">
        <v>45679</v>
      </c>
      <c r="B510" t="str">
        <f t="shared" si="49"/>
        <v>yyyy-01</v>
      </c>
      <c r="C510">
        <f t="shared" si="50"/>
        <v>4</v>
      </c>
      <c r="D510" t="s">
        <v>24</v>
      </c>
      <c r="E510" t="s">
        <v>25</v>
      </c>
      <c r="F510" t="s">
        <v>30</v>
      </c>
      <c r="G510" t="s">
        <v>36</v>
      </c>
      <c r="H510" t="s">
        <v>37</v>
      </c>
      <c r="I510" s="5">
        <v>1380</v>
      </c>
      <c r="J510" s="5">
        <v>769</v>
      </c>
      <c r="K510" s="5">
        <v>88</v>
      </c>
      <c r="L510" s="5">
        <v>32</v>
      </c>
      <c r="M510" s="5">
        <v>32</v>
      </c>
      <c r="N510" s="7">
        <v>393.64</v>
      </c>
      <c r="O510" s="7">
        <f t="shared" si="51"/>
        <v>12596.48</v>
      </c>
      <c r="P510" s="4">
        <v>0</v>
      </c>
      <c r="Q510" s="7">
        <f t="shared" si="52"/>
        <v>0</v>
      </c>
      <c r="R510" s="7">
        <f t="shared" si="53"/>
        <v>12596.48</v>
      </c>
      <c r="S510" s="7">
        <f t="shared" si="54"/>
        <v>393.64</v>
      </c>
      <c r="T510" s="6">
        <f t="shared" si="55"/>
        <v>2.318840579710145E-2</v>
      </c>
      <c r="V510" t="s">
        <v>29</v>
      </c>
    </row>
    <row r="511" spans="1:22">
      <c r="A511" s="3">
        <v>45679</v>
      </c>
      <c r="B511" t="str">
        <f t="shared" si="49"/>
        <v>yyyy-01</v>
      </c>
      <c r="C511">
        <f t="shared" si="50"/>
        <v>4</v>
      </c>
      <c r="D511" t="s">
        <v>24</v>
      </c>
      <c r="E511" t="s">
        <v>25</v>
      </c>
      <c r="F511" t="s">
        <v>33</v>
      </c>
      <c r="G511" t="s">
        <v>27</v>
      </c>
      <c r="H511" t="s">
        <v>45</v>
      </c>
      <c r="I511" s="5">
        <v>1237</v>
      </c>
      <c r="J511" s="5">
        <v>898</v>
      </c>
      <c r="K511" s="5">
        <v>105</v>
      </c>
      <c r="L511" s="5">
        <v>21</v>
      </c>
      <c r="M511" s="5">
        <v>21</v>
      </c>
      <c r="N511" s="7">
        <v>1828.1</v>
      </c>
      <c r="O511" s="7">
        <f t="shared" si="51"/>
        <v>38390.1</v>
      </c>
      <c r="P511" s="4">
        <v>0</v>
      </c>
      <c r="Q511" s="7">
        <f t="shared" si="52"/>
        <v>0</v>
      </c>
      <c r="R511" s="7">
        <f t="shared" si="53"/>
        <v>38390.1</v>
      </c>
      <c r="S511" s="7">
        <f t="shared" si="54"/>
        <v>1828.1</v>
      </c>
      <c r="T511" s="6">
        <f t="shared" si="55"/>
        <v>1.6976556184316895E-2</v>
      </c>
      <c r="V511" t="s">
        <v>29</v>
      </c>
    </row>
    <row r="512" spans="1:22">
      <c r="A512" s="3">
        <v>45679</v>
      </c>
      <c r="B512" t="str">
        <f t="shared" si="49"/>
        <v>yyyy-01</v>
      </c>
      <c r="C512">
        <f t="shared" si="50"/>
        <v>4</v>
      </c>
      <c r="D512" t="s">
        <v>24</v>
      </c>
      <c r="E512" t="s">
        <v>34</v>
      </c>
      <c r="F512" t="s">
        <v>35</v>
      </c>
      <c r="G512" t="s">
        <v>31</v>
      </c>
      <c r="H512" t="s">
        <v>32</v>
      </c>
      <c r="I512" s="5">
        <v>969</v>
      </c>
      <c r="J512" s="5">
        <v>785</v>
      </c>
      <c r="K512" s="5">
        <v>71</v>
      </c>
      <c r="L512" s="5">
        <v>15</v>
      </c>
      <c r="M512" s="5">
        <v>15</v>
      </c>
      <c r="N512" s="7">
        <v>873.76</v>
      </c>
      <c r="O512" s="7">
        <f t="shared" si="51"/>
        <v>13106.4</v>
      </c>
      <c r="P512" s="4">
        <v>0.05</v>
      </c>
      <c r="Q512" s="7">
        <f t="shared" si="52"/>
        <v>655.32000000000005</v>
      </c>
      <c r="R512" s="7">
        <f t="shared" si="53"/>
        <v>12451.08</v>
      </c>
      <c r="S512" s="7">
        <f t="shared" si="54"/>
        <v>830.072</v>
      </c>
      <c r="T512" s="6">
        <f t="shared" si="55"/>
        <v>1.5479876160990712E-2</v>
      </c>
      <c r="V512" t="s">
        <v>78</v>
      </c>
    </row>
    <row r="513" spans="1:22">
      <c r="A513" s="3">
        <v>45679</v>
      </c>
      <c r="B513" t="str">
        <f t="shared" si="49"/>
        <v>yyyy-01</v>
      </c>
      <c r="C513">
        <f t="shared" si="50"/>
        <v>4</v>
      </c>
      <c r="D513" t="s">
        <v>24</v>
      </c>
      <c r="E513" t="s">
        <v>38</v>
      </c>
      <c r="F513" t="s">
        <v>39</v>
      </c>
      <c r="G513" t="s">
        <v>27</v>
      </c>
      <c r="H513" t="s">
        <v>48</v>
      </c>
      <c r="I513" s="5">
        <v>665</v>
      </c>
      <c r="J513" s="5">
        <v>412</v>
      </c>
      <c r="K513" s="5">
        <v>31</v>
      </c>
      <c r="L513" s="5">
        <v>11</v>
      </c>
      <c r="M513" s="5">
        <v>11</v>
      </c>
      <c r="N513" s="7">
        <v>331.42</v>
      </c>
      <c r="O513" s="7">
        <f t="shared" si="51"/>
        <v>3645.6200000000003</v>
      </c>
      <c r="P513" s="4">
        <v>0.05</v>
      </c>
      <c r="Q513" s="7">
        <f t="shared" si="52"/>
        <v>182.28100000000003</v>
      </c>
      <c r="R513" s="7">
        <f t="shared" si="53"/>
        <v>3463.3390000000004</v>
      </c>
      <c r="S513" s="7">
        <f t="shared" si="54"/>
        <v>314.84900000000005</v>
      </c>
      <c r="T513" s="6">
        <f t="shared" si="55"/>
        <v>1.6541353383458645E-2</v>
      </c>
      <c r="V513" t="s">
        <v>29</v>
      </c>
    </row>
    <row r="514" spans="1:22">
      <c r="A514" s="3">
        <v>45679</v>
      </c>
      <c r="B514" t="str">
        <f t="shared" si="49"/>
        <v>yyyy-01</v>
      </c>
      <c r="C514">
        <f t="shared" si="50"/>
        <v>4</v>
      </c>
      <c r="D514" t="s">
        <v>24</v>
      </c>
      <c r="E514" t="s">
        <v>40</v>
      </c>
      <c r="F514" t="s">
        <v>41</v>
      </c>
      <c r="G514" t="s">
        <v>31</v>
      </c>
      <c r="H514" t="s">
        <v>32</v>
      </c>
      <c r="I514" s="5">
        <v>870</v>
      </c>
      <c r="J514" s="5">
        <v>638</v>
      </c>
      <c r="K514" s="5">
        <v>65</v>
      </c>
      <c r="L514" s="5">
        <v>20</v>
      </c>
      <c r="M514" s="5">
        <v>22</v>
      </c>
      <c r="N514" s="7">
        <v>177.21</v>
      </c>
      <c r="O514" s="7">
        <f t="shared" si="51"/>
        <v>3898.6200000000003</v>
      </c>
      <c r="P514" s="4">
        <v>0</v>
      </c>
      <c r="Q514" s="7">
        <f t="shared" si="52"/>
        <v>0</v>
      </c>
      <c r="R514" s="7">
        <f t="shared" si="53"/>
        <v>3898.6200000000003</v>
      </c>
      <c r="S514" s="7">
        <f t="shared" si="54"/>
        <v>194.93100000000001</v>
      </c>
      <c r="T514" s="6">
        <f t="shared" si="55"/>
        <v>2.2988505747126436E-2</v>
      </c>
      <c r="V514" t="s">
        <v>29</v>
      </c>
    </row>
    <row r="515" spans="1:22">
      <c r="A515" s="3">
        <v>45679</v>
      </c>
      <c r="B515" t="str">
        <f t="shared" si="49"/>
        <v>yyyy-01</v>
      </c>
      <c r="C515">
        <f t="shared" si="50"/>
        <v>4</v>
      </c>
      <c r="D515" t="s">
        <v>42</v>
      </c>
      <c r="E515" t="s">
        <v>43</v>
      </c>
      <c r="F515" t="s">
        <v>44</v>
      </c>
      <c r="G515" t="s">
        <v>27</v>
      </c>
      <c r="H515" t="s">
        <v>45</v>
      </c>
      <c r="I515" s="5">
        <v>504</v>
      </c>
      <c r="J515" s="5">
        <v>271</v>
      </c>
      <c r="K515" s="5">
        <v>22</v>
      </c>
      <c r="L515" s="5">
        <v>8</v>
      </c>
      <c r="M515" s="5">
        <v>8</v>
      </c>
      <c r="N515" s="7">
        <v>1255.4100000000001</v>
      </c>
      <c r="O515" s="7">
        <f t="shared" si="51"/>
        <v>10043.280000000001</v>
      </c>
      <c r="P515" s="4">
        <v>0.1</v>
      </c>
      <c r="Q515" s="7">
        <f t="shared" si="52"/>
        <v>1004.3280000000001</v>
      </c>
      <c r="R515" s="7">
        <f t="shared" si="53"/>
        <v>9038.9520000000011</v>
      </c>
      <c r="S515" s="7">
        <f t="shared" si="54"/>
        <v>1129.8690000000001</v>
      </c>
      <c r="T515" s="6">
        <f t="shared" si="55"/>
        <v>1.5873015873015872E-2</v>
      </c>
      <c r="U515" t="s">
        <v>80</v>
      </c>
      <c r="V515" t="s">
        <v>29</v>
      </c>
    </row>
    <row r="516" spans="1:22">
      <c r="A516" s="3">
        <v>45679</v>
      </c>
      <c r="B516" t="str">
        <f t="shared" si="49"/>
        <v>yyyy-01</v>
      </c>
      <c r="C516">
        <f t="shared" si="50"/>
        <v>4</v>
      </c>
      <c r="D516" t="s">
        <v>42</v>
      </c>
      <c r="E516" t="s">
        <v>43</v>
      </c>
      <c r="F516" t="s">
        <v>46</v>
      </c>
      <c r="G516" t="s">
        <v>27</v>
      </c>
      <c r="H516" t="s">
        <v>28</v>
      </c>
      <c r="I516" s="5">
        <v>424</v>
      </c>
      <c r="J516" s="5">
        <v>293</v>
      </c>
      <c r="K516" s="5">
        <v>33</v>
      </c>
      <c r="L516" s="5">
        <v>8</v>
      </c>
      <c r="M516" s="5">
        <v>8</v>
      </c>
      <c r="N516" s="7">
        <v>2207.7800000000002</v>
      </c>
      <c r="O516" s="7">
        <f t="shared" si="51"/>
        <v>17662.240000000002</v>
      </c>
      <c r="P516" s="4">
        <v>0.1</v>
      </c>
      <c r="Q516" s="7">
        <f t="shared" si="52"/>
        <v>1766.2240000000002</v>
      </c>
      <c r="R516" s="7">
        <f t="shared" si="53"/>
        <v>15896.016000000001</v>
      </c>
      <c r="S516" s="7">
        <f t="shared" si="54"/>
        <v>1987.0020000000002</v>
      </c>
      <c r="T516" s="6">
        <f t="shared" si="55"/>
        <v>1.8867924528301886E-2</v>
      </c>
      <c r="U516" t="s">
        <v>80</v>
      </c>
      <c r="V516" t="s">
        <v>29</v>
      </c>
    </row>
    <row r="517" spans="1:22">
      <c r="A517" s="3">
        <v>45679</v>
      </c>
      <c r="B517" t="str">
        <f t="shared" ref="B517:B580" si="56">TEXT(A517,"yyyy-mm")</f>
        <v>yyyy-01</v>
      </c>
      <c r="C517">
        <f t="shared" ref="C517:C580" si="57">WEEKNUM(A517,2)</f>
        <v>4</v>
      </c>
      <c r="D517" t="s">
        <v>42</v>
      </c>
      <c r="E517" t="s">
        <v>43</v>
      </c>
      <c r="F517" t="s">
        <v>47</v>
      </c>
      <c r="G517" t="s">
        <v>31</v>
      </c>
      <c r="H517" t="s">
        <v>32</v>
      </c>
      <c r="I517" s="5">
        <v>521</v>
      </c>
      <c r="J517" s="5">
        <v>277</v>
      </c>
      <c r="K517" s="5">
        <v>37</v>
      </c>
      <c r="L517" s="5">
        <v>10</v>
      </c>
      <c r="M517" s="5">
        <v>10</v>
      </c>
      <c r="N517" s="7">
        <v>592.65</v>
      </c>
      <c r="O517" s="7">
        <f t="shared" ref="O517:O580" si="58">M517*N517</f>
        <v>5926.5</v>
      </c>
      <c r="P517" s="4">
        <v>0.1</v>
      </c>
      <c r="Q517" s="7">
        <f t="shared" ref="Q517:Q580" si="59">O517*P517</f>
        <v>592.65</v>
      </c>
      <c r="R517" s="7">
        <f t="shared" ref="R517:R580" si="60">O517-Q517</f>
        <v>5333.85</v>
      </c>
      <c r="S517" s="7">
        <f t="shared" ref="S517:S580" si="61">IFERROR(R517/L517,0)</f>
        <v>533.38499999999999</v>
      </c>
      <c r="T517" s="6">
        <f t="shared" ref="T517:T580" si="62">IFERROR(L517/I517,0)</f>
        <v>1.9193857965451054E-2</v>
      </c>
      <c r="U517" t="s">
        <v>80</v>
      </c>
      <c r="V517" t="s">
        <v>29</v>
      </c>
    </row>
    <row r="518" spans="1:22">
      <c r="A518" s="3">
        <v>45679</v>
      </c>
      <c r="B518" t="str">
        <f t="shared" si="56"/>
        <v>yyyy-01</v>
      </c>
      <c r="C518">
        <f t="shared" si="57"/>
        <v>4</v>
      </c>
      <c r="D518" t="s">
        <v>42</v>
      </c>
      <c r="E518" t="s">
        <v>49</v>
      </c>
      <c r="F518" t="s">
        <v>50</v>
      </c>
      <c r="G518" t="s">
        <v>27</v>
      </c>
      <c r="H518" t="s">
        <v>28</v>
      </c>
      <c r="I518" s="5">
        <v>126</v>
      </c>
      <c r="J518" s="5">
        <v>94</v>
      </c>
      <c r="K518" s="5">
        <v>11</v>
      </c>
      <c r="L518" s="5">
        <v>2</v>
      </c>
      <c r="M518" s="5">
        <v>2</v>
      </c>
      <c r="N518" s="7">
        <v>992.28</v>
      </c>
      <c r="O518" s="7">
        <f t="shared" si="58"/>
        <v>1984.56</v>
      </c>
      <c r="P518" s="4">
        <v>0.03</v>
      </c>
      <c r="Q518" s="7">
        <f t="shared" si="59"/>
        <v>59.536799999999999</v>
      </c>
      <c r="R518" s="7">
        <f t="shared" si="60"/>
        <v>1925.0231999999999</v>
      </c>
      <c r="S518" s="7">
        <f t="shared" si="61"/>
        <v>962.51159999999993</v>
      </c>
      <c r="T518" s="6">
        <f t="shared" si="62"/>
        <v>1.5873015873015872E-2</v>
      </c>
      <c r="V518" t="s">
        <v>29</v>
      </c>
    </row>
    <row r="519" spans="1:22">
      <c r="A519" s="3">
        <v>45679</v>
      </c>
      <c r="B519" t="str">
        <f t="shared" si="56"/>
        <v>yyyy-01</v>
      </c>
      <c r="C519">
        <f t="shared" si="57"/>
        <v>4</v>
      </c>
      <c r="D519" t="s">
        <v>42</v>
      </c>
      <c r="E519" t="s">
        <v>51</v>
      </c>
      <c r="F519" t="s">
        <v>52</v>
      </c>
      <c r="G519" t="s">
        <v>31</v>
      </c>
      <c r="H519" t="s">
        <v>32</v>
      </c>
      <c r="I519" s="5">
        <v>312</v>
      </c>
      <c r="J519" s="5">
        <v>206</v>
      </c>
      <c r="K519" s="5">
        <v>20</v>
      </c>
      <c r="L519" s="5">
        <v>5</v>
      </c>
      <c r="M519" s="5">
        <v>5</v>
      </c>
      <c r="N519" s="7">
        <v>606.77</v>
      </c>
      <c r="O519" s="7">
        <f t="shared" si="58"/>
        <v>3033.85</v>
      </c>
      <c r="P519" s="4">
        <v>0</v>
      </c>
      <c r="Q519" s="7">
        <f t="shared" si="59"/>
        <v>0</v>
      </c>
      <c r="R519" s="7">
        <f t="shared" si="60"/>
        <v>3033.85</v>
      </c>
      <c r="S519" s="7">
        <f t="shared" si="61"/>
        <v>606.77</v>
      </c>
      <c r="T519" s="6">
        <f t="shared" si="62"/>
        <v>1.6025641025641024E-2</v>
      </c>
      <c r="V519" t="s">
        <v>29</v>
      </c>
    </row>
    <row r="520" spans="1:22">
      <c r="A520" s="3">
        <v>45679</v>
      </c>
      <c r="B520" t="str">
        <f t="shared" si="56"/>
        <v>yyyy-01</v>
      </c>
      <c r="C520">
        <f t="shared" si="57"/>
        <v>4</v>
      </c>
      <c r="D520" t="s">
        <v>53</v>
      </c>
      <c r="E520" t="s">
        <v>54</v>
      </c>
      <c r="F520" t="s">
        <v>55</v>
      </c>
      <c r="G520" t="s">
        <v>27</v>
      </c>
      <c r="H520" t="s">
        <v>28</v>
      </c>
      <c r="I520" s="5">
        <v>135</v>
      </c>
      <c r="J520" s="5">
        <v>80</v>
      </c>
      <c r="K520" s="5">
        <v>8</v>
      </c>
      <c r="L520" s="5">
        <v>2</v>
      </c>
      <c r="M520" s="5">
        <v>2</v>
      </c>
      <c r="N520" s="7">
        <v>1277.24</v>
      </c>
      <c r="O520" s="7">
        <f t="shared" si="58"/>
        <v>2554.48</v>
      </c>
      <c r="P520" s="4">
        <v>0</v>
      </c>
      <c r="Q520" s="7">
        <f t="shared" si="59"/>
        <v>0</v>
      </c>
      <c r="R520" s="7">
        <f t="shared" si="60"/>
        <v>2554.48</v>
      </c>
      <c r="S520" s="7">
        <f t="shared" si="61"/>
        <v>1277.24</v>
      </c>
      <c r="T520" s="6">
        <f t="shared" si="62"/>
        <v>1.4814814814814815E-2</v>
      </c>
      <c r="V520" t="s">
        <v>29</v>
      </c>
    </row>
    <row r="521" spans="1:22">
      <c r="A521" s="3">
        <v>45679</v>
      </c>
      <c r="B521" t="str">
        <f t="shared" si="56"/>
        <v>yyyy-01</v>
      </c>
      <c r="C521">
        <f t="shared" si="57"/>
        <v>4</v>
      </c>
      <c r="D521" t="s">
        <v>53</v>
      </c>
      <c r="E521" t="s">
        <v>56</v>
      </c>
      <c r="F521" t="s">
        <v>57</v>
      </c>
      <c r="G521" t="s">
        <v>27</v>
      </c>
      <c r="H521" t="s">
        <v>28</v>
      </c>
      <c r="I521" s="5">
        <v>151</v>
      </c>
      <c r="J521" s="5">
        <v>93</v>
      </c>
      <c r="K521" s="5">
        <v>8</v>
      </c>
      <c r="L521" s="5">
        <v>2</v>
      </c>
      <c r="M521" s="5">
        <v>2</v>
      </c>
      <c r="N521" s="7">
        <v>722.04</v>
      </c>
      <c r="O521" s="7">
        <f t="shared" si="58"/>
        <v>1444.08</v>
      </c>
      <c r="P521" s="4">
        <v>0.08</v>
      </c>
      <c r="Q521" s="7">
        <f t="shared" si="59"/>
        <v>115.5264</v>
      </c>
      <c r="R521" s="7">
        <f t="shared" si="60"/>
        <v>1328.5536</v>
      </c>
      <c r="S521" s="7">
        <f t="shared" si="61"/>
        <v>664.27679999999998</v>
      </c>
      <c r="T521" s="6">
        <f t="shared" si="62"/>
        <v>1.3245033112582781E-2</v>
      </c>
      <c r="U521" t="s">
        <v>82</v>
      </c>
      <c r="V521" t="s">
        <v>29</v>
      </c>
    </row>
    <row r="522" spans="1:22">
      <c r="A522" s="3">
        <v>45679</v>
      </c>
      <c r="B522" t="str">
        <f t="shared" si="56"/>
        <v>yyyy-01</v>
      </c>
      <c r="C522">
        <f t="shared" si="57"/>
        <v>4</v>
      </c>
      <c r="D522" t="s">
        <v>53</v>
      </c>
      <c r="E522" t="s">
        <v>56</v>
      </c>
      <c r="F522" t="s">
        <v>58</v>
      </c>
      <c r="G522" t="s">
        <v>27</v>
      </c>
      <c r="H522" t="s">
        <v>48</v>
      </c>
      <c r="I522" s="5">
        <v>137</v>
      </c>
      <c r="J522" s="5">
        <v>108</v>
      </c>
      <c r="K522" s="5">
        <v>7</v>
      </c>
      <c r="L522" s="5">
        <v>2</v>
      </c>
      <c r="M522" s="5">
        <v>2</v>
      </c>
      <c r="N522" s="7">
        <v>893.84</v>
      </c>
      <c r="O522" s="7">
        <f t="shared" si="58"/>
        <v>1787.68</v>
      </c>
      <c r="P522" s="4">
        <v>0.08</v>
      </c>
      <c r="Q522" s="7">
        <f t="shared" si="59"/>
        <v>143.01439999999999</v>
      </c>
      <c r="R522" s="7">
        <f t="shared" si="60"/>
        <v>1644.6656</v>
      </c>
      <c r="S522" s="7">
        <f t="shared" si="61"/>
        <v>822.33280000000002</v>
      </c>
      <c r="T522" s="6">
        <f t="shared" si="62"/>
        <v>1.4598540145985401E-2</v>
      </c>
      <c r="U522" t="s">
        <v>82</v>
      </c>
      <c r="V522" t="s">
        <v>29</v>
      </c>
    </row>
    <row r="523" spans="1:22">
      <c r="A523" s="3">
        <v>45679</v>
      </c>
      <c r="B523" t="str">
        <f t="shared" si="56"/>
        <v>yyyy-01</v>
      </c>
      <c r="C523">
        <f t="shared" si="57"/>
        <v>4</v>
      </c>
      <c r="D523" t="s">
        <v>53</v>
      </c>
      <c r="E523" t="s">
        <v>59</v>
      </c>
      <c r="F523" t="s">
        <v>60</v>
      </c>
      <c r="G523" t="s">
        <v>27</v>
      </c>
      <c r="H523" t="s">
        <v>48</v>
      </c>
      <c r="I523" s="5">
        <v>92</v>
      </c>
      <c r="J523" s="5">
        <v>49</v>
      </c>
      <c r="K523" s="5">
        <v>4</v>
      </c>
      <c r="L523" s="5">
        <v>1</v>
      </c>
      <c r="M523" s="5">
        <v>1</v>
      </c>
      <c r="N523" s="7">
        <v>709.67</v>
      </c>
      <c r="O523" s="7">
        <f t="shared" si="58"/>
        <v>709.67</v>
      </c>
      <c r="P523" s="4">
        <v>0.05</v>
      </c>
      <c r="Q523" s="7">
        <f t="shared" si="59"/>
        <v>35.483499999999999</v>
      </c>
      <c r="R523" s="7">
        <f t="shared" si="60"/>
        <v>674.18649999999991</v>
      </c>
      <c r="S523" s="7">
        <f t="shared" si="61"/>
        <v>674.18649999999991</v>
      </c>
      <c r="T523" s="6">
        <f t="shared" si="62"/>
        <v>1.0869565217391304E-2</v>
      </c>
      <c r="V523" t="s">
        <v>29</v>
      </c>
    </row>
    <row r="524" spans="1:22">
      <c r="A524" s="3">
        <v>45679</v>
      </c>
      <c r="B524" t="str">
        <f t="shared" si="56"/>
        <v>yyyy-01</v>
      </c>
      <c r="C524">
        <f t="shared" si="57"/>
        <v>4</v>
      </c>
      <c r="D524" t="s">
        <v>53</v>
      </c>
      <c r="E524" t="s">
        <v>61</v>
      </c>
      <c r="F524" t="s">
        <v>62</v>
      </c>
      <c r="G524" t="s">
        <v>27</v>
      </c>
      <c r="H524" t="s">
        <v>28</v>
      </c>
      <c r="I524" s="5">
        <v>129</v>
      </c>
      <c r="J524" s="5">
        <v>92</v>
      </c>
      <c r="K524" s="5">
        <v>10</v>
      </c>
      <c r="L524" s="5">
        <v>1</v>
      </c>
      <c r="M524" s="5">
        <v>1</v>
      </c>
      <c r="N524" s="7">
        <v>503.65</v>
      </c>
      <c r="O524" s="7">
        <f t="shared" si="58"/>
        <v>503.65</v>
      </c>
      <c r="P524" s="4">
        <v>0</v>
      </c>
      <c r="Q524" s="7">
        <f t="shared" si="59"/>
        <v>0</v>
      </c>
      <c r="R524" s="7">
        <f t="shared" si="60"/>
        <v>503.65</v>
      </c>
      <c r="S524" s="7">
        <f t="shared" si="61"/>
        <v>503.65</v>
      </c>
      <c r="T524" s="6">
        <f t="shared" si="62"/>
        <v>7.7519379844961239E-3</v>
      </c>
      <c r="V524" t="s">
        <v>29</v>
      </c>
    </row>
    <row r="525" spans="1:22">
      <c r="A525" s="3">
        <v>45679</v>
      </c>
      <c r="B525" t="str">
        <f t="shared" si="56"/>
        <v>yyyy-01</v>
      </c>
      <c r="C525">
        <f t="shared" si="57"/>
        <v>4</v>
      </c>
      <c r="D525" t="s">
        <v>53</v>
      </c>
      <c r="E525" t="s">
        <v>64</v>
      </c>
      <c r="F525" t="s">
        <v>65</v>
      </c>
      <c r="G525" t="s">
        <v>27</v>
      </c>
      <c r="H525" t="s">
        <v>45</v>
      </c>
      <c r="I525" s="5">
        <v>169</v>
      </c>
      <c r="J525" s="5">
        <v>91</v>
      </c>
      <c r="K525" s="5">
        <v>11</v>
      </c>
      <c r="L525" s="5">
        <v>2</v>
      </c>
      <c r="M525" s="5">
        <v>2</v>
      </c>
      <c r="N525" s="7">
        <v>771.7</v>
      </c>
      <c r="O525" s="7">
        <f t="shared" si="58"/>
        <v>1543.4</v>
      </c>
      <c r="P525" s="4">
        <v>0</v>
      </c>
      <c r="Q525" s="7">
        <f t="shared" si="59"/>
        <v>0</v>
      </c>
      <c r="R525" s="7">
        <f t="shared" si="60"/>
        <v>1543.4</v>
      </c>
      <c r="S525" s="7">
        <f t="shared" si="61"/>
        <v>771.7</v>
      </c>
      <c r="T525" s="6">
        <f t="shared" si="62"/>
        <v>1.1834319526627219E-2</v>
      </c>
      <c r="V525" t="s">
        <v>29</v>
      </c>
    </row>
    <row r="526" spans="1:22">
      <c r="A526" s="3">
        <v>45679</v>
      </c>
      <c r="B526" t="str">
        <f t="shared" si="56"/>
        <v>yyyy-01</v>
      </c>
      <c r="C526">
        <f t="shared" si="57"/>
        <v>4</v>
      </c>
      <c r="D526" t="s">
        <v>66</v>
      </c>
      <c r="E526" t="s">
        <v>67</v>
      </c>
      <c r="F526" t="s">
        <v>68</v>
      </c>
      <c r="G526" t="s">
        <v>27</v>
      </c>
      <c r="H526" t="s">
        <v>45</v>
      </c>
      <c r="I526" s="5">
        <v>311</v>
      </c>
      <c r="J526" s="5">
        <v>180</v>
      </c>
      <c r="K526" s="5">
        <v>22</v>
      </c>
      <c r="L526" s="5">
        <v>6</v>
      </c>
      <c r="M526" s="5">
        <v>6</v>
      </c>
      <c r="N526" s="7">
        <v>694.46</v>
      </c>
      <c r="O526" s="7">
        <f t="shared" si="58"/>
        <v>4166.76</v>
      </c>
      <c r="P526" s="4">
        <v>0.03</v>
      </c>
      <c r="Q526" s="7">
        <f t="shared" si="59"/>
        <v>125.00280000000001</v>
      </c>
      <c r="R526" s="7">
        <f t="shared" si="60"/>
        <v>4041.7572</v>
      </c>
      <c r="S526" s="7">
        <f t="shared" si="61"/>
        <v>673.62620000000004</v>
      </c>
      <c r="T526" s="6">
        <f t="shared" si="62"/>
        <v>1.9292604501607719E-2</v>
      </c>
      <c r="V526" t="s">
        <v>29</v>
      </c>
    </row>
    <row r="527" spans="1:22">
      <c r="A527" s="3">
        <v>45679</v>
      </c>
      <c r="B527" t="str">
        <f t="shared" si="56"/>
        <v>yyyy-01</v>
      </c>
      <c r="C527">
        <f t="shared" si="57"/>
        <v>4</v>
      </c>
      <c r="D527" t="s">
        <v>66</v>
      </c>
      <c r="E527" t="s">
        <v>67</v>
      </c>
      <c r="F527" t="s">
        <v>69</v>
      </c>
      <c r="G527" t="s">
        <v>27</v>
      </c>
      <c r="H527" t="s">
        <v>28</v>
      </c>
      <c r="I527" s="5">
        <v>300</v>
      </c>
      <c r="J527" s="5">
        <v>198</v>
      </c>
      <c r="K527" s="5">
        <v>28</v>
      </c>
      <c r="L527" s="5">
        <v>6</v>
      </c>
      <c r="M527" s="5">
        <v>6</v>
      </c>
      <c r="N527" s="7">
        <v>387.36</v>
      </c>
      <c r="O527" s="7">
        <f t="shared" si="58"/>
        <v>2324.16</v>
      </c>
      <c r="P527" s="4">
        <v>0.05</v>
      </c>
      <c r="Q527" s="7">
        <f t="shared" si="59"/>
        <v>116.208</v>
      </c>
      <c r="R527" s="7">
        <f t="shared" si="60"/>
        <v>2207.9519999999998</v>
      </c>
      <c r="S527" s="7">
        <f t="shared" si="61"/>
        <v>367.99199999999996</v>
      </c>
      <c r="T527" s="6">
        <f t="shared" si="62"/>
        <v>0.02</v>
      </c>
      <c r="V527" t="s">
        <v>29</v>
      </c>
    </row>
    <row r="528" spans="1:22">
      <c r="A528" s="3">
        <v>45679</v>
      </c>
      <c r="B528" t="str">
        <f t="shared" si="56"/>
        <v>yyyy-01</v>
      </c>
      <c r="C528">
        <f t="shared" si="57"/>
        <v>4</v>
      </c>
      <c r="D528" t="s">
        <v>66</v>
      </c>
      <c r="E528" t="s">
        <v>67</v>
      </c>
      <c r="F528" t="s">
        <v>70</v>
      </c>
      <c r="G528" t="s">
        <v>36</v>
      </c>
      <c r="H528" t="s">
        <v>37</v>
      </c>
      <c r="I528" s="5">
        <v>322</v>
      </c>
      <c r="J528" s="5">
        <v>220</v>
      </c>
      <c r="K528" s="5">
        <v>29</v>
      </c>
      <c r="L528" s="5">
        <v>6</v>
      </c>
      <c r="M528" s="5">
        <v>6</v>
      </c>
      <c r="N528" s="7">
        <v>346.56</v>
      </c>
      <c r="O528" s="7">
        <f t="shared" si="58"/>
        <v>2079.36</v>
      </c>
      <c r="P528" s="4">
        <v>0</v>
      </c>
      <c r="Q528" s="7">
        <f t="shared" si="59"/>
        <v>0</v>
      </c>
      <c r="R528" s="7">
        <f t="shared" si="60"/>
        <v>2079.36</v>
      </c>
      <c r="S528" s="7">
        <f t="shared" si="61"/>
        <v>346.56</v>
      </c>
      <c r="T528" s="6">
        <f t="shared" si="62"/>
        <v>1.8633540372670808E-2</v>
      </c>
      <c r="V528" t="s">
        <v>29</v>
      </c>
    </row>
    <row r="529" spans="1:22">
      <c r="A529" s="3">
        <v>45679</v>
      </c>
      <c r="B529" t="str">
        <f t="shared" si="56"/>
        <v>yyyy-01</v>
      </c>
      <c r="C529">
        <f t="shared" si="57"/>
        <v>4</v>
      </c>
      <c r="D529" t="s">
        <v>66</v>
      </c>
      <c r="E529" t="s">
        <v>71</v>
      </c>
      <c r="F529" t="s">
        <v>72</v>
      </c>
      <c r="G529" t="s">
        <v>27</v>
      </c>
      <c r="H529" t="s">
        <v>63</v>
      </c>
      <c r="I529" s="5">
        <v>171</v>
      </c>
      <c r="J529" s="5">
        <v>106</v>
      </c>
      <c r="K529" s="5">
        <v>11</v>
      </c>
      <c r="L529" s="5">
        <v>3</v>
      </c>
      <c r="M529" s="5">
        <v>4</v>
      </c>
      <c r="N529" s="7">
        <v>129.6</v>
      </c>
      <c r="O529" s="7">
        <f t="shared" si="58"/>
        <v>518.4</v>
      </c>
      <c r="P529" s="4">
        <v>0</v>
      </c>
      <c r="Q529" s="7">
        <f t="shared" si="59"/>
        <v>0</v>
      </c>
      <c r="R529" s="7">
        <f t="shared" si="60"/>
        <v>518.4</v>
      </c>
      <c r="S529" s="7">
        <f t="shared" si="61"/>
        <v>172.79999999999998</v>
      </c>
      <c r="T529" s="6">
        <f t="shared" si="62"/>
        <v>1.7543859649122806E-2</v>
      </c>
      <c r="V529" t="s">
        <v>29</v>
      </c>
    </row>
    <row r="530" spans="1:22">
      <c r="A530" s="3">
        <v>45679</v>
      </c>
      <c r="B530" t="str">
        <f t="shared" si="56"/>
        <v>yyyy-01</v>
      </c>
      <c r="C530">
        <f t="shared" si="57"/>
        <v>4</v>
      </c>
      <c r="D530" t="s">
        <v>66</v>
      </c>
      <c r="E530" t="s">
        <v>73</v>
      </c>
      <c r="F530" t="s">
        <v>74</v>
      </c>
      <c r="G530" t="s">
        <v>36</v>
      </c>
      <c r="H530" t="s">
        <v>37</v>
      </c>
      <c r="I530" s="5">
        <v>165</v>
      </c>
      <c r="J530" s="5">
        <v>106</v>
      </c>
      <c r="K530" s="5">
        <v>15</v>
      </c>
      <c r="L530" s="5">
        <v>3</v>
      </c>
      <c r="M530" s="5">
        <v>3</v>
      </c>
      <c r="N530" s="7">
        <v>1188.28</v>
      </c>
      <c r="O530" s="7">
        <f t="shared" si="58"/>
        <v>3564.84</v>
      </c>
      <c r="P530" s="4">
        <v>0</v>
      </c>
      <c r="Q530" s="7">
        <f t="shared" si="59"/>
        <v>0</v>
      </c>
      <c r="R530" s="7">
        <f t="shared" si="60"/>
        <v>3564.84</v>
      </c>
      <c r="S530" s="7">
        <f t="shared" si="61"/>
        <v>1188.28</v>
      </c>
      <c r="T530" s="6">
        <f t="shared" si="62"/>
        <v>1.8181818181818181E-2</v>
      </c>
      <c r="V530" t="s">
        <v>29</v>
      </c>
    </row>
    <row r="531" spans="1:22">
      <c r="A531" s="3">
        <v>45679</v>
      </c>
      <c r="B531" t="str">
        <f t="shared" si="56"/>
        <v>yyyy-01</v>
      </c>
      <c r="C531">
        <f t="shared" si="57"/>
        <v>4</v>
      </c>
      <c r="D531" t="s">
        <v>66</v>
      </c>
      <c r="E531" t="s">
        <v>71</v>
      </c>
      <c r="F531" t="s">
        <v>75</v>
      </c>
      <c r="G531" t="s">
        <v>27</v>
      </c>
      <c r="H531" t="s">
        <v>63</v>
      </c>
      <c r="I531" s="5">
        <v>107</v>
      </c>
      <c r="J531" s="5">
        <v>81</v>
      </c>
      <c r="K531" s="5">
        <v>2</v>
      </c>
      <c r="L531" s="5">
        <v>0</v>
      </c>
      <c r="M531" s="5">
        <v>0</v>
      </c>
      <c r="N531" s="7">
        <v>38.78</v>
      </c>
      <c r="O531" s="7">
        <f t="shared" si="58"/>
        <v>0</v>
      </c>
      <c r="P531" s="4">
        <v>0</v>
      </c>
      <c r="Q531" s="7">
        <f t="shared" si="59"/>
        <v>0</v>
      </c>
      <c r="R531" s="7">
        <f t="shared" si="60"/>
        <v>0</v>
      </c>
      <c r="S531" s="7">
        <f t="shared" si="61"/>
        <v>0</v>
      </c>
      <c r="T531" s="6">
        <f t="shared" si="62"/>
        <v>0</v>
      </c>
      <c r="V531" t="s">
        <v>81</v>
      </c>
    </row>
    <row r="532" spans="1:22">
      <c r="A532" s="3">
        <v>45679</v>
      </c>
      <c r="B532" t="str">
        <f t="shared" si="56"/>
        <v>yyyy-01</v>
      </c>
      <c r="C532">
        <f t="shared" si="57"/>
        <v>4</v>
      </c>
      <c r="D532" t="s">
        <v>24</v>
      </c>
      <c r="E532" t="s">
        <v>76</v>
      </c>
      <c r="F532" t="s">
        <v>77</v>
      </c>
      <c r="G532" t="s">
        <v>27</v>
      </c>
      <c r="H532" t="s">
        <v>28</v>
      </c>
      <c r="I532" s="5">
        <v>499</v>
      </c>
      <c r="J532" s="5">
        <v>314</v>
      </c>
      <c r="K532" s="5">
        <v>27</v>
      </c>
      <c r="L532" s="5">
        <v>6</v>
      </c>
      <c r="M532" s="5">
        <v>7</v>
      </c>
      <c r="N532" s="7">
        <v>200.72</v>
      </c>
      <c r="O532" s="7">
        <f t="shared" si="58"/>
        <v>1405.04</v>
      </c>
      <c r="P532" s="4">
        <v>0</v>
      </c>
      <c r="Q532" s="7">
        <f t="shared" si="59"/>
        <v>0</v>
      </c>
      <c r="R532" s="7">
        <f t="shared" si="60"/>
        <v>1405.04</v>
      </c>
      <c r="S532" s="7">
        <f t="shared" si="61"/>
        <v>234.17333333333332</v>
      </c>
      <c r="T532" s="6">
        <f t="shared" si="62"/>
        <v>1.2024048096192385E-2</v>
      </c>
      <c r="V532" t="s">
        <v>78</v>
      </c>
    </row>
    <row r="533" spans="1:22">
      <c r="A533" s="3">
        <v>45680</v>
      </c>
      <c r="B533" t="str">
        <f t="shared" si="56"/>
        <v>yyyy-01</v>
      </c>
      <c r="C533">
        <f t="shared" si="57"/>
        <v>4</v>
      </c>
      <c r="D533" t="s">
        <v>24</v>
      </c>
      <c r="E533" t="s">
        <v>25</v>
      </c>
      <c r="F533" t="s">
        <v>26</v>
      </c>
      <c r="G533" t="s">
        <v>31</v>
      </c>
      <c r="H533" t="s">
        <v>32</v>
      </c>
      <c r="I533" s="5">
        <v>1658</v>
      </c>
      <c r="J533" s="5">
        <v>1029</v>
      </c>
      <c r="K533" s="5">
        <v>118</v>
      </c>
      <c r="L533" s="5">
        <v>34</v>
      </c>
      <c r="M533" s="5">
        <v>34</v>
      </c>
      <c r="N533" s="7">
        <v>1001.17</v>
      </c>
      <c r="O533" s="7">
        <f t="shared" si="58"/>
        <v>34039.78</v>
      </c>
      <c r="P533" s="4">
        <v>0</v>
      </c>
      <c r="Q533" s="7">
        <f t="shared" si="59"/>
        <v>0</v>
      </c>
      <c r="R533" s="7">
        <f t="shared" si="60"/>
        <v>34039.78</v>
      </c>
      <c r="S533" s="7">
        <f t="shared" si="61"/>
        <v>1001.17</v>
      </c>
      <c r="T533" s="6">
        <f t="shared" si="62"/>
        <v>2.0506634499396863E-2</v>
      </c>
      <c r="V533" t="s">
        <v>29</v>
      </c>
    </row>
    <row r="534" spans="1:22">
      <c r="A534" s="3">
        <v>45680</v>
      </c>
      <c r="B534" t="str">
        <f t="shared" si="56"/>
        <v>yyyy-01</v>
      </c>
      <c r="C534">
        <f t="shared" si="57"/>
        <v>4</v>
      </c>
      <c r="D534" t="s">
        <v>24</v>
      </c>
      <c r="E534" t="s">
        <v>25</v>
      </c>
      <c r="F534" t="s">
        <v>30</v>
      </c>
      <c r="G534" t="s">
        <v>27</v>
      </c>
      <c r="H534" t="s">
        <v>45</v>
      </c>
      <c r="I534" s="5">
        <v>1318</v>
      </c>
      <c r="J534" s="5">
        <v>808</v>
      </c>
      <c r="K534" s="5">
        <v>112</v>
      </c>
      <c r="L534" s="5">
        <v>30</v>
      </c>
      <c r="M534" s="5">
        <v>30</v>
      </c>
      <c r="N534" s="7">
        <v>384.38</v>
      </c>
      <c r="O534" s="7">
        <f t="shared" si="58"/>
        <v>11531.4</v>
      </c>
      <c r="P534" s="4">
        <v>0</v>
      </c>
      <c r="Q534" s="7">
        <f t="shared" si="59"/>
        <v>0</v>
      </c>
      <c r="R534" s="7">
        <f t="shared" si="60"/>
        <v>11531.4</v>
      </c>
      <c r="S534" s="7">
        <f t="shared" si="61"/>
        <v>384.38</v>
      </c>
      <c r="T534" s="6">
        <f t="shared" si="62"/>
        <v>2.2761760242792108E-2</v>
      </c>
      <c r="V534" t="s">
        <v>29</v>
      </c>
    </row>
    <row r="535" spans="1:22">
      <c r="A535" s="3">
        <v>45680</v>
      </c>
      <c r="B535" t="str">
        <f t="shared" si="56"/>
        <v>yyyy-01</v>
      </c>
      <c r="C535">
        <f t="shared" si="57"/>
        <v>4</v>
      </c>
      <c r="D535" t="s">
        <v>24</v>
      </c>
      <c r="E535" t="s">
        <v>25</v>
      </c>
      <c r="F535" t="s">
        <v>33</v>
      </c>
      <c r="G535" t="s">
        <v>27</v>
      </c>
      <c r="H535" t="s">
        <v>45</v>
      </c>
      <c r="I535" s="5">
        <v>850</v>
      </c>
      <c r="J535" s="5">
        <v>473</v>
      </c>
      <c r="K535" s="5">
        <v>85</v>
      </c>
      <c r="L535" s="5">
        <v>20</v>
      </c>
      <c r="M535" s="5">
        <v>20</v>
      </c>
      <c r="N535" s="7">
        <v>1827.28</v>
      </c>
      <c r="O535" s="7">
        <f t="shared" si="58"/>
        <v>36545.599999999999</v>
      </c>
      <c r="P535" s="4">
        <v>0</v>
      </c>
      <c r="Q535" s="7">
        <f t="shared" si="59"/>
        <v>0</v>
      </c>
      <c r="R535" s="7">
        <f t="shared" si="60"/>
        <v>36545.599999999999</v>
      </c>
      <c r="S535" s="7">
        <f t="shared" si="61"/>
        <v>1827.28</v>
      </c>
      <c r="T535" s="6">
        <f t="shared" si="62"/>
        <v>2.3529411764705882E-2</v>
      </c>
      <c r="V535" t="s">
        <v>29</v>
      </c>
    </row>
    <row r="536" spans="1:22">
      <c r="A536" s="3">
        <v>45680</v>
      </c>
      <c r="B536" t="str">
        <f t="shared" si="56"/>
        <v>yyyy-01</v>
      </c>
      <c r="C536">
        <f t="shared" si="57"/>
        <v>4</v>
      </c>
      <c r="D536" t="s">
        <v>24</v>
      </c>
      <c r="E536" t="s">
        <v>34</v>
      </c>
      <c r="F536" t="s">
        <v>35</v>
      </c>
      <c r="G536" t="s">
        <v>27</v>
      </c>
      <c r="H536" t="s">
        <v>28</v>
      </c>
      <c r="I536" s="5">
        <v>992</v>
      </c>
      <c r="J536" s="5">
        <v>609</v>
      </c>
      <c r="K536" s="5">
        <v>54</v>
      </c>
      <c r="L536" s="5">
        <v>15</v>
      </c>
      <c r="M536" s="5">
        <v>15</v>
      </c>
      <c r="N536" s="7">
        <v>890.14</v>
      </c>
      <c r="O536" s="7">
        <f t="shared" si="58"/>
        <v>13352.1</v>
      </c>
      <c r="P536" s="4">
        <v>0.05</v>
      </c>
      <c r="Q536" s="7">
        <f t="shared" si="59"/>
        <v>667.60500000000002</v>
      </c>
      <c r="R536" s="7">
        <f t="shared" si="60"/>
        <v>12684.495000000001</v>
      </c>
      <c r="S536" s="7">
        <f t="shared" si="61"/>
        <v>845.63300000000004</v>
      </c>
      <c r="T536" s="6">
        <f t="shared" si="62"/>
        <v>1.5120967741935484E-2</v>
      </c>
      <c r="V536" t="s">
        <v>29</v>
      </c>
    </row>
    <row r="537" spans="1:22">
      <c r="A537" s="3">
        <v>45680</v>
      </c>
      <c r="B537" t="str">
        <f t="shared" si="56"/>
        <v>yyyy-01</v>
      </c>
      <c r="C537">
        <f t="shared" si="57"/>
        <v>4</v>
      </c>
      <c r="D537" t="s">
        <v>24</v>
      </c>
      <c r="E537" t="s">
        <v>38</v>
      </c>
      <c r="F537" t="s">
        <v>39</v>
      </c>
      <c r="G537" t="s">
        <v>31</v>
      </c>
      <c r="H537" t="s">
        <v>32</v>
      </c>
      <c r="I537" s="5">
        <v>1222</v>
      </c>
      <c r="J537" s="5">
        <v>920</v>
      </c>
      <c r="K537" s="5">
        <v>69</v>
      </c>
      <c r="L537" s="5">
        <v>26</v>
      </c>
      <c r="M537" s="5">
        <v>26</v>
      </c>
      <c r="N537" s="7">
        <v>331.36</v>
      </c>
      <c r="O537" s="7">
        <f t="shared" si="58"/>
        <v>8615.36</v>
      </c>
      <c r="P537" s="4">
        <v>0</v>
      </c>
      <c r="Q537" s="7">
        <f t="shared" si="59"/>
        <v>0</v>
      </c>
      <c r="R537" s="7">
        <f t="shared" si="60"/>
        <v>8615.36</v>
      </c>
      <c r="S537" s="7">
        <f t="shared" si="61"/>
        <v>331.36</v>
      </c>
      <c r="T537" s="6">
        <f t="shared" si="62"/>
        <v>2.1276595744680851E-2</v>
      </c>
      <c r="V537" t="s">
        <v>29</v>
      </c>
    </row>
    <row r="538" spans="1:22">
      <c r="A538" s="3">
        <v>45680</v>
      </c>
      <c r="B538" t="str">
        <f t="shared" si="56"/>
        <v>yyyy-01</v>
      </c>
      <c r="C538">
        <f t="shared" si="57"/>
        <v>4</v>
      </c>
      <c r="D538" t="s">
        <v>24</v>
      </c>
      <c r="E538" t="s">
        <v>40</v>
      </c>
      <c r="F538" t="s">
        <v>41</v>
      </c>
      <c r="G538" t="s">
        <v>31</v>
      </c>
      <c r="H538" t="s">
        <v>32</v>
      </c>
      <c r="I538" s="5">
        <v>759</v>
      </c>
      <c r="J538" s="5">
        <v>529</v>
      </c>
      <c r="K538" s="5">
        <v>38</v>
      </c>
      <c r="L538" s="5">
        <v>12</v>
      </c>
      <c r="M538" s="5">
        <v>14</v>
      </c>
      <c r="N538" s="7">
        <v>180.15</v>
      </c>
      <c r="O538" s="7">
        <f t="shared" si="58"/>
        <v>2522.1</v>
      </c>
      <c r="P538" s="4">
        <v>0</v>
      </c>
      <c r="Q538" s="7">
        <f t="shared" si="59"/>
        <v>0</v>
      </c>
      <c r="R538" s="7">
        <f t="shared" si="60"/>
        <v>2522.1</v>
      </c>
      <c r="S538" s="7">
        <f t="shared" si="61"/>
        <v>210.17499999999998</v>
      </c>
      <c r="T538" s="6">
        <f t="shared" si="62"/>
        <v>1.5810276679841896E-2</v>
      </c>
      <c r="V538" t="s">
        <v>29</v>
      </c>
    </row>
    <row r="539" spans="1:22">
      <c r="A539" s="3">
        <v>45680</v>
      </c>
      <c r="B539" t="str">
        <f t="shared" si="56"/>
        <v>yyyy-01</v>
      </c>
      <c r="C539">
        <f t="shared" si="57"/>
        <v>4</v>
      </c>
      <c r="D539" t="s">
        <v>42</v>
      </c>
      <c r="E539" t="s">
        <v>43</v>
      </c>
      <c r="F539" t="s">
        <v>44</v>
      </c>
      <c r="G539" t="s">
        <v>31</v>
      </c>
      <c r="H539" t="s">
        <v>32</v>
      </c>
      <c r="I539" s="5">
        <v>445</v>
      </c>
      <c r="J539" s="5">
        <v>321</v>
      </c>
      <c r="K539" s="5">
        <v>32</v>
      </c>
      <c r="L539" s="5">
        <v>7</v>
      </c>
      <c r="M539" s="5">
        <v>7</v>
      </c>
      <c r="N539" s="7">
        <v>1266.23</v>
      </c>
      <c r="O539" s="7">
        <f t="shared" si="58"/>
        <v>8863.61</v>
      </c>
      <c r="P539" s="4">
        <v>0.1</v>
      </c>
      <c r="Q539" s="7">
        <f t="shared" si="59"/>
        <v>886.3610000000001</v>
      </c>
      <c r="R539" s="7">
        <f t="shared" si="60"/>
        <v>7977.2490000000007</v>
      </c>
      <c r="S539" s="7">
        <f t="shared" si="61"/>
        <v>1139.6070000000002</v>
      </c>
      <c r="T539" s="6">
        <f t="shared" si="62"/>
        <v>1.5730337078651686E-2</v>
      </c>
      <c r="U539" t="s">
        <v>80</v>
      </c>
      <c r="V539" t="s">
        <v>29</v>
      </c>
    </row>
    <row r="540" spans="1:22">
      <c r="A540" s="3">
        <v>45680</v>
      </c>
      <c r="B540" t="str">
        <f t="shared" si="56"/>
        <v>yyyy-01</v>
      </c>
      <c r="C540">
        <f t="shared" si="57"/>
        <v>4</v>
      </c>
      <c r="D540" t="s">
        <v>42</v>
      </c>
      <c r="E540" t="s">
        <v>43</v>
      </c>
      <c r="F540" t="s">
        <v>46</v>
      </c>
      <c r="G540" t="s">
        <v>31</v>
      </c>
      <c r="H540" t="s">
        <v>32</v>
      </c>
      <c r="I540" s="5">
        <v>497</v>
      </c>
      <c r="J540" s="5">
        <v>308</v>
      </c>
      <c r="K540" s="5">
        <v>29</v>
      </c>
      <c r="L540" s="5">
        <v>11</v>
      </c>
      <c r="M540" s="5">
        <v>11</v>
      </c>
      <c r="N540" s="7">
        <v>2166.92</v>
      </c>
      <c r="O540" s="7">
        <f t="shared" si="58"/>
        <v>23836.120000000003</v>
      </c>
      <c r="P540" s="4">
        <v>0.1</v>
      </c>
      <c r="Q540" s="7">
        <f t="shared" si="59"/>
        <v>2383.6120000000005</v>
      </c>
      <c r="R540" s="7">
        <f t="shared" si="60"/>
        <v>21452.508000000002</v>
      </c>
      <c r="S540" s="7">
        <f t="shared" si="61"/>
        <v>1950.2280000000001</v>
      </c>
      <c r="T540" s="6">
        <f t="shared" si="62"/>
        <v>2.2132796780684104E-2</v>
      </c>
      <c r="U540" t="s">
        <v>80</v>
      </c>
      <c r="V540" t="s">
        <v>29</v>
      </c>
    </row>
    <row r="541" spans="1:22">
      <c r="A541" s="3">
        <v>45680</v>
      </c>
      <c r="B541" t="str">
        <f t="shared" si="56"/>
        <v>yyyy-01</v>
      </c>
      <c r="C541">
        <f t="shared" si="57"/>
        <v>4</v>
      </c>
      <c r="D541" t="s">
        <v>42</v>
      </c>
      <c r="E541" t="s">
        <v>43</v>
      </c>
      <c r="F541" t="s">
        <v>47</v>
      </c>
      <c r="G541" t="s">
        <v>36</v>
      </c>
      <c r="H541" t="s">
        <v>37</v>
      </c>
      <c r="I541" s="5">
        <v>475</v>
      </c>
      <c r="J541" s="5">
        <v>291</v>
      </c>
      <c r="K541" s="5">
        <v>38</v>
      </c>
      <c r="L541" s="5">
        <v>10</v>
      </c>
      <c r="M541" s="5">
        <v>10</v>
      </c>
      <c r="N541" s="7">
        <v>590.92999999999995</v>
      </c>
      <c r="O541" s="7">
        <f t="shared" si="58"/>
        <v>5909.2999999999993</v>
      </c>
      <c r="P541" s="4">
        <v>0.1</v>
      </c>
      <c r="Q541" s="7">
        <f t="shared" si="59"/>
        <v>590.92999999999995</v>
      </c>
      <c r="R541" s="7">
        <f t="shared" si="60"/>
        <v>5318.369999999999</v>
      </c>
      <c r="S541" s="7">
        <f t="shared" si="61"/>
        <v>531.83699999999988</v>
      </c>
      <c r="T541" s="6">
        <f t="shared" si="62"/>
        <v>2.1052631578947368E-2</v>
      </c>
      <c r="U541" t="s">
        <v>80</v>
      </c>
      <c r="V541" t="s">
        <v>29</v>
      </c>
    </row>
    <row r="542" spans="1:22">
      <c r="A542" s="3">
        <v>45680</v>
      </c>
      <c r="B542" t="str">
        <f t="shared" si="56"/>
        <v>yyyy-01</v>
      </c>
      <c r="C542">
        <f t="shared" si="57"/>
        <v>4</v>
      </c>
      <c r="D542" t="s">
        <v>42</v>
      </c>
      <c r="E542" t="s">
        <v>49</v>
      </c>
      <c r="F542" t="s">
        <v>50</v>
      </c>
      <c r="G542" t="s">
        <v>31</v>
      </c>
      <c r="H542" t="s">
        <v>32</v>
      </c>
      <c r="I542" s="5">
        <v>165</v>
      </c>
      <c r="J542" s="5">
        <v>97</v>
      </c>
      <c r="K542" s="5">
        <v>10</v>
      </c>
      <c r="L542" s="5">
        <v>3</v>
      </c>
      <c r="M542" s="5">
        <v>3</v>
      </c>
      <c r="N542" s="7">
        <v>964.18</v>
      </c>
      <c r="O542" s="7">
        <f t="shared" si="58"/>
        <v>2892.54</v>
      </c>
      <c r="P542" s="4">
        <v>0</v>
      </c>
      <c r="Q542" s="7">
        <f t="shared" si="59"/>
        <v>0</v>
      </c>
      <c r="R542" s="7">
        <f t="shared" si="60"/>
        <v>2892.54</v>
      </c>
      <c r="S542" s="7">
        <f t="shared" si="61"/>
        <v>964.18</v>
      </c>
      <c r="T542" s="6">
        <f t="shared" si="62"/>
        <v>1.8181818181818181E-2</v>
      </c>
      <c r="V542" t="s">
        <v>29</v>
      </c>
    </row>
    <row r="543" spans="1:22">
      <c r="A543" s="3">
        <v>45680</v>
      </c>
      <c r="B543" t="str">
        <f t="shared" si="56"/>
        <v>yyyy-01</v>
      </c>
      <c r="C543">
        <f t="shared" si="57"/>
        <v>4</v>
      </c>
      <c r="D543" t="s">
        <v>42</v>
      </c>
      <c r="E543" t="s">
        <v>51</v>
      </c>
      <c r="F543" t="s">
        <v>52</v>
      </c>
      <c r="G543" t="s">
        <v>27</v>
      </c>
      <c r="H543" t="s">
        <v>45</v>
      </c>
      <c r="I543" s="5">
        <v>279</v>
      </c>
      <c r="J543" s="5">
        <v>216</v>
      </c>
      <c r="K543" s="5">
        <v>12</v>
      </c>
      <c r="L543" s="5">
        <v>3</v>
      </c>
      <c r="M543" s="5">
        <v>3</v>
      </c>
      <c r="N543" s="7">
        <v>591.22</v>
      </c>
      <c r="O543" s="7">
        <f t="shared" si="58"/>
        <v>1773.66</v>
      </c>
      <c r="P543" s="4">
        <v>0</v>
      </c>
      <c r="Q543" s="7">
        <f t="shared" si="59"/>
        <v>0</v>
      </c>
      <c r="R543" s="7">
        <f t="shared" si="60"/>
        <v>1773.66</v>
      </c>
      <c r="S543" s="7">
        <f t="shared" si="61"/>
        <v>591.22</v>
      </c>
      <c r="T543" s="6">
        <f t="shared" si="62"/>
        <v>1.0752688172043012E-2</v>
      </c>
      <c r="V543" t="s">
        <v>29</v>
      </c>
    </row>
    <row r="544" spans="1:22">
      <c r="A544" s="3">
        <v>45680</v>
      </c>
      <c r="B544" t="str">
        <f t="shared" si="56"/>
        <v>yyyy-01</v>
      </c>
      <c r="C544">
        <f t="shared" si="57"/>
        <v>4</v>
      </c>
      <c r="D544" t="s">
        <v>53</v>
      </c>
      <c r="E544" t="s">
        <v>54</v>
      </c>
      <c r="F544" t="s">
        <v>55</v>
      </c>
      <c r="G544" t="s">
        <v>31</v>
      </c>
      <c r="H544" t="s">
        <v>32</v>
      </c>
      <c r="I544" s="5">
        <v>168</v>
      </c>
      <c r="J544" s="5">
        <v>98</v>
      </c>
      <c r="K544" s="5">
        <v>9</v>
      </c>
      <c r="L544" s="5">
        <v>2</v>
      </c>
      <c r="M544" s="5">
        <v>2</v>
      </c>
      <c r="N544" s="7">
        <v>1295.5999999999999</v>
      </c>
      <c r="O544" s="7">
        <f t="shared" si="58"/>
        <v>2591.1999999999998</v>
      </c>
      <c r="P544" s="4">
        <v>0</v>
      </c>
      <c r="Q544" s="7">
        <f t="shared" si="59"/>
        <v>0</v>
      </c>
      <c r="R544" s="7">
        <f t="shared" si="60"/>
        <v>2591.1999999999998</v>
      </c>
      <c r="S544" s="7">
        <f t="shared" si="61"/>
        <v>1295.5999999999999</v>
      </c>
      <c r="T544" s="6">
        <f t="shared" si="62"/>
        <v>1.1904761904761904E-2</v>
      </c>
      <c r="V544" t="s">
        <v>29</v>
      </c>
    </row>
    <row r="545" spans="1:22">
      <c r="A545" s="3">
        <v>45680</v>
      </c>
      <c r="B545" t="str">
        <f t="shared" si="56"/>
        <v>yyyy-01</v>
      </c>
      <c r="C545">
        <f t="shared" si="57"/>
        <v>4</v>
      </c>
      <c r="D545" t="s">
        <v>53</v>
      </c>
      <c r="E545" t="s">
        <v>56</v>
      </c>
      <c r="F545" t="s">
        <v>57</v>
      </c>
      <c r="G545" t="s">
        <v>27</v>
      </c>
      <c r="H545" t="s">
        <v>63</v>
      </c>
      <c r="I545" s="5">
        <v>124</v>
      </c>
      <c r="J545" s="5">
        <v>99</v>
      </c>
      <c r="K545" s="5">
        <v>6</v>
      </c>
      <c r="L545" s="5">
        <v>2</v>
      </c>
      <c r="M545" s="5">
        <v>2</v>
      </c>
      <c r="N545" s="7">
        <v>728.06</v>
      </c>
      <c r="O545" s="7">
        <f t="shared" si="58"/>
        <v>1456.12</v>
      </c>
      <c r="P545" s="4">
        <v>0.08</v>
      </c>
      <c r="Q545" s="7">
        <f t="shared" si="59"/>
        <v>116.4896</v>
      </c>
      <c r="R545" s="7">
        <f t="shared" si="60"/>
        <v>1339.6304</v>
      </c>
      <c r="S545" s="7">
        <f t="shared" si="61"/>
        <v>669.8152</v>
      </c>
      <c r="T545" s="6">
        <f t="shared" si="62"/>
        <v>1.6129032258064516E-2</v>
      </c>
      <c r="U545" t="s">
        <v>82</v>
      </c>
      <c r="V545" t="s">
        <v>29</v>
      </c>
    </row>
    <row r="546" spans="1:22">
      <c r="A546" s="3">
        <v>45680</v>
      </c>
      <c r="B546" t="str">
        <f t="shared" si="56"/>
        <v>yyyy-01</v>
      </c>
      <c r="C546">
        <f t="shared" si="57"/>
        <v>4</v>
      </c>
      <c r="D546" t="s">
        <v>53</v>
      </c>
      <c r="E546" t="s">
        <v>56</v>
      </c>
      <c r="F546" t="s">
        <v>58</v>
      </c>
      <c r="G546" t="s">
        <v>27</v>
      </c>
      <c r="H546" t="s">
        <v>45</v>
      </c>
      <c r="I546" s="5">
        <v>148</v>
      </c>
      <c r="J546" s="5">
        <v>98</v>
      </c>
      <c r="K546" s="5">
        <v>9</v>
      </c>
      <c r="L546" s="5">
        <v>3</v>
      </c>
      <c r="M546" s="5">
        <v>3</v>
      </c>
      <c r="N546" s="7">
        <v>898.8</v>
      </c>
      <c r="O546" s="7">
        <f t="shared" si="58"/>
        <v>2696.3999999999996</v>
      </c>
      <c r="P546" s="4">
        <v>0.08</v>
      </c>
      <c r="Q546" s="7">
        <f t="shared" si="59"/>
        <v>215.71199999999999</v>
      </c>
      <c r="R546" s="7">
        <f t="shared" si="60"/>
        <v>2480.6879999999996</v>
      </c>
      <c r="S546" s="7">
        <f t="shared" si="61"/>
        <v>826.89599999999984</v>
      </c>
      <c r="T546" s="6">
        <f t="shared" si="62"/>
        <v>2.0270270270270271E-2</v>
      </c>
      <c r="U546" t="s">
        <v>82</v>
      </c>
      <c r="V546" t="s">
        <v>29</v>
      </c>
    </row>
    <row r="547" spans="1:22">
      <c r="A547" s="3">
        <v>45680</v>
      </c>
      <c r="B547" t="str">
        <f t="shared" si="56"/>
        <v>yyyy-01</v>
      </c>
      <c r="C547">
        <f t="shared" si="57"/>
        <v>4</v>
      </c>
      <c r="D547" t="s">
        <v>53</v>
      </c>
      <c r="E547" t="s">
        <v>59</v>
      </c>
      <c r="F547" t="s">
        <v>60</v>
      </c>
      <c r="G547" t="s">
        <v>27</v>
      </c>
      <c r="H547" t="s">
        <v>48</v>
      </c>
      <c r="I547" s="5">
        <v>140</v>
      </c>
      <c r="J547" s="5">
        <v>100</v>
      </c>
      <c r="K547" s="5">
        <v>12</v>
      </c>
      <c r="L547" s="5">
        <v>1</v>
      </c>
      <c r="M547" s="5">
        <v>1</v>
      </c>
      <c r="N547" s="7">
        <v>675.22</v>
      </c>
      <c r="O547" s="7">
        <f t="shared" si="58"/>
        <v>675.22</v>
      </c>
      <c r="P547" s="4">
        <v>0</v>
      </c>
      <c r="Q547" s="7">
        <f t="shared" si="59"/>
        <v>0</v>
      </c>
      <c r="R547" s="7">
        <f t="shared" si="60"/>
        <v>675.22</v>
      </c>
      <c r="S547" s="7">
        <f t="shared" si="61"/>
        <v>675.22</v>
      </c>
      <c r="T547" s="6">
        <f t="shared" si="62"/>
        <v>7.1428571428571426E-3</v>
      </c>
      <c r="V547" t="s">
        <v>29</v>
      </c>
    </row>
    <row r="548" spans="1:22">
      <c r="A548" s="3">
        <v>45680</v>
      </c>
      <c r="B548" t="str">
        <f t="shared" si="56"/>
        <v>yyyy-01</v>
      </c>
      <c r="C548">
        <f t="shared" si="57"/>
        <v>4</v>
      </c>
      <c r="D548" t="s">
        <v>53</v>
      </c>
      <c r="E548" t="s">
        <v>61</v>
      </c>
      <c r="F548" t="s">
        <v>62</v>
      </c>
      <c r="G548" t="s">
        <v>36</v>
      </c>
      <c r="H548" t="s">
        <v>37</v>
      </c>
      <c r="I548" s="5">
        <v>170</v>
      </c>
      <c r="J548" s="5">
        <v>98</v>
      </c>
      <c r="K548" s="5">
        <v>11</v>
      </c>
      <c r="L548" s="5">
        <v>2</v>
      </c>
      <c r="M548" s="5">
        <v>2</v>
      </c>
      <c r="N548" s="7">
        <v>479.68</v>
      </c>
      <c r="O548" s="7">
        <f t="shared" si="58"/>
        <v>959.36</v>
      </c>
      <c r="P548" s="4">
        <v>0.03</v>
      </c>
      <c r="Q548" s="7">
        <f t="shared" si="59"/>
        <v>28.780799999999999</v>
      </c>
      <c r="R548" s="7">
        <f t="shared" si="60"/>
        <v>930.57920000000001</v>
      </c>
      <c r="S548" s="7">
        <f t="shared" si="61"/>
        <v>465.28960000000001</v>
      </c>
      <c r="T548" s="6">
        <f t="shared" si="62"/>
        <v>1.1764705882352941E-2</v>
      </c>
      <c r="V548" t="s">
        <v>29</v>
      </c>
    </row>
    <row r="549" spans="1:22">
      <c r="A549" s="3">
        <v>45680</v>
      </c>
      <c r="B549" t="str">
        <f t="shared" si="56"/>
        <v>yyyy-01</v>
      </c>
      <c r="C549">
        <f t="shared" si="57"/>
        <v>4</v>
      </c>
      <c r="D549" t="s">
        <v>53</v>
      </c>
      <c r="E549" t="s">
        <v>64</v>
      </c>
      <c r="F549" t="s">
        <v>65</v>
      </c>
      <c r="G549" t="s">
        <v>31</v>
      </c>
      <c r="H549" t="s">
        <v>32</v>
      </c>
      <c r="I549" s="5">
        <v>168</v>
      </c>
      <c r="J549" s="5">
        <v>88</v>
      </c>
      <c r="K549" s="5">
        <v>6</v>
      </c>
      <c r="L549" s="5">
        <v>2</v>
      </c>
      <c r="M549" s="5">
        <v>2</v>
      </c>
      <c r="N549" s="7">
        <v>814.79</v>
      </c>
      <c r="O549" s="7">
        <f t="shared" si="58"/>
        <v>1629.58</v>
      </c>
      <c r="P549" s="4">
        <v>0.03</v>
      </c>
      <c r="Q549" s="7">
        <f t="shared" si="59"/>
        <v>48.8874</v>
      </c>
      <c r="R549" s="7">
        <f t="shared" si="60"/>
        <v>1580.6925999999999</v>
      </c>
      <c r="S549" s="7">
        <f t="shared" si="61"/>
        <v>790.34629999999993</v>
      </c>
      <c r="T549" s="6">
        <f t="shared" si="62"/>
        <v>1.1904761904761904E-2</v>
      </c>
      <c r="V549" t="s">
        <v>29</v>
      </c>
    </row>
    <row r="550" spans="1:22">
      <c r="A550" s="3">
        <v>45680</v>
      </c>
      <c r="B550" t="str">
        <f t="shared" si="56"/>
        <v>yyyy-01</v>
      </c>
      <c r="C550">
        <f t="shared" si="57"/>
        <v>4</v>
      </c>
      <c r="D550" t="s">
        <v>66</v>
      </c>
      <c r="E550" t="s">
        <v>67</v>
      </c>
      <c r="F550" t="s">
        <v>68</v>
      </c>
      <c r="G550" t="s">
        <v>27</v>
      </c>
      <c r="H550" t="s">
        <v>63</v>
      </c>
      <c r="I550" s="5">
        <v>239</v>
      </c>
      <c r="J550" s="5">
        <v>170</v>
      </c>
      <c r="K550" s="5">
        <v>23</v>
      </c>
      <c r="L550" s="5">
        <v>5</v>
      </c>
      <c r="M550" s="5">
        <v>5</v>
      </c>
      <c r="N550" s="7">
        <v>672.28</v>
      </c>
      <c r="O550" s="7">
        <f t="shared" si="58"/>
        <v>3361.3999999999996</v>
      </c>
      <c r="P550" s="4">
        <v>0</v>
      </c>
      <c r="Q550" s="7">
        <f t="shared" si="59"/>
        <v>0</v>
      </c>
      <c r="R550" s="7">
        <f t="shared" si="60"/>
        <v>3361.3999999999996</v>
      </c>
      <c r="S550" s="7">
        <f t="shared" si="61"/>
        <v>672.28</v>
      </c>
      <c r="T550" s="6">
        <f t="shared" si="62"/>
        <v>2.0920502092050208E-2</v>
      </c>
      <c r="V550" t="s">
        <v>29</v>
      </c>
    </row>
    <row r="551" spans="1:22">
      <c r="A551" s="3">
        <v>45680</v>
      </c>
      <c r="B551" t="str">
        <f t="shared" si="56"/>
        <v>yyyy-01</v>
      </c>
      <c r="C551">
        <f t="shared" si="57"/>
        <v>4</v>
      </c>
      <c r="D551" t="s">
        <v>66</v>
      </c>
      <c r="E551" t="s">
        <v>67</v>
      </c>
      <c r="F551" t="s">
        <v>69</v>
      </c>
      <c r="G551" t="s">
        <v>27</v>
      </c>
      <c r="H551" t="s">
        <v>28</v>
      </c>
      <c r="I551" s="5">
        <v>303</v>
      </c>
      <c r="J551" s="5">
        <v>170</v>
      </c>
      <c r="K551" s="5">
        <v>21</v>
      </c>
      <c r="L551" s="5">
        <v>6</v>
      </c>
      <c r="M551" s="5">
        <v>6</v>
      </c>
      <c r="N551" s="7">
        <v>403.93</v>
      </c>
      <c r="O551" s="7">
        <f t="shared" si="58"/>
        <v>2423.58</v>
      </c>
      <c r="P551" s="4">
        <v>0</v>
      </c>
      <c r="Q551" s="7">
        <f t="shared" si="59"/>
        <v>0</v>
      </c>
      <c r="R551" s="7">
        <f t="shared" si="60"/>
        <v>2423.58</v>
      </c>
      <c r="S551" s="7">
        <f t="shared" si="61"/>
        <v>403.93</v>
      </c>
      <c r="T551" s="6">
        <f t="shared" si="62"/>
        <v>1.9801980198019802E-2</v>
      </c>
      <c r="V551" t="s">
        <v>29</v>
      </c>
    </row>
    <row r="552" spans="1:22">
      <c r="A552" s="3">
        <v>45680</v>
      </c>
      <c r="B552" t="str">
        <f t="shared" si="56"/>
        <v>yyyy-01</v>
      </c>
      <c r="C552">
        <f t="shared" si="57"/>
        <v>4</v>
      </c>
      <c r="D552" t="s">
        <v>66</v>
      </c>
      <c r="E552" t="s">
        <v>67</v>
      </c>
      <c r="F552" t="s">
        <v>70</v>
      </c>
      <c r="G552" t="s">
        <v>27</v>
      </c>
      <c r="H552" t="s">
        <v>45</v>
      </c>
      <c r="I552" s="5">
        <v>336</v>
      </c>
      <c r="J552" s="5">
        <v>190</v>
      </c>
      <c r="K552" s="5">
        <v>38</v>
      </c>
      <c r="L552" s="5">
        <v>8</v>
      </c>
      <c r="M552" s="5">
        <v>8</v>
      </c>
      <c r="N552" s="7">
        <v>346.39</v>
      </c>
      <c r="O552" s="7">
        <f t="shared" si="58"/>
        <v>2771.12</v>
      </c>
      <c r="P552" s="4">
        <v>0</v>
      </c>
      <c r="Q552" s="7">
        <f t="shared" si="59"/>
        <v>0</v>
      </c>
      <c r="R552" s="7">
        <f t="shared" si="60"/>
        <v>2771.12</v>
      </c>
      <c r="S552" s="7">
        <f t="shared" si="61"/>
        <v>346.39</v>
      </c>
      <c r="T552" s="6">
        <f t="shared" si="62"/>
        <v>2.3809523809523808E-2</v>
      </c>
      <c r="V552" t="s">
        <v>29</v>
      </c>
    </row>
    <row r="553" spans="1:22">
      <c r="A553" s="3">
        <v>45680</v>
      </c>
      <c r="B553" t="str">
        <f t="shared" si="56"/>
        <v>yyyy-01</v>
      </c>
      <c r="C553">
        <f t="shared" si="57"/>
        <v>4</v>
      </c>
      <c r="D553" t="s">
        <v>66</v>
      </c>
      <c r="E553" t="s">
        <v>71</v>
      </c>
      <c r="F553" t="s">
        <v>72</v>
      </c>
      <c r="G553" t="s">
        <v>31</v>
      </c>
      <c r="H553" t="s">
        <v>32</v>
      </c>
      <c r="I553" s="5">
        <v>337</v>
      </c>
      <c r="J553" s="5">
        <v>189</v>
      </c>
      <c r="K553" s="5">
        <v>33</v>
      </c>
      <c r="L553" s="5">
        <v>7</v>
      </c>
      <c r="M553" s="5">
        <v>8</v>
      </c>
      <c r="N553" s="7">
        <v>130.88</v>
      </c>
      <c r="O553" s="7">
        <f t="shared" si="58"/>
        <v>1047.04</v>
      </c>
      <c r="P553" s="4">
        <v>0</v>
      </c>
      <c r="Q553" s="7">
        <f t="shared" si="59"/>
        <v>0</v>
      </c>
      <c r="R553" s="7">
        <f t="shared" si="60"/>
        <v>1047.04</v>
      </c>
      <c r="S553" s="7">
        <f t="shared" si="61"/>
        <v>149.57714285714286</v>
      </c>
      <c r="T553" s="6">
        <f t="shared" si="62"/>
        <v>2.0771513353115726E-2</v>
      </c>
      <c r="V553" t="s">
        <v>29</v>
      </c>
    </row>
    <row r="554" spans="1:22">
      <c r="A554" s="3">
        <v>45680</v>
      </c>
      <c r="B554" t="str">
        <f t="shared" si="56"/>
        <v>yyyy-01</v>
      </c>
      <c r="C554">
        <f t="shared" si="57"/>
        <v>4</v>
      </c>
      <c r="D554" t="s">
        <v>66</v>
      </c>
      <c r="E554" t="s">
        <v>73</v>
      </c>
      <c r="F554" t="s">
        <v>74</v>
      </c>
      <c r="G554" t="s">
        <v>27</v>
      </c>
      <c r="H554" t="s">
        <v>45</v>
      </c>
      <c r="I554" s="5">
        <v>157</v>
      </c>
      <c r="J554" s="5">
        <v>126</v>
      </c>
      <c r="K554" s="5">
        <v>15</v>
      </c>
      <c r="L554" s="5">
        <v>3</v>
      </c>
      <c r="M554" s="5">
        <v>3</v>
      </c>
      <c r="N554" s="7">
        <v>1159.56</v>
      </c>
      <c r="O554" s="7">
        <f t="shared" si="58"/>
        <v>3478.68</v>
      </c>
      <c r="P554" s="4">
        <v>0.05</v>
      </c>
      <c r="Q554" s="7">
        <f t="shared" si="59"/>
        <v>173.934</v>
      </c>
      <c r="R554" s="7">
        <f t="shared" si="60"/>
        <v>3304.7459999999996</v>
      </c>
      <c r="S554" s="7">
        <f t="shared" si="61"/>
        <v>1101.5819999999999</v>
      </c>
      <c r="T554" s="6">
        <f t="shared" si="62"/>
        <v>1.9108280254777069E-2</v>
      </c>
      <c r="V554" t="s">
        <v>29</v>
      </c>
    </row>
    <row r="555" spans="1:22">
      <c r="A555" s="3">
        <v>45680</v>
      </c>
      <c r="B555" t="str">
        <f t="shared" si="56"/>
        <v>yyyy-01</v>
      </c>
      <c r="C555">
        <f t="shared" si="57"/>
        <v>4</v>
      </c>
      <c r="D555" t="s">
        <v>66</v>
      </c>
      <c r="E555" t="s">
        <v>71</v>
      </c>
      <c r="F555" t="s">
        <v>75</v>
      </c>
      <c r="G555" t="s">
        <v>36</v>
      </c>
      <c r="H555" t="s">
        <v>37</v>
      </c>
      <c r="I555" s="5">
        <v>333</v>
      </c>
      <c r="J555" s="5">
        <v>215</v>
      </c>
      <c r="K555" s="5">
        <v>25</v>
      </c>
      <c r="L555" s="5">
        <v>6</v>
      </c>
      <c r="M555" s="5">
        <v>8</v>
      </c>
      <c r="N555" s="7">
        <v>39.619999999999997</v>
      </c>
      <c r="O555" s="7">
        <f t="shared" si="58"/>
        <v>316.95999999999998</v>
      </c>
      <c r="P555" s="4">
        <v>0</v>
      </c>
      <c r="Q555" s="7">
        <f t="shared" si="59"/>
        <v>0</v>
      </c>
      <c r="R555" s="7">
        <f t="shared" si="60"/>
        <v>316.95999999999998</v>
      </c>
      <c r="S555" s="7">
        <f t="shared" si="61"/>
        <v>52.826666666666661</v>
      </c>
      <c r="T555" s="6">
        <f t="shared" si="62"/>
        <v>1.8018018018018018E-2</v>
      </c>
      <c r="V555" t="s">
        <v>29</v>
      </c>
    </row>
    <row r="556" spans="1:22">
      <c r="A556" s="3">
        <v>45680</v>
      </c>
      <c r="B556" t="str">
        <f t="shared" si="56"/>
        <v>yyyy-01</v>
      </c>
      <c r="C556">
        <f t="shared" si="57"/>
        <v>4</v>
      </c>
      <c r="D556" t="s">
        <v>24</v>
      </c>
      <c r="E556" t="s">
        <v>76</v>
      </c>
      <c r="F556" t="s">
        <v>77</v>
      </c>
      <c r="G556" t="s">
        <v>36</v>
      </c>
      <c r="H556" t="s">
        <v>37</v>
      </c>
      <c r="I556" s="5">
        <v>382</v>
      </c>
      <c r="J556" s="5">
        <v>220</v>
      </c>
      <c r="K556" s="5">
        <v>35</v>
      </c>
      <c r="L556" s="5">
        <v>9</v>
      </c>
      <c r="M556" s="5">
        <v>11</v>
      </c>
      <c r="N556" s="7">
        <v>193.8</v>
      </c>
      <c r="O556" s="7">
        <f t="shared" si="58"/>
        <v>2131.8000000000002</v>
      </c>
      <c r="P556" s="4">
        <v>0</v>
      </c>
      <c r="Q556" s="7">
        <f t="shared" si="59"/>
        <v>0</v>
      </c>
      <c r="R556" s="7">
        <f t="shared" si="60"/>
        <v>2131.8000000000002</v>
      </c>
      <c r="S556" s="7">
        <f t="shared" si="61"/>
        <v>236.86666666666667</v>
      </c>
      <c r="T556" s="6">
        <f t="shared" si="62"/>
        <v>2.356020942408377E-2</v>
      </c>
      <c r="V556" t="s">
        <v>29</v>
      </c>
    </row>
    <row r="557" spans="1:22">
      <c r="A557" s="3">
        <v>45681</v>
      </c>
      <c r="B557" t="str">
        <f t="shared" si="56"/>
        <v>yyyy-01</v>
      </c>
      <c r="C557">
        <f t="shared" si="57"/>
        <v>4</v>
      </c>
      <c r="D557" t="s">
        <v>24</v>
      </c>
      <c r="E557" t="s">
        <v>25</v>
      </c>
      <c r="F557" t="s">
        <v>26</v>
      </c>
      <c r="G557" t="s">
        <v>31</v>
      </c>
      <c r="H557" t="s">
        <v>32</v>
      </c>
      <c r="I557" s="5">
        <v>2014</v>
      </c>
      <c r="J557" s="5">
        <v>1130</v>
      </c>
      <c r="K557" s="5">
        <v>126</v>
      </c>
      <c r="L557" s="5">
        <v>37</v>
      </c>
      <c r="M557" s="5">
        <v>37</v>
      </c>
      <c r="N557" s="7">
        <v>970.07</v>
      </c>
      <c r="O557" s="7">
        <f t="shared" si="58"/>
        <v>35892.590000000004</v>
      </c>
      <c r="P557" s="4">
        <v>0.05</v>
      </c>
      <c r="Q557" s="7">
        <f t="shared" si="59"/>
        <v>1794.6295000000002</v>
      </c>
      <c r="R557" s="7">
        <f t="shared" si="60"/>
        <v>34097.960500000001</v>
      </c>
      <c r="S557" s="7">
        <f t="shared" si="61"/>
        <v>921.56650000000002</v>
      </c>
      <c r="T557" s="6">
        <f t="shared" si="62"/>
        <v>1.8371400198609732E-2</v>
      </c>
      <c r="V557" t="s">
        <v>78</v>
      </c>
    </row>
    <row r="558" spans="1:22">
      <c r="A558" s="3">
        <v>45681</v>
      </c>
      <c r="B558" t="str">
        <f t="shared" si="56"/>
        <v>yyyy-01</v>
      </c>
      <c r="C558">
        <f t="shared" si="57"/>
        <v>4</v>
      </c>
      <c r="D558" t="s">
        <v>24</v>
      </c>
      <c r="E558" t="s">
        <v>25</v>
      </c>
      <c r="F558" t="s">
        <v>30</v>
      </c>
      <c r="G558" t="s">
        <v>36</v>
      </c>
      <c r="H558" t="s">
        <v>37</v>
      </c>
      <c r="I558" s="5">
        <v>1696</v>
      </c>
      <c r="J558" s="5">
        <v>983</v>
      </c>
      <c r="K558" s="5">
        <v>112</v>
      </c>
      <c r="L558" s="5">
        <v>26</v>
      </c>
      <c r="M558" s="5">
        <v>26</v>
      </c>
      <c r="N558" s="7">
        <v>389.5</v>
      </c>
      <c r="O558" s="7">
        <f t="shared" si="58"/>
        <v>10127</v>
      </c>
      <c r="P558" s="4">
        <v>0</v>
      </c>
      <c r="Q558" s="7">
        <f t="shared" si="59"/>
        <v>0</v>
      </c>
      <c r="R558" s="7">
        <f t="shared" si="60"/>
        <v>10127</v>
      </c>
      <c r="S558" s="7">
        <f t="shared" si="61"/>
        <v>389.5</v>
      </c>
      <c r="T558" s="6">
        <f t="shared" si="62"/>
        <v>1.5330188679245283E-2</v>
      </c>
      <c r="V558" t="s">
        <v>29</v>
      </c>
    </row>
    <row r="559" spans="1:22">
      <c r="A559" s="3">
        <v>45681</v>
      </c>
      <c r="B559" t="str">
        <f t="shared" si="56"/>
        <v>yyyy-01</v>
      </c>
      <c r="C559">
        <f t="shared" si="57"/>
        <v>4</v>
      </c>
      <c r="D559" t="s">
        <v>24</v>
      </c>
      <c r="E559" t="s">
        <v>25</v>
      </c>
      <c r="F559" t="s">
        <v>33</v>
      </c>
      <c r="G559" t="s">
        <v>36</v>
      </c>
      <c r="H559" t="s">
        <v>37</v>
      </c>
      <c r="I559" s="5">
        <v>1552</v>
      </c>
      <c r="J559" s="5">
        <v>892</v>
      </c>
      <c r="K559" s="5">
        <v>133</v>
      </c>
      <c r="L559" s="5">
        <v>40</v>
      </c>
      <c r="M559" s="5">
        <v>40</v>
      </c>
      <c r="N559" s="7">
        <v>1801.29</v>
      </c>
      <c r="O559" s="7">
        <f t="shared" si="58"/>
        <v>72051.600000000006</v>
      </c>
      <c r="P559" s="4">
        <v>0.05</v>
      </c>
      <c r="Q559" s="7">
        <f t="shared" si="59"/>
        <v>3602.5800000000004</v>
      </c>
      <c r="R559" s="7">
        <f t="shared" si="60"/>
        <v>68449.02</v>
      </c>
      <c r="S559" s="7">
        <f t="shared" si="61"/>
        <v>1711.2255</v>
      </c>
      <c r="T559" s="6">
        <f t="shared" si="62"/>
        <v>2.5773195876288658E-2</v>
      </c>
      <c r="V559" t="s">
        <v>29</v>
      </c>
    </row>
    <row r="560" spans="1:22">
      <c r="A560" s="3">
        <v>45681</v>
      </c>
      <c r="B560" t="str">
        <f t="shared" si="56"/>
        <v>yyyy-01</v>
      </c>
      <c r="C560">
        <f t="shared" si="57"/>
        <v>4</v>
      </c>
      <c r="D560" t="s">
        <v>24</v>
      </c>
      <c r="E560" t="s">
        <v>34</v>
      </c>
      <c r="F560" t="s">
        <v>35</v>
      </c>
      <c r="G560" t="s">
        <v>27</v>
      </c>
      <c r="H560" t="s">
        <v>48</v>
      </c>
      <c r="I560" s="5">
        <v>746</v>
      </c>
      <c r="J560" s="5">
        <v>567</v>
      </c>
      <c r="K560" s="5">
        <v>72</v>
      </c>
      <c r="L560" s="5">
        <v>16</v>
      </c>
      <c r="M560" s="5">
        <v>16</v>
      </c>
      <c r="N560" s="7">
        <v>884.3</v>
      </c>
      <c r="O560" s="7">
        <f t="shared" si="58"/>
        <v>14148.8</v>
      </c>
      <c r="P560" s="4">
        <v>0</v>
      </c>
      <c r="Q560" s="7">
        <f t="shared" si="59"/>
        <v>0</v>
      </c>
      <c r="R560" s="7">
        <f t="shared" si="60"/>
        <v>14148.8</v>
      </c>
      <c r="S560" s="7">
        <f t="shared" si="61"/>
        <v>884.3</v>
      </c>
      <c r="T560" s="6">
        <f t="shared" si="62"/>
        <v>2.1447721179624665E-2</v>
      </c>
      <c r="V560" t="s">
        <v>29</v>
      </c>
    </row>
    <row r="561" spans="1:22">
      <c r="A561" s="3">
        <v>45681</v>
      </c>
      <c r="B561" t="str">
        <f t="shared" si="56"/>
        <v>yyyy-01</v>
      </c>
      <c r="C561">
        <f t="shared" si="57"/>
        <v>4</v>
      </c>
      <c r="D561" t="s">
        <v>24</v>
      </c>
      <c r="E561" t="s">
        <v>38</v>
      </c>
      <c r="F561" t="s">
        <v>39</v>
      </c>
      <c r="G561" t="s">
        <v>27</v>
      </c>
      <c r="H561" t="s">
        <v>63</v>
      </c>
      <c r="I561" s="5">
        <v>365</v>
      </c>
      <c r="J561" s="5">
        <v>278</v>
      </c>
      <c r="K561" s="5">
        <v>30</v>
      </c>
      <c r="L561" s="5">
        <v>8</v>
      </c>
      <c r="M561" s="5">
        <v>8</v>
      </c>
      <c r="N561" s="7">
        <v>316.68</v>
      </c>
      <c r="O561" s="7">
        <f t="shared" si="58"/>
        <v>2533.44</v>
      </c>
      <c r="P561" s="4">
        <v>0.03</v>
      </c>
      <c r="Q561" s="7">
        <f t="shared" si="59"/>
        <v>76.003199999999993</v>
      </c>
      <c r="R561" s="7">
        <f t="shared" si="60"/>
        <v>2457.4367999999999</v>
      </c>
      <c r="S561" s="7">
        <f t="shared" si="61"/>
        <v>307.17959999999999</v>
      </c>
      <c r="T561" s="6">
        <f t="shared" si="62"/>
        <v>2.1917808219178082E-2</v>
      </c>
      <c r="V561" t="s">
        <v>29</v>
      </c>
    </row>
    <row r="562" spans="1:22">
      <c r="A562" s="3">
        <v>45681</v>
      </c>
      <c r="B562" t="str">
        <f t="shared" si="56"/>
        <v>yyyy-01</v>
      </c>
      <c r="C562">
        <f t="shared" si="57"/>
        <v>4</v>
      </c>
      <c r="D562" t="s">
        <v>24</v>
      </c>
      <c r="E562" t="s">
        <v>40</v>
      </c>
      <c r="F562" t="s">
        <v>41</v>
      </c>
      <c r="G562" t="s">
        <v>27</v>
      </c>
      <c r="H562" t="s">
        <v>63</v>
      </c>
      <c r="I562" s="5">
        <v>436</v>
      </c>
      <c r="J562" s="5">
        <v>359</v>
      </c>
      <c r="K562" s="5">
        <v>36</v>
      </c>
      <c r="L562" s="5">
        <v>7</v>
      </c>
      <c r="M562" s="5">
        <v>9</v>
      </c>
      <c r="N562" s="7">
        <v>173.88</v>
      </c>
      <c r="O562" s="7">
        <f t="shared" si="58"/>
        <v>1564.92</v>
      </c>
      <c r="P562" s="4">
        <v>0.03</v>
      </c>
      <c r="Q562" s="7">
        <f t="shared" si="59"/>
        <v>46.947600000000001</v>
      </c>
      <c r="R562" s="7">
        <f t="shared" si="60"/>
        <v>1517.9724000000001</v>
      </c>
      <c r="S562" s="7">
        <f t="shared" si="61"/>
        <v>216.85320000000002</v>
      </c>
      <c r="T562" s="6">
        <f t="shared" si="62"/>
        <v>1.6055045871559634E-2</v>
      </c>
      <c r="V562" t="s">
        <v>29</v>
      </c>
    </row>
    <row r="563" spans="1:22">
      <c r="A563" s="3">
        <v>45681</v>
      </c>
      <c r="B563" t="str">
        <f t="shared" si="56"/>
        <v>yyyy-01</v>
      </c>
      <c r="C563">
        <f t="shared" si="57"/>
        <v>4</v>
      </c>
      <c r="D563" t="s">
        <v>42</v>
      </c>
      <c r="E563" t="s">
        <v>43</v>
      </c>
      <c r="F563" t="s">
        <v>44</v>
      </c>
      <c r="G563" t="s">
        <v>36</v>
      </c>
      <c r="H563" t="s">
        <v>37</v>
      </c>
      <c r="I563" s="5">
        <v>497</v>
      </c>
      <c r="J563" s="5">
        <v>284</v>
      </c>
      <c r="K563" s="5">
        <v>38</v>
      </c>
      <c r="L563" s="5">
        <v>8</v>
      </c>
      <c r="M563" s="5">
        <v>8</v>
      </c>
      <c r="N563" s="7">
        <v>1317.47</v>
      </c>
      <c r="O563" s="7">
        <f t="shared" si="58"/>
        <v>10539.76</v>
      </c>
      <c r="P563" s="4">
        <v>0.1</v>
      </c>
      <c r="Q563" s="7">
        <f t="shared" si="59"/>
        <v>1053.9760000000001</v>
      </c>
      <c r="R563" s="7">
        <f t="shared" si="60"/>
        <v>9485.7839999999997</v>
      </c>
      <c r="S563" s="7">
        <f t="shared" si="61"/>
        <v>1185.723</v>
      </c>
      <c r="T563" s="6">
        <f t="shared" si="62"/>
        <v>1.6096579476861168E-2</v>
      </c>
      <c r="U563" t="s">
        <v>80</v>
      </c>
      <c r="V563" t="s">
        <v>29</v>
      </c>
    </row>
    <row r="564" spans="1:22">
      <c r="A564" s="3">
        <v>45681</v>
      </c>
      <c r="B564" t="str">
        <f t="shared" si="56"/>
        <v>yyyy-01</v>
      </c>
      <c r="C564">
        <f t="shared" si="57"/>
        <v>4</v>
      </c>
      <c r="D564" t="s">
        <v>42</v>
      </c>
      <c r="E564" t="s">
        <v>43</v>
      </c>
      <c r="F564" t="s">
        <v>46</v>
      </c>
      <c r="G564" t="s">
        <v>36</v>
      </c>
      <c r="H564" t="s">
        <v>37</v>
      </c>
      <c r="I564" s="5">
        <v>429</v>
      </c>
      <c r="J564" s="5">
        <v>235</v>
      </c>
      <c r="K564" s="5">
        <v>20</v>
      </c>
      <c r="L564" s="5">
        <v>8</v>
      </c>
      <c r="M564" s="5">
        <v>8</v>
      </c>
      <c r="N564" s="7">
        <v>2229.04</v>
      </c>
      <c r="O564" s="7">
        <f t="shared" si="58"/>
        <v>17832.32</v>
      </c>
      <c r="P564" s="4">
        <v>0.1</v>
      </c>
      <c r="Q564" s="7">
        <f t="shared" si="59"/>
        <v>1783.232</v>
      </c>
      <c r="R564" s="7">
        <f t="shared" si="60"/>
        <v>16049.088</v>
      </c>
      <c r="S564" s="7">
        <f t="shared" si="61"/>
        <v>2006.136</v>
      </c>
      <c r="T564" s="6">
        <f t="shared" si="62"/>
        <v>1.8648018648018648E-2</v>
      </c>
      <c r="U564" t="s">
        <v>80</v>
      </c>
      <c r="V564" t="s">
        <v>29</v>
      </c>
    </row>
    <row r="565" spans="1:22">
      <c r="A565" s="3">
        <v>45681</v>
      </c>
      <c r="B565" t="str">
        <f t="shared" si="56"/>
        <v>yyyy-01</v>
      </c>
      <c r="C565">
        <f t="shared" si="57"/>
        <v>4</v>
      </c>
      <c r="D565" t="s">
        <v>42</v>
      </c>
      <c r="E565" t="s">
        <v>43</v>
      </c>
      <c r="F565" t="s">
        <v>47</v>
      </c>
      <c r="G565" t="s">
        <v>27</v>
      </c>
      <c r="H565" t="s">
        <v>28</v>
      </c>
      <c r="I565" s="5">
        <v>439</v>
      </c>
      <c r="J565" s="5">
        <v>290</v>
      </c>
      <c r="K565" s="5">
        <v>42</v>
      </c>
      <c r="L565" s="5">
        <v>9</v>
      </c>
      <c r="M565" s="5">
        <v>9</v>
      </c>
      <c r="N565" s="7">
        <v>578.28</v>
      </c>
      <c r="O565" s="7">
        <f t="shared" si="58"/>
        <v>5204.5199999999995</v>
      </c>
      <c r="P565" s="4">
        <v>0.1</v>
      </c>
      <c r="Q565" s="7">
        <f t="shared" si="59"/>
        <v>520.452</v>
      </c>
      <c r="R565" s="7">
        <f t="shared" si="60"/>
        <v>4684.0679999999993</v>
      </c>
      <c r="S565" s="7">
        <f t="shared" si="61"/>
        <v>520.45199999999988</v>
      </c>
      <c r="T565" s="6">
        <f t="shared" si="62"/>
        <v>2.0501138952164009E-2</v>
      </c>
      <c r="U565" t="s">
        <v>80</v>
      </c>
      <c r="V565" t="s">
        <v>29</v>
      </c>
    </row>
    <row r="566" spans="1:22">
      <c r="A566" s="3">
        <v>45681</v>
      </c>
      <c r="B566" t="str">
        <f t="shared" si="56"/>
        <v>yyyy-01</v>
      </c>
      <c r="C566">
        <f t="shared" si="57"/>
        <v>4</v>
      </c>
      <c r="D566" t="s">
        <v>42</v>
      </c>
      <c r="E566" t="s">
        <v>49</v>
      </c>
      <c r="F566" t="s">
        <v>50</v>
      </c>
      <c r="G566" t="s">
        <v>36</v>
      </c>
      <c r="H566" t="s">
        <v>37</v>
      </c>
      <c r="I566" s="5">
        <v>160</v>
      </c>
      <c r="J566" s="5">
        <v>122</v>
      </c>
      <c r="K566" s="5">
        <v>7</v>
      </c>
      <c r="L566" s="5">
        <v>3</v>
      </c>
      <c r="M566" s="5">
        <v>3</v>
      </c>
      <c r="N566" s="7">
        <v>985.98</v>
      </c>
      <c r="O566" s="7">
        <f t="shared" si="58"/>
        <v>2957.94</v>
      </c>
      <c r="P566" s="4">
        <v>0.05</v>
      </c>
      <c r="Q566" s="7">
        <f t="shared" si="59"/>
        <v>147.89700000000002</v>
      </c>
      <c r="R566" s="7">
        <f t="shared" si="60"/>
        <v>2810.0430000000001</v>
      </c>
      <c r="S566" s="7">
        <f t="shared" si="61"/>
        <v>936.68100000000004</v>
      </c>
      <c r="T566" s="6">
        <f t="shared" si="62"/>
        <v>1.8749999999999999E-2</v>
      </c>
      <c r="V566" t="s">
        <v>29</v>
      </c>
    </row>
    <row r="567" spans="1:22">
      <c r="A567" s="3">
        <v>45681</v>
      </c>
      <c r="B567" t="str">
        <f t="shared" si="56"/>
        <v>yyyy-01</v>
      </c>
      <c r="C567">
        <f t="shared" si="57"/>
        <v>4</v>
      </c>
      <c r="D567" t="s">
        <v>42</v>
      </c>
      <c r="E567" t="s">
        <v>51</v>
      </c>
      <c r="F567" t="s">
        <v>52</v>
      </c>
      <c r="G567" t="s">
        <v>36</v>
      </c>
      <c r="H567" t="s">
        <v>37</v>
      </c>
      <c r="I567" s="5">
        <v>250</v>
      </c>
      <c r="J567" s="5">
        <v>177</v>
      </c>
      <c r="K567" s="5">
        <v>11</v>
      </c>
      <c r="L567" s="5">
        <v>3</v>
      </c>
      <c r="M567" s="5">
        <v>3</v>
      </c>
      <c r="N567" s="7">
        <v>581.17999999999995</v>
      </c>
      <c r="O567" s="7">
        <f t="shared" si="58"/>
        <v>1743.54</v>
      </c>
      <c r="P567" s="4">
        <v>0.03</v>
      </c>
      <c r="Q567" s="7">
        <f t="shared" si="59"/>
        <v>52.306199999999997</v>
      </c>
      <c r="R567" s="7">
        <f t="shared" si="60"/>
        <v>1691.2338</v>
      </c>
      <c r="S567" s="7">
        <f t="shared" si="61"/>
        <v>563.74459999999999</v>
      </c>
      <c r="T567" s="6">
        <f t="shared" si="62"/>
        <v>1.2E-2</v>
      </c>
      <c r="V567" t="s">
        <v>29</v>
      </c>
    </row>
    <row r="568" spans="1:22">
      <c r="A568" s="3">
        <v>45681</v>
      </c>
      <c r="B568" t="str">
        <f t="shared" si="56"/>
        <v>yyyy-01</v>
      </c>
      <c r="C568">
        <f t="shared" si="57"/>
        <v>4</v>
      </c>
      <c r="D568" t="s">
        <v>53</v>
      </c>
      <c r="E568" t="s">
        <v>54</v>
      </c>
      <c r="F568" t="s">
        <v>55</v>
      </c>
      <c r="G568" t="s">
        <v>36</v>
      </c>
      <c r="H568" t="s">
        <v>37</v>
      </c>
      <c r="I568" s="5">
        <v>106</v>
      </c>
      <c r="J568" s="5">
        <v>60</v>
      </c>
      <c r="K568" s="5">
        <v>4</v>
      </c>
      <c r="L568" s="5">
        <v>1</v>
      </c>
      <c r="M568" s="5">
        <v>1</v>
      </c>
      <c r="N568" s="7">
        <v>1271.05</v>
      </c>
      <c r="O568" s="7">
        <f t="shared" si="58"/>
        <v>1271.05</v>
      </c>
      <c r="P568" s="4">
        <v>0.05</v>
      </c>
      <c r="Q568" s="7">
        <f t="shared" si="59"/>
        <v>63.552500000000002</v>
      </c>
      <c r="R568" s="7">
        <f t="shared" si="60"/>
        <v>1207.4974999999999</v>
      </c>
      <c r="S568" s="7">
        <f t="shared" si="61"/>
        <v>1207.4974999999999</v>
      </c>
      <c r="T568" s="6">
        <f t="shared" si="62"/>
        <v>9.433962264150943E-3</v>
      </c>
      <c r="V568" t="s">
        <v>29</v>
      </c>
    </row>
    <row r="569" spans="1:22">
      <c r="A569" s="3">
        <v>45681</v>
      </c>
      <c r="B569" t="str">
        <f t="shared" si="56"/>
        <v>yyyy-01</v>
      </c>
      <c r="C569">
        <f t="shared" si="57"/>
        <v>4</v>
      </c>
      <c r="D569" t="s">
        <v>53</v>
      </c>
      <c r="E569" t="s">
        <v>56</v>
      </c>
      <c r="F569" t="s">
        <v>57</v>
      </c>
      <c r="G569" t="s">
        <v>27</v>
      </c>
      <c r="H569" t="s">
        <v>45</v>
      </c>
      <c r="I569" s="5">
        <v>166</v>
      </c>
      <c r="J569" s="5">
        <v>132</v>
      </c>
      <c r="K569" s="5">
        <v>13</v>
      </c>
      <c r="L569" s="5">
        <v>3</v>
      </c>
      <c r="M569" s="5">
        <v>3</v>
      </c>
      <c r="N569" s="7">
        <v>719.59</v>
      </c>
      <c r="O569" s="7">
        <f t="shared" si="58"/>
        <v>2158.77</v>
      </c>
      <c r="P569" s="4">
        <v>0.08</v>
      </c>
      <c r="Q569" s="7">
        <f t="shared" si="59"/>
        <v>172.70160000000001</v>
      </c>
      <c r="R569" s="7">
        <f t="shared" si="60"/>
        <v>1986.0683999999999</v>
      </c>
      <c r="S569" s="7">
        <f t="shared" si="61"/>
        <v>662.02279999999996</v>
      </c>
      <c r="T569" s="6">
        <f t="shared" si="62"/>
        <v>1.8072289156626505E-2</v>
      </c>
      <c r="U569" t="s">
        <v>82</v>
      </c>
      <c r="V569" t="s">
        <v>29</v>
      </c>
    </row>
    <row r="570" spans="1:22">
      <c r="A570" s="3">
        <v>45681</v>
      </c>
      <c r="B570" t="str">
        <f t="shared" si="56"/>
        <v>yyyy-01</v>
      </c>
      <c r="C570">
        <f t="shared" si="57"/>
        <v>4</v>
      </c>
      <c r="D570" t="s">
        <v>53</v>
      </c>
      <c r="E570" t="s">
        <v>56</v>
      </c>
      <c r="F570" t="s">
        <v>58</v>
      </c>
      <c r="G570" t="s">
        <v>27</v>
      </c>
      <c r="H570" t="s">
        <v>28</v>
      </c>
      <c r="I570" s="5">
        <v>205</v>
      </c>
      <c r="J570" s="5">
        <v>157</v>
      </c>
      <c r="K570" s="5">
        <v>10</v>
      </c>
      <c r="L570" s="5">
        <v>3</v>
      </c>
      <c r="M570" s="5">
        <v>3</v>
      </c>
      <c r="N570" s="7">
        <v>898.61</v>
      </c>
      <c r="O570" s="7">
        <f t="shared" si="58"/>
        <v>2695.83</v>
      </c>
      <c r="P570" s="4">
        <v>0.08</v>
      </c>
      <c r="Q570" s="7">
        <f t="shared" si="59"/>
        <v>215.66640000000001</v>
      </c>
      <c r="R570" s="7">
        <f t="shared" si="60"/>
        <v>2480.1635999999999</v>
      </c>
      <c r="S570" s="7">
        <f t="shared" si="61"/>
        <v>826.72119999999995</v>
      </c>
      <c r="T570" s="6">
        <f t="shared" si="62"/>
        <v>1.4634146341463415E-2</v>
      </c>
      <c r="U570" t="s">
        <v>82</v>
      </c>
      <c r="V570" t="s">
        <v>29</v>
      </c>
    </row>
    <row r="571" spans="1:22">
      <c r="A571" s="3">
        <v>45681</v>
      </c>
      <c r="B571" t="str">
        <f t="shared" si="56"/>
        <v>yyyy-01</v>
      </c>
      <c r="C571">
        <f t="shared" si="57"/>
        <v>4</v>
      </c>
      <c r="D571" t="s">
        <v>53</v>
      </c>
      <c r="E571" t="s">
        <v>59</v>
      </c>
      <c r="F571" t="s">
        <v>60</v>
      </c>
      <c r="G571" t="s">
        <v>36</v>
      </c>
      <c r="H571" t="s">
        <v>37</v>
      </c>
      <c r="I571" s="5">
        <v>137</v>
      </c>
      <c r="J571" s="5">
        <v>94</v>
      </c>
      <c r="K571" s="5">
        <v>10</v>
      </c>
      <c r="L571" s="5">
        <v>1</v>
      </c>
      <c r="M571" s="5">
        <v>1</v>
      </c>
      <c r="N571" s="7">
        <v>673.09</v>
      </c>
      <c r="O571" s="7">
        <f t="shared" si="58"/>
        <v>673.09</v>
      </c>
      <c r="P571" s="4">
        <v>0</v>
      </c>
      <c r="Q571" s="7">
        <f t="shared" si="59"/>
        <v>0</v>
      </c>
      <c r="R571" s="7">
        <f t="shared" si="60"/>
        <v>673.09</v>
      </c>
      <c r="S571" s="7">
        <f t="shared" si="61"/>
        <v>673.09</v>
      </c>
      <c r="T571" s="6">
        <f t="shared" si="62"/>
        <v>7.2992700729927005E-3</v>
      </c>
      <c r="V571" t="s">
        <v>78</v>
      </c>
    </row>
    <row r="572" spans="1:22">
      <c r="A572" s="3">
        <v>45681</v>
      </c>
      <c r="B572" t="str">
        <f t="shared" si="56"/>
        <v>yyyy-01</v>
      </c>
      <c r="C572">
        <f t="shared" si="57"/>
        <v>4</v>
      </c>
      <c r="D572" t="s">
        <v>53</v>
      </c>
      <c r="E572" t="s">
        <v>61</v>
      </c>
      <c r="F572" t="s">
        <v>62</v>
      </c>
      <c r="G572" t="s">
        <v>31</v>
      </c>
      <c r="H572" t="s">
        <v>32</v>
      </c>
      <c r="I572" s="5">
        <v>167</v>
      </c>
      <c r="J572" s="5">
        <v>94</v>
      </c>
      <c r="K572" s="5">
        <v>8</v>
      </c>
      <c r="L572" s="5">
        <v>1</v>
      </c>
      <c r="M572" s="5">
        <v>1</v>
      </c>
      <c r="N572" s="7">
        <v>488.95</v>
      </c>
      <c r="O572" s="7">
        <f t="shared" si="58"/>
        <v>488.95</v>
      </c>
      <c r="P572" s="4">
        <v>0.05</v>
      </c>
      <c r="Q572" s="7">
        <f t="shared" si="59"/>
        <v>24.447500000000002</v>
      </c>
      <c r="R572" s="7">
        <f t="shared" si="60"/>
        <v>464.5025</v>
      </c>
      <c r="S572" s="7">
        <f t="shared" si="61"/>
        <v>464.5025</v>
      </c>
      <c r="T572" s="6">
        <f t="shared" si="62"/>
        <v>5.9880239520958087E-3</v>
      </c>
      <c r="V572" t="s">
        <v>29</v>
      </c>
    </row>
    <row r="573" spans="1:22">
      <c r="A573" s="3">
        <v>45681</v>
      </c>
      <c r="B573" t="str">
        <f t="shared" si="56"/>
        <v>yyyy-01</v>
      </c>
      <c r="C573">
        <f t="shared" si="57"/>
        <v>4</v>
      </c>
      <c r="D573" t="s">
        <v>53</v>
      </c>
      <c r="E573" t="s">
        <v>64</v>
      </c>
      <c r="F573" t="s">
        <v>65</v>
      </c>
      <c r="G573" t="s">
        <v>31</v>
      </c>
      <c r="H573" t="s">
        <v>32</v>
      </c>
      <c r="I573" s="5">
        <v>246</v>
      </c>
      <c r="J573" s="5">
        <v>174</v>
      </c>
      <c r="K573" s="5">
        <v>18</v>
      </c>
      <c r="L573" s="5">
        <v>3</v>
      </c>
      <c r="M573" s="5">
        <v>3</v>
      </c>
      <c r="N573" s="7">
        <v>775.55</v>
      </c>
      <c r="O573" s="7">
        <f t="shared" si="58"/>
        <v>2326.6499999999996</v>
      </c>
      <c r="P573" s="4">
        <v>0</v>
      </c>
      <c r="Q573" s="7">
        <f t="shared" si="59"/>
        <v>0</v>
      </c>
      <c r="R573" s="7">
        <f t="shared" si="60"/>
        <v>2326.6499999999996</v>
      </c>
      <c r="S573" s="7">
        <f t="shared" si="61"/>
        <v>775.54999999999984</v>
      </c>
      <c r="T573" s="6">
        <f t="shared" si="62"/>
        <v>1.2195121951219513E-2</v>
      </c>
      <c r="V573" t="s">
        <v>29</v>
      </c>
    </row>
    <row r="574" spans="1:22">
      <c r="A574" s="3">
        <v>45681</v>
      </c>
      <c r="B574" t="str">
        <f t="shared" si="56"/>
        <v>yyyy-01</v>
      </c>
      <c r="C574">
        <f t="shared" si="57"/>
        <v>4</v>
      </c>
      <c r="D574" t="s">
        <v>66</v>
      </c>
      <c r="E574" t="s">
        <v>67</v>
      </c>
      <c r="F574" t="s">
        <v>68</v>
      </c>
      <c r="G574" t="s">
        <v>36</v>
      </c>
      <c r="H574" t="s">
        <v>37</v>
      </c>
      <c r="I574" s="5">
        <v>434</v>
      </c>
      <c r="J574" s="5">
        <v>230</v>
      </c>
      <c r="K574" s="5">
        <v>27</v>
      </c>
      <c r="L574" s="5">
        <v>9</v>
      </c>
      <c r="M574" s="5">
        <v>9</v>
      </c>
      <c r="N574" s="7">
        <v>705.44</v>
      </c>
      <c r="O574" s="7">
        <f t="shared" si="58"/>
        <v>6348.9600000000009</v>
      </c>
      <c r="P574" s="4">
        <v>0.03</v>
      </c>
      <c r="Q574" s="7">
        <f t="shared" si="59"/>
        <v>190.46880000000002</v>
      </c>
      <c r="R574" s="7">
        <f t="shared" si="60"/>
        <v>6158.4912000000013</v>
      </c>
      <c r="S574" s="7">
        <f t="shared" si="61"/>
        <v>684.27680000000009</v>
      </c>
      <c r="T574" s="6">
        <f t="shared" si="62"/>
        <v>2.0737327188940093E-2</v>
      </c>
      <c r="V574" t="s">
        <v>29</v>
      </c>
    </row>
    <row r="575" spans="1:22">
      <c r="A575" s="3">
        <v>45681</v>
      </c>
      <c r="B575" t="str">
        <f t="shared" si="56"/>
        <v>yyyy-01</v>
      </c>
      <c r="C575">
        <f t="shared" si="57"/>
        <v>4</v>
      </c>
      <c r="D575" t="s">
        <v>66</v>
      </c>
      <c r="E575" t="s">
        <v>67</v>
      </c>
      <c r="F575" t="s">
        <v>69</v>
      </c>
      <c r="G575" t="s">
        <v>27</v>
      </c>
      <c r="H575" t="s">
        <v>45</v>
      </c>
      <c r="I575" s="5">
        <v>276</v>
      </c>
      <c r="J575" s="5">
        <v>217</v>
      </c>
      <c r="K575" s="5">
        <v>12</v>
      </c>
      <c r="L575" s="5">
        <v>3</v>
      </c>
      <c r="M575" s="5">
        <v>3</v>
      </c>
      <c r="N575" s="7">
        <v>388.04</v>
      </c>
      <c r="O575" s="7">
        <f t="shared" si="58"/>
        <v>1164.1200000000001</v>
      </c>
      <c r="P575" s="4">
        <v>0.03</v>
      </c>
      <c r="Q575" s="7">
        <f t="shared" si="59"/>
        <v>34.9236</v>
      </c>
      <c r="R575" s="7">
        <f t="shared" si="60"/>
        <v>1129.1964</v>
      </c>
      <c r="S575" s="7">
        <f t="shared" si="61"/>
        <v>376.39879999999999</v>
      </c>
      <c r="T575" s="6">
        <f t="shared" si="62"/>
        <v>1.0869565217391304E-2</v>
      </c>
      <c r="V575" t="s">
        <v>78</v>
      </c>
    </row>
    <row r="576" spans="1:22">
      <c r="A576" s="3">
        <v>45681</v>
      </c>
      <c r="B576" t="str">
        <f t="shared" si="56"/>
        <v>yyyy-01</v>
      </c>
      <c r="C576">
        <f t="shared" si="57"/>
        <v>4</v>
      </c>
      <c r="D576" t="s">
        <v>66</v>
      </c>
      <c r="E576" t="s">
        <v>67</v>
      </c>
      <c r="F576" t="s">
        <v>70</v>
      </c>
      <c r="G576" t="s">
        <v>31</v>
      </c>
      <c r="H576" t="s">
        <v>32</v>
      </c>
      <c r="I576" s="5">
        <v>398</v>
      </c>
      <c r="J576" s="5">
        <v>284</v>
      </c>
      <c r="K576" s="5">
        <v>31</v>
      </c>
      <c r="L576" s="5">
        <v>9</v>
      </c>
      <c r="M576" s="5">
        <v>9</v>
      </c>
      <c r="N576" s="7">
        <v>354.6</v>
      </c>
      <c r="O576" s="7">
        <f t="shared" si="58"/>
        <v>3191.4</v>
      </c>
      <c r="P576" s="4">
        <v>0.03</v>
      </c>
      <c r="Q576" s="7">
        <f t="shared" si="59"/>
        <v>95.742000000000004</v>
      </c>
      <c r="R576" s="7">
        <f t="shared" si="60"/>
        <v>3095.6579999999999</v>
      </c>
      <c r="S576" s="7">
        <f t="shared" si="61"/>
        <v>343.96199999999999</v>
      </c>
      <c r="T576" s="6">
        <f t="shared" si="62"/>
        <v>2.2613065326633167E-2</v>
      </c>
      <c r="V576" t="s">
        <v>29</v>
      </c>
    </row>
    <row r="577" spans="1:22">
      <c r="A577" s="3">
        <v>45681</v>
      </c>
      <c r="B577" t="str">
        <f t="shared" si="56"/>
        <v>yyyy-01</v>
      </c>
      <c r="C577">
        <f t="shared" si="57"/>
        <v>4</v>
      </c>
      <c r="D577" t="s">
        <v>66</v>
      </c>
      <c r="E577" t="s">
        <v>71</v>
      </c>
      <c r="F577" t="s">
        <v>72</v>
      </c>
      <c r="G577" t="s">
        <v>27</v>
      </c>
      <c r="H577" t="s">
        <v>63</v>
      </c>
      <c r="I577" s="5">
        <v>225</v>
      </c>
      <c r="J577" s="5">
        <v>157</v>
      </c>
      <c r="K577" s="5">
        <v>19</v>
      </c>
      <c r="L577" s="5">
        <v>4</v>
      </c>
      <c r="M577" s="5">
        <v>5</v>
      </c>
      <c r="N577" s="7">
        <v>129.47999999999999</v>
      </c>
      <c r="O577" s="7">
        <f t="shared" si="58"/>
        <v>647.4</v>
      </c>
      <c r="P577" s="4">
        <v>0</v>
      </c>
      <c r="Q577" s="7">
        <f t="shared" si="59"/>
        <v>0</v>
      </c>
      <c r="R577" s="7">
        <f t="shared" si="60"/>
        <v>647.4</v>
      </c>
      <c r="S577" s="7">
        <f t="shared" si="61"/>
        <v>161.85</v>
      </c>
      <c r="T577" s="6">
        <f t="shared" si="62"/>
        <v>1.7777777777777778E-2</v>
      </c>
      <c r="V577" t="s">
        <v>29</v>
      </c>
    </row>
    <row r="578" spans="1:22">
      <c r="A578" s="3">
        <v>45681</v>
      </c>
      <c r="B578" t="str">
        <f t="shared" si="56"/>
        <v>yyyy-01</v>
      </c>
      <c r="C578">
        <f t="shared" si="57"/>
        <v>4</v>
      </c>
      <c r="D578" t="s">
        <v>66</v>
      </c>
      <c r="E578" t="s">
        <v>73</v>
      </c>
      <c r="F578" t="s">
        <v>74</v>
      </c>
      <c r="G578" t="s">
        <v>27</v>
      </c>
      <c r="H578" t="s">
        <v>28</v>
      </c>
      <c r="I578" s="5">
        <v>173</v>
      </c>
      <c r="J578" s="5">
        <v>102</v>
      </c>
      <c r="K578" s="5">
        <v>8</v>
      </c>
      <c r="L578" s="5">
        <v>3</v>
      </c>
      <c r="M578" s="5">
        <v>3</v>
      </c>
      <c r="N578" s="7">
        <v>1184.48</v>
      </c>
      <c r="O578" s="7">
        <f t="shared" si="58"/>
        <v>3553.44</v>
      </c>
      <c r="P578" s="4">
        <v>0</v>
      </c>
      <c r="Q578" s="7">
        <f t="shared" si="59"/>
        <v>0</v>
      </c>
      <c r="R578" s="7">
        <f t="shared" si="60"/>
        <v>3553.44</v>
      </c>
      <c r="S578" s="7">
        <f t="shared" si="61"/>
        <v>1184.48</v>
      </c>
      <c r="T578" s="6">
        <f t="shared" si="62"/>
        <v>1.7341040462427744E-2</v>
      </c>
      <c r="V578" t="s">
        <v>29</v>
      </c>
    </row>
    <row r="579" spans="1:22">
      <c r="A579" s="3">
        <v>45681</v>
      </c>
      <c r="B579" t="str">
        <f t="shared" si="56"/>
        <v>yyyy-01</v>
      </c>
      <c r="C579">
        <f t="shared" si="57"/>
        <v>4</v>
      </c>
      <c r="D579" t="s">
        <v>66</v>
      </c>
      <c r="E579" t="s">
        <v>71</v>
      </c>
      <c r="F579" t="s">
        <v>75</v>
      </c>
      <c r="G579" t="s">
        <v>27</v>
      </c>
      <c r="H579" t="s">
        <v>45</v>
      </c>
      <c r="I579" s="5">
        <v>313</v>
      </c>
      <c r="J579" s="5">
        <v>202</v>
      </c>
      <c r="K579" s="5">
        <v>18</v>
      </c>
      <c r="L579" s="5">
        <v>5</v>
      </c>
      <c r="M579" s="5">
        <v>5</v>
      </c>
      <c r="N579" s="7">
        <v>37.909999999999997</v>
      </c>
      <c r="O579" s="7">
        <f t="shared" si="58"/>
        <v>189.54999999999998</v>
      </c>
      <c r="P579" s="4">
        <v>0.05</v>
      </c>
      <c r="Q579" s="7">
        <f t="shared" si="59"/>
        <v>9.4774999999999991</v>
      </c>
      <c r="R579" s="7">
        <f t="shared" si="60"/>
        <v>180.07249999999999</v>
      </c>
      <c r="S579" s="7">
        <f t="shared" si="61"/>
        <v>36.014499999999998</v>
      </c>
      <c r="T579" s="6">
        <f t="shared" si="62"/>
        <v>1.5974440894568689E-2</v>
      </c>
      <c r="V579" t="s">
        <v>29</v>
      </c>
    </row>
    <row r="580" spans="1:22">
      <c r="A580" s="3">
        <v>45681</v>
      </c>
      <c r="B580" t="str">
        <f t="shared" si="56"/>
        <v>yyyy-01</v>
      </c>
      <c r="C580">
        <f t="shared" si="57"/>
        <v>4</v>
      </c>
      <c r="D580" t="s">
        <v>24</v>
      </c>
      <c r="E580" t="s">
        <v>76</v>
      </c>
      <c r="F580" t="s">
        <v>77</v>
      </c>
      <c r="G580" t="s">
        <v>36</v>
      </c>
      <c r="H580" t="s">
        <v>37</v>
      </c>
      <c r="I580" s="5">
        <v>259</v>
      </c>
      <c r="J580" s="5">
        <v>175</v>
      </c>
      <c r="K580" s="5">
        <v>17</v>
      </c>
      <c r="L580" s="5">
        <v>5</v>
      </c>
      <c r="M580" s="5">
        <v>6</v>
      </c>
      <c r="N580" s="7">
        <v>199.69</v>
      </c>
      <c r="O580" s="7">
        <f t="shared" si="58"/>
        <v>1198.1399999999999</v>
      </c>
      <c r="P580" s="4">
        <v>0</v>
      </c>
      <c r="Q580" s="7">
        <f t="shared" si="59"/>
        <v>0</v>
      </c>
      <c r="R580" s="7">
        <f t="shared" si="60"/>
        <v>1198.1399999999999</v>
      </c>
      <c r="S580" s="7">
        <f t="shared" si="61"/>
        <v>239.62799999999999</v>
      </c>
      <c r="T580" s="6">
        <f t="shared" si="62"/>
        <v>1.9305019305019305E-2</v>
      </c>
      <c r="V580" t="s">
        <v>29</v>
      </c>
    </row>
    <row r="581" spans="1:22">
      <c r="A581" s="3">
        <v>45682</v>
      </c>
      <c r="B581" t="str">
        <f t="shared" ref="B581:B644" si="63">TEXT(A581,"yyyy-mm")</f>
        <v>yyyy-01</v>
      </c>
      <c r="C581">
        <f t="shared" ref="C581:C644" si="64">WEEKNUM(A581,2)</f>
        <v>4</v>
      </c>
      <c r="D581" t="s">
        <v>24</v>
      </c>
      <c r="E581" t="s">
        <v>25</v>
      </c>
      <c r="F581" t="s">
        <v>26</v>
      </c>
      <c r="G581" t="s">
        <v>27</v>
      </c>
      <c r="H581" t="s">
        <v>28</v>
      </c>
      <c r="I581" s="5">
        <v>1692</v>
      </c>
      <c r="J581" s="5">
        <v>1363</v>
      </c>
      <c r="K581" s="5">
        <v>116</v>
      </c>
      <c r="L581" s="5">
        <v>34</v>
      </c>
      <c r="M581" s="5">
        <v>34</v>
      </c>
      <c r="N581" s="7">
        <v>967.18</v>
      </c>
      <c r="O581" s="7">
        <f t="shared" ref="O581:O644" si="65">M581*N581</f>
        <v>32884.119999999995</v>
      </c>
      <c r="P581" s="4">
        <v>0</v>
      </c>
      <c r="Q581" s="7">
        <f t="shared" ref="Q581:Q644" si="66">O581*P581</f>
        <v>0</v>
      </c>
      <c r="R581" s="7">
        <f t="shared" ref="R581:R644" si="67">O581-Q581</f>
        <v>32884.119999999995</v>
      </c>
      <c r="S581" s="7">
        <f t="shared" ref="S581:S644" si="68">IFERROR(R581/L581,0)</f>
        <v>967.17999999999984</v>
      </c>
      <c r="T581" s="6">
        <f t="shared" ref="T581:T644" si="69">IFERROR(L581/I581,0)</f>
        <v>2.0094562647754138E-2</v>
      </c>
      <c r="V581" t="s">
        <v>29</v>
      </c>
    </row>
    <row r="582" spans="1:22">
      <c r="A582" s="3">
        <v>45682</v>
      </c>
      <c r="B582" t="str">
        <f t="shared" si="63"/>
        <v>yyyy-01</v>
      </c>
      <c r="C582">
        <f t="shared" si="64"/>
        <v>4</v>
      </c>
      <c r="D582" t="s">
        <v>24</v>
      </c>
      <c r="E582" t="s">
        <v>25</v>
      </c>
      <c r="F582" t="s">
        <v>30</v>
      </c>
      <c r="G582" t="s">
        <v>31</v>
      </c>
      <c r="H582" t="s">
        <v>32</v>
      </c>
      <c r="I582" s="5">
        <v>2325</v>
      </c>
      <c r="J582" s="5">
        <v>1596</v>
      </c>
      <c r="K582" s="5">
        <v>187</v>
      </c>
      <c r="L582" s="5">
        <v>43</v>
      </c>
      <c r="M582" s="5">
        <v>43</v>
      </c>
      <c r="N582" s="7">
        <v>400.82</v>
      </c>
      <c r="O582" s="7">
        <f t="shared" si="65"/>
        <v>17235.259999999998</v>
      </c>
      <c r="P582" s="4">
        <v>0</v>
      </c>
      <c r="Q582" s="7">
        <f t="shared" si="66"/>
        <v>0</v>
      </c>
      <c r="R582" s="7">
        <f t="shared" si="67"/>
        <v>17235.259999999998</v>
      </c>
      <c r="S582" s="7">
        <f t="shared" si="68"/>
        <v>400.81999999999994</v>
      </c>
      <c r="T582" s="6">
        <f t="shared" si="69"/>
        <v>1.8494623655913978E-2</v>
      </c>
      <c r="V582" t="s">
        <v>29</v>
      </c>
    </row>
    <row r="583" spans="1:22">
      <c r="A583" s="3">
        <v>45682</v>
      </c>
      <c r="B583" t="str">
        <f t="shared" si="63"/>
        <v>yyyy-01</v>
      </c>
      <c r="C583">
        <f t="shared" si="64"/>
        <v>4</v>
      </c>
      <c r="D583" t="s">
        <v>24</v>
      </c>
      <c r="E583" t="s">
        <v>25</v>
      </c>
      <c r="F583" t="s">
        <v>33</v>
      </c>
      <c r="G583" t="s">
        <v>27</v>
      </c>
      <c r="H583" t="s">
        <v>48</v>
      </c>
      <c r="I583" s="5">
        <v>1103</v>
      </c>
      <c r="J583" s="5">
        <v>579</v>
      </c>
      <c r="K583" s="5">
        <v>72</v>
      </c>
      <c r="L583" s="5">
        <v>24</v>
      </c>
      <c r="M583" s="5">
        <v>24</v>
      </c>
      <c r="N583" s="7">
        <v>1812.94</v>
      </c>
      <c r="O583" s="7">
        <f t="shared" si="65"/>
        <v>43510.559999999998</v>
      </c>
      <c r="P583" s="4">
        <v>0</v>
      </c>
      <c r="Q583" s="7">
        <f t="shared" si="66"/>
        <v>0</v>
      </c>
      <c r="R583" s="7">
        <f t="shared" si="67"/>
        <v>43510.559999999998</v>
      </c>
      <c r="S583" s="7">
        <f t="shared" si="68"/>
        <v>1812.9399999999998</v>
      </c>
      <c r="T583" s="6">
        <f t="shared" si="69"/>
        <v>2.1758839528558477E-2</v>
      </c>
      <c r="V583" t="s">
        <v>29</v>
      </c>
    </row>
    <row r="584" spans="1:22">
      <c r="A584" s="3">
        <v>45682</v>
      </c>
      <c r="B584" t="str">
        <f t="shared" si="63"/>
        <v>yyyy-01</v>
      </c>
      <c r="C584">
        <f t="shared" si="64"/>
        <v>4</v>
      </c>
      <c r="D584" t="s">
        <v>24</v>
      </c>
      <c r="E584" t="s">
        <v>34</v>
      </c>
      <c r="F584" t="s">
        <v>35</v>
      </c>
      <c r="G584" t="s">
        <v>31</v>
      </c>
      <c r="H584" t="s">
        <v>32</v>
      </c>
      <c r="I584" s="5">
        <v>962</v>
      </c>
      <c r="J584" s="5">
        <v>509</v>
      </c>
      <c r="K584" s="5">
        <v>97</v>
      </c>
      <c r="L584" s="5">
        <v>25</v>
      </c>
      <c r="M584" s="5">
        <v>25</v>
      </c>
      <c r="N584" s="7">
        <v>893.84</v>
      </c>
      <c r="O584" s="7">
        <f t="shared" si="65"/>
        <v>22346</v>
      </c>
      <c r="P584" s="4">
        <v>0</v>
      </c>
      <c r="Q584" s="7">
        <f t="shared" si="66"/>
        <v>0</v>
      </c>
      <c r="R584" s="7">
        <f t="shared" si="67"/>
        <v>22346</v>
      </c>
      <c r="S584" s="7">
        <f t="shared" si="68"/>
        <v>893.84</v>
      </c>
      <c r="T584" s="6">
        <f t="shared" si="69"/>
        <v>2.5987525987525989E-2</v>
      </c>
      <c r="V584" t="s">
        <v>29</v>
      </c>
    </row>
    <row r="585" spans="1:22">
      <c r="A585" s="3">
        <v>45682</v>
      </c>
      <c r="B585" t="str">
        <f t="shared" si="63"/>
        <v>yyyy-01</v>
      </c>
      <c r="C585">
        <f t="shared" si="64"/>
        <v>4</v>
      </c>
      <c r="D585" t="s">
        <v>24</v>
      </c>
      <c r="E585" t="s">
        <v>38</v>
      </c>
      <c r="F585" t="s">
        <v>39</v>
      </c>
      <c r="G585" t="s">
        <v>36</v>
      </c>
      <c r="H585" t="s">
        <v>37</v>
      </c>
      <c r="I585" s="5">
        <v>923</v>
      </c>
      <c r="J585" s="5">
        <v>725</v>
      </c>
      <c r="K585" s="5">
        <v>59</v>
      </c>
      <c r="L585" s="5">
        <v>21</v>
      </c>
      <c r="M585" s="5">
        <v>21</v>
      </c>
      <c r="N585" s="7">
        <v>333.15</v>
      </c>
      <c r="O585" s="7">
        <f t="shared" si="65"/>
        <v>6996.15</v>
      </c>
      <c r="P585" s="4">
        <v>0.03</v>
      </c>
      <c r="Q585" s="7">
        <f t="shared" si="66"/>
        <v>209.88449999999997</v>
      </c>
      <c r="R585" s="7">
        <f t="shared" si="67"/>
        <v>6786.2654999999995</v>
      </c>
      <c r="S585" s="7">
        <f t="shared" si="68"/>
        <v>323.15549999999996</v>
      </c>
      <c r="T585" s="6">
        <f t="shared" si="69"/>
        <v>2.2751895991332611E-2</v>
      </c>
      <c r="V585" t="s">
        <v>29</v>
      </c>
    </row>
    <row r="586" spans="1:22">
      <c r="A586" s="3">
        <v>45682</v>
      </c>
      <c r="B586" t="str">
        <f t="shared" si="63"/>
        <v>yyyy-01</v>
      </c>
      <c r="C586">
        <f t="shared" si="64"/>
        <v>4</v>
      </c>
      <c r="D586" t="s">
        <v>24</v>
      </c>
      <c r="E586" t="s">
        <v>40</v>
      </c>
      <c r="F586" t="s">
        <v>41</v>
      </c>
      <c r="G586" t="s">
        <v>36</v>
      </c>
      <c r="H586" t="s">
        <v>37</v>
      </c>
      <c r="I586" s="5">
        <v>688</v>
      </c>
      <c r="J586" s="5">
        <v>422</v>
      </c>
      <c r="K586" s="5">
        <v>48</v>
      </c>
      <c r="L586" s="5">
        <v>11</v>
      </c>
      <c r="M586" s="5">
        <v>15</v>
      </c>
      <c r="N586" s="7">
        <v>176.61</v>
      </c>
      <c r="O586" s="7">
        <f t="shared" si="65"/>
        <v>2649.15</v>
      </c>
      <c r="P586" s="4">
        <v>0</v>
      </c>
      <c r="Q586" s="7">
        <f t="shared" si="66"/>
        <v>0</v>
      </c>
      <c r="R586" s="7">
        <f t="shared" si="67"/>
        <v>2649.15</v>
      </c>
      <c r="S586" s="7">
        <f t="shared" si="68"/>
        <v>240.83181818181819</v>
      </c>
      <c r="T586" s="6">
        <f t="shared" si="69"/>
        <v>1.5988372093023256E-2</v>
      </c>
      <c r="V586" t="s">
        <v>29</v>
      </c>
    </row>
    <row r="587" spans="1:22">
      <c r="A587" s="3">
        <v>45682</v>
      </c>
      <c r="B587" t="str">
        <f t="shared" si="63"/>
        <v>yyyy-01</v>
      </c>
      <c r="C587">
        <f t="shared" si="64"/>
        <v>4</v>
      </c>
      <c r="D587" t="s">
        <v>42</v>
      </c>
      <c r="E587" t="s">
        <v>43</v>
      </c>
      <c r="F587" t="s">
        <v>44</v>
      </c>
      <c r="G587" t="s">
        <v>31</v>
      </c>
      <c r="H587" t="s">
        <v>32</v>
      </c>
      <c r="I587" s="5">
        <v>537</v>
      </c>
      <c r="J587" s="5">
        <v>432</v>
      </c>
      <c r="K587" s="5">
        <v>44</v>
      </c>
      <c r="L587" s="5">
        <v>11</v>
      </c>
      <c r="M587" s="5">
        <v>11</v>
      </c>
      <c r="N587" s="7">
        <v>1258.21</v>
      </c>
      <c r="O587" s="7">
        <f t="shared" si="65"/>
        <v>13840.310000000001</v>
      </c>
      <c r="P587" s="4">
        <v>0.1</v>
      </c>
      <c r="Q587" s="7">
        <f t="shared" si="66"/>
        <v>1384.0310000000002</v>
      </c>
      <c r="R587" s="7">
        <f t="shared" si="67"/>
        <v>12456.279</v>
      </c>
      <c r="S587" s="7">
        <f t="shared" si="68"/>
        <v>1132.3890000000001</v>
      </c>
      <c r="T587" s="6">
        <f t="shared" si="69"/>
        <v>2.0484171322160148E-2</v>
      </c>
      <c r="U587" t="s">
        <v>80</v>
      </c>
      <c r="V587" t="s">
        <v>29</v>
      </c>
    </row>
    <row r="588" spans="1:22">
      <c r="A588" s="3">
        <v>45682</v>
      </c>
      <c r="B588" t="str">
        <f t="shared" si="63"/>
        <v>yyyy-01</v>
      </c>
      <c r="C588">
        <f t="shared" si="64"/>
        <v>4</v>
      </c>
      <c r="D588" t="s">
        <v>42</v>
      </c>
      <c r="E588" t="s">
        <v>43</v>
      </c>
      <c r="F588" t="s">
        <v>46</v>
      </c>
      <c r="G588" t="s">
        <v>27</v>
      </c>
      <c r="H588" t="s">
        <v>48</v>
      </c>
      <c r="I588" s="5">
        <v>390</v>
      </c>
      <c r="J588" s="5">
        <v>316</v>
      </c>
      <c r="K588" s="5">
        <v>31</v>
      </c>
      <c r="L588" s="5">
        <v>7</v>
      </c>
      <c r="M588" s="5">
        <v>7</v>
      </c>
      <c r="N588" s="7">
        <v>2171.65</v>
      </c>
      <c r="O588" s="7">
        <f t="shared" si="65"/>
        <v>15201.550000000001</v>
      </c>
      <c r="P588" s="4">
        <v>0.1</v>
      </c>
      <c r="Q588" s="7">
        <f t="shared" si="66"/>
        <v>1520.1550000000002</v>
      </c>
      <c r="R588" s="7">
        <f t="shared" si="67"/>
        <v>13681.395</v>
      </c>
      <c r="S588" s="7">
        <f t="shared" si="68"/>
        <v>1954.4850000000001</v>
      </c>
      <c r="T588" s="6">
        <f t="shared" si="69"/>
        <v>1.7948717948717947E-2</v>
      </c>
      <c r="U588" t="s">
        <v>80</v>
      </c>
      <c r="V588" t="s">
        <v>29</v>
      </c>
    </row>
    <row r="589" spans="1:22">
      <c r="A589" s="3">
        <v>45682</v>
      </c>
      <c r="B589" t="str">
        <f t="shared" si="63"/>
        <v>yyyy-01</v>
      </c>
      <c r="C589">
        <f t="shared" si="64"/>
        <v>4</v>
      </c>
      <c r="D589" t="s">
        <v>42</v>
      </c>
      <c r="E589" t="s">
        <v>43</v>
      </c>
      <c r="F589" t="s">
        <v>47</v>
      </c>
      <c r="G589" t="s">
        <v>27</v>
      </c>
      <c r="H589" t="s">
        <v>45</v>
      </c>
      <c r="I589" s="5">
        <v>609</v>
      </c>
      <c r="J589" s="5">
        <v>446</v>
      </c>
      <c r="K589" s="5">
        <v>34</v>
      </c>
      <c r="L589" s="5">
        <v>11</v>
      </c>
      <c r="M589" s="5">
        <v>11</v>
      </c>
      <c r="N589" s="7">
        <v>576.70000000000005</v>
      </c>
      <c r="O589" s="7">
        <f t="shared" si="65"/>
        <v>6343.7000000000007</v>
      </c>
      <c r="P589" s="4">
        <v>0.1</v>
      </c>
      <c r="Q589" s="7">
        <f t="shared" si="66"/>
        <v>634.37000000000012</v>
      </c>
      <c r="R589" s="7">
        <f t="shared" si="67"/>
        <v>5709.3300000000008</v>
      </c>
      <c r="S589" s="7">
        <f t="shared" si="68"/>
        <v>519.03000000000009</v>
      </c>
      <c r="T589" s="6">
        <f t="shared" si="69"/>
        <v>1.8062397372742199E-2</v>
      </c>
      <c r="U589" t="s">
        <v>80</v>
      </c>
      <c r="V589" t="s">
        <v>29</v>
      </c>
    </row>
    <row r="590" spans="1:22">
      <c r="A590" s="3">
        <v>45682</v>
      </c>
      <c r="B590" t="str">
        <f t="shared" si="63"/>
        <v>yyyy-01</v>
      </c>
      <c r="C590">
        <f t="shared" si="64"/>
        <v>4</v>
      </c>
      <c r="D590" t="s">
        <v>42</v>
      </c>
      <c r="E590" t="s">
        <v>49</v>
      </c>
      <c r="F590" t="s">
        <v>50</v>
      </c>
      <c r="G590" t="s">
        <v>27</v>
      </c>
      <c r="H590" t="s">
        <v>28</v>
      </c>
      <c r="I590" s="5">
        <v>160</v>
      </c>
      <c r="J590" s="5">
        <v>84</v>
      </c>
      <c r="K590" s="5">
        <v>12</v>
      </c>
      <c r="L590" s="5">
        <v>3</v>
      </c>
      <c r="M590" s="5">
        <v>3</v>
      </c>
      <c r="N590" s="7">
        <v>971.06</v>
      </c>
      <c r="O590" s="7">
        <f t="shared" si="65"/>
        <v>2913.18</v>
      </c>
      <c r="P590" s="4">
        <v>0.05</v>
      </c>
      <c r="Q590" s="7">
        <f t="shared" si="66"/>
        <v>145.65899999999999</v>
      </c>
      <c r="R590" s="7">
        <f t="shared" si="67"/>
        <v>2767.5209999999997</v>
      </c>
      <c r="S590" s="7">
        <f t="shared" si="68"/>
        <v>922.50699999999995</v>
      </c>
      <c r="T590" s="6">
        <f t="shared" si="69"/>
        <v>1.8749999999999999E-2</v>
      </c>
      <c r="V590" t="s">
        <v>29</v>
      </c>
    </row>
    <row r="591" spans="1:22">
      <c r="A591" s="3">
        <v>45682</v>
      </c>
      <c r="B591" t="str">
        <f t="shared" si="63"/>
        <v>yyyy-01</v>
      </c>
      <c r="C591">
        <f t="shared" si="64"/>
        <v>4</v>
      </c>
      <c r="D591" t="s">
        <v>42</v>
      </c>
      <c r="E591" t="s">
        <v>51</v>
      </c>
      <c r="F591" t="s">
        <v>52</v>
      </c>
      <c r="G591" t="s">
        <v>36</v>
      </c>
      <c r="H591" t="s">
        <v>37</v>
      </c>
      <c r="I591" s="5">
        <v>277</v>
      </c>
      <c r="J591" s="5">
        <v>156</v>
      </c>
      <c r="K591" s="5">
        <v>14</v>
      </c>
      <c r="L591" s="5">
        <v>3</v>
      </c>
      <c r="M591" s="5">
        <v>3</v>
      </c>
      <c r="N591" s="7">
        <v>593.52</v>
      </c>
      <c r="O591" s="7">
        <f t="shared" si="65"/>
        <v>1780.56</v>
      </c>
      <c r="P591" s="4">
        <v>0.03</v>
      </c>
      <c r="Q591" s="7">
        <f t="shared" si="66"/>
        <v>53.416799999999995</v>
      </c>
      <c r="R591" s="7">
        <f t="shared" si="67"/>
        <v>1727.1432</v>
      </c>
      <c r="S591" s="7">
        <f t="shared" si="68"/>
        <v>575.71439999999996</v>
      </c>
      <c r="T591" s="6">
        <f t="shared" si="69"/>
        <v>1.0830324909747292E-2</v>
      </c>
      <c r="V591" t="s">
        <v>29</v>
      </c>
    </row>
    <row r="592" spans="1:22">
      <c r="A592" s="3">
        <v>45682</v>
      </c>
      <c r="B592" t="str">
        <f t="shared" si="63"/>
        <v>yyyy-01</v>
      </c>
      <c r="C592">
        <f t="shared" si="64"/>
        <v>4</v>
      </c>
      <c r="D592" t="s">
        <v>53</v>
      </c>
      <c r="E592" t="s">
        <v>54</v>
      </c>
      <c r="F592" t="s">
        <v>55</v>
      </c>
      <c r="G592" t="s">
        <v>31</v>
      </c>
      <c r="H592" t="s">
        <v>32</v>
      </c>
      <c r="I592" s="5">
        <v>223</v>
      </c>
      <c r="J592" s="5">
        <v>134</v>
      </c>
      <c r="K592" s="5">
        <v>13</v>
      </c>
      <c r="L592" s="5">
        <v>3</v>
      </c>
      <c r="M592" s="5">
        <v>3</v>
      </c>
      <c r="N592" s="7">
        <v>1260.3900000000001</v>
      </c>
      <c r="O592" s="7">
        <f t="shared" si="65"/>
        <v>3781.17</v>
      </c>
      <c r="P592" s="4">
        <v>0</v>
      </c>
      <c r="Q592" s="7">
        <f t="shared" si="66"/>
        <v>0</v>
      </c>
      <c r="R592" s="7">
        <f t="shared" si="67"/>
        <v>3781.17</v>
      </c>
      <c r="S592" s="7">
        <f t="shared" si="68"/>
        <v>1260.3900000000001</v>
      </c>
      <c r="T592" s="6">
        <f t="shared" si="69"/>
        <v>1.3452914798206279E-2</v>
      </c>
      <c r="V592" t="s">
        <v>29</v>
      </c>
    </row>
    <row r="593" spans="1:22">
      <c r="A593" s="3">
        <v>45682</v>
      </c>
      <c r="B593" t="str">
        <f t="shared" si="63"/>
        <v>yyyy-01</v>
      </c>
      <c r="C593">
        <f t="shared" si="64"/>
        <v>4</v>
      </c>
      <c r="D593" t="s">
        <v>53</v>
      </c>
      <c r="E593" t="s">
        <v>56</v>
      </c>
      <c r="F593" t="s">
        <v>57</v>
      </c>
      <c r="G593" t="s">
        <v>36</v>
      </c>
      <c r="H593" t="s">
        <v>37</v>
      </c>
      <c r="I593" s="5">
        <v>220</v>
      </c>
      <c r="J593" s="5">
        <v>116</v>
      </c>
      <c r="K593" s="5">
        <v>9</v>
      </c>
      <c r="L593" s="5">
        <v>4</v>
      </c>
      <c r="M593" s="5">
        <v>4</v>
      </c>
      <c r="N593" s="7">
        <v>722.91</v>
      </c>
      <c r="O593" s="7">
        <f t="shared" si="65"/>
        <v>2891.64</v>
      </c>
      <c r="P593" s="4">
        <v>0.08</v>
      </c>
      <c r="Q593" s="7">
        <f t="shared" si="66"/>
        <v>231.3312</v>
      </c>
      <c r="R593" s="7">
        <f t="shared" si="67"/>
        <v>2660.3087999999998</v>
      </c>
      <c r="S593" s="7">
        <f t="shared" si="68"/>
        <v>665.07719999999995</v>
      </c>
      <c r="T593" s="6">
        <f t="shared" si="69"/>
        <v>1.8181818181818181E-2</v>
      </c>
      <c r="U593" t="s">
        <v>82</v>
      </c>
      <c r="V593" t="s">
        <v>29</v>
      </c>
    </row>
    <row r="594" spans="1:22">
      <c r="A594" s="3">
        <v>45682</v>
      </c>
      <c r="B594" t="str">
        <f t="shared" si="63"/>
        <v>yyyy-01</v>
      </c>
      <c r="C594">
        <f t="shared" si="64"/>
        <v>4</v>
      </c>
      <c r="D594" t="s">
        <v>53</v>
      </c>
      <c r="E594" t="s">
        <v>56</v>
      </c>
      <c r="F594" t="s">
        <v>58</v>
      </c>
      <c r="G594" t="s">
        <v>36</v>
      </c>
      <c r="H594" t="s">
        <v>37</v>
      </c>
      <c r="I594" s="5">
        <v>228</v>
      </c>
      <c r="J594" s="5">
        <v>181</v>
      </c>
      <c r="K594" s="5">
        <v>14</v>
      </c>
      <c r="L594" s="5">
        <v>3</v>
      </c>
      <c r="M594" s="5">
        <v>3</v>
      </c>
      <c r="N594" s="7">
        <v>882.22</v>
      </c>
      <c r="O594" s="7">
        <f t="shared" si="65"/>
        <v>2646.66</v>
      </c>
      <c r="P594" s="4">
        <v>0.08</v>
      </c>
      <c r="Q594" s="7">
        <f t="shared" si="66"/>
        <v>211.7328</v>
      </c>
      <c r="R594" s="7">
        <f t="shared" si="67"/>
        <v>2434.9272000000001</v>
      </c>
      <c r="S594" s="7">
        <f t="shared" si="68"/>
        <v>811.64240000000007</v>
      </c>
      <c r="T594" s="6">
        <f t="shared" si="69"/>
        <v>1.3157894736842105E-2</v>
      </c>
      <c r="U594" t="s">
        <v>82</v>
      </c>
      <c r="V594" t="s">
        <v>29</v>
      </c>
    </row>
    <row r="595" spans="1:22">
      <c r="A595" s="3">
        <v>45682</v>
      </c>
      <c r="B595" t="str">
        <f t="shared" si="63"/>
        <v>yyyy-01</v>
      </c>
      <c r="C595">
        <f t="shared" si="64"/>
        <v>4</v>
      </c>
      <c r="D595" t="s">
        <v>53</v>
      </c>
      <c r="E595" t="s">
        <v>59</v>
      </c>
      <c r="F595" t="s">
        <v>60</v>
      </c>
      <c r="G595" t="s">
        <v>36</v>
      </c>
      <c r="H595" t="s">
        <v>37</v>
      </c>
      <c r="I595" s="5">
        <v>154</v>
      </c>
      <c r="J595" s="5">
        <v>126</v>
      </c>
      <c r="K595" s="5">
        <v>7</v>
      </c>
      <c r="L595" s="5">
        <v>2</v>
      </c>
      <c r="M595" s="5">
        <v>2</v>
      </c>
      <c r="N595" s="7">
        <v>705.13</v>
      </c>
      <c r="O595" s="7">
        <f t="shared" si="65"/>
        <v>1410.26</v>
      </c>
      <c r="P595" s="4">
        <v>0</v>
      </c>
      <c r="Q595" s="7">
        <f t="shared" si="66"/>
        <v>0</v>
      </c>
      <c r="R595" s="7">
        <f t="shared" si="67"/>
        <v>1410.26</v>
      </c>
      <c r="S595" s="7">
        <f t="shared" si="68"/>
        <v>705.13</v>
      </c>
      <c r="T595" s="6">
        <f t="shared" si="69"/>
        <v>1.2987012987012988E-2</v>
      </c>
      <c r="V595" t="s">
        <v>29</v>
      </c>
    </row>
    <row r="596" spans="1:22">
      <c r="A596" s="3">
        <v>45682</v>
      </c>
      <c r="B596" t="str">
        <f t="shared" si="63"/>
        <v>yyyy-01</v>
      </c>
      <c r="C596">
        <f t="shared" si="64"/>
        <v>4</v>
      </c>
      <c r="D596" t="s">
        <v>53</v>
      </c>
      <c r="E596" t="s">
        <v>61</v>
      </c>
      <c r="F596" t="s">
        <v>62</v>
      </c>
      <c r="G596" t="s">
        <v>27</v>
      </c>
      <c r="H596" t="s">
        <v>48</v>
      </c>
      <c r="I596" s="5">
        <v>110</v>
      </c>
      <c r="J596" s="5">
        <v>67</v>
      </c>
      <c r="K596" s="5">
        <v>5</v>
      </c>
      <c r="L596" s="5">
        <v>1</v>
      </c>
      <c r="M596" s="5">
        <v>1</v>
      </c>
      <c r="N596" s="7">
        <v>507.41</v>
      </c>
      <c r="O596" s="7">
        <f t="shared" si="65"/>
        <v>507.41</v>
      </c>
      <c r="P596" s="4">
        <v>0</v>
      </c>
      <c r="Q596" s="7">
        <f t="shared" si="66"/>
        <v>0</v>
      </c>
      <c r="R596" s="7">
        <f t="shared" si="67"/>
        <v>507.41</v>
      </c>
      <c r="S596" s="7">
        <f t="shared" si="68"/>
        <v>507.41</v>
      </c>
      <c r="T596" s="6">
        <f t="shared" si="69"/>
        <v>9.0909090909090905E-3</v>
      </c>
      <c r="V596" t="s">
        <v>29</v>
      </c>
    </row>
    <row r="597" spans="1:22">
      <c r="A597" s="3">
        <v>45682</v>
      </c>
      <c r="B597" t="str">
        <f t="shared" si="63"/>
        <v>yyyy-01</v>
      </c>
      <c r="C597">
        <f t="shared" si="64"/>
        <v>4</v>
      </c>
      <c r="D597" t="s">
        <v>53</v>
      </c>
      <c r="E597" t="s">
        <v>64</v>
      </c>
      <c r="F597" t="s">
        <v>65</v>
      </c>
      <c r="G597" t="s">
        <v>31</v>
      </c>
      <c r="H597" t="s">
        <v>32</v>
      </c>
      <c r="I597" s="5">
        <v>235</v>
      </c>
      <c r="J597" s="5">
        <v>189</v>
      </c>
      <c r="K597" s="5">
        <v>12</v>
      </c>
      <c r="L597" s="5">
        <v>2</v>
      </c>
      <c r="M597" s="5">
        <v>2</v>
      </c>
      <c r="N597" s="7">
        <v>790.41</v>
      </c>
      <c r="O597" s="7">
        <f t="shared" si="65"/>
        <v>1580.82</v>
      </c>
      <c r="P597" s="4">
        <v>0.03</v>
      </c>
      <c r="Q597" s="7">
        <f t="shared" si="66"/>
        <v>47.424599999999998</v>
      </c>
      <c r="R597" s="7">
        <f t="shared" si="67"/>
        <v>1533.3953999999999</v>
      </c>
      <c r="S597" s="7">
        <f t="shared" si="68"/>
        <v>766.69769999999994</v>
      </c>
      <c r="T597" s="6">
        <f t="shared" si="69"/>
        <v>8.5106382978723406E-3</v>
      </c>
      <c r="V597" t="s">
        <v>29</v>
      </c>
    </row>
    <row r="598" spans="1:22">
      <c r="A598" s="3">
        <v>45682</v>
      </c>
      <c r="B598" t="str">
        <f t="shared" si="63"/>
        <v>yyyy-01</v>
      </c>
      <c r="C598">
        <f t="shared" si="64"/>
        <v>4</v>
      </c>
      <c r="D598" t="s">
        <v>66</v>
      </c>
      <c r="E598" t="s">
        <v>67</v>
      </c>
      <c r="F598" t="s">
        <v>68</v>
      </c>
      <c r="G598" t="s">
        <v>31</v>
      </c>
      <c r="H598" t="s">
        <v>32</v>
      </c>
      <c r="I598" s="5">
        <v>472</v>
      </c>
      <c r="J598" s="5">
        <v>312</v>
      </c>
      <c r="K598" s="5">
        <v>30</v>
      </c>
      <c r="L598" s="5">
        <v>7</v>
      </c>
      <c r="M598" s="5">
        <v>7</v>
      </c>
      <c r="N598" s="7">
        <v>676.38</v>
      </c>
      <c r="O598" s="7">
        <f t="shared" si="65"/>
        <v>4734.66</v>
      </c>
      <c r="P598" s="4">
        <v>0</v>
      </c>
      <c r="Q598" s="7">
        <f t="shared" si="66"/>
        <v>0</v>
      </c>
      <c r="R598" s="7">
        <f t="shared" si="67"/>
        <v>4734.66</v>
      </c>
      <c r="S598" s="7">
        <f t="shared" si="68"/>
        <v>676.38</v>
      </c>
      <c r="T598" s="6">
        <f t="shared" si="69"/>
        <v>1.4830508474576272E-2</v>
      </c>
      <c r="V598" t="s">
        <v>29</v>
      </c>
    </row>
    <row r="599" spans="1:22">
      <c r="A599" s="3">
        <v>45682</v>
      </c>
      <c r="B599" t="str">
        <f t="shared" si="63"/>
        <v>yyyy-01</v>
      </c>
      <c r="C599">
        <f t="shared" si="64"/>
        <v>4</v>
      </c>
      <c r="D599" t="s">
        <v>66</v>
      </c>
      <c r="E599" t="s">
        <v>67</v>
      </c>
      <c r="F599" t="s">
        <v>69</v>
      </c>
      <c r="G599" t="s">
        <v>31</v>
      </c>
      <c r="H599" t="s">
        <v>32</v>
      </c>
      <c r="I599" s="5">
        <v>396</v>
      </c>
      <c r="J599" s="5">
        <v>303</v>
      </c>
      <c r="K599" s="5">
        <v>22</v>
      </c>
      <c r="L599" s="5">
        <v>7</v>
      </c>
      <c r="M599" s="5">
        <v>7</v>
      </c>
      <c r="N599" s="7">
        <v>397.9</v>
      </c>
      <c r="O599" s="7">
        <f t="shared" si="65"/>
        <v>2785.2999999999997</v>
      </c>
      <c r="P599" s="4">
        <v>0.05</v>
      </c>
      <c r="Q599" s="7">
        <f t="shared" si="66"/>
        <v>139.26499999999999</v>
      </c>
      <c r="R599" s="7">
        <f t="shared" si="67"/>
        <v>2646.0349999999999</v>
      </c>
      <c r="S599" s="7">
        <f t="shared" si="68"/>
        <v>378.005</v>
      </c>
      <c r="T599" s="6">
        <f t="shared" si="69"/>
        <v>1.7676767676767676E-2</v>
      </c>
      <c r="V599" t="s">
        <v>29</v>
      </c>
    </row>
    <row r="600" spans="1:22">
      <c r="A600" s="3">
        <v>45682</v>
      </c>
      <c r="B600" t="str">
        <f t="shared" si="63"/>
        <v>yyyy-01</v>
      </c>
      <c r="C600">
        <f t="shared" si="64"/>
        <v>4</v>
      </c>
      <c r="D600" t="s">
        <v>66</v>
      </c>
      <c r="E600" t="s">
        <v>67</v>
      </c>
      <c r="F600" t="s">
        <v>70</v>
      </c>
      <c r="G600" t="s">
        <v>27</v>
      </c>
      <c r="H600" t="s">
        <v>28</v>
      </c>
      <c r="I600" s="5">
        <v>441</v>
      </c>
      <c r="J600" s="5">
        <v>275</v>
      </c>
      <c r="K600" s="5">
        <v>38</v>
      </c>
      <c r="L600" s="5">
        <v>10</v>
      </c>
      <c r="M600" s="5">
        <v>10</v>
      </c>
      <c r="N600" s="7">
        <v>344.16</v>
      </c>
      <c r="O600" s="7">
        <f t="shared" si="65"/>
        <v>3441.6000000000004</v>
      </c>
      <c r="P600" s="4">
        <v>0</v>
      </c>
      <c r="Q600" s="7">
        <f t="shared" si="66"/>
        <v>0</v>
      </c>
      <c r="R600" s="7">
        <f t="shared" si="67"/>
        <v>3441.6000000000004</v>
      </c>
      <c r="S600" s="7">
        <f t="shared" si="68"/>
        <v>344.16</v>
      </c>
      <c r="T600" s="6">
        <f t="shared" si="69"/>
        <v>2.2675736961451247E-2</v>
      </c>
      <c r="V600" t="s">
        <v>29</v>
      </c>
    </row>
    <row r="601" spans="1:22">
      <c r="A601" s="3">
        <v>45682</v>
      </c>
      <c r="B601" t="str">
        <f t="shared" si="63"/>
        <v>yyyy-01</v>
      </c>
      <c r="C601">
        <f t="shared" si="64"/>
        <v>4</v>
      </c>
      <c r="D601" t="s">
        <v>66</v>
      </c>
      <c r="E601" t="s">
        <v>71</v>
      </c>
      <c r="F601" t="s">
        <v>72</v>
      </c>
      <c r="G601" t="s">
        <v>27</v>
      </c>
      <c r="H601" t="s">
        <v>45</v>
      </c>
      <c r="I601" s="5">
        <v>330</v>
      </c>
      <c r="J601" s="5">
        <v>247</v>
      </c>
      <c r="K601" s="5">
        <v>32</v>
      </c>
      <c r="L601" s="5">
        <v>7</v>
      </c>
      <c r="M601" s="5">
        <v>9</v>
      </c>
      <c r="N601" s="7">
        <v>126.36</v>
      </c>
      <c r="O601" s="7">
        <f t="shared" si="65"/>
        <v>1137.24</v>
      </c>
      <c r="P601" s="4">
        <v>0.03</v>
      </c>
      <c r="Q601" s="7">
        <f t="shared" si="66"/>
        <v>34.117199999999997</v>
      </c>
      <c r="R601" s="7">
        <f t="shared" si="67"/>
        <v>1103.1228000000001</v>
      </c>
      <c r="S601" s="7">
        <f t="shared" si="68"/>
        <v>157.58897142857145</v>
      </c>
      <c r="T601" s="6">
        <f t="shared" si="69"/>
        <v>2.1212121212121213E-2</v>
      </c>
      <c r="V601" t="s">
        <v>29</v>
      </c>
    </row>
    <row r="602" spans="1:22">
      <c r="A602" s="3">
        <v>45682</v>
      </c>
      <c r="B602" t="str">
        <f t="shared" si="63"/>
        <v>yyyy-01</v>
      </c>
      <c r="C602">
        <f t="shared" si="64"/>
        <v>4</v>
      </c>
      <c r="D602" t="s">
        <v>66</v>
      </c>
      <c r="E602" t="s">
        <v>73</v>
      </c>
      <c r="F602" t="s">
        <v>74</v>
      </c>
      <c r="G602" t="s">
        <v>31</v>
      </c>
      <c r="H602" t="s">
        <v>32</v>
      </c>
      <c r="I602" s="5">
        <v>305</v>
      </c>
      <c r="J602" s="5">
        <v>248</v>
      </c>
      <c r="K602" s="5">
        <v>26</v>
      </c>
      <c r="L602" s="5">
        <v>4</v>
      </c>
      <c r="M602" s="5">
        <v>4</v>
      </c>
      <c r="N602" s="7">
        <v>1206.53</v>
      </c>
      <c r="O602" s="7">
        <f t="shared" si="65"/>
        <v>4826.12</v>
      </c>
      <c r="P602" s="4">
        <v>0</v>
      </c>
      <c r="Q602" s="7">
        <f t="shared" si="66"/>
        <v>0</v>
      </c>
      <c r="R602" s="7">
        <f t="shared" si="67"/>
        <v>4826.12</v>
      </c>
      <c r="S602" s="7">
        <f t="shared" si="68"/>
        <v>1206.53</v>
      </c>
      <c r="T602" s="6">
        <f t="shared" si="69"/>
        <v>1.3114754098360656E-2</v>
      </c>
      <c r="V602" t="s">
        <v>29</v>
      </c>
    </row>
    <row r="603" spans="1:22">
      <c r="A603" s="3">
        <v>45682</v>
      </c>
      <c r="B603" t="str">
        <f t="shared" si="63"/>
        <v>yyyy-01</v>
      </c>
      <c r="C603">
        <f t="shared" si="64"/>
        <v>4</v>
      </c>
      <c r="D603" t="s">
        <v>66</v>
      </c>
      <c r="E603" t="s">
        <v>71</v>
      </c>
      <c r="F603" t="s">
        <v>75</v>
      </c>
      <c r="G603" t="s">
        <v>36</v>
      </c>
      <c r="H603" t="s">
        <v>37</v>
      </c>
      <c r="I603" s="5">
        <v>397</v>
      </c>
      <c r="J603" s="5">
        <v>223</v>
      </c>
      <c r="K603" s="5">
        <v>34</v>
      </c>
      <c r="L603" s="5">
        <v>8</v>
      </c>
      <c r="M603" s="5">
        <v>10</v>
      </c>
      <c r="N603" s="7">
        <v>38.99</v>
      </c>
      <c r="O603" s="7">
        <f t="shared" si="65"/>
        <v>389.90000000000003</v>
      </c>
      <c r="P603" s="4">
        <v>0</v>
      </c>
      <c r="Q603" s="7">
        <f t="shared" si="66"/>
        <v>0</v>
      </c>
      <c r="R603" s="7">
        <f t="shared" si="67"/>
        <v>389.90000000000003</v>
      </c>
      <c r="S603" s="7">
        <f t="shared" si="68"/>
        <v>48.737500000000004</v>
      </c>
      <c r="T603" s="6">
        <f t="shared" si="69"/>
        <v>2.0151133501259445E-2</v>
      </c>
      <c r="V603" t="s">
        <v>29</v>
      </c>
    </row>
    <row r="604" spans="1:22">
      <c r="A604" s="3">
        <v>45682</v>
      </c>
      <c r="B604" t="str">
        <f t="shared" si="63"/>
        <v>yyyy-01</v>
      </c>
      <c r="C604">
        <f t="shared" si="64"/>
        <v>4</v>
      </c>
      <c r="D604" t="s">
        <v>24</v>
      </c>
      <c r="E604" t="s">
        <v>76</v>
      </c>
      <c r="F604" t="s">
        <v>77</v>
      </c>
      <c r="G604" t="s">
        <v>36</v>
      </c>
      <c r="H604" t="s">
        <v>37</v>
      </c>
      <c r="I604" s="5">
        <v>643</v>
      </c>
      <c r="J604" s="5">
        <v>449</v>
      </c>
      <c r="K604" s="5">
        <v>44</v>
      </c>
      <c r="L604" s="5">
        <v>11</v>
      </c>
      <c r="M604" s="5">
        <v>13</v>
      </c>
      <c r="N604" s="7">
        <v>201.94</v>
      </c>
      <c r="O604" s="7">
        <f t="shared" si="65"/>
        <v>2625.22</v>
      </c>
      <c r="P604" s="4">
        <v>0</v>
      </c>
      <c r="Q604" s="7">
        <f t="shared" si="66"/>
        <v>0</v>
      </c>
      <c r="R604" s="7">
        <f t="shared" si="67"/>
        <v>2625.22</v>
      </c>
      <c r="S604" s="7">
        <f t="shared" si="68"/>
        <v>238.65636363636361</v>
      </c>
      <c r="T604" s="6">
        <f t="shared" si="69"/>
        <v>1.7107309486780714E-2</v>
      </c>
      <c r="V604" t="s">
        <v>29</v>
      </c>
    </row>
    <row r="605" spans="1:22">
      <c r="A605" s="3">
        <v>45683</v>
      </c>
      <c r="B605" t="str">
        <f t="shared" si="63"/>
        <v>yyyy-01</v>
      </c>
      <c r="C605">
        <f t="shared" si="64"/>
        <v>4</v>
      </c>
      <c r="D605" t="s">
        <v>24</v>
      </c>
      <c r="E605" t="s">
        <v>25</v>
      </c>
      <c r="F605" t="s">
        <v>26</v>
      </c>
      <c r="G605" t="s">
        <v>36</v>
      </c>
      <c r="H605" t="s">
        <v>37</v>
      </c>
      <c r="I605" s="5">
        <v>2352</v>
      </c>
      <c r="J605" s="5">
        <v>1647</v>
      </c>
      <c r="K605" s="5">
        <v>180</v>
      </c>
      <c r="L605" s="5">
        <v>51</v>
      </c>
      <c r="M605" s="5">
        <v>51</v>
      </c>
      <c r="N605" s="7">
        <v>1010.14</v>
      </c>
      <c r="O605" s="7">
        <f t="shared" si="65"/>
        <v>51517.14</v>
      </c>
      <c r="P605" s="4">
        <v>0</v>
      </c>
      <c r="Q605" s="7">
        <f t="shared" si="66"/>
        <v>0</v>
      </c>
      <c r="R605" s="7">
        <f t="shared" si="67"/>
        <v>51517.14</v>
      </c>
      <c r="S605" s="7">
        <f t="shared" si="68"/>
        <v>1010.14</v>
      </c>
      <c r="T605" s="6">
        <f t="shared" si="69"/>
        <v>2.1683673469387755E-2</v>
      </c>
      <c r="V605" t="s">
        <v>29</v>
      </c>
    </row>
    <row r="606" spans="1:22">
      <c r="A606" s="3">
        <v>45683</v>
      </c>
      <c r="B606" t="str">
        <f t="shared" si="63"/>
        <v>yyyy-01</v>
      </c>
      <c r="C606">
        <f t="shared" si="64"/>
        <v>4</v>
      </c>
      <c r="D606" t="s">
        <v>24</v>
      </c>
      <c r="E606" t="s">
        <v>25</v>
      </c>
      <c r="F606" t="s">
        <v>30</v>
      </c>
      <c r="G606" t="s">
        <v>31</v>
      </c>
      <c r="H606" t="s">
        <v>32</v>
      </c>
      <c r="I606" s="5">
        <v>1409</v>
      </c>
      <c r="J606" s="5">
        <v>733</v>
      </c>
      <c r="K606" s="5">
        <v>148</v>
      </c>
      <c r="L606" s="5">
        <v>30</v>
      </c>
      <c r="M606" s="5">
        <v>30</v>
      </c>
      <c r="N606" s="7">
        <v>389.8</v>
      </c>
      <c r="O606" s="7">
        <f t="shared" si="65"/>
        <v>11694</v>
      </c>
      <c r="P606" s="4">
        <v>0.03</v>
      </c>
      <c r="Q606" s="7">
        <f t="shared" si="66"/>
        <v>350.82</v>
      </c>
      <c r="R606" s="7">
        <f t="shared" si="67"/>
        <v>11343.18</v>
      </c>
      <c r="S606" s="7">
        <f t="shared" si="68"/>
        <v>378.10599999999999</v>
      </c>
      <c r="T606" s="6">
        <f t="shared" si="69"/>
        <v>2.1291696238466998E-2</v>
      </c>
      <c r="V606" t="s">
        <v>29</v>
      </c>
    </row>
    <row r="607" spans="1:22">
      <c r="A607" s="3">
        <v>45683</v>
      </c>
      <c r="B607" t="str">
        <f t="shared" si="63"/>
        <v>yyyy-01</v>
      </c>
      <c r="C607">
        <f t="shared" si="64"/>
        <v>4</v>
      </c>
      <c r="D607" t="s">
        <v>24</v>
      </c>
      <c r="E607" t="s">
        <v>25</v>
      </c>
      <c r="F607" t="s">
        <v>33</v>
      </c>
      <c r="G607" t="s">
        <v>31</v>
      </c>
      <c r="H607" t="s">
        <v>32</v>
      </c>
      <c r="I607" s="5">
        <v>1645</v>
      </c>
      <c r="J607" s="5">
        <v>1050</v>
      </c>
      <c r="K607" s="5">
        <v>116</v>
      </c>
      <c r="L607" s="5">
        <v>32</v>
      </c>
      <c r="M607" s="5">
        <v>32</v>
      </c>
      <c r="N607" s="7">
        <v>1778.3</v>
      </c>
      <c r="O607" s="7">
        <f t="shared" si="65"/>
        <v>56905.599999999999</v>
      </c>
      <c r="P607" s="4">
        <v>0</v>
      </c>
      <c r="Q607" s="7">
        <f t="shared" si="66"/>
        <v>0</v>
      </c>
      <c r="R607" s="7">
        <f t="shared" si="67"/>
        <v>56905.599999999999</v>
      </c>
      <c r="S607" s="7">
        <f t="shared" si="68"/>
        <v>1778.3</v>
      </c>
      <c r="T607" s="6">
        <f t="shared" si="69"/>
        <v>1.9452887537993922E-2</v>
      </c>
      <c r="V607" t="s">
        <v>29</v>
      </c>
    </row>
    <row r="608" spans="1:22">
      <c r="A608" s="3">
        <v>45683</v>
      </c>
      <c r="B608" t="str">
        <f t="shared" si="63"/>
        <v>yyyy-01</v>
      </c>
      <c r="C608">
        <f t="shared" si="64"/>
        <v>4</v>
      </c>
      <c r="D608" t="s">
        <v>24</v>
      </c>
      <c r="E608" t="s">
        <v>34</v>
      </c>
      <c r="F608" t="s">
        <v>35</v>
      </c>
      <c r="G608" t="s">
        <v>31</v>
      </c>
      <c r="H608" t="s">
        <v>32</v>
      </c>
      <c r="I608" s="5">
        <v>1256</v>
      </c>
      <c r="J608" s="5">
        <v>793</v>
      </c>
      <c r="K608" s="5">
        <v>87</v>
      </c>
      <c r="L608" s="5">
        <v>25</v>
      </c>
      <c r="M608" s="5">
        <v>25</v>
      </c>
      <c r="N608" s="7">
        <v>869.81</v>
      </c>
      <c r="O608" s="7">
        <f t="shared" si="65"/>
        <v>21745.25</v>
      </c>
      <c r="P608" s="4">
        <v>0</v>
      </c>
      <c r="Q608" s="7">
        <f t="shared" si="66"/>
        <v>0</v>
      </c>
      <c r="R608" s="7">
        <f t="shared" si="67"/>
        <v>21745.25</v>
      </c>
      <c r="S608" s="7">
        <f t="shared" si="68"/>
        <v>869.81</v>
      </c>
      <c r="T608" s="6">
        <f t="shared" si="69"/>
        <v>1.9904458598726114E-2</v>
      </c>
      <c r="V608" t="s">
        <v>29</v>
      </c>
    </row>
    <row r="609" spans="1:22">
      <c r="A609" s="3">
        <v>45683</v>
      </c>
      <c r="B609" t="str">
        <f t="shared" si="63"/>
        <v>yyyy-01</v>
      </c>
      <c r="C609">
        <f t="shared" si="64"/>
        <v>4</v>
      </c>
      <c r="D609" t="s">
        <v>24</v>
      </c>
      <c r="E609" t="s">
        <v>38</v>
      </c>
      <c r="F609" t="s">
        <v>39</v>
      </c>
      <c r="G609" t="s">
        <v>31</v>
      </c>
      <c r="H609" t="s">
        <v>32</v>
      </c>
      <c r="I609" s="5">
        <v>948</v>
      </c>
      <c r="J609" s="5">
        <v>621</v>
      </c>
      <c r="K609" s="5">
        <v>57</v>
      </c>
      <c r="L609" s="5">
        <v>18</v>
      </c>
      <c r="M609" s="5">
        <v>18</v>
      </c>
      <c r="N609" s="7">
        <v>324.05</v>
      </c>
      <c r="O609" s="7">
        <f t="shared" si="65"/>
        <v>5832.9000000000005</v>
      </c>
      <c r="P609" s="4">
        <v>0.05</v>
      </c>
      <c r="Q609" s="7">
        <f t="shared" si="66"/>
        <v>291.64500000000004</v>
      </c>
      <c r="R609" s="7">
        <f t="shared" si="67"/>
        <v>5541.2550000000001</v>
      </c>
      <c r="S609" s="7">
        <f t="shared" si="68"/>
        <v>307.84750000000003</v>
      </c>
      <c r="T609" s="6">
        <f t="shared" si="69"/>
        <v>1.8987341772151899E-2</v>
      </c>
      <c r="V609" t="s">
        <v>78</v>
      </c>
    </row>
    <row r="610" spans="1:22">
      <c r="A610" s="3">
        <v>45683</v>
      </c>
      <c r="B610" t="str">
        <f t="shared" si="63"/>
        <v>yyyy-01</v>
      </c>
      <c r="C610">
        <f t="shared" si="64"/>
        <v>4</v>
      </c>
      <c r="D610" t="s">
        <v>24</v>
      </c>
      <c r="E610" t="s">
        <v>40</v>
      </c>
      <c r="F610" t="s">
        <v>41</v>
      </c>
      <c r="G610" t="s">
        <v>36</v>
      </c>
      <c r="H610" t="s">
        <v>37</v>
      </c>
      <c r="I610" s="5">
        <v>653</v>
      </c>
      <c r="J610" s="5">
        <v>425</v>
      </c>
      <c r="K610" s="5">
        <v>39</v>
      </c>
      <c r="L610" s="5">
        <v>11</v>
      </c>
      <c r="M610" s="5">
        <v>13</v>
      </c>
      <c r="N610" s="7">
        <v>175.66</v>
      </c>
      <c r="O610" s="7">
        <f t="shared" si="65"/>
        <v>2283.58</v>
      </c>
      <c r="P610" s="4">
        <v>0.05</v>
      </c>
      <c r="Q610" s="7">
        <f t="shared" si="66"/>
        <v>114.179</v>
      </c>
      <c r="R610" s="7">
        <f t="shared" si="67"/>
        <v>2169.4009999999998</v>
      </c>
      <c r="S610" s="7">
        <f t="shared" si="68"/>
        <v>197.2182727272727</v>
      </c>
      <c r="T610" s="6">
        <f t="shared" si="69"/>
        <v>1.6845329249617153E-2</v>
      </c>
      <c r="V610" t="s">
        <v>29</v>
      </c>
    </row>
    <row r="611" spans="1:22">
      <c r="A611" s="3">
        <v>45683</v>
      </c>
      <c r="B611" t="str">
        <f t="shared" si="63"/>
        <v>yyyy-01</v>
      </c>
      <c r="C611">
        <f t="shared" si="64"/>
        <v>4</v>
      </c>
      <c r="D611" t="s">
        <v>42</v>
      </c>
      <c r="E611" t="s">
        <v>43</v>
      </c>
      <c r="F611" t="s">
        <v>44</v>
      </c>
      <c r="G611" t="s">
        <v>31</v>
      </c>
      <c r="H611" t="s">
        <v>32</v>
      </c>
      <c r="I611" s="5">
        <v>442</v>
      </c>
      <c r="J611" s="5">
        <v>262</v>
      </c>
      <c r="K611" s="5">
        <v>26</v>
      </c>
      <c r="L611" s="5">
        <v>8</v>
      </c>
      <c r="M611" s="5">
        <v>8</v>
      </c>
      <c r="N611" s="7">
        <v>1275.6400000000001</v>
      </c>
      <c r="O611" s="7">
        <f t="shared" si="65"/>
        <v>10205.120000000001</v>
      </c>
      <c r="P611" s="4">
        <v>0.1</v>
      </c>
      <c r="Q611" s="7">
        <f t="shared" si="66"/>
        <v>1020.5120000000002</v>
      </c>
      <c r="R611" s="7">
        <f t="shared" si="67"/>
        <v>9184.6080000000002</v>
      </c>
      <c r="S611" s="7">
        <f t="shared" si="68"/>
        <v>1148.076</v>
      </c>
      <c r="T611" s="6">
        <f t="shared" si="69"/>
        <v>1.8099547511312219E-2</v>
      </c>
      <c r="U611" t="s">
        <v>80</v>
      </c>
      <c r="V611" t="s">
        <v>29</v>
      </c>
    </row>
    <row r="612" spans="1:22">
      <c r="A612" s="3">
        <v>45683</v>
      </c>
      <c r="B612" t="str">
        <f t="shared" si="63"/>
        <v>yyyy-01</v>
      </c>
      <c r="C612">
        <f t="shared" si="64"/>
        <v>4</v>
      </c>
      <c r="D612" t="s">
        <v>42</v>
      </c>
      <c r="E612" t="s">
        <v>43</v>
      </c>
      <c r="F612" t="s">
        <v>46</v>
      </c>
      <c r="G612" t="s">
        <v>27</v>
      </c>
      <c r="H612" t="s">
        <v>63</v>
      </c>
      <c r="I612" s="5">
        <v>308</v>
      </c>
      <c r="J612" s="5">
        <v>227</v>
      </c>
      <c r="K612" s="5">
        <v>22</v>
      </c>
      <c r="L612" s="5">
        <v>4</v>
      </c>
      <c r="M612" s="5">
        <v>4</v>
      </c>
      <c r="N612" s="7">
        <v>2129.79</v>
      </c>
      <c r="O612" s="7">
        <f t="shared" si="65"/>
        <v>8519.16</v>
      </c>
      <c r="P612" s="4">
        <v>0.1</v>
      </c>
      <c r="Q612" s="7">
        <f t="shared" si="66"/>
        <v>851.91600000000005</v>
      </c>
      <c r="R612" s="7">
        <f t="shared" si="67"/>
        <v>7667.2439999999997</v>
      </c>
      <c r="S612" s="7">
        <f t="shared" si="68"/>
        <v>1916.8109999999999</v>
      </c>
      <c r="T612" s="6">
        <f t="shared" si="69"/>
        <v>1.2987012987012988E-2</v>
      </c>
      <c r="U612" t="s">
        <v>80</v>
      </c>
      <c r="V612" t="s">
        <v>29</v>
      </c>
    </row>
    <row r="613" spans="1:22">
      <c r="A613" s="3">
        <v>45683</v>
      </c>
      <c r="B613" t="str">
        <f t="shared" si="63"/>
        <v>yyyy-01</v>
      </c>
      <c r="C613">
        <f t="shared" si="64"/>
        <v>4</v>
      </c>
      <c r="D613" t="s">
        <v>42</v>
      </c>
      <c r="E613" t="s">
        <v>43</v>
      </c>
      <c r="F613" t="s">
        <v>47</v>
      </c>
      <c r="G613" t="s">
        <v>27</v>
      </c>
      <c r="H613" t="s">
        <v>45</v>
      </c>
      <c r="I613" s="5">
        <v>569</v>
      </c>
      <c r="J613" s="5">
        <v>377</v>
      </c>
      <c r="K613" s="5">
        <v>37</v>
      </c>
      <c r="L613" s="5">
        <v>8</v>
      </c>
      <c r="M613" s="5">
        <v>8</v>
      </c>
      <c r="N613" s="7">
        <v>592.02</v>
      </c>
      <c r="O613" s="7">
        <f t="shared" si="65"/>
        <v>4736.16</v>
      </c>
      <c r="P613" s="4">
        <v>0.1</v>
      </c>
      <c r="Q613" s="7">
        <f t="shared" si="66"/>
        <v>473.61599999999999</v>
      </c>
      <c r="R613" s="7">
        <f t="shared" si="67"/>
        <v>4262.5439999999999</v>
      </c>
      <c r="S613" s="7">
        <f t="shared" si="68"/>
        <v>532.81799999999998</v>
      </c>
      <c r="T613" s="6">
        <f t="shared" si="69"/>
        <v>1.4059753954305799E-2</v>
      </c>
      <c r="U613" t="s">
        <v>80</v>
      </c>
      <c r="V613" t="s">
        <v>29</v>
      </c>
    </row>
    <row r="614" spans="1:22">
      <c r="A614" s="3">
        <v>45683</v>
      </c>
      <c r="B614" t="str">
        <f t="shared" si="63"/>
        <v>yyyy-01</v>
      </c>
      <c r="C614">
        <f t="shared" si="64"/>
        <v>4</v>
      </c>
      <c r="D614" t="s">
        <v>42</v>
      </c>
      <c r="E614" t="s">
        <v>49</v>
      </c>
      <c r="F614" t="s">
        <v>50</v>
      </c>
      <c r="G614" t="s">
        <v>27</v>
      </c>
      <c r="H614" t="s">
        <v>45</v>
      </c>
      <c r="I614" s="5">
        <v>140</v>
      </c>
      <c r="J614" s="5">
        <v>100</v>
      </c>
      <c r="K614" s="5">
        <v>6</v>
      </c>
      <c r="L614" s="5">
        <v>2</v>
      </c>
      <c r="M614" s="5">
        <v>2</v>
      </c>
      <c r="N614" s="7">
        <v>979.63</v>
      </c>
      <c r="O614" s="7">
        <f t="shared" si="65"/>
        <v>1959.26</v>
      </c>
      <c r="P614" s="4">
        <v>0.05</v>
      </c>
      <c r="Q614" s="7">
        <f t="shared" si="66"/>
        <v>97.963000000000008</v>
      </c>
      <c r="R614" s="7">
        <f t="shared" si="67"/>
        <v>1861.297</v>
      </c>
      <c r="S614" s="7">
        <f t="shared" si="68"/>
        <v>930.64850000000001</v>
      </c>
      <c r="T614" s="6">
        <f t="shared" si="69"/>
        <v>1.4285714285714285E-2</v>
      </c>
      <c r="V614" t="s">
        <v>78</v>
      </c>
    </row>
    <row r="615" spans="1:22">
      <c r="A615" s="3">
        <v>45683</v>
      </c>
      <c r="B615" t="str">
        <f t="shared" si="63"/>
        <v>yyyy-01</v>
      </c>
      <c r="C615">
        <f t="shared" si="64"/>
        <v>4</v>
      </c>
      <c r="D615" t="s">
        <v>42</v>
      </c>
      <c r="E615" t="s">
        <v>51</v>
      </c>
      <c r="F615" t="s">
        <v>52</v>
      </c>
      <c r="G615" t="s">
        <v>27</v>
      </c>
      <c r="H615" t="s">
        <v>45</v>
      </c>
      <c r="I615" s="5">
        <v>286</v>
      </c>
      <c r="J615" s="5">
        <v>178</v>
      </c>
      <c r="K615" s="5">
        <v>20</v>
      </c>
      <c r="L615" s="5">
        <v>4</v>
      </c>
      <c r="M615" s="5">
        <v>4</v>
      </c>
      <c r="N615" s="7">
        <v>581.05999999999995</v>
      </c>
      <c r="O615" s="7">
        <f t="shared" si="65"/>
        <v>2324.2399999999998</v>
      </c>
      <c r="P615" s="4">
        <v>0</v>
      </c>
      <c r="Q615" s="7">
        <f t="shared" si="66"/>
        <v>0</v>
      </c>
      <c r="R615" s="7">
        <f t="shared" si="67"/>
        <v>2324.2399999999998</v>
      </c>
      <c r="S615" s="7">
        <f t="shared" si="68"/>
        <v>581.05999999999995</v>
      </c>
      <c r="T615" s="6">
        <f t="shared" si="69"/>
        <v>1.3986013986013986E-2</v>
      </c>
      <c r="V615" t="s">
        <v>29</v>
      </c>
    </row>
    <row r="616" spans="1:22">
      <c r="A616" s="3">
        <v>45683</v>
      </c>
      <c r="B616" t="str">
        <f t="shared" si="63"/>
        <v>yyyy-01</v>
      </c>
      <c r="C616">
        <f t="shared" si="64"/>
        <v>4</v>
      </c>
      <c r="D616" t="s">
        <v>53</v>
      </c>
      <c r="E616" t="s">
        <v>54</v>
      </c>
      <c r="F616" t="s">
        <v>55</v>
      </c>
      <c r="G616" t="s">
        <v>27</v>
      </c>
      <c r="H616" t="s">
        <v>45</v>
      </c>
      <c r="I616" s="5">
        <v>147</v>
      </c>
      <c r="J616" s="5">
        <v>109</v>
      </c>
      <c r="K616" s="5">
        <v>8</v>
      </c>
      <c r="L616" s="5">
        <v>2</v>
      </c>
      <c r="M616" s="5">
        <v>2</v>
      </c>
      <c r="N616" s="7">
        <v>1260.22</v>
      </c>
      <c r="O616" s="7">
        <f t="shared" si="65"/>
        <v>2520.44</v>
      </c>
      <c r="P616" s="4">
        <v>0.03</v>
      </c>
      <c r="Q616" s="7">
        <f t="shared" si="66"/>
        <v>75.613199999999992</v>
      </c>
      <c r="R616" s="7">
        <f t="shared" si="67"/>
        <v>2444.8268000000003</v>
      </c>
      <c r="S616" s="7">
        <f t="shared" si="68"/>
        <v>1222.4134000000001</v>
      </c>
      <c r="T616" s="6">
        <f t="shared" si="69"/>
        <v>1.3605442176870748E-2</v>
      </c>
      <c r="V616" t="s">
        <v>29</v>
      </c>
    </row>
    <row r="617" spans="1:22">
      <c r="A617" s="3">
        <v>45683</v>
      </c>
      <c r="B617" t="str">
        <f t="shared" si="63"/>
        <v>yyyy-01</v>
      </c>
      <c r="C617">
        <f t="shared" si="64"/>
        <v>4</v>
      </c>
      <c r="D617" t="s">
        <v>53</v>
      </c>
      <c r="E617" t="s">
        <v>56</v>
      </c>
      <c r="F617" t="s">
        <v>57</v>
      </c>
      <c r="G617" t="s">
        <v>31</v>
      </c>
      <c r="H617" t="s">
        <v>32</v>
      </c>
      <c r="I617" s="5">
        <v>270</v>
      </c>
      <c r="J617" s="5">
        <v>164</v>
      </c>
      <c r="K617" s="5">
        <v>18</v>
      </c>
      <c r="L617" s="5">
        <v>3</v>
      </c>
      <c r="M617" s="5">
        <v>3</v>
      </c>
      <c r="N617" s="7">
        <v>731.53</v>
      </c>
      <c r="O617" s="7">
        <f t="shared" si="65"/>
        <v>2194.59</v>
      </c>
      <c r="P617" s="4">
        <v>0.08</v>
      </c>
      <c r="Q617" s="7">
        <f t="shared" si="66"/>
        <v>175.56720000000001</v>
      </c>
      <c r="R617" s="7">
        <f t="shared" si="67"/>
        <v>2019.0228000000002</v>
      </c>
      <c r="S617" s="7">
        <f t="shared" si="68"/>
        <v>673.00760000000002</v>
      </c>
      <c r="T617" s="6">
        <f t="shared" si="69"/>
        <v>1.1111111111111112E-2</v>
      </c>
      <c r="U617" t="s">
        <v>82</v>
      </c>
      <c r="V617" t="s">
        <v>29</v>
      </c>
    </row>
    <row r="618" spans="1:22">
      <c r="A618" s="3">
        <v>45683</v>
      </c>
      <c r="B618" t="str">
        <f t="shared" si="63"/>
        <v>yyyy-01</v>
      </c>
      <c r="C618">
        <f t="shared" si="64"/>
        <v>4</v>
      </c>
      <c r="D618" t="s">
        <v>53</v>
      </c>
      <c r="E618" t="s">
        <v>56</v>
      </c>
      <c r="F618" t="s">
        <v>58</v>
      </c>
      <c r="G618" t="s">
        <v>31</v>
      </c>
      <c r="H618" t="s">
        <v>32</v>
      </c>
      <c r="I618" s="5">
        <v>202</v>
      </c>
      <c r="J618" s="5">
        <v>158</v>
      </c>
      <c r="K618" s="5">
        <v>9</v>
      </c>
      <c r="L618" s="5">
        <v>2</v>
      </c>
      <c r="M618" s="5">
        <v>2</v>
      </c>
      <c r="N618" s="7">
        <v>894.96</v>
      </c>
      <c r="O618" s="7">
        <f t="shared" si="65"/>
        <v>1789.92</v>
      </c>
      <c r="P618" s="4">
        <v>0.08</v>
      </c>
      <c r="Q618" s="7">
        <f t="shared" si="66"/>
        <v>143.1936</v>
      </c>
      <c r="R618" s="7">
        <f t="shared" si="67"/>
        <v>1646.7264</v>
      </c>
      <c r="S618" s="7">
        <f t="shared" si="68"/>
        <v>823.36320000000001</v>
      </c>
      <c r="T618" s="6">
        <f t="shared" si="69"/>
        <v>9.9009900990099011E-3</v>
      </c>
      <c r="U618" t="s">
        <v>82</v>
      </c>
      <c r="V618" t="s">
        <v>29</v>
      </c>
    </row>
    <row r="619" spans="1:22">
      <c r="A619" s="3">
        <v>45683</v>
      </c>
      <c r="B619" t="str">
        <f t="shared" si="63"/>
        <v>yyyy-01</v>
      </c>
      <c r="C619">
        <f t="shared" si="64"/>
        <v>4</v>
      </c>
      <c r="D619" t="s">
        <v>53</v>
      </c>
      <c r="E619" t="s">
        <v>59</v>
      </c>
      <c r="F619" t="s">
        <v>60</v>
      </c>
      <c r="G619" t="s">
        <v>31</v>
      </c>
      <c r="H619" t="s">
        <v>32</v>
      </c>
      <c r="I619" s="5">
        <v>205</v>
      </c>
      <c r="J619" s="5">
        <v>121</v>
      </c>
      <c r="K619" s="5">
        <v>7</v>
      </c>
      <c r="L619" s="5">
        <v>2</v>
      </c>
      <c r="M619" s="5">
        <v>2</v>
      </c>
      <c r="N619" s="7">
        <v>712.31</v>
      </c>
      <c r="O619" s="7">
        <f t="shared" si="65"/>
        <v>1424.62</v>
      </c>
      <c r="P619" s="4">
        <v>0</v>
      </c>
      <c r="Q619" s="7">
        <f t="shared" si="66"/>
        <v>0</v>
      </c>
      <c r="R619" s="7">
        <f t="shared" si="67"/>
        <v>1424.62</v>
      </c>
      <c r="S619" s="7">
        <f t="shared" si="68"/>
        <v>712.31</v>
      </c>
      <c r="T619" s="6">
        <f t="shared" si="69"/>
        <v>9.7560975609756097E-3</v>
      </c>
      <c r="V619" t="s">
        <v>29</v>
      </c>
    </row>
    <row r="620" spans="1:22">
      <c r="A620" s="3">
        <v>45683</v>
      </c>
      <c r="B620" t="str">
        <f t="shared" si="63"/>
        <v>yyyy-01</v>
      </c>
      <c r="C620">
        <f t="shared" si="64"/>
        <v>4</v>
      </c>
      <c r="D620" t="s">
        <v>53</v>
      </c>
      <c r="E620" t="s">
        <v>61</v>
      </c>
      <c r="F620" t="s">
        <v>62</v>
      </c>
      <c r="G620" t="s">
        <v>27</v>
      </c>
      <c r="H620" t="s">
        <v>63</v>
      </c>
      <c r="I620" s="5">
        <v>148</v>
      </c>
      <c r="J620" s="5">
        <v>84</v>
      </c>
      <c r="K620" s="5">
        <v>10</v>
      </c>
      <c r="L620" s="5">
        <v>2</v>
      </c>
      <c r="M620" s="5">
        <v>2</v>
      </c>
      <c r="N620" s="7">
        <v>486.16</v>
      </c>
      <c r="O620" s="7">
        <f t="shared" si="65"/>
        <v>972.32</v>
      </c>
      <c r="P620" s="4">
        <v>0.03</v>
      </c>
      <c r="Q620" s="7">
        <f t="shared" si="66"/>
        <v>29.169599999999999</v>
      </c>
      <c r="R620" s="7">
        <f t="shared" si="67"/>
        <v>943.1504000000001</v>
      </c>
      <c r="S620" s="7">
        <f t="shared" si="68"/>
        <v>471.57520000000005</v>
      </c>
      <c r="T620" s="6">
        <f t="shared" si="69"/>
        <v>1.3513513513513514E-2</v>
      </c>
      <c r="V620" t="s">
        <v>29</v>
      </c>
    </row>
    <row r="621" spans="1:22">
      <c r="A621" s="3">
        <v>45683</v>
      </c>
      <c r="B621" t="str">
        <f t="shared" si="63"/>
        <v>yyyy-01</v>
      </c>
      <c r="C621">
        <f t="shared" si="64"/>
        <v>4</v>
      </c>
      <c r="D621" t="s">
        <v>53</v>
      </c>
      <c r="E621" t="s">
        <v>64</v>
      </c>
      <c r="F621" t="s">
        <v>65</v>
      </c>
      <c r="G621" t="s">
        <v>36</v>
      </c>
      <c r="H621" t="s">
        <v>37</v>
      </c>
      <c r="I621" s="5">
        <v>172</v>
      </c>
      <c r="J621" s="5">
        <v>92</v>
      </c>
      <c r="K621" s="5">
        <v>9</v>
      </c>
      <c r="L621" s="5">
        <v>2</v>
      </c>
      <c r="M621" s="5">
        <v>2</v>
      </c>
      <c r="N621" s="7">
        <v>789.28</v>
      </c>
      <c r="O621" s="7">
        <f t="shared" si="65"/>
        <v>1578.56</v>
      </c>
      <c r="P621" s="4">
        <v>0.05</v>
      </c>
      <c r="Q621" s="7">
        <f t="shared" si="66"/>
        <v>78.927999999999997</v>
      </c>
      <c r="R621" s="7">
        <f t="shared" si="67"/>
        <v>1499.6320000000001</v>
      </c>
      <c r="S621" s="7">
        <f t="shared" si="68"/>
        <v>749.81600000000003</v>
      </c>
      <c r="T621" s="6">
        <f t="shared" si="69"/>
        <v>1.1627906976744186E-2</v>
      </c>
      <c r="V621" t="s">
        <v>29</v>
      </c>
    </row>
    <row r="622" spans="1:22">
      <c r="A622" s="3">
        <v>45683</v>
      </c>
      <c r="B622" t="str">
        <f t="shared" si="63"/>
        <v>yyyy-01</v>
      </c>
      <c r="C622">
        <f t="shared" si="64"/>
        <v>4</v>
      </c>
      <c r="D622" t="s">
        <v>66</v>
      </c>
      <c r="E622" t="s">
        <v>67</v>
      </c>
      <c r="F622" t="s">
        <v>68</v>
      </c>
      <c r="G622" t="s">
        <v>36</v>
      </c>
      <c r="H622" t="s">
        <v>37</v>
      </c>
      <c r="I622" s="5">
        <v>350</v>
      </c>
      <c r="J622" s="5">
        <v>263</v>
      </c>
      <c r="K622" s="5">
        <v>25</v>
      </c>
      <c r="L622" s="5">
        <v>7</v>
      </c>
      <c r="M622" s="5">
        <v>7</v>
      </c>
      <c r="N622" s="7">
        <v>690.94</v>
      </c>
      <c r="O622" s="7">
        <f t="shared" si="65"/>
        <v>4836.58</v>
      </c>
      <c r="P622" s="4">
        <v>0</v>
      </c>
      <c r="Q622" s="7">
        <f t="shared" si="66"/>
        <v>0</v>
      </c>
      <c r="R622" s="7">
        <f t="shared" si="67"/>
        <v>4836.58</v>
      </c>
      <c r="S622" s="7">
        <f t="shared" si="68"/>
        <v>690.93999999999994</v>
      </c>
      <c r="T622" s="6">
        <f t="shared" si="69"/>
        <v>0.02</v>
      </c>
      <c r="V622" t="s">
        <v>29</v>
      </c>
    </row>
    <row r="623" spans="1:22">
      <c r="A623" s="3">
        <v>45683</v>
      </c>
      <c r="B623" t="str">
        <f t="shared" si="63"/>
        <v>yyyy-01</v>
      </c>
      <c r="C623">
        <f t="shared" si="64"/>
        <v>4</v>
      </c>
      <c r="D623" t="s">
        <v>66</v>
      </c>
      <c r="E623" t="s">
        <v>67</v>
      </c>
      <c r="F623" t="s">
        <v>69</v>
      </c>
      <c r="G623" t="s">
        <v>31</v>
      </c>
      <c r="H623" t="s">
        <v>32</v>
      </c>
      <c r="I623" s="5">
        <v>296</v>
      </c>
      <c r="J623" s="5">
        <v>242</v>
      </c>
      <c r="K623" s="5">
        <v>7</v>
      </c>
      <c r="L623" s="5">
        <v>0</v>
      </c>
      <c r="M623" s="5">
        <v>0</v>
      </c>
      <c r="N623" s="7">
        <v>398.3</v>
      </c>
      <c r="O623" s="7">
        <f t="shared" si="65"/>
        <v>0</v>
      </c>
      <c r="P623" s="4">
        <v>0</v>
      </c>
      <c r="Q623" s="7">
        <f t="shared" si="66"/>
        <v>0</v>
      </c>
      <c r="R623" s="7">
        <f t="shared" si="67"/>
        <v>0</v>
      </c>
      <c r="S623" s="7">
        <f t="shared" si="68"/>
        <v>0</v>
      </c>
      <c r="T623" s="6">
        <f t="shared" si="69"/>
        <v>0</v>
      </c>
      <c r="V623" t="s">
        <v>81</v>
      </c>
    </row>
    <row r="624" spans="1:22">
      <c r="A624" s="3">
        <v>45683</v>
      </c>
      <c r="B624" t="str">
        <f t="shared" si="63"/>
        <v>yyyy-01</v>
      </c>
      <c r="C624">
        <f t="shared" si="64"/>
        <v>4</v>
      </c>
      <c r="D624" t="s">
        <v>66</v>
      </c>
      <c r="E624" t="s">
        <v>67</v>
      </c>
      <c r="F624" t="s">
        <v>70</v>
      </c>
      <c r="G624" t="s">
        <v>27</v>
      </c>
      <c r="H624" t="s">
        <v>63</v>
      </c>
      <c r="I624" s="5">
        <v>245</v>
      </c>
      <c r="J624" s="5">
        <v>176</v>
      </c>
      <c r="K624" s="5">
        <v>18</v>
      </c>
      <c r="L624" s="5">
        <v>4</v>
      </c>
      <c r="M624" s="5">
        <v>4</v>
      </c>
      <c r="N624" s="7">
        <v>340.39</v>
      </c>
      <c r="O624" s="7">
        <f t="shared" si="65"/>
        <v>1361.56</v>
      </c>
      <c r="P624" s="4">
        <v>0</v>
      </c>
      <c r="Q624" s="7">
        <f t="shared" si="66"/>
        <v>0</v>
      </c>
      <c r="R624" s="7">
        <f t="shared" si="67"/>
        <v>1361.56</v>
      </c>
      <c r="S624" s="7">
        <f t="shared" si="68"/>
        <v>340.39</v>
      </c>
      <c r="T624" s="6">
        <f t="shared" si="69"/>
        <v>1.6326530612244899E-2</v>
      </c>
      <c r="V624" t="s">
        <v>29</v>
      </c>
    </row>
    <row r="625" spans="1:22">
      <c r="A625" s="3">
        <v>45683</v>
      </c>
      <c r="B625" t="str">
        <f t="shared" si="63"/>
        <v>yyyy-01</v>
      </c>
      <c r="C625">
        <f t="shared" si="64"/>
        <v>4</v>
      </c>
      <c r="D625" t="s">
        <v>66</v>
      </c>
      <c r="E625" t="s">
        <v>71</v>
      </c>
      <c r="F625" t="s">
        <v>72</v>
      </c>
      <c r="G625" t="s">
        <v>27</v>
      </c>
      <c r="H625" t="s">
        <v>28</v>
      </c>
      <c r="I625" s="5">
        <v>330</v>
      </c>
      <c r="J625" s="5">
        <v>231</v>
      </c>
      <c r="K625" s="5">
        <v>22</v>
      </c>
      <c r="L625" s="5">
        <v>5</v>
      </c>
      <c r="M625" s="5">
        <v>6</v>
      </c>
      <c r="N625" s="7">
        <v>128.08000000000001</v>
      </c>
      <c r="O625" s="7">
        <f t="shared" si="65"/>
        <v>768.48</v>
      </c>
      <c r="P625" s="4">
        <v>0</v>
      </c>
      <c r="Q625" s="7">
        <f t="shared" si="66"/>
        <v>0</v>
      </c>
      <c r="R625" s="7">
        <f t="shared" si="67"/>
        <v>768.48</v>
      </c>
      <c r="S625" s="7">
        <f t="shared" si="68"/>
        <v>153.696</v>
      </c>
      <c r="T625" s="6">
        <f t="shared" si="69"/>
        <v>1.5151515151515152E-2</v>
      </c>
      <c r="V625" t="s">
        <v>29</v>
      </c>
    </row>
    <row r="626" spans="1:22">
      <c r="A626" s="3">
        <v>45683</v>
      </c>
      <c r="B626" t="str">
        <f t="shared" si="63"/>
        <v>yyyy-01</v>
      </c>
      <c r="C626">
        <f t="shared" si="64"/>
        <v>4</v>
      </c>
      <c r="D626" t="s">
        <v>66</v>
      </c>
      <c r="E626" t="s">
        <v>73</v>
      </c>
      <c r="F626" t="s">
        <v>74</v>
      </c>
      <c r="G626" t="s">
        <v>27</v>
      </c>
      <c r="H626" t="s">
        <v>45</v>
      </c>
      <c r="I626" s="5">
        <v>56</v>
      </c>
      <c r="J626" s="5">
        <v>30</v>
      </c>
      <c r="K626" s="5">
        <v>0</v>
      </c>
      <c r="L626" s="5">
        <v>0</v>
      </c>
      <c r="M626" s="5">
        <v>0</v>
      </c>
      <c r="N626" s="7">
        <v>1164.93</v>
      </c>
      <c r="O626" s="7">
        <f t="shared" si="65"/>
        <v>0</v>
      </c>
      <c r="P626" s="4">
        <v>0</v>
      </c>
      <c r="Q626" s="7">
        <f t="shared" si="66"/>
        <v>0</v>
      </c>
      <c r="R626" s="7">
        <f t="shared" si="67"/>
        <v>0</v>
      </c>
      <c r="S626" s="7">
        <f t="shared" si="68"/>
        <v>0</v>
      </c>
      <c r="T626" s="6">
        <f t="shared" si="69"/>
        <v>0</v>
      </c>
      <c r="V626" t="s">
        <v>81</v>
      </c>
    </row>
    <row r="627" spans="1:22">
      <c r="A627" s="3">
        <v>45683</v>
      </c>
      <c r="B627" t="str">
        <f t="shared" si="63"/>
        <v>yyyy-01</v>
      </c>
      <c r="C627">
        <f t="shared" si="64"/>
        <v>4</v>
      </c>
      <c r="D627" t="s">
        <v>66</v>
      </c>
      <c r="E627" t="s">
        <v>71</v>
      </c>
      <c r="F627" t="s">
        <v>75</v>
      </c>
      <c r="G627" t="s">
        <v>31</v>
      </c>
      <c r="H627" t="s">
        <v>32</v>
      </c>
      <c r="I627" s="5">
        <v>290</v>
      </c>
      <c r="J627" s="5">
        <v>170</v>
      </c>
      <c r="K627" s="5">
        <v>20</v>
      </c>
      <c r="L627" s="5">
        <v>4</v>
      </c>
      <c r="M627" s="5">
        <v>4</v>
      </c>
      <c r="N627" s="7">
        <v>38.85</v>
      </c>
      <c r="O627" s="7">
        <f t="shared" si="65"/>
        <v>155.4</v>
      </c>
      <c r="P627" s="4">
        <v>0</v>
      </c>
      <c r="Q627" s="7">
        <f t="shared" si="66"/>
        <v>0</v>
      </c>
      <c r="R627" s="7">
        <f t="shared" si="67"/>
        <v>155.4</v>
      </c>
      <c r="S627" s="7">
        <f t="shared" si="68"/>
        <v>38.85</v>
      </c>
      <c r="T627" s="6">
        <f t="shared" si="69"/>
        <v>1.3793103448275862E-2</v>
      </c>
      <c r="V627" t="s">
        <v>78</v>
      </c>
    </row>
    <row r="628" spans="1:22">
      <c r="A628" s="3">
        <v>45683</v>
      </c>
      <c r="B628" t="str">
        <f t="shared" si="63"/>
        <v>yyyy-01</v>
      </c>
      <c r="C628">
        <f t="shared" si="64"/>
        <v>4</v>
      </c>
      <c r="D628" t="s">
        <v>24</v>
      </c>
      <c r="E628" t="s">
        <v>76</v>
      </c>
      <c r="F628" t="s">
        <v>77</v>
      </c>
      <c r="G628" t="s">
        <v>36</v>
      </c>
      <c r="H628" t="s">
        <v>37</v>
      </c>
      <c r="I628" s="5">
        <v>509</v>
      </c>
      <c r="J628" s="5">
        <v>417</v>
      </c>
      <c r="K628" s="5">
        <v>53</v>
      </c>
      <c r="L628" s="5">
        <v>13</v>
      </c>
      <c r="M628" s="5">
        <v>15</v>
      </c>
      <c r="N628" s="7">
        <v>202.22</v>
      </c>
      <c r="O628" s="7">
        <f t="shared" si="65"/>
        <v>3033.3</v>
      </c>
      <c r="P628" s="4">
        <v>0.05</v>
      </c>
      <c r="Q628" s="7">
        <f t="shared" si="66"/>
        <v>151.66500000000002</v>
      </c>
      <c r="R628" s="7">
        <f t="shared" si="67"/>
        <v>2881.6350000000002</v>
      </c>
      <c r="S628" s="7">
        <f t="shared" si="68"/>
        <v>221.66423076923078</v>
      </c>
      <c r="T628" s="6">
        <f t="shared" si="69"/>
        <v>2.5540275049115914E-2</v>
      </c>
      <c r="V628" t="s">
        <v>29</v>
      </c>
    </row>
    <row r="629" spans="1:22">
      <c r="A629" s="3">
        <v>45684</v>
      </c>
      <c r="B629" t="str">
        <f t="shared" si="63"/>
        <v>yyyy-01</v>
      </c>
      <c r="C629">
        <f t="shared" si="64"/>
        <v>5</v>
      </c>
      <c r="D629" t="s">
        <v>24</v>
      </c>
      <c r="E629" t="s">
        <v>25</v>
      </c>
      <c r="F629" t="s">
        <v>26</v>
      </c>
      <c r="G629" t="s">
        <v>27</v>
      </c>
      <c r="H629" t="s">
        <v>28</v>
      </c>
      <c r="I629" s="5">
        <v>1267</v>
      </c>
      <c r="J629" s="5">
        <v>961</v>
      </c>
      <c r="K629" s="5">
        <v>100</v>
      </c>
      <c r="L629" s="5">
        <v>23</v>
      </c>
      <c r="M629" s="5">
        <v>23</v>
      </c>
      <c r="N629" s="7">
        <v>962.78</v>
      </c>
      <c r="O629" s="7">
        <f t="shared" si="65"/>
        <v>22143.94</v>
      </c>
      <c r="P629" s="4">
        <v>0</v>
      </c>
      <c r="Q629" s="7">
        <f t="shared" si="66"/>
        <v>0</v>
      </c>
      <c r="R629" s="7">
        <f t="shared" si="67"/>
        <v>22143.94</v>
      </c>
      <c r="S629" s="7">
        <f t="shared" si="68"/>
        <v>962.78</v>
      </c>
      <c r="T629" s="6">
        <f t="shared" si="69"/>
        <v>1.8153117600631413E-2</v>
      </c>
      <c r="V629" t="s">
        <v>29</v>
      </c>
    </row>
    <row r="630" spans="1:22">
      <c r="A630" s="3">
        <v>45684</v>
      </c>
      <c r="B630" t="str">
        <f t="shared" si="63"/>
        <v>yyyy-01</v>
      </c>
      <c r="C630">
        <f t="shared" si="64"/>
        <v>5</v>
      </c>
      <c r="D630" t="s">
        <v>24</v>
      </c>
      <c r="E630" t="s">
        <v>25</v>
      </c>
      <c r="F630" t="s">
        <v>30</v>
      </c>
      <c r="G630" t="s">
        <v>36</v>
      </c>
      <c r="H630" t="s">
        <v>37</v>
      </c>
      <c r="I630" s="5">
        <v>1193</v>
      </c>
      <c r="J630" s="5">
        <v>920</v>
      </c>
      <c r="K630" s="5">
        <v>109</v>
      </c>
      <c r="L630" s="5">
        <v>20</v>
      </c>
      <c r="M630" s="5">
        <v>20</v>
      </c>
      <c r="N630" s="7">
        <v>387.84</v>
      </c>
      <c r="O630" s="7">
        <f t="shared" si="65"/>
        <v>7756.7999999999993</v>
      </c>
      <c r="P630" s="4">
        <v>0</v>
      </c>
      <c r="Q630" s="7">
        <f t="shared" si="66"/>
        <v>0</v>
      </c>
      <c r="R630" s="7">
        <f t="shared" si="67"/>
        <v>7756.7999999999993</v>
      </c>
      <c r="S630" s="7">
        <f t="shared" si="68"/>
        <v>387.84</v>
      </c>
      <c r="T630" s="6">
        <f t="shared" si="69"/>
        <v>1.6764459346186086E-2</v>
      </c>
      <c r="V630" t="s">
        <v>29</v>
      </c>
    </row>
    <row r="631" spans="1:22">
      <c r="A631" s="3">
        <v>45684</v>
      </c>
      <c r="B631" t="str">
        <f t="shared" si="63"/>
        <v>yyyy-01</v>
      </c>
      <c r="C631">
        <f t="shared" si="64"/>
        <v>5</v>
      </c>
      <c r="D631" t="s">
        <v>24</v>
      </c>
      <c r="E631" t="s">
        <v>25</v>
      </c>
      <c r="F631" t="s">
        <v>33</v>
      </c>
      <c r="G631" t="s">
        <v>36</v>
      </c>
      <c r="H631" t="s">
        <v>37</v>
      </c>
      <c r="I631" s="5">
        <v>1746</v>
      </c>
      <c r="J631" s="5">
        <v>1026</v>
      </c>
      <c r="K631" s="5">
        <v>185</v>
      </c>
      <c r="L631" s="5">
        <v>39</v>
      </c>
      <c r="M631" s="5">
        <v>39</v>
      </c>
      <c r="N631" s="7">
        <v>1738.19</v>
      </c>
      <c r="O631" s="7">
        <f t="shared" si="65"/>
        <v>67789.41</v>
      </c>
      <c r="P631" s="4">
        <v>0.05</v>
      </c>
      <c r="Q631" s="7">
        <f t="shared" si="66"/>
        <v>3389.4705000000004</v>
      </c>
      <c r="R631" s="7">
        <f t="shared" si="67"/>
        <v>64399.9395</v>
      </c>
      <c r="S631" s="7">
        <f t="shared" si="68"/>
        <v>1651.2805000000001</v>
      </c>
      <c r="T631" s="6">
        <f t="shared" si="69"/>
        <v>2.2336769759450172E-2</v>
      </c>
      <c r="V631" t="s">
        <v>29</v>
      </c>
    </row>
    <row r="632" spans="1:22">
      <c r="A632" s="3">
        <v>45684</v>
      </c>
      <c r="B632" t="str">
        <f t="shared" si="63"/>
        <v>yyyy-01</v>
      </c>
      <c r="C632">
        <f t="shared" si="64"/>
        <v>5</v>
      </c>
      <c r="D632" t="s">
        <v>24</v>
      </c>
      <c r="E632" t="s">
        <v>34</v>
      </c>
      <c r="F632" t="s">
        <v>35</v>
      </c>
      <c r="G632" t="s">
        <v>31</v>
      </c>
      <c r="H632" t="s">
        <v>32</v>
      </c>
      <c r="I632" s="5">
        <v>1247</v>
      </c>
      <c r="J632" s="5">
        <v>948</v>
      </c>
      <c r="K632" s="5">
        <v>87</v>
      </c>
      <c r="L632" s="5">
        <v>19</v>
      </c>
      <c r="M632" s="5">
        <v>19</v>
      </c>
      <c r="N632" s="7">
        <v>863.09</v>
      </c>
      <c r="O632" s="7">
        <f t="shared" si="65"/>
        <v>16398.71</v>
      </c>
      <c r="P632" s="4">
        <v>0.03</v>
      </c>
      <c r="Q632" s="7">
        <f t="shared" si="66"/>
        <v>491.96129999999994</v>
      </c>
      <c r="R632" s="7">
        <f t="shared" si="67"/>
        <v>15906.7487</v>
      </c>
      <c r="S632" s="7">
        <f t="shared" si="68"/>
        <v>837.19730000000004</v>
      </c>
      <c r="T632" s="6">
        <f t="shared" si="69"/>
        <v>1.5236567762630313E-2</v>
      </c>
      <c r="V632" t="s">
        <v>29</v>
      </c>
    </row>
    <row r="633" spans="1:22">
      <c r="A633" s="3">
        <v>45684</v>
      </c>
      <c r="B633" t="str">
        <f t="shared" si="63"/>
        <v>yyyy-01</v>
      </c>
      <c r="C633">
        <f t="shared" si="64"/>
        <v>5</v>
      </c>
      <c r="D633" t="s">
        <v>24</v>
      </c>
      <c r="E633" t="s">
        <v>38</v>
      </c>
      <c r="F633" t="s">
        <v>39</v>
      </c>
      <c r="G633" t="s">
        <v>31</v>
      </c>
      <c r="H633" t="s">
        <v>32</v>
      </c>
      <c r="I633" s="5">
        <v>786</v>
      </c>
      <c r="J633" s="5">
        <v>548</v>
      </c>
      <c r="K633" s="5">
        <v>77</v>
      </c>
      <c r="L633" s="5">
        <v>16</v>
      </c>
      <c r="M633" s="5">
        <v>16</v>
      </c>
      <c r="N633" s="7">
        <v>324.45</v>
      </c>
      <c r="O633" s="7">
        <f t="shared" si="65"/>
        <v>5191.2</v>
      </c>
      <c r="P633" s="4">
        <v>0</v>
      </c>
      <c r="Q633" s="7">
        <f t="shared" si="66"/>
        <v>0</v>
      </c>
      <c r="R633" s="7">
        <f t="shared" si="67"/>
        <v>5191.2</v>
      </c>
      <c r="S633" s="7">
        <f t="shared" si="68"/>
        <v>324.45</v>
      </c>
      <c r="T633" s="6">
        <f t="shared" si="69"/>
        <v>2.0356234096692113E-2</v>
      </c>
      <c r="V633" t="s">
        <v>29</v>
      </c>
    </row>
    <row r="634" spans="1:22">
      <c r="A634" s="3">
        <v>45684</v>
      </c>
      <c r="B634" t="str">
        <f t="shared" si="63"/>
        <v>yyyy-01</v>
      </c>
      <c r="C634">
        <f t="shared" si="64"/>
        <v>5</v>
      </c>
      <c r="D634" t="s">
        <v>24</v>
      </c>
      <c r="E634" t="s">
        <v>40</v>
      </c>
      <c r="F634" t="s">
        <v>41</v>
      </c>
      <c r="G634" t="s">
        <v>27</v>
      </c>
      <c r="H634" t="s">
        <v>48</v>
      </c>
      <c r="I634" s="5">
        <v>346</v>
      </c>
      <c r="J634" s="5">
        <v>180</v>
      </c>
      <c r="K634" s="5">
        <v>40</v>
      </c>
      <c r="L634" s="5">
        <v>9</v>
      </c>
      <c r="M634" s="5">
        <v>11</v>
      </c>
      <c r="N634" s="7">
        <v>181.88</v>
      </c>
      <c r="O634" s="7">
        <f t="shared" si="65"/>
        <v>2000.6799999999998</v>
      </c>
      <c r="P634" s="4">
        <v>0</v>
      </c>
      <c r="Q634" s="7">
        <f t="shared" si="66"/>
        <v>0</v>
      </c>
      <c r="R634" s="7">
        <f t="shared" si="67"/>
        <v>2000.6799999999998</v>
      </c>
      <c r="S634" s="7">
        <f t="shared" si="68"/>
        <v>222.29777777777775</v>
      </c>
      <c r="T634" s="6">
        <f t="shared" si="69"/>
        <v>2.6011560693641619E-2</v>
      </c>
      <c r="V634" t="s">
        <v>29</v>
      </c>
    </row>
    <row r="635" spans="1:22">
      <c r="A635" s="3">
        <v>45684</v>
      </c>
      <c r="B635" t="str">
        <f t="shared" si="63"/>
        <v>yyyy-01</v>
      </c>
      <c r="C635">
        <f t="shared" si="64"/>
        <v>5</v>
      </c>
      <c r="D635" t="s">
        <v>42</v>
      </c>
      <c r="E635" t="s">
        <v>43</v>
      </c>
      <c r="F635" t="s">
        <v>44</v>
      </c>
      <c r="G635" t="s">
        <v>36</v>
      </c>
      <c r="H635" t="s">
        <v>37</v>
      </c>
      <c r="I635" s="5">
        <v>723</v>
      </c>
      <c r="J635" s="5">
        <v>520</v>
      </c>
      <c r="K635" s="5">
        <v>46</v>
      </c>
      <c r="L635" s="5">
        <v>10</v>
      </c>
      <c r="M635" s="5">
        <v>10</v>
      </c>
      <c r="N635" s="7">
        <v>1312.6</v>
      </c>
      <c r="O635" s="7">
        <f t="shared" si="65"/>
        <v>13126</v>
      </c>
      <c r="P635" s="4">
        <v>0.05</v>
      </c>
      <c r="Q635" s="7">
        <f t="shared" si="66"/>
        <v>656.30000000000007</v>
      </c>
      <c r="R635" s="7">
        <f t="shared" si="67"/>
        <v>12469.7</v>
      </c>
      <c r="S635" s="7">
        <f t="shared" si="68"/>
        <v>1246.97</v>
      </c>
      <c r="T635" s="6">
        <f t="shared" si="69"/>
        <v>1.3831258644536652E-2</v>
      </c>
      <c r="V635" t="s">
        <v>29</v>
      </c>
    </row>
    <row r="636" spans="1:22">
      <c r="A636" s="3">
        <v>45684</v>
      </c>
      <c r="B636" t="str">
        <f t="shared" si="63"/>
        <v>yyyy-01</v>
      </c>
      <c r="C636">
        <f t="shared" si="64"/>
        <v>5</v>
      </c>
      <c r="D636" t="s">
        <v>42</v>
      </c>
      <c r="E636" t="s">
        <v>43</v>
      </c>
      <c r="F636" t="s">
        <v>46</v>
      </c>
      <c r="G636" t="s">
        <v>27</v>
      </c>
      <c r="H636" t="s">
        <v>45</v>
      </c>
      <c r="I636" s="5">
        <v>473</v>
      </c>
      <c r="J636" s="5">
        <v>271</v>
      </c>
      <c r="K636" s="5">
        <v>16</v>
      </c>
      <c r="L636" s="5">
        <v>5</v>
      </c>
      <c r="M636" s="5">
        <v>5</v>
      </c>
      <c r="N636" s="7">
        <v>2202.85</v>
      </c>
      <c r="O636" s="7">
        <f t="shared" si="65"/>
        <v>11014.25</v>
      </c>
      <c r="P636" s="4">
        <v>0</v>
      </c>
      <c r="Q636" s="7">
        <f t="shared" si="66"/>
        <v>0</v>
      </c>
      <c r="R636" s="7">
        <f t="shared" si="67"/>
        <v>11014.25</v>
      </c>
      <c r="S636" s="7">
        <f t="shared" si="68"/>
        <v>2202.85</v>
      </c>
      <c r="T636" s="6">
        <f t="shared" si="69"/>
        <v>1.0570824524312896E-2</v>
      </c>
      <c r="V636" t="s">
        <v>29</v>
      </c>
    </row>
    <row r="637" spans="1:22">
      <c r="A637" s="3">
        <v>45684</v>
      </c>
      <c r="B637" t="str">
        <f t="shared" si="63"/>
        <v>yyyy-01</v>
      </c>
      <c r="C637">
        <f t="shared" si="64"/>
        <v>5</v>
      </c>
      <c r="D637" t="s">
        <v>42</v>
      </c>
      <c r="E637" t="s">
        <v>43</v>
      </c>
      <c r="F637" t="s">
        <v>47</v>
      </c>
      <c r="G637" t="s">
        <v>27</v>
      </c>
      <c r="H637" t="s">
        <v>48</v>
      </c>
      <c r="I637" s="5">
        <v>240</v>
      </c>
      <c r="J637" s="5">
        <v>157</v>
      </c>
      <c r="K637" s="5">
        <v>7</v>
      </c>
      <c r="L637" s="5">
        <v>3</v>
      </c>
      <c r="M637" s="5">
        <v>3</v>
      </c>
      <c r="N637" s="7">
        <v>610.85</v>
      </c>
      <c r="O637" s="7">
        <f t="shared" si="65"/>
        <v>1832.5500000000002</v>
      </c>
      <c r="P637" s="4">
        <v>0.05</v>
      </c>
      <c r="Q637" s="7">
        <f t="shared" si="66"/>
        <v>91.627500000000012</v>
      </c>
      <c r="R637" s="7">
        <f t="shared" si="67"/>
        <v>1740.9225000000001</v>
      </c>
      <c r="S637" s="7">
        <f t="shared" si="68"/>
        <v>580.3075</v>
      </c>
      <c r="T637" s="6">
        <f t="shared" si="69"/>
        <v>1.2500000000000001E-2</v>
      </c>
      <c r="V637" t="s">
        <v>29</v>
      </c>
    </row>
    <row r="638" spans="1:22">
      <c r="A638" s="3">
        <v>45684</v>
      </c>
      <c r="B638" t="str">
        <f t="shared" si="63"/>
        <v>yyyy-01</v>
      </c>
      <c r="C638">
        <f t="shared" si="64"/>
        <v>5</v>
      </c>
      <c r="D638" t="s">
        <v>42</v>
      </c>
      <c r="E638" t="s">
        <v>49</v>
      </c>
      <c r="F638" t="s">
        <v>50</v>
      </c>
      <c r="G638" t="s">
        <v>31</v>
      </c>
      <c r="H638" t="s">
        <v>32</v>
      </c>
      <c r="I638" s="5">
        <v>173</v>
      </c>
      <c r="J638" s="5">
        <v>118</v>
      </c>
      <c r="K638" s="5">
        <v>13</v>
      </c>
      <c r="L638" s="5">
        <v>2</v>
      </c>
      <c r="M638" s="5">
        <v>2</v>
      </c>
      <c r="N638" s="7">
        <v>985.97</v>
      </c>
      <c r="O638" s="7">
        <f t="shared" si="65"/>
        <v>1971.94</v>
      </c>
      <c r="P638" s="4">
        <v>0</v>
      </c>
      <c r="Q638" s="7">
        <f t="shared" si="66"/>
        <v>0</v>
      </c>
      <c r="R638" s="7">
        <f t="shared" si="67"/>
        <v>1971.94</v>
      </c>
      <c r="S638" s="7">
        <f t="shared" si="68"/>
        <v>985.97</v>
      </c>
      <c r="T638" s="6">
        <f t="shared" si="69"/>
        <v>1.1560693641618497E-2</v>
      </c>
      <c r="V638" t="s">
        <v>78</v>
      </c>
    </row>
    <row r="639" spans="1:22">
      <c r="A639" s="3">
        <v>45684</v>
      </c>
      <c r="B639" t="str">
        <f t="shared" si="63"/>
        <v>yyyy-01</v>
      </c>
      <c r="C639">
        <f t="shared" si="64"/>
        <v>5</v>
      </c>
      <c r="D639" t="s">
        <v>42</v>
      </c>
      <c r="E639" t="s">
        <v>51</v>
      </c>
      <c r="F639" t="s">
        <v>52</v>
      </c>
      <c r="G639" t="s">
        <v>27</v>
      </c>
      <c r="H639" t="s">
        <v>63</v>
      </c>
      <c r="I639" s="5">
        <v>152</v>
      </c>
      <c r="J639" s="5">
        <v>98</v>
      </c>
      <c r="K639" s="5">
        <v>8</v>
      </c>
      <c r="L639" s="5">
        <v>2</v>
      </c>
      <c r="M639" s="5">
        <v>2</v>
      </c>
      <c r="N639" s="7">
        <v>608.83000000000004</v>
      </c>
      <c r="O639" s="7">
        <f t="shared" si="65"/>
        <v>1217.6600000000001</v>
      </c>
      <c r="P639" s="4">
        <v>0</v>
      </c>
      <c r="Q639" s="7">
        <f t="shared" si="66"/>
        <v>0</v>
      </c>
      <c r="R639" s="7">
        <f t="shared" si="67"/>
        <v>1217.6600000000001</v>
      </c>
      <c r="S639" s="7">
        <f t="shared" si="68"/>
        <v>608.83000000000004</v>
      </c>
      <c r="T639" s="6">
        <f t="shared" si="69"/>
        <v>1.3157894736842105E-2</v>
      </c>
      <c r="V639" t="s">
        <v>29</v>
      </c>
    </row>
    <row r="640" spans="1:22">
      <c r="A640" s="3">
        <v>45684</v>
      </c>
      <c r="B640" t="str">
        <f t="shared" si="63"/>
        <v>yyyy-01</v>
      </c>
      <c r="C640">
        <f t="shared" si="64"/>
        <v>5</v>
      </c>
      <c r="D640" t="s">
        <v>53</v>
      </c>
      <c r="E640" t="s">
        <v>54</v>
      </c>
      <c r="F640" t="s">
        <v>55</v>
      </c>
      <c r="G640" t="s">
        <v>27</v>
      </c>
      <c r="H640" t="s">
        <v>48</v>
      </c>
      <c r="I640" s="5">
        <v>153</v>
      </c>
      <c r="J640" s="5">
        <v>107</v>
      </c>
      <c r="K640" s="5">
        <v>5</v>
      </c>
      <c r="L640" s="5">
        <v>2</v>
      </c>
      <c r="M640" s="5">
        <v>2</v>
      </c>
      <c r="N640" s="7">
        <v>1298</v>
      </c>
      <c r="O640" s="7">
        <f t="shared" si="65"/>
        <v>2596</v>
      </c>
      <c r="P640" s="4">
        <v>0.03</v>
      </c>
      <c r="Q640" s="7">
        <f t="shared" si="66"/>
        <v>77.88</v>
      </c>
      <c r="R640" s="7">
        <f t="shared" si="67"/>
        <v>2518.12</v>
      </c>
      <c r="S640" s="7">
        <f t="shared" si="68"/>
        <v>1259.06</v>
      </c>
      <c r="T640" s="6">
        <f t="shared" si="69"/>
        <v>1.3071895424836602E-2</v>
      </c>
      <c r="V640" t="s">
        <v>29</v>
      </c>
    </row>
    <row r="641" spans="1:22">
      <c r="A641" s="3">
        <v>45684</v>
      </c>
      <c r="B641" t="str">
        <f t="shared" si="63"/>
        <v>yyyy-01</v>
      </c>
      <c r="C641">
        <f t="shared" si="64"/>
        <v>5</v>
      </c>
      <c r="D641" t="s">
        <v>53</v>
      </c>
      <c r="E641" t="s">
        <v>56</v>
      </c>
      <c r="F641" t="s">
        <v>57</v>
      </c>
      <c r="G641" t="s">
        <v>36</v>
      </c>
      <c r="H641" t="s">
        <v>37</v>
      </c>
      <c r="I641" s="5">
        <v>252</v>
      </c>
      <c r="J641" s="5">
        <v>141</v>
      </c>
      <c r="K641" s="5">
        <v>9</v>
      </c>
      <c r="L641" s="5">
        <v>3</v>
      </c>
      <c r="M641" s="5">
        <v>3</v>
      </c>
      <c r="N641" s="7">
        <v>754.71</v>
      </c>
      <c r="O641" s="7">
        <f t="shared" si="65"/>
        <v>2264.13</v>
      </c>
      <c r="P641" s="4">
        <v>0.08</v>
      </c>
      <c r="Q641" s="7">
        <f t="shared" si="66"/>
        <v>181.13040000000001</v>
      </c>
      <c r="R641" s="7">
        <f t="shared" si="67"/>
        <v>2082.9996000000001</v>
      </c>
      <c r="S641" s="7">
        <f t="shared" si="68"/>
        <v>694.33320000000003</v>
      </c>
      <c r="T641" s="6">
        <f t="shared" si="69"/>
        <v>1.1904761904761904E-2</v>
      </c>
      <c r="U641" t="s">
        <v>82</v>
      </c>
      <c r="V641" t="s">
        <v>29</v>
      </c>
    </row>
    <row r="642" spans="1:22">
      <c r="A642" s="3">
        <v>45684</v>
      </c>
      <c r="B642" t="str">
        <f t="shared" si="63"/>
        <v>yyyy-01</v>
      </c>
      <c r="C642">
        <f t="shared" si="64"/>
        <v>5</v>
      </c>
      <c r="D642" t="s">
        <v>53</v>
      </c>
      <c r="E642" t="s">
        <v>56</v>
      </c>
      <c r="F642" t="s">
        <v>58</v>
      </c>
      <c r="G642" t="s">
        <v>36</v>
      </c>
      <c r="H642" t="s">
        <v>37</v>
      </c>
      <c r="I642" s="5">
        <v>219</v>
      </c>
      <c r="J642" s="5">
        <v>154</v>
      </c>
      <c r="K642" s="5">
        <v>12</v>
      </c>
      <c r="L642" s="5">
        <v>4</v>
      </c>
      <c r="M642" s="5">
        <v>4</v>
      </c>
      <c r="N642" s="7">
        <v>906.15</v>
      </c>
      <c r="O642" s="7">
        <f t="shared" si="65"/>
        <v>3624.6</v>
      </c>
      <c r="P642" s="4">
        <v>0.08</v>
      </c>
      <c r="Q642" s="7">
        <f t="shared" si="66"/>
        <v>289.96800000000002</v>
      </c>
      <c r="R642" s="7">
        <f t="shared" si="67"/>
        <v>3334.6320000000001</v>
      </c>
      <c r="S642" s="7">
        <f t="shared" si="68"/>
        <v>833.65800000000002</v>
      </c>
      <c r="T642" s="6">
        <f t="shared" si="69"/>
        <v>1.8264840182648401E-2</v>
      </c>
      <c r="U642" t="s">
        <v>82</v>
      </c>
      <c r="V642" t="s">
        <v>29</v>
      </c>
    </row>
    <row r="643" spans="1:22">
      <c r="A643" s="3">
        <v>45684</v>
      </c>
      <c r="B643" t="str">
        <f t="shared" si="63"/>
        <v>yyyy-01</v>
      </c>
      <c r="C643">
        <f t="shared" si="64"/>
        <v>5</v>
      </c>
      <c r="D643" t="s">
        <v>53</v>
      </c>
      <c r="E643" t="s">
        <v>59</v>
      </c>
      <c r="F643" t="s">
        <v>60</v>
      </c>
      <c r="G643" t="s">
        <v>31</v>
      </c>
      <c r="H643" t="s">
        <v>32</v>
      </c>
      <c r="I643" s="5">
        <v>190</v>
      </c>
      <c r="J643" s="5">
        <v>138</v>
      </c>
      <c r="K643" s="5">
        <v>12</v>
      </c>
      <c r="L643" s="5">
        <v>2</v>
      </c>
      <c r="M643" s="5">
        <v>2</v>
      </c>
      <c r="N643" s="7">
        <v>676.8</v>
      </c>
      <c r="O643" s="7">
        <f t="shared" si="65"/>
        <v>1353.6</v>
      </c>
      <c r="P643" s="4">
        <v>0</v>
      </c>
      <c r="Q643" s="7">
        <f t="shared" si="66"/>
        <v>0</v>
      </c>
      <c r="R643" s="7">
        <f t="shared" si="67"/>
        <v>1353.6</v>
      </c>
      <c r="S643" s="7">
        <f t="shared" si="68"/>
        <v>676.8</v>
      </c>
      <c r="T643" s="6">
        <f t="shared" si="69"/>
        <v>1.0526315789473684E-2</v>
      </c>
      <c r="V643" t="s">
        <v>29</v>
      </c>
    </row>
    <row r="644" spans="1:22">
      <c r="A644" s="3">
        <v>45684</v>
      </c>
      <c r="B644" t="str">
        <f t="shared" si="63"/>
        <v>yyyy-01</v>
      </c>
      <c r="C644">
        <f t="shared" si="64"/>
        <v>5</v>
      </c>
      <c r="D644" t="s">
        <v>53</v>
      </c>
      <c r="E644" t="s">
        <v>61</v>
      </c>
      <c r="F644" t="s">
        <v>62</v>
      </c>
      <c r="G644" t="s">
        <v>27</v>
      </c>
      <c r="H644" t="s">
        <v>48</v>
      </c>
      <c r="I644" s="5">
        <v>71</v>
      </c>
      <c r="J644" s="5">
        <v>49</v>
      </c>
      <c r="K644" s="5">
        <v>3</v>
      </c>
      <c r="L644" s="5">
        <v>1</v>
      </c>
      <c r="M644" s="5">
        <v>1</v>
      </c>
      <c r="N644" s="7">
        <v>491.47</v>
      </c>
      <c r="O644" s="7">
        <f t="shared" si="65"/>
        <v>491.47</v>
      </c>
      <c r="P644" s="4">
        <v>0</v>
      </c>
      <c r="Q644" s="7">
        <f t="shared" si="66"/>
        <v>0</v>
      </c>
      <c r="R644" s="7">
        <f t="shared" si="67"/>
        <v>491.47</v>
      </c>
      <c r="S644" s="7">
        <f t="shared" si="68"/>
        <v>491.47</v>
      </c>
      <c r="T644" s="6">
        <f t="shared" si="69"/>
        <v>1.4084507042253521E-2</v>
      </c>
      <c r="V644" t="s">
        <v>29</v>
      </c>
    </row>
    <row r="645" spans="1:22">
      <c r="A645" s="3">
        <v>45684</v>
      </c>
      <c r="B645" t="str">
        <f t="shared" ref="B645:B708" si="70">TEXT(A645,"yyyy-mm")</f>
        <v>yyyy-01</v>
      </c>
      <c r="C645">
        <f t="shared" ref="C645:C708" si="71">WEEKNUM(A645,2)</f>
        <v>5</v>
      </c>
      <c r="D645" t="s">
        <v>53</v>
      </c>
      <c r="E645" t="s">
        <v>64</v>
      </c>
      <c r="F645" t="s">
        <v>65</v>
      </c>
      <c r="G645" t="s">
        <v>27</v>
      </c>
      <c r="H645" t="s">
        <v>45</v>
      </c>
      <c r="I645" s="5">
        <v>171</v>
      </c>
      <c r="J645" s="5">
        <v>95</v>
      </c>
      <c r="K645" s="5">
        <v>8</v>
      </c>
      <c r="L645" s="5">
        <v>2</v>
      </c>
      <c r="M645" s="5">
        <v>2</v>
      </c>
      <c r="N645" s="7">
        <v>774.6</v>
      </c>
      <c r="O645" s="7">
        <f t="shared" ref="O645:O708" si="72">M645*N645</f>
        <v>1549.2</v>
      </c>
      <c r="P645" s="4">
        <v>0.03</v>
      </c>
      <c r="Q645" s="7">
        <f t="shared" ref="Q645:Q708" si="73">O645*P645</f>
        <v>46.475999999999999</v>
      </c>
      <c r="R645" s="7">
        <f t="shared" ref="R645:R708" si="74">O645-Q645</f>
        <v>1502.7240000000002</v>
      </c>
      <c r="S645" s="7">
        <f t="shared" ref="S645:S708" si="75">IFERROR(R645/L645,0)</f>
        <v>751.36200000000008</v>
      </c>
      <c r="T645" s="6">
        <f t="shared" ref="T645:T708" si="76">IFERROR(L645/I645,0)</f>
        <v>1.1695906432748537E-2</v>
      </c>
      <c r="V645" t="s">
        <v>29</v>
      </c>
    </row>
    <row r="646" spans="1:22">
      <c r="A646" s="3">
        <v>45684</v>
      </c>
      <c r="B646" t="str">
        <f t="shared" si="70"/>
        <v>yyyy-01</v>
      </c>
      <c r="C646">
        <f t="shared" si="71"/>
        <v>5</v>
      </c>
      <c r="D646" t="s">
        <v>66</v>
      </c>
      <c r="E646" t="s">
        <v>67</v>
      </c>
      <c r="F646" t="s">
        <v>68</v>
      </c>
      <c r="G646" t="s">
        <v>27</v>
      </c>
      <c r="H646" t="s">
        <v>48</v>
      </c>
      <c r="I646" s="5">
        <v>309</v>
      </c>
      <c r="J646" s="5">
        <v>161</v>
      </c>
      <c r="K646" s="5">
        <v>37</v>
      </c>
      <c r="L646" s="5">
        <v>9</v>
      </c>
      <c r="M646" s="5">
        <v>9</v>
      </c>
      <c r="N646" s="7">
        <v>682.94</v>
      </c>
      <c r="O646" s="7">
        <f t="shared" si="72"/>
        <v>6146.4600000000009</v>
      </c>
      <c r="P646" s="4">
        <v>7.0000000000000007E-2</v>
      </c>
      <c r="Q646" s="7">
        <f t="shared" si="73"/>
        <v>430.25220000000013</v>
      </c>
      <c r="R646" s="7">
        <f t="shared" si="74"/>
        <v>5716.207800000001</v>
      </c>
      <c r="S646" s="7">
        <f t="shared" si="75"/>
        <v>635.13420000000008</v>
      </c>
      <c r="T646" s="6">
        <f t="shared" si="76"/>
        <v>2.9126213592233011E-2</v>
      </c>
      <c r="U646" t="s">
        <v>83</v>
      </c>
      <c r="V646" t="s">
        <v>29</v>
      </c>
    </row>
    <row r="647" spans="1:22">
      <c r="A647" s="3">
        <v>45684</v>
      </c>
      <c r="B647" t="str">
        <f t="shared" si="70"/>
        <v>yyyy-01</v>
      </c>
      <c r="C647">
        <f t="shared" si="71"/>
        <v>5</v>
      </c>
      <c r="D647" t="s">
        <v>66</v>
      </c>
      <c r="E647" t="s">
        <v>67</v>
      </c>
      <c r="F647" t="s">
        <v>69</v>
      </c>
      <c r="G647" t="s">
        <v>27</v>
      </c>
      <c r="H647" t="s">
        <v>45</v>
      </c>
      <c r="I647" s="5">
        <v>275</v>
      </c>
      <c r="J647" s="5">
        <v>155</v>
      </c>
      <c r="K647" s="5">
        <v>17</v>
      </c>
      <c r="L647" s="5">
        <v>5</v>
      </c>
      <c r="M647" s="5">
        <v>5</v>
      </c>
      <c r="N647" s="7">
        <v>387.22</v>
      </c>
      <c r="O647" s="7">
        <f t="shared" si="72"/>
        <v>1936.1000000000001</v>
      </c>
      <c r="P647" s="4">
        <v>7.0000000000000007E-2</v>
      </c>
      <c r="Q647" s="7">
        <f t="shared" si="73"/>
        <v>135.52700000000002</v>
      </c>
      <c r="R647" s="7">
        <f t="shared" si="74"/>
        <v>1800.5730000000001</v>
      </c>
      <c r="S647" s="7">
        <f t="shared" si="75"/>
        <v>360.1146</v>
      </c>
      <c r="T647" s="6">
        <f t="shared" si="76"/>
        <v>1.8181818181818181E-2</v>
      </c>
      <c r="U647" t="s">
        <v>83</v>
      </c>
      <c r="V647" t="s">
        <v>29</v>
      </c>
    </row>
    <row r="648" spans="1:22">
      <c r="A648" s="3">
        <v>45684</v>
      </c>
      <c r="B648" t="str">
        <f t="shared" si="70"/>
        <v>yyyy-01</v>
      </c>
      <c r="C648">
        <f t="shared" si="71"/>
        <v>5</v>
      </c>
      <c r="D648" t="s">
        <v>66</v>
      </c>
      <c r="E648" t="s">
        <v>67</v>
      </c>
      <c r="F648" t="s">
        <v>70</v>
      </c>
      <c r="G648" t="s">
        <v>27</v>
      </c>
      <c r="H648" t="s">
        <v>45</v>
      </c>
      <c r="I648" s="5">
        <v>302</v>
      </c>
      <c r="J648" s="5">
        <v>224</v>
      </c>
      <c r="K648" s="5">
        <v>24</v>
      </c>
      <c r="L648" s="5">
        <v>7</v>
      </c>
      <c r="M648" s="5">
        <v>7</v>
      </c>
      <c r="N648" s="7">
        <v>341.35</v>
      </c>
      <c r="O648" s="7">
        <f t="shared" si="72"/>
        <v>2389.4500000000003</v>
      </c>
      <c r="P648" s="4">
        <v>7.0000000000000007E-2</v>
      </c>
      <c r="Q648" s="7">
        <f t="shared" si="73"/>
        <v>167.26150000000004</v>
      </c>
      <c r="R648" s="7">
        <f t="shared" si="74"/>
        <v>2222.1885000000002</v>
      </c>
      <c r="S648" s="7">
        <f t="shared" si="75"/>
        <v>317.45550000000003</v>
      </c>
      <c r="T648" s="6">
        <f t="shared" si="76"/>
        <v>2.3178807947019868E-2</v>
      </c>
      <c r="U648" t="s">
        <v>83</v>
      </c>
      <c r="V648" t="s">
        <v>29</v>
      </c>
    </row>
    <row r="649" spans="1:22">
      <c r="A649" s="3">
        <v>45684</v>
      </c>
      <c r="B649" t="str">
        <f t="shared" si="70"/>
        <v>yyyy-01</v>
      </c>
      <c r="C649">
        <f t="shared" si="71"/>
        <v>5</v>
      </c>
      <c r="D649" t="s">
        <v>66</v>
      </c>
      <c r="E649" t="s">
        <v>71</v>
      </c>
      <c r="F649" t="s">
        <v>72</v>
      </c>
      <c r="G649" t="s">
        <v>36</v>
      </c>
      <c r="H649" t="s">
        <v>37</v>
      </c>
      <c r="I649" s="5">
        <v>367</v>
      </c>
      <c r="J649" s="5">
        <v>201</v>
      </c>
      <c r="K649" s="5">
        <v>26</v>
      </c>
      <c r="L649" s="5">
        <v>6</v>
      </c>
      <c r="M649" s="5">
        <v>7</v>
      </c>
      <c r="N649" s="7">
        <v>129.80000000000001</v>
      </c>
      <c r="O649" s="7">
        <f t="shared" si="72"/>
        <v>908.60000000000014</v>
      </c>
      <c r="P649" s="4">
        <v>0.03</v>
      </c>
      <c r="Q649" s="7">
        <f t="shared" si="73"/>
        <v>27.258000000000003</v>
      </c>
      <c r="R649" s="7">
        <f t="shared" si="74"/>
        <v>881.3420000000001</v>
      </c>
      <c r="S649" s="7">
        <f t="shared" si="75"/>
        <v>146.89033333333336</v>
      </c>
      <c r="T649" s="6">
        <f t="shared" si="76"/>
        <v>1.6348773841961851E-2</v>
      </c>
      <c r="V649" t="s">
        <v>29</v>
      </c>
    </row>
    <row r="650" spans="1:22">
      <c r="A650" s="3">
        <v>45684</v>
      </c>
      <c r="B650" t="str">
        <f t="shared" si="70"/>
        <v>yyyy-01</v>
      </c>
      <c r="C650">
        <f t="shared" si="71"/>
        <v>5</v>
      </c>
      <c r="D650" t="s">
        <v>66</v>
      </c>
      <c r="E650" t="s">
        <v>73</v>
      </c>
      <c r="F650" t="s">
        <v>74</v>
      </c>
      <c r="G650" t="s">
        <v>27</v>
      </c>
      <c r="H650" t="s">
        <v>28</v>
      </c>
      <c r="I650" s="5">
        <v>215</v>
      </c>
      <c r="J650" s="5">
        <v>119</v>
      </c>
      <c r="K650" s="5">
        <v>13</v>
      </c>
      <c r="L650" s="5">
        <v>2</v>
      </c>
      <c r="M650" s="5">
        <v>2</v>
      </c>
      <c r="N650" s="7">
        <v>1186.83</v>
      </c>
      <c r="O650" s="7">
        <f t="shared" si="72"/>
        <v>2373.66</v>
      </c>
      <c r="P650" s="4">
        <v>0</v>
      </c>
      <c r="Q650" s="7">
        <f t="shared" si="73"/>
        <v>0</v>
      </c>
      <c r="R650" s="7">
        <f t="shared" si="74"/>
        <v>2373.66</v>
      </c>
      <c r="S650" s="7">
        <f t="shared" si="75"/>
        <v>1186.83</v>
      </c>
      <c r="T650" s="6">
        <f t="shared" si="76"/>
        <v>9.3023255813953487E-3</v>
      </c>
      <c r="V650" t="s">
        <v>78</v>
      </c>
    </row>
    <row r="651" spans="1:22">
      <c r="A651" s="3">
        <v>45684</v>
      </c>
      <c r="B651" t="str">
        <f t="shared" si="70"/>
        <v>yyyy-01</v>
      </c>
      <c r="C651">
        <f t="shared" si="71"/>
        <v>5</v>
      </c>
      <c r="D651" t="s">
        <v>66</v>
      </c>
      <c r="E651" t="s">
        <v>71</v>
      </c>
      <c r="F651" t="s">
        <v>75</v>
      </c>
      <c r="G651" t="s">
        <v>31</v>
      </c>
      <c r="H651" t="s">
        <v>32</v>
      </c>
      <c r="I651" s="5">
        <v>328</v>
      </c>
      <c r="J651" s="5">
        <v>196</v>
      </c>
      <c r="K651" s="5">
        <v>23</v>
      </c>
      <c r="L651" s="5">
        <v>5</v>
      </c>
      <c r="M651" s="5">
        <v>5</v>
      </c>
      <c r="N651" s="7">
        <v>37.56</v>
      </c>
      <c r="O651" s="7">
        <f t="shared" si="72"/>
        <v>187.8</v>
      </c>
      <c r="P651" s="4">
        <v>0</v>
      </c>
      <c r="Q651" s="7">
        <f t="shared" si="73"/>
        <v>0</v>
      </c>
      <c r="R651" s="7">
        <f t="shared" si="74"/>
        <v>187.8</v>
      </c>
      <c r="S651" s="7">
        <f t="shared" si="75"/>
        <v>37.56</v>
      </c>
      <c r="T651" s="6">
        <f t="shared" si="76"/>
        <v>1.524390243902439E-2</v>
      </c>
      <c r="V651" t="s">
        <v>78</v>
      </c>
    </row>
    <row r="652" spans="1:22">
      <c r="A652" s="3">
        <v>45684</v>
      </c>
      <c r="B652" t="str">
        <f t="shared" si="70"/>
        <v>yyyy-01</v>
      </c>
      <c r="C652">
        <f t="shared" si="71"/>
        <v>5</v>
      </c>
      <c r="D652" t="s">
        <v>24</v>
      </c>
      <c r="E652" t="s">
        <v>76</v>
      </c>
      <c r="F652" t="s">
        <v>77</v>
      </c>
      <c r="G652" t="s">
        <v>27</v>
      </c>
      <c r="H652" t="s">
        <v>28</v>
      </c>
      <c r="I652" s="5">
        <v>543</v>
      </c>
      <c r="J652" s="5">
        <v>364</v>
      </c>
      <c r="K652" s="5">
        <v>42</v>
      </c>
      <c r="L652" s="5">
        <v>9</v>
      </c>
      <c r="M652" s="5">
        <v>11</v>
      </c>
      <c r="N652" s="7">
        <v>194.93</v>
      </c>
      <c r="O652" s="7">
        <f t="shared" si="72"/>
        <v>2144.23</v>
      </c>
      <c r="P652" s="4">
        <v>0</v>
      </c>
      <c r="Q652" s="7">
        <f t="shared" si="73"/>
        <v>0</v>
      </c>
      <c r="R652" s="7">
        <f t="shared" si="74"/>
        <v>2144.23</v>
      </c>
      <c r="S652" s="7">
        <f t="shared" si="75"/>
        <v>238.24777777777777</v>
      </c>
      <c r="T652" s="6">
        <f t="shared" si="76"/>
        <v>1.6574585635359115E-2</v>
      </c>
      <c r="V652" t="s">
        <v>29</v>
      </c>
    </row>
    <row r="653" spans="1:22">
      <c r="A653" s="3">
        <v>45685</v>
      </c>
      <c r="B653" t="str">
        <f t="shared" si="70"/>
        <v>yyyy-01</v>
      </c>
      <c r="C653">
        <f t="shared" si="71"/>
        <v>5</v>
      </c>
      <c r="D653" t="s">
        <v>24</v>
      </c>
      <c r="E653" t="s">
        <v>25</v>
      </c>
      <c r="F653" t="s">
        <v>26</v>
      </c>
      <c r="G653" t="s">
        <v>31</v>
      </c>
      <c r="H653" t="s">
        <v>32</v>
      </c>
      <c r="I653" s="5">
        <v>1653</v>
      </c>
      <c r="J653" s="5">
        <v>976</v>
      </c>
      <c r="K653" s="5">
        <v>94</v>
      </c>
      <c r="L653" s="5">
        <v>29</v>
      </c>
      <c r="M653" s="5">
        <v>29</v>
      </c>
      <c r="N653" s="7">
        <v>1012.47</v>
      </c>
      <c r="O653" s="7">
        <f t="shared" si="72"/>
        <v>29361.63</v>
      </c>
      <c r="P653" s="4">
        <v>0.05</v>
      </c>
      <c r="Q653" s="7">
        <f t="shared" si="73"/>
        <v>1468.0815000000002</v>
      </c>
      <c r="R653" s="7">
        <f t="shared" si="74"/>
        <v>27893.548500000001</v>
      </c>
      <c r="S653" s="7">
        <f t="shared" si="75"/>
        <v>961.84649999999999</v>
      </c>
      <c r="T653" s="6">
        <f t="shared" si="76"/>
        <v>1.7543859649122806E-2</v>
      </c>
      <c r="V653" t="s">
        <v>29</v>
      </c>
    </row>
    <row r="654" spans="1:22">
      <c r="A654" s="3">
        <v>45685</v>
      </c>
      <c r="B654" t="str">
        <f t="shared" si="70"/>
        <v>yyyy-01</v>
      </c>
      <c r="C654">
        <f t="shared" si="71"/>
        <v>5</v>
      </c>
      <c r="D654" t="s">
        <v>24</v>
      </c>
      <c r="E654" t="s">
        <v>25</v>
      </c>
      <c r="F654" t="s">
        <v>30</v>
      </c>
      <c r="G654" t="s">
        <v>31</v>
      </c>
      <c r="H654" t="s">
        <v>32</v>
      </c>
      <c r="I654" s="5">
        <v>1756</v>
      </c>
      <c r="J654" s="5">
        <v>1397</v>
      </c>
      <c r="K654" s="5">
        <v>139</v>
      </c>
      <c r="L654" s="5">
        <v>29</v>
      </c>
      <c r="M654" s="5">
        <v>29</v>
      </c>
      <c r="N654" s="7">
        <v>392.31</v>
      </c>
      <c r="O654" s="7">
        <f t="shared" si="72"/>
        <v>11376.99</v>
      </c>
      <c r="P654" s="4">
        <v>0.03</v>
      </c>
      <c r="Q654" s="7">
        <f t="shared" si="73"/>
        <v>341.30969999999996</v>
      </c>
      <c r="R654" s="7">
        <f t="shared" si="74"/>
        <v>11035.6803</v>
      </c>
      <c r="S654" s="7">
        <f t="shared" si="75"/>
        <v>380.54070000000002</v>
      </c>
      <c r="T654" s="6">
        <f t="shared" si="76"/>
        <v>1.6514806378132119E-2</v>
      </c>
      <c r="V654" t="s">
        <v>29</v>
      </c>
    </row>
    <row r="655" spans="1:22">
      <c r="A655" s="3">
        <v>45685</v>
      </c>
      <c r="B655" t="str">
        <f t="shared" si="70"/>
        <v>yyyy-01</v>
      </c>
      <c r="C655">
        <f t="shared" si="71"/>
        <v>5</v>
      </c>
      <c r="D655" t="s">
        <v>24</v>
      </c>
      <c r="E655" t="s">
        <v>25</v>
      </c>
      <c r="F655" t="s">
        <v>33</v>
      </c>
      <c r="G655" t="s">
        <v>31</v>
      </c>
      <c r="H655" t="s">
        <v>32</v>
      </c>
      <c r="I655" s="5">
        <v>1515</v>
      </c>
      <c r="J655" s="5">
        <v>945</v>
      </c>
      <c r="K655" s="5">
        <v>85</v>
      </c>
      <c r="L655" s="5">
        <v>23</v>
      </c>
      <c r="M655" s="5">
        <v>23</v>
      </c>
      <c r="N655" s="7">
        <v>1739.03</v>
      </c>
      <c r="O655" s="7">
        <f t="shared" si="72"/>
        <v>39997.69</v>
      </c>
      <c r="P655" s="4">
        <v>0.05</v>
      </c>
      <c r="Q655" s="7">
        <f t="shared" si="73"/>
        <v>1999.8845000000001</v>
      </c>
      <c r="R655" s="7">
        <f t="shared" si="74"/>
        <v>37997.805500000002</v>
      </c>
      <c r="S655" s="7">
        <f t="shared" si="75"/>
        <v>1652.0785000000001</v>
      </c>
      <c r="T655" s="6">
        <f t="shared" si="76"/>
        <v>1.5181518151815182E-2</v>
      </c>
      <c r="V655" t="s">
        <v>29</v>
      </c>
    </row>
    <row r="656" spans="1:22">
      <c r="A656" s="3">
        <v>45685</v>
      </c>
      <c r="B656" t="str">
        <f t="shared" si="70"/>
        <v>yyyy-01</v>
      </c>
      <c r="C656">
        <f t="shared" si="71"/>
        <v>5</v>
      </c>
      <c r="D656" t="s">
        <v>24</v>
      </c>
      <c r="E656" t="s">
        <v>34</v>
      </c>
      <c r="F656" t="s">
        <v>35</v>
      </c>
      <c r="G656" t="s">
        <v>36</v>
      </c>
      <c r="H656" t="s">
        <v>37</v>
      </c>
      <c r="I656" s="5">
        <v>1042</v>
      </c>
      <c r="J656" s="5">
        <v>652</v>
      </c>
      <c r="K656" s="5">
        <v>99</v>
      </c>
      <c r="L656" s="5">
        <v>26</v>
      </c>
      <c r="M656" s="5">
        <v>26</v>
      </c>
      <c r="N656" s="7">
        <v>897.45</v>
      </c>
      <c r="O656" s="7">
        <f t="shared" si="72"/>
        <v>23333.7</v>
      </c>
      <c r="P656" s="4">
        <v>0</v>
      </c>
      <c r="Q656" s="7">
        <f t="shared" si="73"/>
        <v>0</v>
      </c>
      <c r="R656" s="7">
        <f t="shared" si="74"/>
        <v>23333.7</v>
      </c>
      <c r="S656" s="7">
        <f t="shared" si="75"/>
        <v>897.45</v>
      </c>
      <c r="T656" s="6">
        <f t="shared" si="76"/>
        <v>2.4952015355086371E-2</v>
      </c>
      <c r="V656" t="s">
        <v>29</v>
      </c>
    </row>
    <row r="657" spans="1:22">
      <c r="A657" s="3">
        <v>45685</v>
      </c>
      <c r="B657" t="str">
        <f t="shared" si="70"/>
        <v>yyyy-01</v>
      </c>
      <c r="C657">
        <f t="shared" si="71"/>
        <v>5</v>
      </c>
      <c r="D657" t="s">
        <v>24</v>
      </c>
      <c r="E657" t="s">
        <v>38</v>
      </c>
      <c r="F657" t="s">
        <v>39</v>
      </c>
      <c r="G657" t="s">
        <v>27</v>
      </c>
      <c r="H657" t="s">
        <v>28</v>
      </c>
      <c r="I657" s="5">
        <v>658</v>
      </c>
      <c r="J657" s="5">
        <v>426</v>
      </c>
      <c r="K657" s="5">
        <v>64</v>
      </c>
      <c r="L657" s="5">
        <v>14</v>
      </c>
      <c r="M657" s="5">
        <v>14</v>
      </c>
      <c r="N657" s="7">
        <v>325.19</v>
      </c>
      <c r="O657" s="7">
        <f t="shared" si="72"/>
        <v>4552.66</v>
      </c>
      <c r="P657" s="4">
        <v>0</v>
      </c>
      <c r="Q657" s="7">
        <f t="shared" si="73"/>
        <v>0</v>
      </c>
      <c r="R657" s="7">
        <f t="shared" si="74"/>
        <v>4552.66</v>
      </c>
      <c r="S657" s="7">
        <f t="shared" si="75"/>
        <v>325.19</v>
      </c>
      <c r="T657" s="6">
        <f t="shared" si="76"/>
        <v>2.1276595744680851E-2</v>
      </c>
      <c r="V657" t="s">
        <v>29</v>
      </c>
    </row>
    <row r="658" spans="1:22">
      <c r="A658" s="3">
        <v>45685</v>
      </c>
      <c r="B658" t="str">
        <f t="shared" si="70"/>
        <v>yyyy-01</v>
      </c>
      <c r="C658">
        <f t="shared" si="71"/>
        <v>5</v>
      </c>
      <c r="D658" t="s">
        <v>24</v>
      </c>
      <c r="E658" t="s">
        <v>40</v>
      </c>
      <c r="F658" t="s">
        <v>41</v>
      </c>
      <c r="G658" t="s">
        <v>36</v>
      </c>
      <c r="H658" t="s">
        <v>37</v>
      </c>
      <c r="I658" s="5">
        <v>678</v>
      </c>
      <c r="J658" s="5">
        <v>507</v>
      </c>
      <c r="K658" s="5">
        <v>44</v>
      </c>
      <c r="L658" s="5">
        <v>12</v>
      </c>
      <c r="M658" s="5">
        <v>16</v>
      </c>
      <c r="N658" s="7">
        <v>178.2</v>
      </c>
      <c r="O658" s="7">
        <f t="shared" si="72"/>
        <v>2851.2</v>
      </c>
      <c r="P658" s="4">
        <v>0</v>
      </c>
      <c r="Q658" s="7">
        <f t="shared" si="73"/>
        <v>0</v>
      </c>
      <c r="R658" s="7">
        <f t="shared" si="74"/>
        <v>2851.2</v>
      </c>
      <c r="S658" s="7">
        <f t="shared" si="75"/>
        <v>237.6</v>
      </c>
      <c r="T658" s="6">
        <f t="shared" si="76"/>
        <v>1.7699115044247787E-2</v>
      </c>
      <c r="V658" t="s">
        <v>29</v>
      </c>
    </row>
    <row r="659" spans="1:22">
      <c r="A659" s="3">
        <v>45685</v>
      </c>
      <c r="B659" t="str">
        <f t="shared" si="70"/>
        <v>yyyy-01</v>
      </c>
      <c r="C659">
        <f t="shared" si="71"/>
        <v>5</v>
      </c>
      <c r="D659" t="s">
        <v>42</v>
      </c>
      <c r="E659" t="s">
        <v>43</v>
      </c>
      <c r="F659" t="s">
        <v>44</v>
      </c>
      <c r="G659" t="s">
        <v>31</v>
      </c>
      <c r="H659" t="s">
        <v>32</v>
      </c>
      <c r="I659" s="5">
        <v>510</v>
      </c>
      <c r="J659" s="5">
        <v>421</v>
      </c>
      <c r="K659" s="5">
        <v>31</v>
      </c>
      <c r="L659" s="5">
        <v>8</v>
      </c>
      <c r="M659" s="5">
        <v>8</v>
      </c>
      <c r="N659" s="7">
        <v>1277.77</v>
      </c>
      <c r="O659" s="7">
        <f t="shared" si="72"/>
        <v>10222.16</v>
      </c>
      <c r="P659" s="4">
        <v>0.03</v>
      </c>
      <c r="Q659" s="7">
        <f t="shared" si="73"/>
        <v>306.66479999999996</v>
      </c>
      <c r="R659" s="7">
        <f t="shared" si="74"/>
        <v>9915.4951999999994</v>
      </c>
      <c r="S659" s="7">
        <f t="shared" si="75"/>
        <v>1239.4368999999999</v>
      </c>
      <c r="T659" s="6">
        <f t="shared" si="76"/>
        <v>1.5686274509803921E-2</v>
      </c>
      <c r="V659" t="s">
        <v>29</v>
      </c>
    </row>
    <row r="660" spans="1:22">
      <c r="A660" s="3">
        <v>45685</v>
      </c>
      <c r="B660" t="str">
        <f t="shared" si="70"/>
        <v>yyyy-01</v>
      </c>
      <c r="C660">
        <f t="shared" si="71"/>
        <v>5</v>
      </c>
      <c r="D660" t="s">
        <v>42</v>
      </c>
      <c r="E660" t="s">
        <v>43</v>
      </c>
      <c r="F660" t="s">
        <v>46</v>
      </c>
      <c r="G660" t="s">
        <v>27</v>
      </c>
      <c r="H660" t="s">
        <v>45</v>
      </c>
      <c r="I660" s="5">
        <v>412</v>
      </c>
      <c r="J660" s="5">
        <v>272</v>
      </c>
      <c r="K660" s="5">
        <v>18</v>
      </c>
      <c r="L660" s="5">
        <v>5</v>
      </c>
      <c r="M660" s="5">
        <v>5</v>
      </c>
      <c r="N660" s="7">
        <v>2207.59</v>
      </c>
      <c r="O660" s="7">
        <f t="shared" si="72"/>
        <v>11037.95</v>
      </c>
      <c r="P660" s="4">
        <v>0.05</v>
      </c>
      <c r="Q660" s="7">
        <f t="shared" si="73"/>
        <v>551.89750000000004</v>
      </c>
      <c r="R660" s="7">
        <f t="shared" si="74"/>
        <v>10486.052500000002</v>
      </c>
      <c r="S660" s="7">
        <f t="shared" si="75"/>
        <v>2097.2105000000001</v>
      </c>
      <c r="T660" s="6">
        <f t="shared" si="76"/>
        <v>1.2135922330097087E-2</v>
      </c>
      <c r="V660" t="s">
        <v>29</v>
      </c>
    </row>
    <row r="661" spans="1:22">
      <c r="A661" s="3">
        <v>45685</v>
      </c>
      <c r="B661" t="str">
        <f t="shared" si="70"/>
        <v>yyyy-01</v>
      </c>
      <c r="C661">
        <f t="shared" si="71"/>
        <v>5</v>
      </c>
      <c r="D661" t="s">
        <v>42</v>
      </c>
      <c r="E661" t="s">
        <v>43</v>
      </c>
      <c r="F661" t="s">
        <v>47</v>
      </c>
      <c r="G661" t="s">
        <v>27</v>
      </c>
      <c r="H661" t="s">
        <v>63</v>
      </c>
      <c r="I661" s="5">
        <v>330</v>
      </c>
      <c r="J661" s="5">
        <v>173</v>
      </c>
      <c r="K661" s="5">
        <v>13</v>
      </c>
      <c r="L661" s="5">
        <v>5</v>
      </c>
      <c r="M661" s="5">
        <v>5</v>
      </c>
      <c r="N661" s="7">
        <v>595.54</v>
      </c>
      <c r="O661" s="7">
        <f t="shared" si="72"/>
        <v>2977.7</v>
      </c>
      <c r="P661" s="4">
        <v>0</v>
      </c>
      <c r="Q661" s="7">
        <f t="shared" si="73"/>
        <v>0</v>
      </c>
      <c r="R661" s="7">
        <f t="shared" si="74"/>
        <v>2977.7</v>
      </c>
      <c r="S661" s="7">
        <f t="shared" si="75"/>
        <v>595.54</v>
      </c>
      <c r="T661" s="6">
        <f t="shared" si="76"/>
        <v>1.5151515151515152E-2</v>
      </c>
      <c r="V661" t="s">
        <v>29</v>
      </c>
    </row>
    <row r="662" spans="1:22">
      <c r="A662" s="3">
        <v>45685</v>
      </c>
      <c r="B662" t="str">
        <f t="shared" si="70"/>
        <v>yyyy-01</v>
      </c>
      <c r="C662">
        <f t="shared" si="71"/>
        <v>5</v>
      </c>
      <c r="D662" t="s">
        <v>42</v>
      </c>
      <c r="E662" t="s">
        <v>49</v>
      </c>
      <c r="F662" t="s">
        <v>50</v>
      </c>
      <c r="G662" t="s">
        <v>27</v>
      </c>
      <c r="H662" t="s">
        <v>28</v>
      </c>
      <c r="I662" s="5">
        <v>220</v>
      </c>
      <c r="J662" s="5">
        <v>123</v>
      </c>
      <c r="K662" s="5">
        <v>13</v>
      </c>
      <c r="L662" s="5">
        <v>4</v>
      </c>
      <c r="M662" s="5">
        <v>4</v>
      </c>
      <c r="N662" s="7">
        <v>996.61</v>
      </c>
      <c r="O662" s="7">
        <f t="shared" si="72"/>
        <v>3986.44</v>
      </c>
      <c r="P662" s="4">
        <v>0</v>
      </c>
      <c r="Q662" s="7">
        <f t="shared" si="73"/>
        <v>0</v>
      </c>
      <c r="R662" s="7">
        <f t="shared" si="74"/>
        <v>3986.44</v>
      </c>
      <c r="S662" s="7">
        <f t="shared" si="75"/>
        <v>996.61</v>
      </c>
      <c r="T662" s="6">
        <f t="shared" si="76"/>
        <v>1.8181818181818181E-2</v>
      </c>
      <c r="V662" t="s">
        <v>29</v>
      </c>
    </row>
    <row r="663" spans="1:22">
      <c r="A663" s="3">
        <v>45685</v>
      </c>
      <c r="B663" t="str">
        <f t="shared" si="70"/>
        <v>yyyy-01</v>
      </c>
      <c r="C663">
        <f t="shared" si="71"/>
        <v>5</v>
      </c>
      <c r="D663" t="s">
        <v>42</v>
      </c>
      <c r="E663" t="s">
        <v>51</v>
      </c>
      <c r="F663" t="s">
        <v>52</v>
      </c>
      <c r="G663" t="s">
        <v>27</v>
      </c>
      <c r="H663" t="s">
        <v>45</v>
      </c>
      <c r="I663" s="5">
        <v>283</v>
      </c>
      <c r="J663" s="5">
        <v>176</v>
      </c>
      <c r="K663" s="5">
        <v>11</v>
      </c>
      <c r="L663" s="5">
        <v>3</v>
      </c>
      <c r="M663" s="5">
        <v>3</v>
      </c>
      <c r="N663" s="7">
        <v>609.04</v>
      </c>
      <c r="O663" s="7">
        <f t="shared" si="72"/>
        <v>1827.12</v>
      </c>
      <c r="P663" s="4">
        <v>0</v>
      </c>
      <c r="Q663" s="7">
        <f t="shared" si="73"/>
        <v>0</v>
      </c>
      <c r="R663" s="7">
        <f t="shared" si="74"/>
        <v>1827.12</v>
      </c>
      <c r="S663" s="7">
        <f t="shared" si="75"/>
        <v>609.04</v>
      </c>
      <c r="T663" s="6">
        <f t="shared" si="76"/>
        <v>1.0600706713780919E-2</v>
      </c>
      <c r="V663" t="s">
        <v>29</v>
      </c>
    </row>
    <row r="664" spans="1:22">
      <c r="A664" s="3">
        <v>45685</v>
      </c>
      <c r="B664" t="str">
        <f t="shared" si="70"/>
        <v>yyyy-01</v>
      </c>
      <c r="C664">
        <f t="shared" si="71"/>
        <v>5</v>
      </c>
      <c r="D664" t="s">
        <v>53</v>
      </c>
      <c r="E664" t="s">
        <v>54</v>
      </c>
      <c r="F664" t="s">
        <v>55</v>
      </c>
      <c r="G664" t="s">
        <v>27</v>
      </c>
      <c r="H664" t="s">
        <v>28</v>
      </c>
      <c r="I664" s="5">
        <v>185</v>
      </c>
      <c r="J664" s="5">
        <v>100</v>
      </c>
      <c r="K664" s="5">
        <v>13</v>
      </c>
      <c r="L664" s="5">
        <v>3</v>
      </c>
      <c r="M664" s="5">
        <v>3</v>
      </c>
      <c r="N664" s="7">
        <v>1320.72</v>
      </c>
      <c r="O664" s="7">
        <f t="shared" si="72"/>
        <v>3962.16</v>
      </c>
      <c r="P664" s="4">
        <v>0</v>
      </c>
      <c r="Q664" s="7">
        <f t="shared" si="73"/>
        <v>0</v>
      </c>
      <c r="R664" s="7">
        <f t="shared" si="74"/>
        <v>3962.16</v>
      </c>
      <c r="S664" s="7">
        <f t="shared" si="75"/>
        <v>1320.72</v>
      </c>
      <c r="T664" s="6">
        <f t="shared" si="76"/>
        <v>1.6216216216216217E-2</v>
      </c>
      <c r="V664" t="s">
        <v>29</v>
      </c>
    </row>
    <row r="665" spans="1:22">
      <c r="A665" s="3">
        <v>45685</v>
      </c>
      <c r="B665" t="str">
        <f t="shared" si="70"/>
        <v>yyyy-01</v>
      </c>
      <c r="C665">
        <f t="shared" si="71"/>
        <v>5</v>
      </c>
      <c r="D665" t="s">
        <v>53</v>
      </c>
      <c r="E665" t="s">
        <v>56</v>
      </c>
      <c r="F665" t="s">
        <v>57</v>
      </c>
      <c r="G665" t="s">
        <v>27</v>
      </c>
      <c r="H665" t="s">
        <v>45</v>
      </c>
      <c r="I665" s="5">
        <v>189</v>
      </c>
      <c r="J665" s="5">
        <v>134</v>
      </c>
      <c r="K665" s="5">
        <v>11</v>
      </c>
      <c r="L665" s="5">
        <v>2</v>
      </c>
      <c r="M665" s="5">
        <v>2</v>
      </c>
      <c r="N665" s="7">
        <v>722.05</v>
      </c>
      <c r="O665" s="7">
        <f t="shared" si="72"/>
        <v>1444.1</v>
      </c>
      <c r="P665" s="4">
        <v>0.08</v>
      </c>
      <c r="Q665" s="7">
        <f t="shared" si="73"/>
        <v>115.52799999999999</v>
      </c>
      <c r="R665" s="7">
        <f t="shared" si="74"/>
        <v>1328.5719999999999</v>
      </c>
      <c r="S665" s="7">
        <f t="shared" si="75"/>
        <v>664.28599999999994</v>
      </c>
      <c r="T665" s="6">
        <f t="shared" si="76"/>
        <v>1.0582010582010581E-2</v>
      </c>
      <c r="U665" t="s">
        <v>82</v>
      </c>
      <c r="V665" t="s">
        <v>29</v>
      </c>
    </row>
    <row r="666" spans="1:22">
      <c r="A666" s="3">
        <v>45685</v>
      </c>
      <c r="B666" t="str">
        <f t="shared" si="70"/>
        <v>yyyy-01</v>
      </c>
      <c r="C666">
        <f t="shared" si="71"/>
        <v>5</v>
      </c>
      <c r="D666" t="s">
        <v>53</v>
      </c>
      <c r="E666" t="s">
        <v>56</v>
      </c>
      <c r="F666" t="s">
        <v>58</v>
      </c>
      <c r="G666" t="s">
        <v>27</v>
      </c>
      <c r="H666" t="s">
        <v>45</v>
      </c>
      <c r="I666" s="5">
        <v>186</v>
      </c>
      <c r="J666" s="5">
        <v>153</v>
      </c>
      <c r="K666" s="5">
        <v>12</v>
      </c>
      <c r="L666" s="5">
        <v>2</v>
      </c>
      <c r="M666" s="5">
        <v>2</v>
      </c>
      <c r="N666" s="7">
        <v>913.7</v>
      </c>
      <c r="O666" s="7">
        <f t="shared" si="72"/>
        <v>1827.4</v>
      </c>
      <c r="P666" s="4">
        <v>0.08</v>
      </c>
      <c r="Q666" s="7">
        <f t="shared" si="73"/>
        <v>146.19200000000001</v>
      </c>
      <c r="R666" s="7">
        <f t="shared" si="74"/>
        <v>1681.2080000000001</v>
      </c>
      <c r="S666" s="7">
        <f t="shared" si="75"/>
        <v>840.60400000000004</v>
      </c>
      <c r="T666" s="6">
        <f t="shared" si="76"/>
        <v>1.0752688172043012E-2</v>
      </c>
      <c r="U666" t="s">
        <v>82</v>
      </c>
      <c r="V666" t="s">
        <v>29</v>
      </c>
    </row>
    <row r="667" spans="1:22">
      <c r="A667" s="3">
        <v>45685</v>
      </c>
      <c r="B667" t="str">
        <f t="shared" si="70"/>
        <v>yyyy-01</v>
      </c>
      <c r="C667">
        <f t="shared" si="71"/>
        <v>5</v>
      </c>
      <c r="D667" t="s">
        <v>53</v>
      </c>
      <c r="E667" t="s">
        <v>59</v>
      </c>
      <c r="F667" t="s">
        <v>60</v>
      </c>
      <c r="G667" t="s">
        <v>27</v>
      </c>
      <c r="H667" t="s">
        <v>28</v>
      </c>
      <c r="I667" s="5">
        <v>137</v>
      </c>
      <c r="J667" s="5">
        <v>86</v>
      </c>
      <c r="K667" s="5">
        <v>5</v>
      </c>
      <c r="L667" s="5">
        <v>1</v>
      </c>
      <c r="M667" s="5">
        <v>1</v>
      </c>
      <c r="N667" s="7">
        <v>673.7</v>
      </c>
      <c r="O667" s="7">
        <f t="shared" si="72"/>
        <v>673.7</v>
      </c>
      <c r="P667" s="4">
        <v>0.05</v>
      </c>
      <c r="Q667" s="7">
        <f t="shared" si="73"/>
        <v>33.685000000000002</v>
      </c>
      <c r="R667" s="7">
        <f t="shared" si="74"/>
        <v>640.0150000000001</v>
      </c>
      <c r="S667" s="7">
        <f t="shared" si="75"/>
        <v>640.0150000000001</v>
      </c>
      <c r="T667" s="6">
        <f t="shared" si="76"/>
        <v>7.2992700729927005E-3</v>
      </c>
      <c r="V667" t="s">
        <v>29</v>
      </c>
    </row>
    <row r="668" spans="1:22">
      <c r="A668" s="3">
        <v>45685</v>
      </c>
      <c r="B668" t="str">
        <f t="shared" si="70"/>
        <v>yyyy-01</v>
      </c>
      <c r="C668">
        <f t="shared" si="71"/>
        <v>5</v>
      </c>
      <c r="D668" t="s">
        <v>53</v>
      </c>
      <c r="E668" t="s">
        <v>61</v>
      </c>
      <c r="F668" t="s">
        <v>62</v>
      </c>
      <c r="G668" t="s">
        <v>36</v>
      </c>
      <c r="H668" t="s">
        <v>37</v>
      </c>
      <c r="I668" s="5">
        <v>147</v>
      </c>
      <c r="J668" s="5">
        <v>114</v>
      </c>
      <c r="K668" s="5">
        <v>12</v>
      </c>
      <c r="L668" s="5">
        <v>2</v>
      </c>
      <c r="M668" s="5">
        <v>2</v>
      </c>
      <c r="N668" s="7">
        <v>505.97</v>
      </c>
      <c r="O668" s="7">
        <f t="shared" si="72"/>
        <v>1011.94</v>
      </c>
      <c r="P668" s="4">
        <v>0</v>
      </c>
      <c r="Q668" s="7">
        <f t="shared" si="73"/>
        <v>0</v>
      </c>
      <c r="R668" s="7">
        <f t="shared" si="74"/>
        <v>1011.94</v>
      </c>
      <c r="S668" s="7">
        <f t="shared" si="75"/>
        <v>505.97</v>
      </c>
      <c r="T668" s="6">
        <f t="shared" si="76"/>
        <v>1.3605442176870748E-2</v>
      </c>
      <c r="V668" t="s">
        <v>29</v>
      </c>
    </row>
    <row r="669" spans="1:22">
      <c r="A669" s="3">
        <v>45685</v>
      </c>
      <c r="B669" t="str">
        <f t="shared" si="70"/>
        <v>yyyy-01</v>
      </c>
      <c r="C669">
        <f t="shared" si="71"/>
        <v>5</v>
      </c>
      <c r="D669" t="s">
        <v>53</v>
      </c>
      <c r="E669" t="s">
        <v>64</v>
      </c>
      <c r="F669" t="s">
        <v>65</v>
      </c>
      <c r="G669" t="s">
        <v>36</v>
      </c>
      <c r="H669" t="s">
        <v>37</v>
      </c>
      <c r="I669" s="5">
        <v>259</v>
      </c>
      <c r="J669" s="5">
        <v>210</v>
      </c>
      <c r="K669" s="5">
        <v>16</v>
      </c>
      <c r="L669" s="5">
        <v>2</v>
      </c>
      <c r="M669" s="5">
        <v>2</v>
      </c>
      <c r="N669" s="7">
        <v>770.88</v>
      </c>
      <c r="O669" s="7">
        <f t="shared" si="72"/>
        <v>1541.76</v>
      </c>
      <c r="P669" s="4">
        <v>0</v>
      </c>
      <c r="Q669" s="7">
        <f t="shared" si="73"/>
        <v>0</v>
      </c>
      <c r="R669" s="7">
        <f t="shared" si="74"/>
        <v>1541.76</v>
      </c>
      <c r="S669" s="7">
        <f t="shared" si="75"/>
        <v>770.88</v>
      </c>
      <c r="T669" s="6">
        <f t="shared" si="76"/>
        <v>7.7220077220077222E-3</v>
      </c>
      <c r="V669" t="s">
        <v>29</v>
      </c>
    </row>
    <row r="670" spans="1:22">
      <c r="A670" s="3">
        <v>45685</v>
      </c>
      <c r="B670" t="str">
        <f t="shared" si="70"/>
        <v>yyyy-01</v>
      </c>
      <c r="C670">
        <f t="shared" si="71"/>
        <v>5</v>
      </c>
      <c r="D670" t="s">
        <v>66</v>
      </c>
      <c r="E670" t="s">
        <v>67</v>
      </c>
      <c r="F670" t="s">
        <v>68</v>
      </c>
      <c r="G670" t="s">
        <v>27</v>
      </c>
      <c r="H670" t="s">
        <v>48</v>
      </c>
      <c r="I670" s="5">
        <v>234</v>
      </c>
      <c r="J670" s="5">
        <v>191</v>
      </c>
      <c r="K670" s="5">
        <v>18</v>
      </c>
      <c r="L670" s="5">
        <v>4</v>
      </c>
      <c r="M670" s="5">
        <v>4</v>
      </c>
      <c r="N670" s="7">
        <v>691.86</v>
      </c>
      <c r="O670" s="7">
        <f t="shared" si="72"/>
        <v>2767.44</v>
      </c>
      <c r="P670" s="4">
        <v>7.0000000000000007E-2</v>
      </c>
      <c r="Q670" s="7">
        <f t="shared" si="73"/>
        <v>193.72080000000003</v>
      </c>
      <c r="R670" s="7">
        <f t="shared" si="74"/>
        <v>2573.7192</v>
      </c>
      <c r="S670" s="7">
        <f t="shared" si="75"/>
        <v>643.4298</v>
      </c>
      <c r="T670" s="6">
        <f t="shared" si="76"/>
        <v>1.7094017094017096E-2</v>
      </c>
      <c r="U670" t="s">
        <v>83</v>
      </c>
      <c r="V670" t="s">
        <v>29</v>
      </c>
    </row>
    <row r="671" spans="1:22">
      <c r="A671" s="3">
        <v>45685</v>
      </c>
      <c r="B671" t="str">
        <f t="shared" si="70"/>
        <v>yyyy-01</v>
      </c>
      <c r="C671">
        <f t="shared" si="71"/>
        <v>5</v>
      </c>
      <c r="D671" t="s">
        <v>66</v>
      </c>
      <c r="E671" t="s">
        <v>67</v>
      </c>
      <c r="F671" t="s">
        <v>69</v>
      </c>
      <c r="G671" t="s">
        <v>27</v>
      </c>
      <c r="H671" t="s">
        <v>48</v>
      </c>
      <c r="I671" s="5">
        <v>235</v>
      </c>
      <c r="J671" s="5">
        <v>192</v>
      </c>
      <c r="K671" s="5">
        <v>13</v>
      </c>
      <c r="L671" s="5">
        <v>5</v>
      </c>
      <c r="M671" s="5">
        <v>5</v>
      </c>
      <c r="N671" s="7">
        <v>393.67</v>
      </c>
      <c r="O671" s="7">
        <f t="shared" si="72"/>
        <v>1968.3500000000001</v>
      </c>
      <c r="P671" s="4">
        <v>7.0000000000000007E-2</v>
      </c>
      <c r="Q671" s="7">
        <f t="shared" si="73"/>
        <v>137.78450000000004</v>
      </c>
      <c r="R671" s="7">
        <f t="shared" si="74"/>
        <v>1830.5655000000002</v>
      </c>
      <c r="S671" s="7">
        <f t="shared" si="75"/>
        <v>366.11310000000003</v>
      </c>
      <c r="T671" s="6">
        <f t="shared" si="76"/>
        <v>2.1276595744680851E-2</v>
      </c>
      <c r="U671" t="s">
        <v>83</v>
      </c>
      <c r="V671" t="s">
        <v>29</v>
      </c>
    </row>
    <row r="672" spans="1:22">
      <c r="A672" s="3">
        <v>45685</v>
      </c>
      <c r="B672" t="str">
        <f t="shared" si="70"/>
        <v>yyyy-01</v>
      </c>
      <c r="C672">
        <f t="shared" si="71"/>
        <v>5</v>
      </c>
      <c r="D672" t="s">
        <v>66</v>
      </c>
      <c r="E672" t="s">
        <v>67</v>
      </c>
      <c r="F672" t="s">
        <v>70</v>
      </c>
      <c r="G672" t="s">
        <v>27</v>
      </c>
      <c r="H672" t="s">
        <v>28</v>
      </c>
      <c r="I672" s="5">
        <v>300</v>
      </c>
      <c r="J672" s="5">
        <v>161</v>
      </c>
      <c r="K672" s="5">
        <v>22</v>
      </c>
      <c r="L672" s="5">
        <v>8</v>
      </c>
      <c r="M672" s="5">
        <v>8</v>
      </c>
      <c r="N672" s="7">
        <v>348.54</v>
      </c>
      <c r="O672" s="7">
        <f t="shared" si="72"/>
        <v>2788.32</v>
      </c>
      <c r="P672" s="4">
        <v>7.0000000000000007E-2</v>
      </c>
      <c r="Q672" s="7">
        <f t="shared" si="73"/>
        <v>195.18240000000003</v>
      </c>
      <c r="R672" s="7">
        <f t="shared" si="74"/>
        <v>2593.1376</v>
      </c>
      <c r="S672" s="7">
        <f t="shared" si="75"/>
        <v>324.1422</v>
      </c>
      <c r="T672" s="6">
        <f t="shared" si="76"/>
        <v>2.6666666666666668E-2</v>
      </c>
      <c r="U672" t="s">
        <v>83</v>
      </c>
      <c r="V672" t="s">
        <v>29</v>
      </c>
    </row>
    <row r="673" spans="1:22">
      <c r="A673" s="3">
        <v>45685</v>
      </c>
      <c r="B673" t="str">
        <f t="shared" si="70"/>
        <v>yyyy-01</v>
      </c>
      <c r="C673">
        <f t="shared" si="71"/>
        <v>5</v>
      </c>
      <c r="D673" t="s">
        <v>66</v>
      </c>
      <c r="E673" t="s">
        <v>71</v>
      </c>
      <c r="F673" t="s">
        <v>72</v>
      </c>
      <c r="G673" t="s">
        <v>36</v>
      </c>
      <c r="H673" t="s">
        <v>37</v>
      </c>
      <c r="I673" s="5">
        <v>336</v>
      </c>
      <c r="J673" s="5">
        <v>244</v>
      </c>
      <c r="K673" s="5">
        <v>22</v>
      </c>
      <c r="L673" s="5">
        <v>6</v>
      </c>
      <c r="M673" s="5">
        <v>7</v>
      </c>
      <c r="N673" s="7">
        <v>130.79</v>
      </c>
      <c r="O673" s="7">
        <f t="shared" si="72"/>
        <v>915.53</v>
      </c>
      <c r="P673" s="4">
        <v>0</v>
      </c>
      <c r="Q673" s="7">
        <f t="shared" si="73"/>
        <v>0</v>
      </c>
      <c r="R673" s="7">
        <f t="shared" si="74"/>
        <v>915.53</v>
      </c>
      <c r="S673" s="7">
        <f t="shared" si="75"/>
        <v>152.58833333333334</v>
      </c>
      <c r="T673" s="6">
        <f t="shared" si="76"/>
        <v>1.7857142857142856E-2</v>
      </c>
      <c r="V673" t="s">
        <v>29</v>
      </c>
    </row>
    <row r="674" spans="1:22">
      <c r="A674" s="3">
        <v>45685</v>
      </c>
      <c r="B674" t="str">
        <f t="shared" si="70"/>
        <v>yyyy-01</v>
      </c>
      <c r="C674">
        <f t="shared" si="71"/>
        <v>5</v>
      </c>
      <c r="D674" t="s">
        <v>66</v>
      </c>
      <c r="E674" t="s">
        <v>73</v>
      </c>
      <c r="F674" t="s">
        <v>74</v>
      </c>
      <c r="G674" t="s">
        <v>36</v>
      </c>
      <c r="H674" t="s">
        <v>37</v>
      </c>
      <c r="I674" s="5">
        <v>174</v>
      </c>
      <c r="J674" s="5">
        <v>110</v>
      </c>
      <c r="K674" s="5">
        <v>14</v>
      </c>
      <c r="L674" s="5">
        <v>3</v>
      </c>
      <c r="M674" s="5">
        <v>3</v>
      </c>
      <c r="N674" s="7">
        <v>1171.5</v>
      </c>
      <c r="O674" s="7">
        <f t="shared" si="72"/>
        <v>3514.5</v>
      </c>
      <c r="P674" s="4">
        <v>0</v>
      </c>
      <c r="Q674" s="7">
        <f t="shared" si="73"/>
        <v>0</v>
      </c>
      <c r="R674" s="7">
        <f t="shared" si="74"/>
        <v>3514.5</v>
      </c>
      <c r="S674" s="7">
        <f t="shared" si="75"/>
        <v>1171.5</v>
      </c>
      <c r="T674" s="6">
        <f t="shared" si="76"/>
        <v>1.7241379310344827E-2</v>
      </c>
      <c r="V674" t="s">
        <v>29</v>
      </c>
    </row>
    <row r="675" spans="1:22">
      <c r="A675" s="3">
        <v>45685</v>
      </c>
      <c r="B675" t="str">
        <f t="shared" si="70"/>
        <v>yyyy-01</v>
      </c>
      <c r="C675">
        <f t="shared" si="71"/>
        <v>5</v>
      </c>
      <c r="D675" t="s">
        <v>66</v>
      </c>
      <c r="E675" t="s">
        <v>71</v>
      </c>
      <c r="F675" t="s">
        <v>75</v>
      </c>
      <c r="G675" t="s">
        <v>27</v>
      </c>
      <c r="H675" t="s">
        <v>63</v>
      </c>
      <c r="I675" s="5">
        <v>204</v>
      </c>
      <c r="J675" s="5">
        <v>167</v>
      </c>
      <c r="K675" s="5">
        <v>16</v>
      </c>
      <c r="L675" s="5">
        <v>4</v>
      </c>
      <c r="M675" s="5">
        <v>4</v>
      </c>
      <c r="N675" s="7">
        <v>38</v>
      </c>
      <c r="O675" s="7">
        <f t="shared" si="72"/>
        <v>152</v>
      </c>
      <c r="P675" s="4">
        <v>0.03</v>
      </c>
      <c r="Q675" s="7">
        <f t="shared" si="73"/>
        <v>4.5599999999999996</v>
      </c>
      <c r="R675" s="7">
        <f t="shared" si="74"/>
        <v>147.44</v>
      </c>
      <c r="S675" s="7">
        <f t="shared" si="75"/>
        <v>36.86</v>
      </c>
      <c r="T675" s="6">
        <f t="shared" si="76"/>
        <v>1.9607843137254902E-2</v>
      </c>
      <c r="V675" t="s">
        <v>29</v>
      </c>
    </row>
    <row r="676" spans="1:22">
      <c r="A676" s="3">
        <v>45685</v>
      </c>
      <c r="B676" t="str">
        <f t="shared" si="70"/>
        <v>yyyy-01</v>
      </c>
      <c r="C676">
        <f t="shared" si="71"/>
        <v>5</v>
      </c>
      <c r="D676" t="s">
        <v>24</v>
      </c>
      <c r="E676" t="s">
        <v>76</v>
      </c>
      <c r="F676" t="s">
        <v>77</v>
      </c>
      <c r="G676" t="s">
        <v>31</v>
      </c>
      <c r="H676" t="s">
        <v>32</v>
      </c>
      <c r="I676" s="5">
        <v>529</v>
      </c>
      <c r="J676" s="5">
        <v>347</v>
      </c>
      <c r="K676" s="5">
        <v>34</v>
      </c>
      <c r="L676" s="5">
        <v>10</v>
      </c>
      <c r="M676" s="5">
        <v>12</v>
      </c>
      <c r="N676" s="7">
        <v>202.72</v>
      </c>
      <c r="O676" s="7">
        <f t="shared" si="72"/>
        <v>2432.64</v>
      </c>
      <c r="P676" s="4">
        <v>0</v>
      </c>
      <c r="Q676" s="7">
        <f t="shared" si="73"/>
        <v>0</v>
      </c>
      <c r="R676" s="7">
        <f t="shared" si="74"/>
        <v>2432.64</v>
      </c>
      <c r="S676" s="7">
        <f t="shared" si="75"/>
        <v>243.26399999999998</v>
      </c>
      <c r="T676" s="6">
        <f t="shared" si="76"/>
        <v>1.890359168241966E-2</v>
      </c>
      <c r="V676" t="s">
        <v>29</v>
      </c>
    </row>
    <row r="677" spans="1:22">
      <c r="A677" s="3">
        <v>45686</v>
      </c>
      <c r="B677" t="str">
        <f t="shared" si="70"/>
        <v>yyyy-01</v>
      </c>
      <c r="C677">
        <f t="shared" si="71"/>
        <v>5</v>
      </c>
      <c r="D677" t="s">
        <v>24</v>
      </c>
      <c r="E677" t="s">
        <v>25</v>
      </c>
      <c r="F677" t="s">
        <v>26</v>
      </c>
      <c r="G677" t="s">
        <v>31</v>
      </c>
      <c r="H677" t="s">
        <v>32</v>
      </c>
      <c r="I677" s="5">
        <v>1747</v>
      </c>
      <c r="J677" s="5">
        <v>1406</v>
      </c>
      <c r="K677" s="5">
        <v>119</v>
      </c>
      <c r="L677" s="5">
        <v>34</v>
      </c>
      <c r="M677" s="5">
        <v>34</v>
      </c>
      <c r="N677" s="7">
        <v>986.49</v>
      </c>
      <c r="O677" s="7">
        <f t="shared" si="72"/>
        <v>33540.660000000003</v>
      </c>
      <c r="P677" s="4">
        <v>0</v>
      </c>
      <c r="Q677" s="7">
        <f t="shared" si="73"/>
        <v>0</v>
      </c>
      <c r="R677" s="7">
        <f t="shared" si="74"/>
        <v>33540.660000000003</v>
      </c>
      <c r="S677" s="7">
        <f t="shared" si="75"/>
        <v>986.49000000000012</v>
      </c>
      <c r="T677" s="6">
        <f t="shared" si="76"/>
        <v>1.9461934745277618E-2</v>
      </c>
      <c r="V677" t="s">
        <v>29</v>
      </c>
    </row>
    <row r="678" spans="1:22">
      <c r="A678" s="3">
        <v>45686</v>
      </c>
      <c r="B678" t="str">
        <f t="shared" si="70"/>
        <v>yyyy-01</v>
      </c>
      <c r="C678">
        <f t="shared" si="71"/>
        <v>5</v>
      </c>
      <c r="D678" t="s">
        <v>24</v>
      </c>
      <c r="E678" t="s">
        <v>25</v>
      </c>
      <c r="F678" t="s">
        <v>30</v>
      </c>
      <c r="G678" t="s">
        <v>36</v>
      </c>
      <c r="H678" t="s">
        <v>37</v>
      </c>
      <c r="I678" s="5">
        <v>1671</v>
      </c>
      <c r="J678" s="5">
        <v>1151</v>
      </c>
      <c r="K678" s="5">
        <v>134</v>
      </c>
      <c r="L678" s="5">
        <v>34</v>
      </c>
      <c r="M678" s="5">
        <v>34</v>
      </c>
      <c r="N678" s="7">
        <v>404.49</v>
      </c>
      <c r="O678" s="7">
        <f t="shared" si="72"/>
        <v>13752.66</v>
      </c>
      <c r="P678" s="4">
        <v>0</v>
      </c>
      <c r="Q678" s="7">
        <f t="shared" si="73"/>
        <v>0</v>
      </c>
      <c r="R678" s="7">
        <f t="shared" si="74"/>
        <v>13752.66</v>
      </c>
      <c r="S678" s="7">
        <f t="shared" si="75"/>
        <v>404.49</v>
      </c>
      <c r="T678" s="6">
        <f t="shared" si="76"/>
        <v>2.0347097546379412E-2</v>
      </c>
      <c r="V678" t="s">
        <v>29</v>
      </c>
    </row>
    <row r="679" spans="1:22">
      <c r="A679" s="3">
        <v>45686</v>
      </c>
      <c r="B679" t="str">
        <f t="shared" si="70"/>
        <v>yyyy-01</v>
      </c>
      <c r="C679">
        <f t="shared" si="71"/>
        <v>5</v>
      </c>
      <c r="D679" t="s">
        <v>24</v>
      </c>
      <c r="E679" t="s">
        <v>25</v>
      </c>
      <c r="F679" t="s">
        <v>33</v>
      </c>
      <c r="G679" t="s">
        <v>27</v>
      </c>
      <c r="H679" t="s">
        <v>63</v>
      </c>
      <c r="I679" s="5">
        <v>1056</v>
      </c>
      <c r="J679" s="5">
        <v>851</v>
      </c>
      <c r="K679" s="5">
        <v>67</v>
      </c>
      <c r="L679" s="5">
        <v>20</v>
      </c>
      <c r="M679" s="5">
        <v>20</v>
      </c>
      <c r="N679" s="7">
        <v>1731.37</v>
      </c>
      <c r="O679" s="7">
        <f t="shared" si="72"/>
        <v>34627.399999999994</v>
      </c>
      <c r="P679" s="4">
        <v>0.03</v>
      </c>
      <c r="Q679" s="7">
        <f t="shared" si="73"/>
        <v>1038.8219999999999</v>
      </c>
      <c r="R679" s="7">
        <f t="shared" si="74"/>
        <v>33588.577999999994</v>
      </c>
      <c r="S679" s="7">
        <f t="shared" si="75"/>
        <v>1679.4288999999997</v>
      </c>
      <c r="T679" s="6">
        <f t="shared" si="76"/>
        <v>1.893939393939394E-2</v>
      </c>
      <c r="V679" t="s">
        <v>29</v>
      </c>
    </row>
    <row r="680" spans="1:22">
      <c r="A680" s="3">
        <v>45686</v>
      </c>
      <c r="B680" t="str">
        <f t="shared" si="70"/>
        <v>yyyy-01</v>
      </c>
      <c r="C680">
        <f t="shared" si="71"/>
        <v>5</v>
      </c>
      <c r="D680" t="s">
        <v>24</v>
      </c>
      <c r="E680" t="s">
        <v>34</v>
      </c>
      <c r="F680" t="s">
        <v>35</v>
      </c>
      <c r="G680" t="s">
        <v>27</v>
      </c>
      <c r="H680" t="s">
        <v>45</v>
      </c>
      <c r="I680" s="5">
        <v>606</v>
      </c>
      <c r="J680" s="5">
        <v>390</v>
      </c>
      <c r="K680" s="5">
        <v>50</v>
      </c>
      <c r="L680" s="5">
        <v>15</v>
      </c>
      <c r="M680" s="5">
        <v>15</v>
      </c>
      <c r="N680" s="7">
        <v>866.01</v>
      </c>
      <c r="O680" s="7">
        <f t="shared" si="72"/>
        <v>12990.15</v>
      </c>
      <c r="P680" s="4">
        <v>0</v>
      </c>
      <c r="Q680" s="7">
        <f t="shared" si="73"/>
        <v>0</v>
      </c>
      <c r="R680" s="7">
        <f t="shared" si="74"/>
        <v>12990.15</v>
      </c>
      <c r="S680" s="7">
        <f t="shared" si="75"/>
        <v>866.01</v>
      </c>
      <c r="T680" s="6">
        <f t="shared" si="76"/>
        <v>2.4752475247524754E-2</v>
      </c>
      <c r="V680" t="s">
        <v>29</v>
      </c>
    </row>
    <row r="681" spans="1:22">
      <c r="A681" s="3">
        <v>45686</v>
      </c>
      <c r="B681" t="str">
        <f t="shared" si="70"/>
        <v>yyyy-01</v>
      </c>
      <c r="C681">
        <f t="shared" si="71"/>
        <v>5</v>
      </c>
      <c r="D681" t="s">
        <v>24</v>
      </c>
      <c r="E681" t="s">
        <v>38</v>
      </c>
      <c r="F681" t="s">
        <v>39</v>
      </c>
      <c r="G681" t="s">
        <v>27</v>
      </c>
      <c r="H681" t="s">
        <v>28</v>
      </c>
      <c r="I681" s="5">
        <v>770</v>
      </c>
      <c r="J681" s="5">
        <v>447</v>
      </c>
      <c r="K681" s="5">
        <v>55</v>
      </c>
      <c r="L681" s="5">
        <v>12</v>
      </c>
      <c r="M681" s="5">
        <v>12</v>
      </c>
      <c r="N681" s="7">
        <v>334.74</v>
      </c>
      <c r="O681" s="7">
        <f t="shared" si="72"/>
        <v>4016.88</v>
      </c>
      <c r="P681" s="4">
        <v>0.03</v>
      </c>
      <c r="Q681" s="7">
        <f t="shared" si="73"/>
        <v>120.5064</v>
      </c>
      <c r="R681" s="7">
        <f t="shared" si="74"/>
        <v>3896.3735999999999</v>
      </c>
      <c r="S681" s="7">
        <f t="shared" si="75"/>
        <v>324.69779999999997</v>
      </c>
      <c r="T681" s="6">
        <f t="shared" si="76"/>
        <v>1.5584415584415584E-2</v>
      </c>
      <c r="V681" t="s">
        <v>29</v>
      </c>
    </row>
    <row r="682" spans="1:22">
      <c r="A682" s="3">
        <v>45686</v>
      </c>
      <c r="B682" t="str">
        <f t="shared" si="70"/>
        <v>yyyy-01</v>
      </c>
      <c r="C682">
        <f t="shared" si="71"/>
        <v>5</v>
      </c>
      <c r="D682" t="s">
        <v>24</v>
      </c>
      <c r="E682" t="s">
        <v>40</v>
      </c>
      <c r="F682" t="s">
        <v>41</v>
      </c>
      <c r="G682" t="s">
        <v>27</v>
      </c>
      <c r="H682" t="s">
        <v>63</v>
      </c>
      <c r="I682" s="5">
        <v>343</v>
      </c>
      <c r="J682" s="5">
        <v>212</v>
      </c>
      <c r="K682" s="5">
        <v>34</v>
      </c>
      <c r="L682" s="5">
        <v>7</v>
      </c>
      <c r="M682" s="5">
        <v>8</v>
      </c>
      <c r="N682" s="7">
        <v>173.43</v>
      </c>
      <c r="O682" s="7">
        <f t="shared" si="72"/>
        <v>1387.44</v>
      </c>
      <c r="P682" s="4">
        <v>0</v>
      </c>
      <c r="Q682" s="7">
        <f t="shared" si="73"/>
        <v>0</v>
      </c>
      <c r="R682" s="7">
        <f t="shared" si="74"/>
        <v>1387.44</v>
      </c>
      <c r="S682" s="7">
        <f t="shared" si="75"/>
        <v>198.20571428571429</v>
      </c>
      <c r="T682" s="6">
        <f t="shared" si="76"/>
        <v>2.0408163265306121E-2</v>
      </c>
      <c r="V682" t="s">
        <v>29</v>
      </c>
    </row>
    <row r="683" spans="1:22">
      <c r="A683" s="3">
        <v>45686</v>
      </c>
      <c r="B683" t="str">
        <f t="shared" si="70"/>
        <v>yyyy-01</v>
      </c>
      <c r="C683">
        <f t="shared" si="71"/>
        <v>5</v>
      </c>
      <c r="D683" t="s">
        <v>42</v>
      </c>
      <c r="E683" t="s">
        <v>43</v>
      </c>
      <c r="F683" t="s">
        <v>44</v>
      </c>
      <c r="G683" t="s">
        <v>27</v>
      </c>
      <c r="H683" t="s">
        <v>48</v>
      </c>
      <c r="I683" s="5">
        <v>396</v>
      </c>
      <c r="J683" s="5">
        <v>243</v>
      </c>
      <c r="K683" s="5">
        <v>22</v>
      </c>
      <c r="L683" s="5">
        <v>6</v>
      </c>
      <c r="M683" s="5">
        <v>6</v>
      </c>
      <c r="N683" s="7">
        <v>1316.24</v>
      </c>
      <c r="O683" s="7">
        <f t="shared" si="72"/>
        <v>7897.4400000000005</v>
      </c>
      <c r="P683" s="4">
        <v>0</v>
      </c>
      <c r="Q683" s="7">
        <f t="shared" si="73"/>
        <v>0</v>
      </c>
      <c r="R683" s="7">
        <f t="shared" si="74"/>
        <v>7897.4400000000005</v>
      </c>
      <c r="S683" s="7">
        <f t="shared" si="75"/>
        <v>1316.24</v>
      </c>
      <c r="T683" s="6">
        <f t="shared" si="76"/>
        <v>1.5151515151515152E-2</v>
      </c>
      <c r="V683" t="s">
        <v>29</v>
      </c>
    </row>
    <row r="684" spans="1:22">
      <c r="A684" s="3">
        <v>45686</v>
      </c>
      <c r="B684" t="str">
        <f t="shared" si="70"/>
        <v>yyyy-01</v>
      </c>
      <c r="C684">
        <f t="shared" si="71"/>
        <v>5</v>
      </c>
      <c r="D684" t="s">
        <v>42</v>
      </c>
      <c r="E684" t="s">
        <v>43</v>
      </c>
      <c r="F684" t="s">
        <v>46</v>
      </c>
      <c r="G684" t="s">
        <v>27</v>
      </c>
      <c r="H684" t="s">
        <v>45</v>
      </c>
      <c r="I684" s="5">
        <v>408</v>
      </c>
      <c r="J684" s="5">
        <v>248</v>
      </c>
      <c r="K684" s="5">
        <v>34</v>
      </c>
      <c r="L684" s="5">
        <v>7</v>
      </c>
      <c r="M684" s="5">
        <v>7</v>
      </c>
      <c r="N684" s="7">
        <v>2229.31</v>
      </c>
      <c r="O684" s="7">
        <f t="shared" si="72"/>
        <v>15605.17</v>
      </c>
      <c r="P684" s="4">
        <v>0</v>
      </c>
      <c r="Q684" s="7">
        <f t="shared" si="73"/>
        <v>0</v>
      </c>
      <c r="R684" s="7">
        <f t="shared" si="74"/>
        <v>15605.17</v>
      </c>
      <c r="S684" s="7">
        <f t="shared" si="75"/>
        <v>2229.31</v>
      </c>
      <c r="T684" s="6">
        <f t="shared" si="76"/>
        <v>1.7156862745098041E-2</v>
      </c>
      <c r="V684" t="s">
        <v>29</v>
      </c>
    </row>
    <row r="685" spans="1:22">
      <c r="A685" s="3">
        <v>45686</v>
      </c>
      <c r="B685" t="str">
        <f t="shared" si="70"/>
        <v>yyyy-01</v>
      </c>
      <c r="C685">
        <f t="shared" si="71"/>
        <v>5</v>
      </c>
      <c r="D685" t="s">
        <v>42</v>
      </c>
      <c r="E685" t="s">
        <v>43</v>
      </c>
      <c r="F685" t="s">
        <v>47</v>
      </c>
      <c r="G685" t="s">
        <v>31</v>
      </c>
      <c r="H685" t="s">
        <v>32</v>
      </c>
      <c r="I685" s="5">
        <v>573</v>
      </c>
      <c r="J685" s="5">
        <v>473</v>
      </c>
      <c r="K685" s="5">
        <v>54</v>
      </c>
      <c r="L685" s="5">
        <v>8</v>
      </c>
      <c r="M685" s="5">
        <v>8</v>
      </c>
      <c r="N685" s="7">
        <v>596.27</v>
      </c>
      <c r="O685" s="7">
        <f t="shared" si="72"/>
        <v>4770.16</v>
      </c>
      <c r="P685" s="4">
        <v>0.03</v>
      </c>
      <c r="Q685" s="7">
        <f t="shared" si="73"/>
        <v>143.10479999999998</v>
      </c>
      <c r="R685" s="7">
        <f t="shared" si="74"/>
        <v>4627.0551999999998</v>
      </c>
      <c r="S685" s="7">
        <f t="shared" si="75"/>
        <v>578.38189999999997</v>
      </c>
      <c r="T685" s="6">
        <f t="shared" si="76"/>
        <v>1.3961605584642234E-2</v>
      </c>
      <c r="V685" t="s">
        <v>29</v>
      </c>
    </row>
    <row r="686" spans="1:22">
      <c r="A686" s="3">
        <v>45686</v>
      </c>
      <c r="B686" t="str">
        <f t="shared" si="70"/>
        <v>yyyy-01</v>
      </c>
      <c r="C686">
        <f t="shared" si="71"/>
        <v>5</v>
      </c>
      <c r="D686" t="s">
        <v>42</v>
      </c>
      <c r="E686" t="s">
        <v>49</v>
      </c>
      <c r="F686" t="s">
        <v>50</v>
      </c>
      <c r="G686" t="s">
        <v>36</v>
      </c>
      <c r="H686" t="s">
        <v>37</v>
      </c>
      <c r="I686" s="5">
        <v>171</v>
      </c>
      <c r="J686" s="5">
        <v>137</v>
      </c>
      <c r="K686" s="5">
        <v>13</v>
      </c>
      <c r="L686" s="5">
        <v>2</v>
      </c>
      <c r="M686" s="5">
        <v>2</v>
      </c>
      <c r="N686" s="7">
        <v>1004.31</v>
      </c>
      <c r="O686" s="7">
        <f t="shared" si="72"/>
        <v>2008.62</v>
      </c>
      <c r="P686" s="4">
        <v>0</v>
      </c>
      <c r="Q686" s="7">
        <f t="shared" si="73"/>
        <v>0</v>
      </c>
      <c r="R686" s="7">
        <f t="shared" si="74"/>
        <v>2008.62</v>
      </c>
      <c r="S686" s="7">
        <f t="shared" si="75"/>
        <v>1004.31</v>
      </c>
      <c r="T686" s="6">
        <f t="shared" si="76"/>
        <v>1.1695906432748537E-2</v>
      </c>
      <c r="V686" t="s">
        <v>29</v>
      </c>
    </row>
    <row r="687" spans="1:22">
      <c r="A687" s="3">
        <v>45686</v>
      </c>
      <c r="B687" t="str">
        <f t="shared" si="70"/>
        <v>yyyy-01</v>
      </c>
      <c r="C687">
        <f t="shared" si="71"/>
        <v>5</v>
      </c>
      <c r="D687" t="s">
        <v>42</v>
      </c>
      <c r="E687" t="s">
        <v>51</v>
      </c>
      <c r="F687" t="s">
        <v>52</v>
      </c>
      <c r="G687" t="s">
        <v>31</v>
      </c>
      <c r="H687" t="s">
        <v>32</v>
      </c>
      <c r="I687" s="5">
        <v>277</v>
      </c>
      <c r="J687" s="5">
        <v>214</v>
      </c>
      <c r="K687" s="5">
        <v>17</v>
      </c>
      <c r="L687" s="5">
        <v>4</v>
      </c>
      <c r="M687" s="5">
        <v>4</v>
      </c>
      <c r="N687" s="7">
        <v>601.63</v>
      </c>
      <c r="O687" s="7">
        <f t="shared" si="72"/>
        <v>2406.52</v>
      </c>
      <c r="P687" s="4">
        <v>0</v>
      </c>
      <c r="Q687" s="7">
        <f t="shared" si="73"/>
        <v>0</v>
      </c>
      <c r="R687" s="7">
        <f t="shared" si="74"/>
        <v>2406.52</v>
      </c>
      <c r="S687" s="7">
        <f t="shared" si="75"/>
        <v>601.63</v>
      </c>
      <c r="T687" s="6">
        <f t="shared" si="76"/>
        <v>1.444043321299639E-2</v>
      </c>
      <c r="V687" t="s">
        <v>29</v>
      </c>
    </row>
    <row r="688" spans="1:22">
      <c r="A688" s="3">
        <v>45686</v>
      </c>
      <c r="B688" t="str">
        <f t="shared" si="70"/>
        <v>yyyy-01</v>
      </c>
      <c r="C688">
        <f t="shared" si="71"/>
        <v>5</v>
      </c>
      <c r="D688" t="s">
        <v>53</v>
      </c>
      <c r="E688" t="s">
        <v>54</v>
      </c>
      <c r="F688" t="s">
        <v>55</v>
      </c>
      <c r="G688" t="s">
        <v>31</v>
      </c>
      <c r="H688" t="s">
        <v>32</v>
      </c>
      <c r="I688" s="5">
        <v>227</v>
      </c>
      <c r="J688" s="5">
        <v>139</v>
      </c>
      <c r="K688" s="5">
        <v>12</v>
      </c>
      <c r="L688" s="5">
        <v>3</v>
      </c>
      <c r="M688" s="5">
        <v>3</v>
      </c>
      <c r="N688" s="7">
        <v>1298.94</v>
      </c>
      <c r="O688" s="7">
        <f t="shared" si="72"/>
        <v>3896.82</v>
      </c>
      <c r="P688" s="4">
        <v>0</v>
      </c>
      <c r="Q688" s="7">
        <f t="shared" si="73"/>
        <v>0</v>
      </c>
      <c r="R688" s="7">
        <f t="shared" si="74"/>
        <v>3896.82</v>
      </c>
      <c r="S688" s="7">
        <f t="shared" si="75"/>
        <v>1298.94</v>
      </c>
      <c r="T688" s="6">
        <f t="shared" si="76"/>
        <v>1.3215859030837005E-2</v>
      </c>
      <c r="V688" t="s">
        <v>29</v>
      </c>
    </row>
    <row r="689" spans="1:22">
      <c r="A689" s="3">
        <v>45686</v>
      </c>
      <c r="B689" t="str">
        <f t="shared" si="70"/>
        <v>yyyy-01</v>
      </c>
      <c r="C689">
        <f t="shared" si="71"/>
        <v>5</v>
      </c>
      <c r="D689" t="s">
        <v>53</v>
      </c>
      <c r="E689" t="s">
        <v>56</v>
      </c>
      <c r="F689" t="s">
        <v>57</v>
      </c>
      <c r="G689" t="s">
        <v>36</v>
      </c>
      <c r="H689" t="s">
        <v>37</v>
      </c>
      <c r="I689" s="5">
        <v>243</v>
      </c>
      <c r="J689" s="5">
        <v>128</v>
      </c>
      <c r="K689" s="5">
        <v>15</v>
      </c>
      <c r="L689" s="5">
        <v>4</v>
      </c>
      <c r="M689" s="5">
        <v>4</v>
      </c>
      <c r="N689" s="7">
        <v>745.95</v>
      </c>
      <c r="O689" s="7">
        <f t="shared" si="72"/>
        <v>2983.8</v>
      </c>
      <c r="P689" s="4">
        <v>0.08</v>
      </c>
      <c r="Q689" s="7">
        <f t="shared" si="73"/>
        <v>238.70400000000001</v>
      </c>
      <c r="R689" s="7">
        <f t="shared" si="74"/>
        <v>2745.096</v>
      </c>
      <c r="S689" s="7">
        <f t="shared" si="75"/>
        <v>686.274</v>
      </c>
      <c r="T689" s="6">
        <f t="shared" si="76"/>
        <v>1.646090534979424E-2</v>
      </c>
      <c r="U689" t="s">
        <v>82</v>
      </c>
      <c r="V689" t="s">
        <v>29</v>
      </c>
    </row>
    <row r="690" spans="1:22">
      <c r="A690" s="3">
        <v>45686</v>
      </c>
      <c r="B690" t="str">
        <f t="shared" si="70"/>
        <v>yyyy-01</v>
      </c>
      <c r="C690">
        <f t="shared" si="71"/>
        <v>5</v>
      </c>
      <c r="D690" t="s">
        <v>53</v>
      </c>
      <c r="E690" t="s">
        <v>56</v>
      </c>
      <c r="F690" t="s">
        <v>58</v>
      </c>
      <c r="G690" t="s">
        <v>36</v>
      </c>
      <c r="H690" t="s">
        <v>37</v>
      </c>
      <c r="I690" s="5">
        <v>181</v>
      </c>
      <c r="J690" s="5">
        <v>118</v>
      </c>
      <c r="K690" s="5">
        <v>14</v>
      </c>
      <c r="L690" s="5">
        <v>2</v>
      </c>
      <c r="M690" s="5">
        <v>2</v>
      </c>
      <c r="N690" s="7">
        <v>907.18</v>
      </c>
      <c r="O690" s="7">
        <f t="shared" si="72"/>
        <v>1814.36</v>
      </c>
      <c r="P690" s="4">
        <v>0.08</v>
      </c>
      <c r="Q690" s="7">
        <f t="shared" si="73"/>
        <v>145.14879999999999</v>
      </c>
      <c r="R690" s="7">
        <f t="shared" si="74"/>
        <v>1669.2112</v>
      </c>
      <c r="S690" s="7">
        <f t="shared" si="75"/>
        <v>834.60559999999998</v>
      </c>
      <c r="T690" s="6">
        <f t="shared" si="76"/>
        <v>1.1049723756906077E-2</v>
      </c>
      <c r="U690" t="s">
        <v>82</v>
      </c>
      <c r="V690" t="s">
        <v>29</v>
      </c>
    </row>
    <row r="691" spans="1:22">
      <c r="A691" s="3">
        <v>45686</v>
      </c>
      <c r="B691" t="str">
        <f t="shared" si="70"/>
        <v>yyyy-01</v>
      </c>
      <c r="C691">
        <f t="shared" si="71"/>
        <v>5</v>
      </c>
      <c r="D691" t="s">
        <v>53</v>
      </c>
      <c r="E691" t="s">
        <v>59</v>
      </c>
      <c r="F691" t="s">
        <v>60</v>
      </c>
      <c r="G691" t="s">
        <v>36</v>
      </c>
      <c r="H691" t="s">
        <v>37</v>
      </c>
      <c r="I691" s="5">
        <v>158</v>
      </c>
      <c r="J691" s="5">
        <v>85</v>
      </c>
      <c r="K691" s="5">
        <v>9</v>
      </c>
      <c r="L691" s="5">
        <v>2</v>
      </c>
      <c r="M691" s="5">
        <v>2</v>
      </c>
      <c r="N691" s="7">
        <v>677.89</v>
      </c>
      <c r="O691" s="7">
        <f t="shared" si="72"/>
        <v>1355.78</v>
      </c>
      <c r="P691" s="4">
        <v>0.05</v>
      </c>
      <c r="Q691" s="7">
        <f t="shared" si="73"/>
        <v>67.789000000000001</v>
      </c>
      <c r="R691" s="7">
        <f t="shared" si="74"/>
        <v>1287.991</v>
      </c>
      <c r="S691" s="7">
        <f t="shared" si="75"/>
        <v>643.99549999999999</v>
      </c>
      <c r="T691" s="6">
        <f t="shared" si="76"/>
        <v>1.2658227848101266E-2</v>
      </c>
      <c r="V691" t="s">
        <v>29</v>
      </c>
    </row>
    <row r="692" spans="1:22">
      <c r="A692" s="3">
        <v>45686</v>
      </c>
      <c r="B692" t="str">
        <f t="shared" si="70"/>
        <v>yyyy-01</v>
      </c>
      <c r="C692">
        <f t="shared" si="71"/>
        <v>5</v>
      </c>
      <c r="D692" t="s">
        <v>53</v>
      </c>
      <c r="E692" t="s">
        <v>61</v>
      </c>
      <c r="F692" t="s">
        <v>62</v>
      </c>
      <c r="G692" t="s">
        <v>36</v>
      </c>
      <c r="H692" t="s">
        <v>37</v>
      </c>
      <c r="I692" s="5">
        <v>152</v>
      </c>
      <c r="J692" s="5">
        <v>124</v>
      </c>
      <c r="K692" s="5">
        <v>11</v>
      </c>
      <c r="L692" s="5">
        <v>1</v>
      </c>
      <c r="M692" s="5">
        <v>1</v>
      </c>
      <c r="N692" s="7">
        <v>481.34</v>
      </c>
      <c r="O692" s="7">
        <f t="shared" si="72"/>
        <v>481.34</v>
      </c>
      <c r="P692" s="4">
        <v>0</v>
      </c>
      <c r="Q692" s="7">
        <f t="shared" si="73"/>
        <v>0</v>
      </c>
      <c r="R692" s="7">
        <f t="shared" si="74"/>
        <v>481.34</v>
      </c>
      <c r="S692" s="7">
        <f t="shared" si="75"/>
        <v>481.34</v>
      </c>
      <c r="T692" s="6">
        <f t="shared" si="76"/>
        <v>6.5789473684210523E-3</v>
      </c>
      <c r="V692" t="s">
        <v>29</v>
      </c>
    </row>
    <row r="693" spans="1:22">
      <c r="A693" s="3">
        <v>45686</v>
      </c>
      <c r="B693" t="str">
        <f t="shared" si="70"/>
        <v>yyyy-01</v>
      </c>
      <c r="C693">
        <f t="shared" si="71"/>
        <v>5</v>
      </c>
      <c r="D693" t="s">
        <v>53</v>
      </c>
      <c r="E693" t="s">
        <v>64</v>
      </c>
      <c r="F693" t="s">
        <v>65</v>
      </c>
      <c r="G693" t="s">
        <v>31</v>
      </c>
      <c r="H693" t="s">
        <v>32</v>
      </c>
      <c r="I693" s="5">
        <v>270</v>
      </c>
      <c r="J693" s="5">
        <v>185</v>
      </c>
      <c r="K693" s="5">
        <v>18</v>
      </c>
      <c r="L693" s="5">
        <v>4</v>
      </c>
      <c r="M693" s="5">
        <v>4</v>
      </c>
      <c r="N693" s="7">
        <v>781.47</v>
      </c>
      <c r="O693" s="7">
        <f t="shared" si="72"/>
        <v>3125.88</v>
      </c>
      <c r="P693" s="4">
        <v>0.05</v>
      </c>
      <c r="Q693" s="7">
        <f t="shared" si="73"/>
        <v>156.29400000000001</v>
      </c>
      <c r="R693" s="7">
        <f t="shared" si="74"/>
        <v>2969.5860000000002</v>
      </c>
      <c r="S693" s="7">
        <f t="shared" si="75"/>
        <v>742.39650000000006</v>
      </c>
      <c r="T693" s="6">
        <f t="shared" si="76"/>
        <v>1.4814814814814815E-2</v>
      </c>
      <c r="V693" t="s">
        <v>29</v>
      </c>
    </row>
    <row r="694" spans="1:22">
      <c r="A694" s="3">
        <v>45686</v>
      </c>
      <c r="B694" t="str">
        <f t="shared" si="70"/>
        <v>yyyy-01</v>
      </c>
      <c r="C694">
        <f t="shared" si="71"/>
        <v>5</v>
      </c>
      <c r="D694" t="s">
        <v>66</v>
      </c>
      <c r="E694" t="s">
        <v>67</v>
      </c>
      <c r="F694" t="s">
        <v>68</v>
      </c>
      <c r="G694" t="s">
        <v>27</v>
      </c>
      <c r="H694" t="s">
        <v>45</v>
      </c>
      <c r="I694" s="5">
        <v>340</v>
      </c>
      <c r="J694" s="5">
        <v>186</v>
      </c>
      <c r="K694" s="5">
        <v>36</v>
      </c>
      <c r="L694" s="5">
        <v>8</v>
      </c>
      <c r="M694" s="5">
        <v>8</v>
      </c>
      <c r="N694" s="7">
        <v>692.77</v>
      </c>
      <c r="O694" s="7">
        <f t="shared" si="72"/>
        <v>5542.16</v>
      </c>
      <c r="P694" s="4">
        <v>7.0000000000000007E-2</v>
      </c>
      <c r="Q694" s="7">
        <f t="shared" si="73"/>
        <v>387.95120000000003</v>
      </c>
      <c r="R694" s="7">
        <f t="shared" si="74"/>
        <v>5154.2087999999994</v>
      </c>
      <c r="S694" s="7">
        <f t="shared" si="75"/>
        <v>644.27609999999993</v>
      </c>
      <c r="T694" s="6">
        <f t="shared" si="76"/>
        <v>2.3529411764705882E-2</v>
      </c>
      <c r="U694" t="s">
        <v>83</v>
      </c>
      <c r="V694" t="s">
        <v>29</v>
      </c>
    </row>
    <row r="695" spans="1:22">
      <c r="A695" s="3">
        <v>45686</v>
      </c>
      <c r="B695" t="str">
        <f t="shared" si="70"/>
        <v>yyyy-01</v>
      </c>
      <c r="C695">
        <f t="shared" si="71"/>
        <v>5</v>
      </c>
      <c r="D695" t="s">
        <v>66</v>
      </c>
      <c r="E695" t="s">
        <v>67</v>
      </c>
      <c r="F695" t="s">
        <v>69</v>
      </c>
      <c r="G695" t="s">
        <v>36</v>
      </c>
      <c r="H695" t="s">
        <v>37</v>
      </c>
      <c r="I695" s="5">
        <v>297</v>
      </c>
      <c r="J695" s="5">
        <v>163</v>
      </c>
      <c r="K695" s="5">
        <v>13</v>
      </c>
      <c r="L695" s="5">
        <v>5</v>
      </c>
      <c r="M695" s="5">
        <v>5</v>
      </c>
      <c r="N695" s="7">
        <v>404.52</v>
      </c>
      <c r="O695" s="7">
        <f t="shared" si="72"/>
        <v>2022.6</v>
      </c>
      <c r="P695" s="4">
        <v>7.0000000000000007E-2</v>
      </c>
      <c r="Q695" s="7">
        <f t="shared" si="73"/>
        <v>141.58199999999999</v>
      </c>
      <c r="R695" s="7">
        <f t="shared" si="74"/>
        <v>1881.018</v>
      </c>
      <c r="S695" s="7">
        <f t="shared" si="75"/>
        <v>376.20359999999999</v>
      </c>
      <c r="T695" s="6">
        <f t="shared" si="76"/>
        <v>1.6835016835016835E-2</v>
      </c>
      <c r="U695" t="s">
        <v>83</v>
      </c>
      <c r="V695" t="s">
        <v>29</v>
      </c>
    </row>
    <row r="696" spans="1:22">
      <c r="A696" s="3">
        <v>45686</v>
      </c>
      <c r="B696" t="str">
        <f t="shared" si="70"/>
        <v>yyyy-01</v>
      </c>
      <c r="C696">
        <f t="shared" si="71"/>
        <v>5</v>
      </c>
      <c r="D696" t="s">
        <v>66</v>
      </c>
      <c r="E696" t="s">
        <v>67</v>
      </c>
      <c r="F696" t="s">
        <v>70</v>
      </c>
      <c r="G696" t="s">
        <v>27</v>
      </c>
      <c r="H696" t="s">
        <v>28</v>
      </c>
      <c r="I696" s="5">
        <v>422</v>
      </c>
      <c r="J696" s="5">
        <v>288</v>
      </c>
      <c r="K696" s="5">
        <v>37</v>
      </c>
      <c r="L696" s="5">
        <v>10</v>
      </c>
      <c r="M696" s="5">
        <v>10</v>
      </c>
      <c r="N696" s="7">
        <v>337.43</v>
      </c>
      <c r="O696" s="7">
        <f t="shared" si="72"/>
        <v>3374.3</v>
      </c>
      <c r="P696" s="4">
        <v>7.0000000000000007E-2</v>
      </c>
      <c r="Q696" s="7">
        <f t="shared" si="73"/>
        <v>236.20100000000002</v>
      </c>
      <c r="R696" s="7">
        <f t="shared" si="74"/>
        <v>3138.0990000000002</v>
      </c>
      <c r="S696" s="7">
        <f t="shared" si="75"/>
        <v>313.80990000000003</v>
      </c>
      <c r="T696" s="6">
        <f t="shared" si="76"/>
        <v>2.3696682464454975E-2</v>
      </c>
      <c r="U696" t="s">
        <v>83</v>
      </c>
      <c r="V696" t="s">
        <v>29</v>
      </c>
    </row>
    <row r="697" spans="1:22">
      <c r="A697" s="3">
        <v>45686</v>
      </c>
      <c r="B697" t="str">
        <f t="shared" si="70"/>
        <v>yyyy-01</v>
      </c>
      <c r="C697">
        <f t="shared" si="71"/>
        <v>5</v>
      </c>
      <c r="D697" t="s">
        <v>66</v>
      </c>
      <c r="E697" t="s">
        <v>71</v>
      </c>
      <c r="F697" t="s">
        <v>72</v>
      </c>
      <c r="G697" t="s">
        <v>36</v>
      </c>
      <c r="H697" t="s">
        <v>37</v>
      </c>
      <c r="I697" s="5">
        <v>329</v>
      </c>
      <c r="J697" s="5">
        <v>206</v>
      </c>
      <c r="K697" s="5">
        <v>17</v>
      </c>
      <c r="L697" s="5">
        <v>7</v>
      </c>
      <c r="M697" s="5">
        <v>9</v>
      </c>
      <c r="N697" s="7">
        <v>127.89</v>
      </c>
      <c r="O697" s="7">
        <f t="shared" si="72"/>
        <v>1151.01</v>
      </c>
      <c r="P697" s="4">
        <v>0</v>
      </c>
      <c r="Q697" s="7">
        <f t="shared" si="73"/>
        <v>0</v>
      </c>
      <c r="R697" s="7">
        <f t="shared" si="74"/>
        <v>1151.01</v>
      </c>
      <c r="S697" s="7">
        <f t="shared" si="75"/>
        <v>164.43</v>
      </c>
      <c r="T697" s="6">
        <f t="shared" si="76"/>
        <v>2.1276595744680851E-2</v>
      </c>
      <c r="V697" t="s">
        <v>29</v>
      </c>
    </row>
    <row r="698" spans="1:22">
      <c r="A698" s="3">
        <v>45686</v>
      </c>
      <c r="B698" t="str">
        <f t="shared" si="70"/>
        <v>yyyy-01</v>
      </c>
      <c r="C698">
        <f t="shared" si="71"/>
        <v>5</v>
      </c>
      <c r="D698" t="s">
        <v>66</v>
      </c>
      <c r="E698" t="s">
        <v>73</v>
      </c>
      <c r="F698" t="s">
        <v>74</v>
      </c>
      <c r="G698" t="s">
        <v>27</v>
      </c>
      <c r="H698" t="s">
        <v>63</v>
      </c>
      <c r="I698" s="5">
        <v>139</v>
      </c>
      <c r="J698" s="5">
        <v>73</v>
      </c>
      <c r="K698" s="5">
        <v>8</v>
      </c>
      <c r="L698" s="5">
        <v>3</v>
      </c>
      <c r="M698" s="5">
        <v>3</v>
      </c>
      <c r="N698" s="7">
        <v>1161.28</v>
      </c>
      <c r="O698" s="7">
        <f t="shared" si="72"/>
        <v>3483.84</v>
      </c>
      <c r="P698" s="4">
        <v>0</v>
      </c>
      <c r="Q698" s="7">
        <f t="shared" si="73"/>
        <v>0</v>
      </c>
      <c r="R698" s="7">
        <f t="shared" si="74"/>
        <v>3483.84</v>
      </c>
      <c r="S698" s="7">
        <f t="shared" si="75"/>
        <v>1161.28</v>
      </c>
      <c r="T698" s="6">
        <f t="shared" si="76"/>
        <v>2.1582733812949641E-2</v>
      </c>
      <c r="V698" t="s">
        <v>29</v>
      </c>
    </row>
    <row r="699" spans="1:22">
      <c r="A699" s="3">
        <v>45686</v>
      </c>
      <c r="B699" t="str">
        <f t="shared" si="70"/>
        <v>yyyy-01</v>
      </c>
      <c r="C699">
        <f t="shared" si="71"/>
        <v>5</v>
      </c>
      <c r="D699" t="s">
        <v>66</v>
      </c>
      <c r="E699" t="s">
        <v>71</v>
      </c>
      <c r="F699" t="s">
        <v>75</v>
      </c>
      <c r="G699" t="s">
        <v>31</v>
      </c>
      <c r="H699" t="s">
        <v>32</v>
      </c>
      <c r="I699" s="5">
        <v>407</v>
      </c>
      <c r="J699" s="5">
        <v>307</v>
      </c>
      <c r="K699" s="5">
        <v>24</v>
      </c>
      <c r="L699" s="5">
        <v>6</v>
      </c>
      <c r="M699" s="5">
        <v>7</v>
      </c>
      <c r="N699" s="7">
        <v>37.9</v>
      </c>
      <c r="O699" s="7">
        <f t="shared" si="72"/>
        <v>265.3</v>
      </c>
      <c r="P699" s="4">
        <v>0</v>
      </c>
      <c r="Q699" s="7">
        <f t="shared" si="73"/>
        <v>0</v>
      </c>
      <c r="R699" s="7">
        <f t="shared" si="74"/>
        <v>265.3</v>
      </c>
      <c r="S699" s="7">
        <f t="shared" si="75"/>
        <v>44.216666666666669</v>
      </c>
      <c r="T699" s="6">
        <f t="shared" si="76"/>
        <v>1.4742014742014743E-2</v>
      </c>
      <c r="V699" t="s">
        <v>29</v>
      </c>
    </row>
    <row r="700" spans="1:22">
      <c r="A700" s="3">
        <v>45686</v>
      </c>
      <c r="B700" t="str">
        <f t="shared" si="70"/>
        <v>yyyy-01</v>
      </c>
      <c r="C700">
        <f t="shared" si="71"/>
        <v>5</v>
      </c>
      <c r="D700" t="s">
        <v>24</v>
      </c>
      <c r="E700" t="s">
        <v>76</v>
      </c>
      <c r="F700" t="s">
        <v>77</v>
      </c>
      <c r="G700" t="s">
        <v>31</v>
      </c>
      <c r="H700" t="s">
        <v>32</v>
      </c>
      <c r="I700" s="5">
        <v>589</v>
      </c>
      <c r="J700" s="5">
        <v>317</v>
      </c>
      <c r="K700" s="5">
        <v>28</v>
      </c>
      <c r="L700" s="5">
        <v>10</v>
      </c>
      <c r="M700" s="5">
        <v>13</v>
      </c>
      <c r="N700" s="7">
        <v>200.05</v>
      </c>
      <c r="O700" s="7">
        <f t="shared" si="72"/>
        <v>2600.65</v>
      </c>
      <c r="P700" s="4">
        <v>0.05</v>
      </c>
      <c r="Q700" s="7">
        <f t="shared" si="73"/>
        <v>130.0325</v>
      </c>
      <c r="R700" s="7">
        <f t="shared" si="74"/>
        <v>2470.6175000000003</v>
      </c>
      <c r="S700" s="7">
        <f t="shared" si="75"/>
        <v>247.06175000000002</v>
      </c>
      <c r="T700" s="6">
        <f t="shared" si="76"/>
        <v>1.6977928692699491E-2</v>
      </c>
      <c r="V700" t="s">
        <v>29</v>
      </c>
    </row>
    <row r="701" spans="1:22">
      <c r="A701" s="3">
        <v>45687</v>
      </c>
      <c r="B701" t="str">
        <f t="shared" si="70"/>
        <v>yyyy-01</v>
      </c>
      <c r="C701">
        <f t="shared" si="71"/>
        <v>5</v>
      </c>
      <c r="D701" t="s">
        <v>24</v>
      </c>
      <c r="E701" t="s">
        <v>25</v>
      </c>
      <c r="F701" t="s">
        <v>26</v>
      </c>
      <c r="G701" t="s">
        <v>27</v>
      </c>
      <c r="H701" t="s">
        <v>45</v>
      </c>
      <c r="I701" s="5">
        <v>1342</v>
      </c>
      <c r="J701" s="5">
        <v>844</v>
      </c>
      <c r="K701" s="5">
        <v>97</v>
      </c>
      <c r="L701" s="5">
        <v>21</v>
      </c>
      <c r="M701" s="5">
        <v>21</v>
      </c>
      <c r="N701" s="7">
        <v>1015.91</v>
      </c>
      <c r="O701" s="7">
        <f t="shared" si="72"/>
        <v>21334.11</v>
      </c>
      <c r="P701" s="4">
        <v>0.03</v>
      </c>
      <c r="Q701" s="7">
        <f t="shared" si="73"/>
        <v>640.02329999999995</v>
      </c>
      <c r="R701" s="7">
        <f t="shared" si="74"/>
        <v>20694.0867</v>
      </c>
      <c r="S701" s="7">
        <f t="shared" si="75"/>
        <v>985.43269999999995</v>
      </c>
      <c r="T701" s="6">
        <f t="shared" si="76"/>
        <v>1.564828614008942E-2</v>
      </c>
      <c r="V701" t="s">
        <v>29</v>
      </c>
    </row>
    <row r="702" spans="1:22">
      <c r="A702" s="3">
        <v>45687</v>
      </c>
      <c r="B702" t="str">
        <f t="shared" si="70"/>
        <v>yyyy-01</v>
      </c>
      <c r="C702">
        <f t="shared" si="71"/>
        <v>5</v>
      </c>
      <c r="D702" t="s">
        <v>24</v>
      </c>
      <c r="E702" t="s">
        <v>25</v>
      </c>
      <c r="F702" t="s">
        <v>30</v>
      </c>
      <c r="G702" t="s">
        <v>36</v>
      </c>
      <c r="H702" t="s">
        <v>37</v>
      </c>
      <c r="I702" s="5">
        <v>1423</v>
      </c>
      <c r="J702" s="5">
        <v>1084</v>
      </c>
      <c r="K702" s="5">
        <v>109</v>
      </c>
      <c r="L702" s="5">
        <v>31</v>
      </c>
      <c r="M702" s="5">
        <v>31</v>
      </c>
      <c r="N702" s="7">
        <v>402.66</v>
      </c>
      <c r="O702" s="7">
        <f t="shared" si="72"/>
        <v>12482.460000000001</v>
      </c>
      <c r="P702" s="4">
        <v>0</v>
      </c>
      <c r="Q702" s="7">
        <f t="shared" si="73"/>
        <v>0</v>
      </c>
      <c r="R702" s="7">
        <f t="shared" si="74"/>
        <v>12482.460000000001</v>
      </c>
      <c r="S702" s="7">
        <f t="shared" si="75"/>
        <v>402.66</v>
      </c>
      <c r="T702" s="6">
        <f t="shared" si="76"/>
        <v>2.1784961349262121E-2</v>
      </c>
      <c r="V702" t="s">
        <v>29</v>
      </c>
    </row>
    <row r="703" spans="1:22">
      <c r="A703" s="3">
        <v>45687</v>
      </c>
      <c r="B703" t="str">
        <f t="shared" si="70"/>
        <v>yyyy-01</v>
      </c>
      <c r="C703">
        <f t="shared" si="71"/>
        <v>5</v>
      </c>
      <c r="D703" t="s">
        <v>24</v>
      </c>
      <c r="E703" t="s">
        <v>25</v>
      </c>
      <c r="F703" t="s">
        <v>33</v>
      </c>
      <c r="G703" t="s">
        <v>27</v>
      </c>
      <c r="H703" t="s">
        <v>45</v>
      </c>
      <c r="I703" s="5">
        <v>1300</v>
      </c>
      <c r="J703" s="5">
        <v>1039</v>
      </c>
      <c r="K703" s="5">
        <v>133</v>
      </c>
      <c r="L703" s="5">
        <v>27</v>
      </c>
      <c r="M703" s="5">
        <v>27</v>
      </c>
      <c r="N703" s="7">
        <v>1750.14</v>
      </c>
      <c r="O703" s="7">
        <f t="shared" si="72"/>
        <v>47253.780000000006</v>
      </c>
      <c r="P703" s="4">
        <v>0.03</v>
      </c>
      <c r="Q703" s="7">
        <f t="shared" si="73"/>
        <v>1417.6134000000002</v>
      </c>
      <c r="R703" s="7">
        <f t="shared" si="74"/>
        <v>45836.166600000004</v>
      </c>
      <c r="S703" s="7">
        <f t="shared" si="75"/>
        <v>1697.6358000000002</v>
      </c>
      <c r="T703" s="6">
        <f t="shared" si="76"/>
        <v>2.0769230769230769E-2</v>
      </c>
      <c r="V703" t="s">
        <v>29</v>
      </c>
    </row>
    <row r="704" spans="1:22">
      <c r="A704" s="3">
        <v>45687</v>
      </c>
      <c r="B704" t="str">
        <f t="shared" si="70"/>
        <v>yyyy-01</v>
      </c>
      <c r="C704">
        <f t="shared" si="71"/>
        <v>5</v>
      </c>
      <c r="D704" t="s">
        <v>24</v>
      </c>
      <c r="E704" t="s">
        <v>34</v>
      </c>
      <c r="F704" t="s">
        <v>35</v>
      </c>
      <c r="G704" t="s">
        <v>27</v>
      </c>
      <c r="H704" t="s">
        <v>28</v>
      </c>
      <c r="I704" s="5">
        <v>971</v>
      </c>
      <c r="J704" s="5">
        <v>715</v>
      </c>
      <c r="K704" s="5">
        <v>68</v>
      </c>
      <c r="L704" s="5">
        <v>17</v>
      </c>
      <c r="M704" s="5">
        <v>17</v>
      </c>
      <c r="N704" s="7">
        <v>908.07</v>
      </c>
      <c r="O704" s="7">
        <f t="shared" si="72"/>
        <v>15437.19</v>
      </c>
      <c r="P704" s="4">
        <v>0.05</v>
      </c>
      <c r="Q704" s="7">
        <f t="shared" si="73"/>
        <v>771.85950000000003</v>
      </c>
      <c r="R704" s="7">
        <f t="shared" si="74"/>
        <v>14665.3305</v>
      </c>
      <c r="S704" s="7">
        <f t="shared" si="75"/>
        <v>862.66650000000004</v>
      </c>
      <c r="T704" s="6">
        <f t="shared" si="76"/>
        <v>1.7507723995880537E-2</v>
      </c>
      <c r="V704" t="s">
        <v>29</v>
      </c>
    </row>
    <row r="705" spans="1:22">
      <c r="A705" s="3">
        <v>45687</v>
      </c>
      <c r="B705" t="str">
        <f t="shared" si="70"/>
        <v>yyyy-01</v>
      </c>
      <c r="C705">
        <f t="shared" si="71"/>
        <v>5</v>
      </c>
      <c r="D705" t="s">
        <v>24</v>
      </c>
      <c r="E705" t="s">
        <v>38</v>
      </c>
      <c r="F705" t="s">
        <v>39</v>
      </c>
      <c r="G705" t="s">
        <v>27</v>
      </c>
      <c r="H705" t="s">
        <v>63</v>
      </c>
      <c r="I705" s="5">
        <v>529</v>
      </c>
      <c r="J705" s="5">
        <v>436</v>
      </c>
      <c r="K705" s="5">
        <v>22</v>
      </c>
      <c r="L705" s="5">
        <v>9</v>
      </c>
      <c r="M705" s="5">
        <v>9</v>
      </c>
      <c r="N705" s="7">
        <v>330.89</v>
      </c>
      <c r="O705" s="7">
        <f t="shared" si="72"/>
        <v>2978.0099999999998</v>
      </c>
      <c r="P705" s="4">
        <v>0</v>
      </c>
      <c r="Q705" s="7">
        <f t="shared" si="73"/>
        <v>0</v>
      </c>
      <c r="R705" s="7">
        <f t="shared" si="74"/>
        <v>2978.0099999999998</v>
      </c>
      <c r="S705" s="7">
        <f t="shared" si="75"/>
        <v>330.89</v>
      </c>
      <c r="T705" s="6">
        <f t="shared" si="76"/>
        <v>1.7013232514177693E-2</v>
      </c>
      <c r="V705" t="s">
        <v>29</v>
      </c>
    </row>
    <row r="706" spans="1:22">
      <c r="A706" s="3">
        <v>45687</v>
      </c>
      <c r="B706" t="str">
        <f t="shared" si="70"/>
        <v>yyyy-01</v>
      </c>
      <c r="C706">
        <f t="shared" si="71"/>
        <v>5</v>
      </c>
      <c r="D706" t="s">
        <v>24</v>
      </c>
      <c r="E706" t="s">
        <v>40</v>
      </c>
      <c r="F706" t="s">
        <v>41</v>
      </c>
      <c r="G706" t="s">
        <v>27</v>
      </c>
      <c r="H706" t="s">
        <v>45</v>
      </c>
      <c r="I706" s="5">
        <v>623</v>
      </c>
      <c r="J706" s="5">
        <v>339</v>
      </c>
      <c r="K706" s="5">
        <v>41</v>
      </c>
      <c r="L706" s="5">
        <v>13</v>
      </c>
      <c r="M706" s="5">
        <v>17</v>
      </c>
      <c r="N706" s="7">
        <v>179.22</v>
      </c>
      <c r="O706" s="7">
        <f t="shared" si="72"/>
        <v>3046.74</v>
      </c>
      <c r="P706" s="4">
        <v>0.03</v>
      </c>
      <c r="Q706" s="7">
        <f t="shared" si="73"/>
        <v>91.402199999999993</v>
      </c>
      <c r="R706" s="7">
        <f t="shared" si="74"/>
        <v>2955.3377999999998</v>
      </c>
      <c r="S706" s="7">
        <f t="shared" si="75"/>
        <v>227.33367692307689</v>
      </c>
      <c r="T706" s="6">
        <f t="shared" si="76"/>
        <v>2.0866773675762441E-2</v>
      </c>
      <c r="V706" t="s">
        <v>29</v>
      </c>
    </row>
    <row r="707" spans="1:22">
      <c r="A707" s="3">
        <v>45687</v>
      </c>
      <c r="B707" t="str">
        <f t="shared" si="70"/>
        <v>yyyy-01</v>
      </c>
      <c r="C707">
        <f t="shared" si="71"/>
        <v>5</v>
      </c>
      <c r="D707" t="s">
        <v>42</v>
      </c>
      <c r="E707" t="s">
        <v>43</v>
      </c>
      <c r="F707" t="s">
        <v>44</v>
      </c>
      <c r="G707" t="s">
        <v>27</v>
      </c>
      <c r="H707" t="s">
        <v>48</v>
      </c>
      <c r="I707" s="5">
        <v>322</v>
      </c>
      <c r="J707" s="5">
        <v>186</v>
      </c>
      <c r="K707" s="5">
        <v>18</v>
      </c>
      <c r="L707" s="5">
        <v>4</v>
      </c>
      <c r="M707" s="5">
        <v>4</v>
      </c>
      <c r="N707" s="7">
        <v>1299.97</v>
      </c>
      <c r="O707" s="7">
        <f t="shared" si="72"/>
        <v>5199.88</v>
      </c>
      <c r="P707" s="4">
        <v>0</v>
      </c>
      <c r="Q707" s="7">
        <f t="shared" si="73"/>
        <v>0</v>
      </c>
      <c r="R707" s="7">
        <f t="shared" si="74"/>
        <v>5199.88</v>
      </c>
      <c r="S707" s="7">
        <f t="shared" si="75"/>
        <v>1299.97</v>
      </c>
      <c r="T707" s="6">
        <f t="shared" si="76"/>
        <v>1.2422360248447204E-2</v>
      </c>
      <c r="V707" t="s">
        <v>29</v>
      </c>
    </row>
    <row r="708" spans="1:22">
      <c r="A708" s="3">
        <v>45687</v>
      </c>
      <c r="B708" t="str">
        <f t="shared" si="70"/>
        <v>yyyy-01</v>
      </c>
      <c r="C708">
        <f t="shared" si="71"/>
        <v>5</v>
      </c>
      <c r="D708" t="s">
        <v>42</v>
      </c>
      <c r="E708" t="s">
        <v>43</v>
      </c>
      <c r="F708" t="s">
        <v>46</v>
      </c>
      <c r="G708" t="s">
        <v>31</v>
      </c>
      <c r="H708" t="s">
        <v>32</v>
      </c>
      <c r="I708" s="5">
        <v>682</v>
      </c>
      <c r="J708" s="5">
        <v>376</v>
      </c>
      <c r="K708" s="5">
        <v>36</v>
      </c>
      <c r="L708" s="5">
        <v>9</v>
      </c>
      <c r="M708" s="5">
        <v>9</v>
      </c>
      <c r="N708" s="7">
        <v>2129.96</v>
      </c>
      <c r="O708" s="7">
        <f t="shared" si="72"/>
        <v>19169.64</v>
      </c>
      <c r="P708" s="4">
        <v>0.05</v>
      </c>
      <c r="Q708" s="7">
        <f t="shared" si="73"/>
        <v>958.48199999999997</v>
      </c>
      <c r="R708" s="7">
        <f t="shared" si="74"/>
        <v>18211.157999999999</v>
      </c>
      <c r="S708" s="7">
        <f t="shared" si="75"/>
        <v>2023.462</v>
      </c>
      <c r="T708" s="6">
        <f t="shared" si="76"/>
        <v>1.3196480938416423E-2</v>
      </c>
      <c r="V708" t="s">
        <v>29</v>
      </c>
    </row>
    <row r="709" spans="1:22">
      <c r="A709" s="3">
        <v>45687</v>
      </c>
      <c r="B709" t="str">
        <f t="shared" ref="B709:B772" si="77">TEXT(A709,"yyyy-mm")</f>
        <v>yyyy-01</v>
      </c>
      <c r="C709">
        <f t="shared" ref="C709:C772" si="78">WEEKNUM(A709,2)</f>
        <v>5</v>
      </c>
      <c r="D709" t="s">
        <v>42</v>
      </c>
      <c r="E709" t="s">
        <v>43</v>
      </c>
      <c r="F709" t="s">
        <v>47</v>
      </c>
      <c r="G709" t="s">
        <v>36</v>
      </c>
      <c r="H709" t="s">
        <v>37</v>
      </c>
      <c r="I709" s="5">
        <v>480</v>
      </c>
      <c r="J709" s="5">
        <v>274</v>
      </c>
      <c r="K709" s="5">
        <v>16</v>
      </c>
      <c r="L709" s="5">
        <v>6</v>
      </c>
      <c r="M709" s="5">
        <v>6</v>
      </c>
      <c r="N709" s="7">
        <v>605.37</v>
      </c>
      <c r="O709" s="7">
        <f t="shared" ref="O709:O772" si="79">M709*N709</f>
        <v>3632.2200000000003</v>
      </c>
      <c r="P709" s="4">
        <v>0.03</v>
      </c>
      <c r="Q709" s="7">
        <f t="shared" ref="Q709:Q772" si="80">O709*P709</f>
        <v>108.9666</v>
      </c>
      <c r="R709" s="7">
        <f t="shared" ref="R709:R772" si="81">O709-Q709</f>
        <v>3523.2534000000001</v>
      </c>
      <c r="S709" s="7">
        <f t="shared" ref="S709:S772" si="82">IFERROR(R709/L709,0)</f>
        <v>587.20889999999997</v>
      </c>
      <c r="T709" s="6">
        <f t="shared" ref="T709:T772" si="83">IFERROR(L709/I709,0)</f>
        <v>1.2500000000000001E-2</v>
      </c>
      <c r="V709" t="s">
        <v>29</v>
      </c>
    </row>
    <row r="710" spans="1:22">
      <c r="A710" s="3">
        <v>45687</v>
      </c>
      <c r="B710" t="str">
        <f t="shared" si="77"/>
        <v>yyyy-01</v>
      </c>
      <c r="C710">
        <f t="shared" si="78"/>
        <v>5</v>
      </c>
      <c r="D710" t="s">
        <v>42</v>
      </c>
      <c r="E710" t="s">
        <v>49</v>
      </c>
      <c r="F710" t="s">
        <v>50</v>
      </c>
      <c r="G710" t="s">
        <v>36</v>
      </c>
      <c r="H710" t="s">
        <v>37</v>
      </c>
      <c r="I710" s="5">
        <v>106</v>
      </c>
      <c r="J710" s="5">
        <v>78</v>
      </c>
      <c r="K710" s="5">
        <v>7</v>
      </c>
      <c r="L710" s="5">
        <v>1</v>
      </c>
      <c r="M710" s="5">
        <v>1</v>
      </c>
      <c r="N710" s="7">
        <v>975.4</v>
      </c>
      <c r="O710" s="7">
        <f t="shared" si="79"/>
        <v>975.4</v>
      </c>
      <c r="P710" s="4">
        <v>0</v>
      </c>
      <c r="Q710" s="7">
        <f t="shared" si="80"/>
        <v>0</v>
      </c>
      <c r="R710" s="7">
        <f t="shared" si="81"/>
        <v>975.4</v>
      </c>
      <c r="S710" s="7">
        <f t="shared" si="82"/>
        <v>975.4</v>
      </c>
      <c r="T710" s="6">
        <f t="shared" si="83"/>
        <v>9.433962264150943E-3</v>
      </c>
      <c r="V710" t="s">
        <v>29</v>
      </c>
    </row>
    <row r="711" spans="1:22">
      <c r="A711" s="3">
        <v>45687</v>
      </c>
      <c r="B711" t="str">
        <f t="shared" si="77"/>
        <v>yyyy-01</v>
      </c>
      <c r="C711">
        <f t="shared" si="78"/>
        <v>5</v>
      </c>
      <c r="D711" t="s">
        <v>42</v>
      </c>
      <c r="E711" t="s">
        <v>51</v>
      </c>
      <c r="F711" t="s">
        <v>52</v>
      </c>
      <c r="G711" t="s">
        <v>27</v>
      </c>
      <c r="H711" t="s">
        <v>45</v>
      </c>
      <c r="I711" s="5">
        <v>189</v>
      </c>
      <c r="J711" s="5">
        <v>153</v>
      </c>
      <c r="K711" s="5">
        <v>11</v>
      </c>
      <c r="L711" s="5">
        <v>3</v>
      </c>
      <c r="M711" s="5">
        <v>3</v>
      </c>
      <c r="N711" s="7">
        <v>591.38</v>
      </c>
      <c r="O711" s="7">
        <f t="shared" si="79"/>
        <v>1774.1399999999999</v>
      </c>
      <c r="P711" s="4">
        <v>0.05</v>
      </c>
      <c r="Q711" s="7">
        <f t="shared" si="80"/>
        <v>88.706999999999994</v>
      </c>
      <c r="R711" s="7">
        <f t="shared" si="81"/>
        <v>1685.433</v>
      </c>
      <c r="S711" s="7">
        <f t="shared" si="82"/>
        <v>561.81100000000004</v>
      </c>
      <c r="T711" s="6">
        <f t="shared" si="83"/>
        <v>1.5873015873015872E-2</v>
      </c>
      <c r="V711" t="s">
        <v>29</v>
      </c>
    </row>
    <row r="712" spans="1:22">
      <c r="A712" s="3">
        <v>45687</v>
      </c>
      <c r="B712" t="str">
        <f t="shared" si="77"/>
        <v>yyyy-01</v>
      </c>
      <c r="C712">
        <f t="shared" si="78"/>
        <v>5</v>
      </c>
      <c r="D712" t="s">
        <v>53</v>
      </c>
      <c r="E712" t="s">
        <v>54</v>
      </c>
      <c r="F712" t="s">
        <v>55</v>
      </c>
      <c r="G712" t="s">
        <v>31</v>
      </c>
      <c r="H712" t="s">
        <v>32</v>
      </c>
      <c r="I712" s="5">
        <v>228</v>
      </c>
      <c r="J712" s="5">
        <v>162</v>
      </c>
      <c r="K712" s="5">
        <v>7</v>
      </c>
      <c r="L712" s="5">
        <v>2</v>
      </c>
      <c r="M712" s="5">
        <v>2</v>
      </c>
      <c r="N712" s="7">
        <v>1252.3599999999999</v>
      </c>
      <c r="O712" s="7">
        <f t="shared" si="79"/>
        <v>2504.7199999999998</v>
      </c>
      <c r="P712" s="4">
        <v>0</v>
      </c>
      <c r="Q712" s="7">
        <f t="shared" si="80"/>
        <v>0</v>
      </c>
      <c r="R712" s="7">
        <f t="shared" si="81"/>
        <v>2504.7199999999998</v>
      </c>
      <c r="S712" s="7">
        <f t="shared" si="82"/>
        <v>1252.3599999999999</v>
      </c>
      <c r="T712" s="6">
        <f t="shared" si="83"/>
        <v>8.771929824561403E-3</v>
      </c>
      <c r="V712" t="s">
        <v>29</v>
      </c>
    </row>
    <row r="713" spans="1:22">
      <c r="A713" s="3">
        <v>45687</v>
      </c>
      <c r="B713" t="str">
        <f t="shared" si="77"/>
        <v>yyyy-01</v>
      </c>
      <c r="C713">
        <f t="shared" si="78"/>
        <v>5</v>
      </c>
      <c r="D713" t="s">
        <v>53</v>
      </c>
      <c r="E713" t="s">
        <v>56</v>
      </c>
      <c r="F713" t="s">
        <v>57</v>
      </c>
      <c r="G713" t="s">
        <v>27</v>
      </c>
      <c r="H713" t="s">
        <v>45</v>
      </c>
      <c r="I713" s="5">
        <v>141</v>
      </c>
      <c r="J713" s="5">
        <v>79</v>
      </c>
      <c r="K713" s="5">
        <v>5</v>
      </c>
      <c r="L713" s="5">
        <v>2</v>
      </c>
      <c r="M713" s="5">
        <v>2</v>
      </c>
      <c r="N713" s="7">
        <v>752.82</v>
      </c>
      <c r="O713" s="7">
        <f t="shared" si="79"/>
        <v>1505.64</v>
      </c>
      <c r="P713" s="4">
        <v>0.08</v>
      </c>
      <c r="Q713" s="7">
        <f t="shared" si="80"/>
        <v>120.45120000000001</v>
      </c>
      <c r="R713" s="7">
        <f t="shared" si="81"/>
        <v>1385.1888000000001</v>
      </c>
      <c r="S713" s="7">
        <f t="shared" si="82"/>
        <v>692.59440000000006</v>
      </c>
      <c r="T713" s="6">
        <f t="shared" si="83"/>
        <v>1.4184397163120567E-2</v>
      </c>
      <c r="U713" t="s">
        <v>82</v>
      </c>
      <c r="V713" t="s">
        <v>29</v>
      </c>
    </row>
    <row r="714" spans="1:22">
      <c r="A714" s="3">
        <v>45687</v>
      </c>
      <c r="B714" t="str">
        <f t="shared" si="77"/>
        <v>yyyy-01</v>
      </c>
      <c r="C714">
        <f t="shared" si="78"/>
        <v>5</v>
      </c>
      <c r="D714" t="s">
        <v>53</v>
      </c>
      <c r="E714" t="s">
        <v>56</v>
      </c>
      <c r="F714" t="s">
        <v>58</v>
      </c>
      <c r="G714" t="s">
        <v>27</v>
      </c>
      <c r="H714" t="s">
        <v>45</v>
      </c>
      <c r="I714" s="5">
        <v>196</v>
      </c>
      <c r="J714" s="5">
        <v>114</v>
      </c>
      <c r="K714" s="5">
        <v>10</v>
      </c>
      <c r="L714" s="5">
        <v>3</v>
      </c>
      <c r="M714" s="5">
        <v>3</v>
      </c>
      <c r="N714" s="7">
        <v>881.57</v>
      </c>
      <c r="O714" s="7">
        <f t="shared" si="79"/>
        <v>2644.71</v>
      </c>
      <c r="P714" s="4">
        <v>0.08</v>
      </c>
      <c r="Q714" s="7">
        <f t="shared" si="80"/>
        <v>211.57680000000002</v>
      </c>
      <c r="R714" s="7">
        <f t="shared" si="81"/>
        <v>2433.1332000000002</v>
      </c>
      <c r="S714" s="7">
        <f t="shared" si="82"/>
        <v>811.04440000000011</v>
      </c>
      <c r="T714" s="6">
        <f t="shared" si="83"/>
        <v>1.5306122448979591E-2</v>
      </c>
      <c r="U714" t="s">
        <v>82</v>
      </c>
      <c r="V714" t="s">
        <v>29</v>
      </c>
    </row>
    <row r="715" spans="1:22">
      <c r="A715" s="3">
        <v>45687</v>
      </c>
      <c r="B715" t="str">
        <f t="shared" si="77"/>
        <v>yyyy-01</v>
      </c>
      <c r="C715">
        <f t="shared" si="78"/>
        <v>5</v>
      </c>
      <c r="D715" t="s">
        <v>53</v>
      </c>
      <c r="E715" t="s">
        <v>59</v>
      </c>
      <c r="F715" t="s">
        <v>60</v>
      </c>
      <c r="G715" t="s">
        <v>27</v>
      </c>
      <c r="H715" t="s">
        <v>48</v>
      </c>
      <c r="I715" s="5">
        <v>112</v>
      </c>
      <c r="J715" s="5">
        <v>88</v>
      </c>
      <c r="K715" s="5">
        <v>10</v>
      </c>
      <c r="L715" s="5">
        <v>1</v>
      </c>
      <c r="M715" s="5">
        <v>1</v>
      </c>
      <c r="N715" s="7">
        <v>689.6</v>
      </c>
      <c r="O715" s="7">
        <f t="shared" si="79"/>
        <v>689.6</v>
      </c>
      <c r="P715" s="4">
        <v>0.03</v>
      </c>
      <c r="Q715" s="7">
        <f t="shared" si="80"/>
        <v>20.687999999999999</v>
      </c>
      <c r="R715" s="7">
        <f t="shared" si="81"/>
        <v>668.91200000000003</v>
      </c>
      <c r="S715" s="7">
        <f t="shared" si="82"/>
        <v>668.91200000000003</v>
      </c>
      <c r="T715" s="6">
        <f t="shared" si="83"/>
        <v>8.9285714285714281E-3</v>
      </c>
      <c r="V715" t="s">
        <v>78</v>
      </c>
    </row>
    <row r="716" spans="1:22">
      <c r="A716" s="3">
        <v>45687</v>
      </c>
      <c r="B716" t="str">
        <f t="shared" si="77"/>
        <v>yyyy-01</v>
      </c>
      <c r="C716">
        <f t="shared" si="78"/>
        <v>5</v>
      </c>
      <c r="D716" t="s">
        <v>53</v>
      </c>
      <c r="E716" t="s">
        <v>61</v>
      </c>
      <c r="F716" t="s">
        <v>62</v>
      </c>
      <c r="G716" t="s">
        <v>31</v>
      </c>
      <c r="H716" t="s">
        <v>32</v>
      </c>
      <c r="I716" s="5">
        <v>97</v>
      </c>
      <c r="J716" s="5">
        <v>76</v>
      </c>
      <c r="K716" s="5">
        <v>6</v>
      </c>
      <c r="L716" s="5">
        <v>1</v>
      </c>
      <c r="M716" s="5">
        <v>1</v>
      </c>
      <c r="N716" s="7">
        <v>483.07</v>
      </c>
      <c r="O716" s="7">
        <f t="shared" si="79"/>
        <v>483.07</v>
      </c>
      <c r="P716" s="4">
        <v>0</v>
      </c>
      <c r="Q716" s="7">
        <f t="shared" si="80"/>
        <v>0</v>
      </c>
      <c r="R716" s="7">
        <f t="shared" si="81"/>
        <v>483.07</v>
      </c>
      <c r="S716" s="7">
        <f t="shared" si="82"/>
        <v>483.07</v>
      </c>
      <c r="T716" s="6">
        <f t="shared" si="83"/>
        <v>1.0309278350515464E-2</v>
      </c>
      <c r="V716" t="s">
        <v>29</v>
      </c>
    </row>
    <row r="717" spans="1:22">
      <c r="A717" s="3">
        <v>45687</v>
      </c>
      <c r="B717" t="str">
        <f t="shared" si="77"/>
        <v>yyyy-01</v>
      </c>
      <c r="C717">
        <f t="shared" si="78"/>
        <v>5</v>
      </c>
      <c r="D717" t="s">
        <v>53</v>
      </c>
      <c r="E717" t="s">
        <v>64</v>
      </c>
      <c r="F717" t="s">
        <v>65</v>
      </c>
      <c r="G717" t="s">
        <v>27</v>
      </c>
      <c r="H717" t="s">
        <v>45</v>
      </c>
      <c r="I717" s="5">
        <v>143</v>
      </c>
      <c r="J717" s="5">
        <v>98</v>
      </c>
      <c r="K717" s="5">
        <v>8</v>
      </c>
      <c r="L717" s="5">
        <v>2</v>
      </c>
      <c r="M717" s="5">
        <v>2</v>
      </c>
      <c r="N717" s="7">
        <v>774.53</v>
      </c>
      <c r="O717" s="7">
        <f t="shared" si="79"/>
        <v>1549.06</v>
      </c>
      <c r="P717" s="4">
        <v>0</v>
      </c>
      <c r="Q717" s="7">
        <f t="shared" si="80"/>
        <v>0</v>
      </c>
      <c r="R717" s="7">
        <f t="shared" si="81"/>
        <v>1549.06</v>
      </c>
      <c r="S717" s="7">
        <f t="shared" si="82"/>
        <v>774.53</v>
      </c>
      <c r="T717" s="6">
        <f t="shared" si="83"/>
        <v>1.3986013986013986E-2</v>
      </c>
      <c r="V717" t="s">
        <v>29</v>
      </c>
    </row>
    <row r="718" spans="1:22">
      <c r="A718" s="3">
        <v>45687</v>
      </c>
      <c r="B718" t="str">
        <f t="shared" si="77"/>
        <v>yyyy-01</v>
      </c>
      <c r="C718">
        <f t="shared" si="78"/>
        <v>5</v>
      </c>
      <c r="D718" t="s">
        <v>66</v>
      </c>
      <c r="E718" t="s">
        <v>67</v>
      </c>
      <c r="F718" t="s">
        <v>68</v>
      </c>
      <c r="G718" t="s">
        <v>31</v>
      </c>
      <c r="H718" t="s">
        <v>32</v>
      </c>
      <c r="I718" s="5">
        <v>364</v>
      </c>
      <c r="J718" s="5">
        <v>255</v>
      </c>
      <c r="K718" s="5">
        <v>32</v>
      </c>
      <c r="L718" s="5">
        <v>8</v>
      </c>
      <c r="M718" s="5">
        <v>8</v>
      </c>
      <c r="N718" s="7">
        <v>682.97</v>
      </c>
      <c r="O718" s="7">
        <f t="shared" si="79"/>
        <v>5463.76</v>
      </c>
      <c r="P718" s="4">
        <v>7.0000000000000007E-2</v>
      </c>
      <c r="Q718" s="7">
        <f t="shared" si="80"/>
        <v>382.46320000000003</v>
      </c>
      <c r="R718" s="7">
        <f t="shared" si="81"/>
        <v>5081.2968000000001</v>
      </c>
      <c r="S718" s="7">
        <f t="shared" si="82"/>
        <v>635.16210000000001</v>
      </c>
      <c r="T718" s="6">
        <f t="shared" si="83"/>
        <v>2.197802197802198E-2</v>
      </c>
      <c r="U718" t="s">
        <v>83</v>
      </c>
      <c r="V718" t="s">
        <v>29</v>
      </c>
    </row>
    <row r="719" spans="1:22">
      <c r="A719" s="3">
        <v>45687</v>
      </c>
      <c r="B719" t="str">
        <f t="shared" si="77"/>
        <v>yyyy-01</v>
      </c>
      <c r="C719">
        <f t="shared" si="78"/>
        <v>5</v>
      </c>
      <c r="D719" t="s">
        <v>66</v>
      </c>
      <c r="E719" t="s">
        <v>67</v>
      </c>
      <c r="F719" t="s">
        <v>69</v>
      </c>
      <c r="G719" t="s">
        <v>31</v>
      </c>
      <c r="H719" t="s">
        <v>32</v>
      </c>
      <c r="I719" s="5">
        <v>432</v>
      </c>
      <c r="J719" s="5">
        <v>333</v>
      </c>
      <c r="K719" s="5">
        <v>43</v>
      </c>
      <c r="L719" s="5">
        <v>10</v>
      </c>
      <c r="M719" s="5">
        <v>10</v>
      </c>
      <c r="N719" s="7">
        <v>392.15</v>
      </c>
      <c r="O719" s="7">
        <f t="shared" si="79"/>
        <v>3921.5</v>
      </c>
      <c r="P719" s="4">
        <v>7.0000000000000007E-2</v>
      </c>
      <c r="Q719" s="7">
        <f t="shared" si="80"/>
        <v>274.50500000000005</v>
      </c>
      <c r="R719" s="7">
        <f t="shared" si="81"/>
        <v>3646.9949999999999</v>
      </c>
      <c r="S719" s="7">
        <f t="shared" si="82"/>
        <v>364.6995</v>
      </c>
      <c r="T719" s="6">
        <f t="shared" si="83"/>
        <v>2.3148148148148147E-2</v>
      </c>
      <c r="U719" t="s">
        <v>83</v>
      </c>
      <c r="V719" t="s">
        <v>29</v>
      </c>
    </row>
    <row r="720" spans="1:22">
      <c r="A720" s="3">
        <v>45687</v>
      </c>
      <c r="B720" t="str">
        <f t="shared" si="77"/>
        <v>yyyy-01</v>
      </c>
      <c r="C720">
        <f t="shared" si="78"/>
        <v>5</v>
      </c>
      <c r="D720" t="s">
        <v>66</v>
      </c>
      <c r="E720" t="s">
        <v>67</v>
      </c>
      <c r="F720" t="s">
        <v>70</v>
      </c>
      <c r="G720" t="s">
        <v>36</v>
      </c>
      <c r="H720" t="s">
        <v>37</v>
      </c>
      <c r="I720" s="5">
        <v>399</v>
      </c>
      <c r="J720" s="5">
        <v>258</v>
      </c>
      <c r="K720" s="5">
        <v>19</v>
      </c>
      <c r="L720" s="5">
        <v>7</v>
      </c>
      <c r="M720" s="5">
        <v>7</v>
      </c>
      <c r="N720" s="7">
        <v>341.58</v>
      </c>
      <c r="O720" s="7">
        <f t="shared" si="79"/>
        <v>2391.06</v>
      </c>
      <c r="P720" s="4">
        <v>7.0000000000000007E-2</v>
      </c>
      <c r="Q720" s="7">
        <f t="shared" si="80"/>
        <v>167.3742</v>
      </c>
      <c r="R720" s="7">
        <f t="shared" si="81"/>
        <v>2223.6857999999997</v>
      </c>
      <c r="S720" s="7">
        <f t="shared" si="82"/>
        <v>317.66939999999994</v>
      </c>
      <c r="T720" s="6">
        <f t="shared" si="83"/>
        <v>1.7543859649122806E-2</v>
      </c>
      <c r="U720" t="s">
        <v>83</v>
      </c>
      <c r="V720" t="s">
        <v>29</v>
      </c>
    </row>
    <row r="721" spans="1:22">
      <c r="A721" s="3">
        <v>45687</v>
      </c>
      <c r="B721" t="str">
        <f t="shared" si="77"/>
        <v>yyyy-01</v>
      </c>
      <c r="C721">
        <f t="shared" si="78"/>
        <v>5</v>
      </c>
      <c r="D721" t="s">
        <v>66</v>
      </c>
      <c r="E721" t="s">
        <v>71</v>
      </c>
      <c r="F721" t="s">
        <v>72</v>
      </c>
      <c r="G721" t="s">
        <v>31</v>
      </c>
      <c r="H721" t="s">
        <v>32</v>
      </c>
      <c r="I721" s="5">
        <v>335</v>
      </c>
      <c r="J721" s="5">
        <v>176</v>
      </c>
      <c r="K721" s="5">
        <v>19</v>
      </c>
      <c r="L721" s="5">
        <v>4</v>
      </c>
      <c r="M721" s="5">
        <v>5</v>
      </c>
      <c r="N721" s="7">
        <v>130.82</v>
      </c>
      <c r="O721" s="7">
        <f t="shared" si="79"/>
        <v>654.09999999999991</v>
      </c>
      <c r="P721" s="4">
        <v>0.05</v>
      </c>
      <c r="Q721" s="7">
        <f t="shared" si="80"/>
        <v>32.704999999999998</v>
      </c>
      <c r="R721" s="7">
        <f t="shared" si="81"/>
        <v>621.39499999999987</v>
      </c>
      <c r="S721" s="7">
        <f t="shared" si="82"/>
        <v>155.34874999999997</v>
      </c>
      <c r="T721" s="6">
        <f t="shared" si="83"/>
        <v>1.1940298507462687E-2</v>
      </c>
      <c r="V721" t="s">
        <v>78</v>
      </c>
    </row>
    <row r="722" spans="1:22">
      <c r="A722" s="3">
        <v>45687</v>
      </c>
      <c r="B722" t="str">
        <f t="shared" si="77"/>
        <v>yyyy-01</v>
      </c>
      <c r="C722">
        <f t="shared" si="78"/>
        <v>5</v>
      </c>
      <c r="D722" t="s">
        <v>66</v>
      </c>
      <c r="E722" t="s">
        <v>73</v>
      </c>
      <c r="F722" t="s">
        <v>74</v>
      </c>
      <c r="G722" t="s">
        <v>36</v>
      </c>
      <c r="H722" t="s">
        <v>37</v>
      </c>
      <c r="I722" s="5">
        <v>236</v>
      </c>
      <c r="J722" s="5">
        <v>124</v>
      </c>
      <c r="K722" s="5">
        <v>15</v>
      </c>
      <c r="L722" s="5">
        <v>4</v>
      </c>
      <c r="M722" s="5">
        <v>4</v>
      </c>
      <c r="N722" s="7">
        <v>1158.07</v>
      </c>
      <c r="O722" s="7">
        <f t="shared" si="79"/>
        <v>4632.28</v>
      </c>
      <c r="P722" s="4">
        <v>0.05</v>
      </c>
      <c r="Q722" s="7">
        <f t="shared" si="80"/>
        <v>231.614</v>
      </c>
      <c r="R722" s="7">
        <f t="shared" si="81"/>
        <v>4400.6660000000002</v>
      </c>
      <c r="S722" s="7">
        <f t="shared" si="82"/>
        <v>1100.1665</v>
      </c>
      <c r="T722" s="6">
        <f t="shared" si="83"/>
        <v>1.6949152542372881E-2</v>
      </c>
      <c r="V722" t="s">
        <v>29</v>
      </c>
    </row>
    <row r="723" spans="1:22">
      <c r="A723" s="3">
        <v>45687</v>
      </c>
      <c r="B723" t="str">
        <f t="shared" si="77"/>
        <v>yyyy-01</v>
      </c>
      <c r="C723">
        <f t="shared" si="78"/>
        <v>5</v>
      </c>
      <c r="D723" t="s">
        <v>66</v>
      </c>
      <c r="E723" t="s">
        <v>71</v>
      </c>
      <c r="F723" t="s">
        <v>75</v>
      </c>
      <c r="G723" t="s">
        <v>27</v>
      </c>
      <c r="H723" t="s">
        <v>28</v>
      </c>
      <c r="I723" s="5">
        <v>268</v>
      </c>
      <c r="J723" s="5">
        <v>202</v>
      </c>
      <c r="K723" s="5">
        <v>19</v>
      </c>
      <c r="L723" s="5">
        <v>5</v>
      </c>
      <c r="M723" s="5">
        <v>6</v>
      </c>
      <c r="N723" s="7">
        <v>38.6</v>
      </c>
      <c r="O723" s="7">
        <f t="shared" si="79"/>
        <v>231.60000000000002</v>
      </c>
      <c r="P723" s="4">
        <v>0.05</v>
      </c>
      <c r="Q723" s="7">
        <f t="shared" si="80"/>
        <v>11.580000000000002</v>
      </c>
      <c r="R723" s="7">
        <f t="shared" si="81"/>
        <v>220.02</v>
      </c>
      <c r="S723" s="7">
        <f t="shared" si="82"/>
        <v>44.004000000000005</v>
      </c>
      <c r="T723" s="6">
        <f t="shared" si="83"/>
        <v>1.8656716417910446E-2</v>
      </c>
      <c r="V723" t="s">
        <v>29</v>
      </c>
    </row>
    <row r="724" spans="1:22">
      <c r="A724" s="3">
        <v>45687</v>
      </c>
      <c r="B724" t="str">
        <f t="shared" si="77"/>
        <v>yyyy-01</v>
      </c>
      <c r="C724">
        <f t="shared" si="78"/>
        <v>5</v>
      </c>
      <c r="D724" t="s">
        <v>24</v>
      </c>
      <c r="E724" t="s">
        <v>76</v>
      </c>
      <c r="F724" t="s">
        <v>77</v>
      </c>
      <c r="G724" t="s">
        <v>27</v>
      </c>
      <c r="H724" t="s">
        <v>48</v>
      </c>
      <c r="I724" s="5">
        <v>454</v>
      </c>
      <c r="J724" s="5">
        <v>311</v>
      </c>
      <c r="K724" s="5">
        <v>37</v>
      </c>
      <c r="L724" s="5">
        <v>8</v>
      </c>
      <c r="M724" s="5">
        <v>9</v>
      </c>
      <c r="N724" s="7">
        <v>193.74</v>
      </c>
      <c r="O724" s="7">
        <f t="shared" si="79"/>
        <v>1743.66</v>
      </c>
      <c r="P724" s="4">
        <v>0</v>
      </c>
      <c r="Q724" s="7">
        <f t="shared" si="80"/>
        <v>0</v>
      </c>
      <c r="R724" s="7">
        <f t="shared" si="81"/>
        <v>1743.66</v>
      </c>
      <c r="S724" s="7">
        <f t="shared" si="82"/>
        <v>217.95750000000001</v>
      </c>
      <c r="T724" s="6">
        <f t="shared" si="83"/>
        <v>1.7621145374449341E-2</v>
      </c>
      <c r="V724" t="s">
        <v>29</v>
      </c>
    </row>
    <row r="725" spans="1:22">
      <c r="A725" s="3">
        <v>45688</v>
      </c>
      <c r="B725" t="str">
        <f t="shared" si="77"/>
        <v>yyyy-01</v>
      </c>
      <c r="C725">
        <f t="shared" si="78"/>
        <v>5</v>
      </c>
      <c r="D725" t="s">
        <v>24</v>
      </c>
      <c r="E725" t="s">
        <v>25</v>
      </c>
      <c r="F725" t="s">
        <v>26</v>
      </c>
      <c r="G725" t="s">
        <v>27</v>
      </c>
      <c r="H725" t="s">
        <v>45</v>
      </c>
      <c r="I725" s="5">
        <v>1024</v>
      </c>
      <c r="J725" s="5">
        <v>619</v>
      </c>
      <c r="K725" s="5">
        <v>79</v>
      </c>
      <c r="L725" s="5">
        <v>22</v>
      </c>
      <c r="M725" s="5">
        <v>22</v>
      </c>
      <c r="N725" s="7">
        <v>979.86</v>
      </c>
      <c r="O725" s="7">
        <f t="shared" si="79"/>
        <v>21556.920000000002</v>
      </c>
      <c r="P725" s="4">
        <v>0</v>
      </c>
      <c r="Q725" s="7">
        <f t="shared" si="80"/>
        <v>0</v>
      </c>
      <c r="R725" s="7">
        <f t="shared" si="81"/>
        <v>21556.920000000002</v>
      </c>
      <c r="S725" s="7">
        <f t="shared" si="82"/>
        <v>979.86000000000013</v>
      </c>
      <c r="T725" s="6">
        <f t="shared" si="83"/>
        <v>2.1484375E-2</v>
      </c>
      <c r="V725" t="s">
        <v>29</v>
      </c>
    </row>
    <row r="726" spans="1:22">
      <c r="A726" s="3">
        <v>45688</v>
      </c>
      <c r="B726" t="str">
        <f t="shared" si="77"/>
        <v>yyyy-01</v>
      </c>
      <c r="C726">
        <f t="shared" si="78"/>
        <v>5</v>
      </c>
      <c r="D726" t="s">
        <v>24</v>
      </c>
      <c r="E726" t="s">
        <v>25</v>
      </c>
      <c r="F726" t="s">
        <v>30</v>
      </c>
      <c r="G726" t="s">
        <v>31</v>
      </c>
      <c r="H726" t="s">
        <v>32</v>
      </c>
      <c r="I726" s="5">
        <v>1483</v>
      </c>
      <c r="J726" s="5">
        <v>909</v>
      </c>
      <c r="K726" s="5">
        <v>97</v>
      </c>
      <c r="L726" s="5">
        <v>33</v>
      </c>
      <c r="M726" s="5">
        <v>33</v>
      </c>
      <c r="N726" s="7">
        <v>389.06</v>
      </c>
      <c r="O726" s="7">
        <f t="shared" si="79"/>
        <v>12838.98</v>
      </c>
      <c r="P726" s="4">
        <v>0</v>
      </c>
      <c r="Q726" s="7">
        <f t="shared" si="80"/>
        <v>0</v>
      </c>
      <c r="R726" s="7">
        <f t="shared" si="81"/>
        <v>12838.98</v>
      </c>
      <c r="S726" s="7">
        <f t="shared" si="82"/>
        <v>389.06</v>
      </c>
      <c r="T726" s="6">
        <f t="shared" si="83"/>
        <v>2.2252191503708697E-2</v>
      </c>
      <c r="V726" t="s">
        <v>29</v>
      </c>
    </row>
    <row r="727" spans="1:22">
      <c r="A727" s="3">
        <v>45688</v>
      </c>
      <c r="B727" t="str">
        <f t="shared" si="77"/>
        <v>yyyy-01</v>
      </c>
      <c r="C727">
        <f t="shared" si="78"/>
        <v>5</v>
      </c>
      <c r="D727" t="s">
        <v>24</v>
      </c>
      <c r="E727" t="s">
        <v>25</v>
      </c>
      <c r="F727" t="s">
        <v>33</v>
      </c>
      <c r="G727" t="s">
        <v>27</v>
      </c>
      <c r="H727" t="s">
        <v>28</v>
      </c>
      <c r="I727" s="5">
        <v>1393</v>
      </c>
      <c r="J727" s="5">
        <v>1028</v>
      </c>
      <c r="K727" s="5">
        <v>127</v>
      </c>
      <c r="L727" s="5">
        <v>34</v>
      </c>
      <c r="M727" s="5">
        <v>34</v>
      </c>
      <c r="N727" s="7">
        <v>1830.89</v>
      </c>
      <c r="O727" s="7">
        <f t="shared" si="79"/>
        <v>62250.26</v>
      </c>
      <c r="P727" s="4">
        <v>0.05</v>
      </c>
      <c r="Q727" s="7">
        <f t="shared" si="80"/>
        <v>3112.5130000000004</v>
      </c>
      <c r="R727" s="7">
        <f t="shared" si="81"/>
        <v>59137.747000000003</v>
      </c>
      <c r="S727" s="7">
        <f t="shared" si="82"/>
        <v>1739.3455000000001</v>
      </c>
      <c r="T727" s="6">
        <f t="shared" si="83"/>
        <v>2.4407753050969132E-2</v>
      </c>
      <c r="V727" t="s">
        <v>29</v>
      </c>
    </row>
    <row r="728" spans="1:22">
      <c r="A728" s="3">
        <v>45688</v>
      </c>
      <c r="B728" t="str">
        <f t="shared" si="77"/>
        <v>yyyy-01</v>
      </c>
      <c r="C728">
        <f t="shared" si="78"/>
        <v>5</v>
      </c>
      <c r="D728" t="s">
        <v>24</v>
      </c>
      <c r="E728" t="s">
        <v>34</v>
      </c>
      <c r="F728" t="s">
        <v>35</v>
      </c>
      <c r="G728" t="s">
        <v>27</v>
      </c>
      <c r="H728" t="s">
        <v>45</v>
      </c>
      <c r="I728" s="5">
        <v>809</v>
      </c>
      <c r="J728" s="5">
        <v>580</v>
      </c>
      <c r="K728" s="5">
        <v>87</v>
      </c>
      <c r="L728" s="5">
        <v>19</v>
      </c>
      <c r="M728" s="5">
        <v>19</v>
      </c>
      <c r="N728" s="7">
        <v>913.45</v>
      </c>
      <c r="O728" s="7">
        <f t="shared" si="79"/>
        <v>17355.55</v>
      </c>
      <c r="P728" s="4">
        <v>0</v>
      </c>
      <c r="Q728" s="7">
        <f t="shared" si="80"/>
        <v>0</v>
      </c>
      <c r="R728" s="7">
        <f t="shared" si="81"/>
        <v>17355.55</v>
      </c>
      <c r="S728" s="7">
        <f t="shared" si="82"/>
        <v>913.44999999999993</v>
      </c>
      <c r="T728" s="6">
        <f t="shared" si="83"/>
        <v>2.3485784919653894E-2</v>
      </c>
      <c r="V728" t="s">
        <v>29</v>
      </c>
    </row>
    <row r="729" spans="1:22">
      <c r="A729" s="3">
        <v>45688</v>
      </c>
      <c r="B729" t="str">
        <f t="shared" si="77"/>
        <v>yyyy-01</v>
      </c>
      <c r="C729">
        <f t="shared" si="78"/>
        <v>5</v>
      </c>
      <c r="D729" t="s">
        <v>24</v>
      </c>
      <c r="E729" t="s">
        <v>38</v>
      </c>
      <c r="F729" t="s">
        <v>39</v>
      </c>
      <c r="G729" t="s">
        <v>27</v>
      </c>
      <c r="H729" t="s">
        <v>45</v>
      </c>
      <c r="I729" s="5">
        <v>627</v>
      </c>
      <c r="J729" s="5">
        <v>355</v>
      </c>
      <c r="K729" s="5">
        <v>41</v>
      </c>
      <c r="L729" s="5">
        <v>14</v>
      </c>
      <c r="M729" s="5">
        <v>14</v>
      </c>
      <c r="N729" s="7">
        <v>322.13</v>
      </c>
      <c r="O729" s="7">
        <f t="shared" si="79"/>
        <v>4509.82</v>
      </c>
      <c r="P729" s="4">
        <v>0</v>
      </c>
      <c r="Q729" s="7">
        <f t="shared" si="80"/>
        <v>0</v>
      </c>
      <c r="R729" s="7">
        <f t="shared" si="81"/>
        <v>4509.82</v>
      </c>
      <c r="S729" s="7">
        <f t="shared" si="82"/>
        <v>322.13</v>
      </c>
      <c r="T729" s="6">
        <f t="shared" si="83"/>
        <v>2.2328548644338118E-2</v>
      </c>
      <c r="V729" t="s">
        <v>29</v>
      </c>
    </row>
    <row r="730" spans="1:22">
      <c r="A730" s="3">
        <v>45688</v>
      </c>
      <c r="B730" t="str">
        <f t="shared" si="77"/>
        <v>yyyy-01</v>
      </c>
      <c r="C730">
        <f t="shared" si="78"/>
        <v>5</v>
      </c>
      <c r="D730" t="s">
        <v>24</v>
      </c>
      <c r="E730" t="s">
        <v>40</v>
      </c>
      <c r="F730" t="s">
        <v>41</v>
      </c>
      <c r="G730" t="s">
        <v>27</v>
      </c>
      <c r="H730" t="s">
        <v>48</v>
      </c>
      <c r="I730" s="5">
        <v>533</v>
      </c>
      <c r="J730" s="5">
        <v>416</v>
      </c>
      <c r="K730" s="5">
        <v>29</v>
      </c>
      <c r="L730" s="5">
        <v>10</v>
      </c>
      <c r="M730" s="5">
        <v>13</v>
      </c>
      <c r="N730" s="7">
        <v>174.38</v>
      </c>
      <c r="O730" s="7">
        <f t="shared" si="79"/>
        <v>2266.94</v>
      </c>
      <c r="P730" s="4">
        <v>0</v>
      </c>
      <c r="Q730" s="7">
        <f t="shared" si="80"/>
        <v>0</v>
      </c>
      <c r="R730" s="7">
        <f t="shared" si="81"/>
        <v>2266.94</v>
      </c>
      <c r="S730" s="7">
        <f t="shared" si="82"/>
        <v>226.69400000000002</v>
      </c>
      <c r="T730" s="6">
        <f t="shared" si="83"/>
        <v>1.8761726078799251E-2</v>
      </c>
      <c r="V730" t="s">
        <v>29</v>
      </c>
    </row>
    <row r="731" spans="1:22">
      <c r="A731" s="3">
        <v>45688</v>
      </c>
      <c r="B731" t="str">
        <f t="shared" si="77"/>
        <v>yyyy-01</v>
      </c>
      <c r="C731">
        <f t="shared" si="78"/>
        <v>5</v>
      </c>
      <c r="D731" t="s">
        <v>42</v>
      </c>
      <c r="E731" t="s">
        <v>43</v>
      </c>
      <c r="F731" t="s">
        <v>44</v>
      </c>
      <c r="G731" t="s">
        <v>31</v>
      </c>
      <c r="H731" t="s">
        <v>32</v>
      </c>
      <c r="I731" s="5">
        <v>535</v>
      </c>
      <c r="J731" s="5">
        <v>355</v>
      </c>
      <c r="K731" s="5">
        <v>33</v>
      </c>
      <c r="L731" s="5">
        <v>8</v>
      </c>
      <c r="M731" s="5">
        <v>8</v>
      </c>
      <c r="N731" s="7">
        <v>1249.92</v>
      </c>
      <c r="O731" s="7">
        <f t="shared" si="79"/>
        <v>9999.36</v>
      </c>
      <c r="P731" s="4">
        <v>0</v>
      </c>
      <c r="Q731" s="7">
        <f t="shared" si="80"/>
        <v>0</v>
      </c>
      <c r="R731" s="7">
        <f t="shared" si="81"/>
        <v>9999.36</v>
      </c>
      <c r="S731" s="7">
        <f t="shared" si="82"/>
        <v>1249.92</v>
      </c>
      <c r="T731" s="6">
        <f t="shared" si="83"/>
        <v>1.4953271028037384E-2</v>
      </c>
      <c r="V731" t="s">
        <v>29</v>
      </c>
    </row>
    <row r="732" spans="1:22">
      <c r="A732" s="3">
        <v>45688</v>
      </c>
      <c r="B732" t="str">
        <f t="shared" si="77"/>
        <v>yyyy-01</v>
      </c>
      <c r="C732">
        <f t="shared" si="78"/>
        <v>5</v>
      </c>
      <c r="D732" t="s">
        <v>42</v>
      </c>
      <c r="E732" t="s">
        <v>43</v>
      </c>
      <c r="F732" t="s">
        <v>46</v>
      </c>
      <c r="G732" t="s">
        <v>31</v>
      </c>
      <c r="H732" t="s">
        <v>32</v>
      </c>
      <c r="I732" s="5">
        <v>680</v>
      </c>
      <c r="J732" s="5">
        <v>520</v>
      </c>
      <c r="K732" s="5">
        <v>48</v>
      </c>
      <c r="L732" s="5">
        <v>6</v>
      </c>
      <c r="M732" s="5">
        <v>6</v>
      </c>
      <c r="N732" s="7">
        <v>2116.61</v>
      </c>
      <c r="O732" s="7">
        <f t="shared" si="79"/>
        <v>12699.66</v>
      </c>
      <c r="P732" s="4">
        <v>0</v>
      </c>
      <c r="Q732" s="7">
        <f t="shared" si="80"/>
        <v>0</v>
      </c>
      <c r="R732" s="7">
        <f t="shared" si="81"/>
        <v>12699.66</v>
      </c>
      <c r="S732" s="7">
        <f t="shared" si="82"/>
        <v>2116.61</v>
      </c>
      <c r="T732" s="6">
        <f t="shared" si="83"/>
        <v>8.8235294117647058E-3</v>
      </c>
      <c r="V732" t="s">
        <v>78</v>
      </c>
    </row>
    <row r="733" spans="1:22">
      <c r="A733" s="3">
        <v>45688</v>
      </c>
      <c r="B733" t="str">
        <f t="shared" si="77"/>
        <v>yyyy-01</v>
      </c>
      <c r="C733">
        <f t="shared" si="78"/>
        <v>5</v>
      </c>
      <c r="D733" t="s">
        <v>42</v>
      </c>
      <c r="E733" t="s">
        <v>43</v>
      </c>
      <c r="F733" t="s">
        <v>47</v>
      </c>
      <c r="G733" t="s">
        <v>27</v>
      </c>
      <c r="H733" t="s">
        <v>45</v>
      </c>
      <c r="I733" s="5">
        <v>445</v>
      </c>
      <c r="J733" s="5">
        <v>272</v>
      </c>
      <c r="K733" s="5">
        <v>30</v>
      </c>
      <c r="L733" s="5">
        <v>4</v>
      </c>
      <c r="M733" s="5">
        <v>4</v>
      </c>
      <c r="N733" s="7">
        <v>599.17999999999995</v>
      </c>
      <c r="O733" s="7">
        <f t="shared" si="79"/>
        <v>2396.7199999999998</v>
      </c>
      <c r="P733" s="4">
        <v>0</v>
      </c>
      <c r="Q733" s="7">
        <f t="shared" si="80"/>
        <v>0</v>
      </c>
      <c r="R733" s="7">
        <f t="shared" si="81"/>
        <v>2396.7199999999998</v>
      </c>
      <c r="S733" s="7">
        <f t="shared" si="82"/>
        <v>599.17999999999995</v>
      </c>
      <c r="T733" s="6">
        <f t="shared" si="83"/>
        <v>8.988764044943821E-3</v>
      </c>
      <c r="V733" t="s">
        <v>78</v>
      </c>
    </row>
    <row r="734" spans="1:22">
      <c r="A734" s="3">
        <v>45688</v>
      </c>
      <c r="B734" t="str">
        <f t="shared" si="77"/>
        <v>yyyy-01</v>
      </c>
      <c r="C734">
        <f t="shared" si="78"/>
        <v>5</v>
      </c>
      <c r="D734" t="s">
        <v>42</v>
      </c>
      <c r="E734" t="s">
        <v>49</v>
      </c>
      <c r="F734" t="s">
        <v>50</v>
      </c>
      <c r="G734" t="s">
        <v>27</v>
      </c>
      <c r="H734" t="s">
        <v>48</v>
      </c>
      <c r="I734" s="5">
        <v>102</v>
      </c>
      <c r="J734" s="5">
        <v>75</v>
      </c>
      <c r="K734" s="5">
        <v>7</v>
      </c>
      <c r="L734" s="5">
        <v>1</v>
      </c>
      <c r="M734" s="5">
        <v>1</v>
      </c>
      <c r="N734" s="7">
        <v>1014.96</v>
      </c>
      <c r="O734" s="7">
        <f t="shared" si="79"/>
        <v>1014.96</v>
      </c>
      <c r="P734" s="4">
        <v>0</v>
      </c>
      <c r="Q734" s="7">
        <f t="shared" si="80"/>
        <v>0</v>
      </c>
      <c r="R734" s="7">
        <f t="shared" si="81"/>
        <v>1014.96</v>
      </c>
      <c r="S734" s="7">
        <f t="shared" si="82"/>
        <v>1014.96</v>
      </c>
      <c r="T734" s="6">
        <f t="shared" si="83"/>
        <v>9.8039215686274508E-3</v>
      </c>
      <c r="V734" t="s">
        <v>29</v>
      </c>
    </row>
    <row r="735" spans="1:22">
      <c r="A735" s="3">
        <v>45688</v>
      </c>
      <c r="B735" t="str">
        <f t="shared" si="77"/>
        <v>yyyy-01</v>
      </c>
      <c r="C735">
        <f t="shared" si="78"/>
        <v>5</v>
      </c>
      <c r="D735" t="s">
        <v>42</v>
      </c>
      <c r="E735" t="s">
        <v>51</v>
      </c>
      <c r="F735" t="s">
        <v>52</v>
      </c>
      <c r="G735" t="s">
        <v>27</v>
      </c>
      <c r="H735" t="s">
        <v>28</v>
      </c>
      <c r="I735" s="5">
        <v>268</v>
      </c>
      <c r="J735" s="5">
        <v>212</v>
      </c>
      <c r="K735" s="5">
        <v>22</v>
      </c>
      <c r="L735" s="5">
        <v>3</v>
      </c>
      <c r="M735" s="5">
        <v>3</v>
      </c>
      <c r="N735" s="7">
        <v>586.87</v>
      </c>
      <c r="O735" s="7">
        <f t="shared" si="79"/>
        <v>1760.6100000000001</v>
      </c>
      <c r="P735" s="4">
        <v>0.03</v>
      </c>
      <c r="Q735" s="7">
        <f t="shared" si="80"/>
        <v>52.818300000000001</v>
      </c>
      <c r="R735" s="7">
        <f t="shared" si="81"/>
        <v>1707.7917000000002</v>
      </c>
      <c r="S735" s="7">
        <f t="shared" si="82"/>
        <v>569.26390000000004</v>
      </c>
      <c r="T735" s="6">
        <f t="shared" si="83"/>
        <v>1.1194029850746268E-2</v>
      </c>
      <c r="V735" t="s">
        <v>29</v>
      </c>
    </row>
    <row r="736" spans="1:22">
      <c r="A736" s="3">
        <v>45688</v>
      </c>
      <c r="B736" t="str">
        <f t="shared" si="77"/>
        <v>yyyy-01</v>
      </c>
      <c r="C736">
        <f t="shared" si="78"/>
        <v>5</v>
      </c>
      <c r="D736" t="s">
        <v>53</v>
      </c>
      <c r="E736" t="s">
        <v>54</v>
      </c>
      <c r="F736" t="s">
        <v>55</v>
      </c>
      <c r="G736" t="s">
        <v>27</v>
      </c>
      <c r="H736" t="s">
        <v>28</v>
      </c>
      <c r="I736" s="5">
        <v>155</v>
      </c>
      <c r="J736" s="5">
        <v>116</v>
      </c>
      <c r="K736" s="5">
        <v>6</v>
      </c>
      <c r="L736" s="5">
        <v>2</v>
      </c>
      <c r="M736" s="5">
        <v>2</v>
      </c>
      <c r="N736" s="7">
        <v>1263.73</v>
      </c>
      <c r="O736" s="7">
        <f t="shared" si="79"/>
        <v>2527.46</v>
      </c>
      <c r="P736" s="4">
        <v>0</v>
      </c>
      <c r="Q736" s="7">
        <f t="shared" si="80"/>
        <v>0</v>
      </c>
      <c r="R736" s="7">
        <f t="shared" si="81"/>
        <v>2527.46</v>
      </c>
      <c r="S736" s="7">
        <f t="shared" si="82"/>
        <v>1263.73</v>
      </c>
      <c r="T736" s="6">
        <f t="shared" si="83"/>
        <v>1.2903225806451613E-2</v>
      </c>
      <c r="V736" t="s">
        <v>29</v>
      </c>
    </row>
    <row r="737" spans="1:22">
      <c r="A737" s="3">
        <v>45688</v>
      </c>
      <c r="B737" t="str">
        <f t="shared" si="77"/>
        <v>yyyy-01</v>
      </c>
      <c r="C737">
        <f t="shared" si="78"/>
        <v>5</v>
      </c>
      <c r="D737" t="s">
        <v>53</v>
      </c>
      <c r="E737" t="s">
        <v>56</v>
      </c>
      <c r="F737" t="s">
        <v>57</v>
      </c>
      <c r="G737" t="s">
        <v>36</v>
      </c>
      <c r="H737" t="s">
        <v>37</v>
      </c>
      <c r="I737" s="5">
        <v>213</v>
      </c>
      <c r="J737" s="5">
        <v>145</v>
      </c>
      <c r="K737" s="5">
        <v>12</v>
      </c>
      <c r="L737" s="5">
        <v>3</v>
      </c>
      <c r="M737" s="5">
        <v>3</v>
      </c>
      <c r="N737" s="7">
        <v>740.38</v>
      </c>
      <c r="O737" s="7">
        <f t="shared" si="79"/>
        <v>2221.14</v>
      </c>
      <c r="P737" s="4">
        <v>0.08</v>
      </c>
      <c r="Q737" s="7">
        <f t="shared" si="80"/>
        <v>177.69119999999998</v>
      </c>
      <c r="R737" s="7">
        <f t="shared" si="81"/>
        <v>2043.4487999999999</v>
      </c>
      <c r="S737" s="7">
        <f t="shared" si="82"/>
        <v>681.14959999999996</v>
      </c>
      <c r="T737" s="6">
        <f t="shared" si="83"/>
        <v>1.4084507042253521E-2</v>
      </c>
      <c r="U737" t="s">
        <v>82</v>
      </c>
      <c r="V737" t="s">
        <v>29</v>
      </c>
    </row>
    <row r="738" spans="1:22">
      <c r="A738" s="3">
        <v>45688</v>
      </c>
      <c r="B738" t="str">
        <f t="shared" si="77"/>
        <v>yyyy-01</v>
      </c>
      <c r="C738">
        <f t="shared" si="78"/>
        <v>5</v>
      </c>
      <c r="D738" t="s">
        <v>53</v>
      </c>
      <c r="E738" t="s">
        <v>56</v>
      </c>
      <c r="F738" t="s">
        <v>58</v>
      </c>
      <c r="G738" t="s">
        <v>31</v>
      </c>
      <c r="H738" t="s">
        <v>32</v>
      </c>
      <c r="I738" s="5">
        <v>215</v>
      </c>
      <c r="J738" s="5">
        <v>164</v>
      </c>
      <c r="K738" s="5">
        <v>11</v>
      </c>
      <c r="L738" s="5">
        <v>2</v>
      </c>
      <c r="M738" s="5">
        <v>2</v>
      </c>
      <c r="N738" s="7">
        <v>879.66</v>
      </c>
      <c r="O738" s="7">
        <f t="shared" si="79"/>
        <v>1759.32</v>
      </c>
      <c r="P738" s="4">
        <v>0.08</v>
      </c>
      <c r="Q738" s="7">
        <f t="shared" si="80"/>
        <v>140.7456</v>
      </c>
      <c r="R738" s="7">
        <f t="shared" si="81"/>
        <v>1618.5744</v>
      </c>
      <c r="S738" s="7">
        <f t="shared" si="82"/>
        <v>809.28719999999998</v>
      </c>
      <c r="T738" s="6">
        <f t="shared" si="83"/>
        <v>9.3023255813953487E-3</v>
      </c>
      <c r="U738" t="s">
        <v>82</v>
      </c>
      <c r="V738" t="s">
        <v>29</v>
      </c>
    </row>
    <row r="739" spans="1:22">
      <c r="A739" s="3">
        <v>45688</v>
      </c>
      <c r="B739" t="str">
        <f t="shared" si="77"/>
        <v>yyyy-01</v>
      </c>
      <c r="C739">
        <f t="shared" si="78"/>
        <v>5</v>
      </c>
      <c r="D739" t="s">
        <v>53</v>
      </c>
      <c r="E739" t="s">
        <v>59</v>
      </c>
      <c r="F739" t="s">
        <v>60</v>
      </c>
      <c r="G739" t="s">
        <v>27</v>
      </c>
      <c r="H739" t="s">
        <v>28</v>
      </c>
      <c r="I739" s="5">
        <v>135</v>
      </c>
      <c r="J739" s="5">
        <v>72</v>
      </c>
      <c r="K739" s="5">
        <v>4</v>
      </c>
      <c r="L739" s="5">
        <v>1</v>
      </c>
      <c r="M739" s="5">
        <v>1</v>
      </c>
      <c r="N739" s="7">
        <v>687.17</v>
      </c>
      <c r="O739" s="7">
        <f t="shared" si="79"/>
        <v>687.17</v>
      </c>
      <c r="P739" s="4">
        <v>0.03</v>
      </c>
      <c r="Q739" s="7">
        <f t="shared" si="80"/>
        <v>20.615099999999998</v>
      </c>
      <c r="R739" s="7">
        <f t="shared" si="81"/>
        <v>666.55489999999998</v>
      </c>
      <c r="S739" s="7">
        <f t="shared" si="82"/>
        <v>666.55489999999998</v>
      </c>
      <c r="T739" s="6">
        <f t="shared" si="83"/>
        <v>7.4074074074074077E-3</v>
      </c>
      <c r="V739" t="s">
        <v>78</v>
      </c>
    </row>
    <row r="740" spans="1:22">
      <c r="A740" s="3">
        <v>45688</v>
      </c>
      <c r="B740" t="str">
        <f t="shared" si="77"/>
        <v>yyyy-01</v>
      </c>
      <c r="C740">
        <f t="shared" si="78"/>
        <v>5</v>
      </c>
      <c r="D740" t="s">
        <v>53</v>
      </c>
      <c r="E740" t="s">
        <v>61</v>
      </c>
      <c r="F740" t="s">
        <v>62</v>
      </c>
      <c r="G740" t="s">
        <v>27</v>
      </c>
      <c r="H740" t="s">
        <v>28</v>
      </c>
      <c r="I740" s="5">
        <v>110</v>
      </c>
      <c r="J740" s="5">
        <v>84</v>
      </c>
      <c r="K740" s="5">
        <v>9</v>
      </c>
      <c r="L740" s="5">
        <v>1</v>
      </c>
      <c r="M740" s="5">
        <v>1</v>
      </c>
      <c r="N740" s="7">
        <v>490.67</v>
      </c>
      <c r="O740" s="7">
        <f t="shared" si="79"/>
        <v>490.67</v>
      </c>
      <c r="P740" s="4">
        <v>0.05</v>
      </c>
      <c r="Q740" s="7">
        <f t="shared" si="80"/>
        <v>24.533500000000004</v>
      </c>
      <c r="R740" s="7">
        <f t="shared" si="81"/>
        <v>466.13650000000001</v>
      </c>
      <c r="S740" s="7">
        <f t="shared" si="82"/>
        <v>466.13650000000001</v>
      </c>
      <c r="T740" s="6">
        <f t="shared" si="83"/>
        <v>9.0909090909090905E-3</v>
      </c>
      <c r="V740" t="s">
        <v>29</v>
      </c>
    </row>
    <row r="741" spans="1:22">
      <c r="A741" s="3">
        <v>45688</v>
      </c>
      <c r="B741" t="str">
        <f t="shared" si="77"/>
        <v>yyyy-01</v>
      </c>
      <c r="C741">
        <f t="shared" si="78"/>
        <v>5</v>
      </c>
      <c r="D741" t="s">
        <v>53</v>
      </c>
      <c r="E741" t="s">
        <v>64</v>
      </c>
      <c r="F741" t="s">
        <v>65</v>
      </c>
      <c r="G741" t="s">
        <v>27</v>
      </c>
      <c r="H741" t="s">
        <v>48</v>
      </c>
      <c r="I741" s="5">
        <v>163</v>
      </c>
      <c r="J741" s="5">
        <v>132</v>
      </c>
      <c r="K741" s="5">
        <v>14</v>
      </c>
      <c r="L741" s="5">
        <v>2</v>
      </c>
      <c r="M741" s="5">
        <v>2</v>
      </c>
      <c r="N741" s="7">
        <v>774.72</v>
      </c>
      <c r="O741" s="7">
        <f t="shared" si="79"/>
        <v>1549.44</v>
      </c>
      <c r="P741" s="4">
        <v>0</v>
      </c>
      <c r="Q741" s="7">
        <f t="shared" si="80"/>
        <v>0</v>
      </c>
      <c r="R741" s="7">
        <f t="shared" si="81"/>
        <v>1549.44</v>
      </c>
      <c r="S741" s="7">
        <f t="shared" si="82"/>
        <v>774.72</v>
      </c>
      <c r="T741" s="6">
        <f t="shared" si="83"/>
        <v>1.2269938650306749E-2</v>
      </c>
      <c r="V741" t="s">
        <v>29</v>
      </c>
    </row>
    <row r="742" spans="1:22">
      <c r="A742" s="3">
        <v>45688</v>
      </c>
      <c r="B742" t="str">
        <f t="shared" si="77"/>
        <v>yyyy-01</v>
      </c>
      <c r="C742">
        <f t="shared" si="78"/>
        <v>5</v>
      </c>
      <c r="D742" t="s">
        <v>66</v>
      </c>
      <c r="E742" t="s">
        <v>67</v>
      </c>
      <c r="F742" t="s">
        <v>68</v>
      </c>
      <c r="G742" t="s">
        <v>36</v>
      </c>
      <c r="H742" t="s">
        <v>37</v>
      </c>
      <c r="I742" s="5">
        <v>339</v>
      </c>
      <c r="J742" s="5">
        <v>261</v>
      </c>
      <c r="K742" s="5">
        <v>35</v>
      </c>
      <c r="L742" s="5">
        <v>8</v>
      </c>
      <c r="M742" s="5">
        <v>8</v>
      </c>
      <c r="N742" s="7">
        <v>674.4</v>
      </c>
      <c r="O742" s="7">
        <f t="shared" si="79"/>
        <v>5395.2</v>
      </c>
      <c r="P742" s="4">
        <v>7.0000000000000007E-2</v>
      </c>
      <c r="Q742" s="7">
        <f t="shared" si="80"/>
        <v>377.66400000000004</v>
      </c>
      <c r="R742" s="7">
        <f t="shared" si="81"/>
        <v>5017.5360000000001</v>
      </c>
      <c r="S742" s="7">
        <f t="shared" si="82"/>
        <v>627.19200000000001</v>
      </c>
      <c r="T742" s="6">
        <f t="shared" si="83"/>
        <v>2.359882005899705E-2</v>
      </c>
      <c r="U742" t="s">
        <v>83</v>
      </c>
      <c r="V742" t="s">
        <v>29</v>
      </c>
    </row>
    <row r="743" spans="1:22">
      <c r="A743" s="3">
        <v>45688</v>
      </c>
      <c r="B743" t="str">
        <f t="shared" si="77"/>
        <v>yyyy-01</v>
      </c>
      <c r="C743">
        <f t="shared" si="78"/>
        <v>5</v>
      </c>
      <c r="D743" t="s">
        <v>66</v>
      </c>
      <c r="E743" t="s">
        <v>67</v>
      </c>
      <c r="F743" t="s">
        <v>69</v>
      </c>
      <c r="G743" t="s">
        <v>27</v>
      </c>
      <c r="H743" t="s">
        <v>45</v>
      </c>
      <c r="I743" s="5">
        <v>290</v>
      </c>
      <c r="J743" s="5">
        <v>180</v>
      </c>
      <c r="K743" s="5">
        <v>29</v>
      </c>
      <c r="L743" s="5">
        <v>6</v>
      </c>
      <c r="M743" s="5">
        <v>6</v>
      </c>
      <c r="N743" s="7">
        <v>386.88</v>
      </c>
      <c r="O743" s="7">
        <f t="shared" si="79"/>
        <v>2321.2799999999997</v>
      </c>
      <c r="P743" s="4">
        <v>7.0000000000000007E-2</v>
      </c>
      <c r="Q743" s="7">
        <f t="shared" si="80"/>
        <v>162.4896</v>
      </c>
      <c r="R743" s="7">
        <f t="shared" si="81"/>
        <v>2158.7903999999999</v>
      </c>
      <c r="S743" s="7">
        <f t="shared" si="82"/>
        <v>359.79839999999996</v>
      </c>
      <c r="T743" s="6">
        <f t="shared" si="83"/>
        <v>2.0689655172413793E-2</v>
      </c>
      <c r="U743" t="s">
        <v>83</v>
      </c>
      <c r="V743" t="s">
        <v>29</v>
      </c>
    </row>
    <row r="744" spans="1:22">
      <c r="A744" s="3">
        <v>45688</v>
      </c>
      <c r="B744" t="str">
        <f t="shared" si="77"/>
        <v>yyyy-01</v>
      </c>
      <c r="C744">
        <f t="shared" si="78"/>
        <v>5</v>
      </c>
      <c r="D744" t="s">
        <v>66</v>
      </c>
      <c r="E744" t="s">
        <v>67</v>
      </c>
      <c r="F744" t="s">
        <v>70</v>
      </c>
      <c r="G744" t="s">
        <v>36</v>
      </c>
      <c r="H744" t="s">
        <v>37</v>
      </c>
      <c r="I744" s="5">
        <v>238</v>
      </c>
      <c r="J744" s="5">
        <v>154</v>
      </c>
      <c r="K744" s="5">
        <v>18</v>
      </c>
      <c r="L744" s="5">
        <v>5</v>
      </c>
      <c r="M744" s="5">
        <v>5</v>
      </c>
      <c r="N744" s="7">
        <v>349.6</v>
      </c>
      <c r="O744" s="7">
        <f t="shared" si="79"/>
        <v>1748</v>
      </c>
      <c r="P744" s="4">
        <v>7.0000000000000007E-2</v>
      </c>
      <c r="Q744" s="7">
        <f t="shared" si="80"/>
        <v>122.36000000000001</v>
      </c>
      <c r="R744" s="7">
        <f t="shared" si="81"/>
        <v>1625.6399999999999</v>
      </c>
      <c r="S744" s="7">
        <f t="shared" si="82"/>
        <v>325.12799999999999</v>
      </c>
      <c r="T744" s="6">
        <f t="shared" si="83"/>
        <v>2.100840336134454E-2</v>
      </c>
      <c r="U744" t="s">
        <v>83</v>
      </c>
      <c r="V744" t="s">
        <v>78</v>
      </c>
    </row>
    <row r="745" spans="1:22">
      <c r="A745" s="3">
        <v>45688</v>
      </c>
      <c r="B745" t="str">
        <f t="shared" si="77"/>
        <v>yyyy-01</v>
      </c>
      <c r="C745">
        <f t="shared" si="78"/>
        <v>5</v>
      </c>
      <c r="D745" t="s">
        <v>66</v>
      </c>
      <c r="E745" t="s">
        <v>71</v>
      </c>
      <c r="F745" t="s">
        <v>72</v>
      </c>
      <c r="G745" t="s">
        <v>27</v>
      </c>
      <c r="H745" t="s">
        <v>45</v>
      </c>
      <c r="I745" s="5">
        <v>218</v>
      </c>
      <c r="J745" s="5">
        <v>122</v>
      </c>
      <c r="K745" s="5">
        <v>16</v>
      </c>
      <c r="L745" s="5">
        <v>4</v>
      </c>
      <c r="M745" s="5">
        <v>4</v>
      </c>
      <c r="N745" s="7">
        <v>125.06</v>
      </c>
      <c r="O745" s="7">
        <f t="shared" si="79"/>
        <v>500.24</v>
      </c>
      <c r="P745" s="4">
        <v>0.05</v>
      </c>
      <c r="Q745" s="7">
        <f t="shared" si="80"/>
        <v>25.012</v>
      </c>
      <c r="R745" s="7">
        <f t="shared" si="81"/>
        <v>475.22800000000001</v>
      </c>
      <c r="S745" s="7">
        <f t="shared" si="82"/>
        <v>118.807</v>
      </c>
      <c r="T745" s="6">
        <f t="shared" si="83"/>
        <v>1.834862385321101E-2</v>
      </c>
      <c r="V745" t="s">
        <v>29</v>
      </c>
    </row>
    <row r="746" spans="1:22">
      <c r="A746" s="3">
        <v>45688</v>
      </c>
      <c r="B746" t="str">
        <f t="shared" si="77"/>
        <v>yyyy-01</v>
      </c>
      <c r="C746">
        <f t="shared" si="78"/>
        <v>5</v>
      </c>
      <c r="D746" t="s">
        <v>66</v>
      </c>
      <c r="E746" t="s">
        <v>73</v>
      </c>
      <c r="F746" t="s">
        <v>74</v>
      </c>
      <c r="G746" t="s">
        <v>27</v>
      </c>
      <c r="H746" t="s">
        <v>28</v>
      </c>
      <c r="I746" s="5">
        <v>154</v>
      </c>
      <c r="J746" s="5">
        <v>120</v>
      </c>
      <c r="K746" s="5">
        <v>13</v>
      </c>
      <c r="L746" s="5">
        <v>3</v>
      </c>
      <c r="M746" s="5">
        <v>3</v>
      </c>
      <c r="N746" s="7">
        <v>1185.45</v>
      </c>
      <c r="O746" s="7">
        <f t="shared" si="79"/>
        <v>3556.3500000000004</v>
      </c>
      <c r="P746" s="4">
        <v>0.05</v>
      </c>
      <c r="Q746" s="7">
        <f t="shared" si="80"/>
        <v>177.81750000000002</v>
      </c>
      <c r="R746" s="7">
        <f t="shared" si="81"/>
        <v>3378.5325000000003</v>
      </c>
      <c r="S746" s="7">
        <f t="shared" si="82"/>
        <v>1126.1775</v>
      </c>
      <c r="T746" s="6">
        <f t="shared" si="83"/>
        <v>1.948051948051948E-2</v>
      </c>
      <c r="V746" t="s">
        <v>29</v>
      </c>
    </row>
    <row r="747" spans="1:22">
      <c r="A747" s="3">
        <v>45688</v>
      </c>
      <c r="B747" t="str">
        <f t="shared" si="77"/>
        <v>yyyy-01</v>
      </c>
      <c r="C747">
        <f t="shared" si="78"/>
        <v>5</v>
      </c>
      <c r="D747" t="s">
        <v>66</v>
      </c>
      <c r="E747" t="s">
        <v>71</v>
      </c>
      <c r="F747" t="s">
        <v>75</v>
      </c>
      <c r="G747" t="s">
        <v>27</v>
      </c>
      <c r="H747" t="s">
        <v>45</v>
      </c>
      <c r="I747" s="5">
        <v>237</v>
      </c>
      <c r="J747" s="5">
        <v>143</v>
      </c>
      <c r="K747" s="5">
        <v>10</v>
      </c>
      <c r="L747" s="5">
        <v>3</v>
      </c>
      <c r="M747" s="5">
        <v>3</v>
      </c>
      <c r="N747" s="7">
        <v>39.39</v>
      </c>
      <c r="O747" s="7">
        <f t="shared" si="79"/>
        <v>118.17</v>
      </c>
      <c r="P747" s="4">
        <v>0</v>
      </c>
      <c r="Q747" s="7">
        <f t="shared" si="80"/>
        <v>0</v>
      </c>
      <c r="R747" s="7">
        <f t="shared" si="81"/>
        <v>118.17</v>
      </c>
      <c r="S747" s="7">
        <f t="shared" si="82"/>
        <v>39.39</v>
      </c>
      <c r="T747" s="6">
        <f t="shared" si="83"/>
        <v>1.2658227848101266E-2</v>
      </c>
      <c r="V747" t="s">
        <v>29</v>
      </c>
    </row>
    <row r="748" spans="1:22">
      <c r="A748" s="3">
        <v>45688</v>
      </c>
      <c r="B748" t="str">
        <f t="shared" si="77"/>
        <v>yyyy-01</v>
      </c>
      <c r="C748">
        <f t="shared" si="78"/>
        <v>5</v>
      </c>
      <c r="D748" t="s">
        <v>24</v>
      </c>
      <c r="E748" t="s">
        <v>76</v>
      </c>
      <c r="F748" t="s">
        <v>77</v>
      </c>
      <c r="G748" t="s">
        <v>27</v>
      </c>
      <c r="H748" t="s">
        <v>28</v>
      </c>
      <c r="I748" s="5">
        <v>467</v>
      </c>
      <c r="J748" s="5">
        <v>376</v>
      </c>
      <c r="K748" s="5">
        <v>42</v>
      </c>
      <c r="L748" s="5">
        <v>10</v>
      </c>
      <c r="M748" s="5">
        <v>13</v>
      </c>
      <c r="N748" s="7">
        <v>193.41</v>
      </c>
      <c r="O748" s="7">
        <f t="shared" si="79"/>
        <v>2514.33</v>
      </c>
      <c r="P748" s="4">
        <v>0</v>
      </c>
      <c r="Q748" s="7">
        <f t="shared" si="80"/>
        <v>0</v>
      </c>
      <c r="R748" s="7">
        <f t="shared" si="81"/>
        <v>2514.33</v>
      </c>
      <c r="S748" s="7">
        <f t="shared" si="82"/>
        <v>251.43299999999999</v>
      </c>
      <c r="T748" s="6">
        <f t="shared" si="83"/>
        <v>2.1413276231263382E-2</v>
      </c>
      <c r="V748" t="s">
        <v>29</v>
      </c>
    </row>
    <row r="749" spans="1:22">
      <c r="A749" s="3">
        <v>45689</v>
      </c>
      <c r="B749" t="str">
        <f t="shared" si="77"/>
        <v>yyyy-02</v>
      </c>
      <c r="C749">
        <f t="shared" si="78"/>
        <v>5</v>
      </c>
      <c r="D749" t="s">
        <v>24</v>
      </c>
      <c r="E749" t="s">
        <v>25</v>
      </c>
      <c r="F749" t="s">
        <v>26</v>
      </c>
      <c r="G749" t="s">
        <v>27</v>
      </c>
      <c r="H749" t="s">
        <v>45</v>
      </c>
      <c r="I749" s="5">
        <v>1224</v>
      </c>
      <c r="J749" s="5">
        <v>693</v>
      </c>
      <c r="K749" s="5">
        <v>59</v>
      </c>
      <c r="L749" s="5">
        <v>23</v>
      </c>
      <c r="M749" s="5">
        <v>23</v>
      </c>
      <c r="N749" s="7">
        <v>959.89</v>
      </c>
      <c r="O749" s="7">
        <f t="shared" si="79"/>
        <v>22077.47</v>
      </c>
      <c r="P749" s="4">
        <v>0</v>
      </c>
      <c r="Q749" s="7">
        <f t="shared" si="80"/>
        <v>0</v>
      </c>
      <c r="R749" s="7">
        <f t="shared" si="81"/>
        <v>22077.47</v>
      </c>
      <c r="S749" s="7">
        <f t="shared" si="82"/>
        <v>959.8900000000001</v>
      </c>
      <c r="T749" s="6">
        <f t="shared" si="83"/>
        <v>1.8790849673202614E-2</v>
      </c>
      <c r="V749" t="s">
        <v>78</v>
      </c>
    </row>
    <row r="750" spans="1:22">
      <c r="A750" s="3">
        <v>45689</v>
      </c>
      <c r="B750" t="str">
        <f t="shared" si="77"/>
        <v>yyyy-02</v>
      </c>
      <c r="C750">
        <f t="shared" si="78"/>
        <v>5</v>
      </c>
      <c r="D750" t="s">
        <v>24</v>
      </c>
      <c r="E750" t="s">
        <v>25</v>
      </c>
      <c r="F750" t="s">
        <v>30</v>
      </c>
      <c r="G750" t="s">
        <v>27</v>
      </c>
      <c r="H750" t="s">
        <v>28</v>
      </c>
      <c r="I750" s="5">
        <v>1373</v>
      </c>
      <c r="J750" s="5">
        <v>924</v>
      </c>
      <c r="K750" s="5">
        <v>107</v>
      </c>
      <c r="L750" s="5">
        <v>24</v>
      </c>
      <c r="M750" s="5">
        <v>24</v>
      </c>
      <c r="N750" s="7">
        <v>402.51</v>
      </c>
      <c r="O750" s="7">
        <f t="shared" si="79"/>
        <v>9660.24</v>
      </c>
      <c r="P750" s="4">
        <v>0</v>
      </c>
      <c r="Q750" s="7">
        <f t="shared" si="80"/>
        <v>0</v>
      </c>
      <c r="R750" s="7">
        <f t="shared" si="81"/>
        <v>9660.24</v>
      </c>
      <c r="S750" s="7">
        <f t="shared" si="82"/>
        <v>402.51</v>
      </c>
      <c r="T750" s="6">
        <f t="shared" si="83"/>
        <v>1.7479970866715221E-2</v>
      </c>
      <c r="V750" t="s">
        <v>29</v>
      </c>
    </row>
    <row r="751" spans="1:22">
      <c r="A751" s="3">
        <v>45689</v>
      </c>
      <c r="B751" t="str">
        <f t="shared" si="77"/>
        <v>yyyy-02</v>
      </c>
      <c r="C751">
        <f t="shared" si="78"/>
        <v>5</v>
      </c>
      <c r="D751" t="s">
        <v>24</v>
      </c>
      <c r="E751" t="s">
        <v>25</v>
      </c>
      <c r="F751" t="s">
        <v>33</v>
      </c>
      <c r="G751" t="s">
        <v>36</v>
      </c>
      <c r="H751" t="s">
        <v>37</v>
      </c>
      <c r="I751" s="5">
        <v>2095</v>
      </c>
      <c r="J751" s="5">
        <v>1479</v>
      </c>
      <c r="K751" s="5">
        <v>154</v>
      </c>
      <c r="L751" s="5">
        <v>54</v>
      </c>
      <c r="M751" s="5">
        <v>54</v>
      </c>
      <c r="N751" s="7">
        <v>1772.19</v>
      </c>
      <c r="O751" s="7">
        <f t="shared" si="79"/>
        <v>95698.260000000009</v>
      </c>
      <c r="P751" s="4">
        <v>0.05</v>
      </c>
      <c r="Q751" s="7">
        <f t="shared" si="80"/>
        <v>4784.9130000000005</v>
      </c>
      <c r="R751" s="7">
        <f t="shared" si="81"/>
        <v>90913.347000000009</v>
      </c>
      <c r="S751" s="7">
        <f t="shared" si="82"/>
        <v>1683.5805000000003</v>
      </c>
      <c r="T751" s="6">
        <f t="shared" si="83"/>
        <v>2.5775656324582338E-2</v>
      </c>
      <c r="V751" t="s">
        <v>29</v>
      </c>
    </row>
    <row r="752" spans="1:22">
      <c r="A752" s="3">
        <v>45689</v>
      </c>
      <c r="B752" t="str">
        <f t="shared" si="77"/>
        <v>yyyy-02</v>
      </c>
      <c r="C752">
        <f t="shared" si="78"/>
        <v>5</v>
      </c>
      <c r="D752" t="s">
        <v>24</v>
      </c>
      <c r="E752" t="s">
        <v>34</v>
      </c>
      <c r="F752" t="s">
        <v>35</v>
      </c>
      <c r="G752" t="s">
        <v>36</v>
      </c>
      <c r="H752" t="s">
        <v>37</v>
      </c>
      <c r="I752" s="5">
        <v>1342</v>
      </c>
      <c r="J752" s="5">
        <v>1103</v>
      </c>
      <c r="K752" s="5">
        <v>66</v>
      </c>
      <c r="L752" s="5">
        <v>18</v>
      </c>
      <c r="M752" s="5">
        <v>18</v>
      </c>
      <c r="N752" s="7">
        <v>894.48</v>
      </c>
      <c r="O752" s="7">
        <f t="shared" si="79"/>
        <v>16100.64</v>
      </c>
      <c r="P752" s="4">
        <v>0</v>
      </c>
      <c r="Q752" s="7">
        <f t="shared" si="80"/>
        <v>0</v>
      </c>
      <c r="R752" s="7">
        <f t="shared" si="81"/>
        <v>16100.64</v>
      </c>
      <c r="S752" s="7">
        <f t="shared" si="82"/>
        <v>894.48</v>
      </c>
      <c r="T752" s="6">
        <f t="shared" si="83"/>
        <v>1.3412816691505217E-2</v>
      </c>
      <c r="V752" t="s">
        <v>78</v>
      </c>
    </row>
    <row r="753" spans="1:22">
      <c r="A753" s="3">
        <v>45689</v>
      </c>
      <c r="B753" t="str">
        <f t="shared" si="77"/>
        <v>yyyy-02</v>
      </c>
      <c r="C753">
        <f t="shared" si="78"/>
        <v>5</v>
      </c>
      <c r="D753" t="s">
        <v>24</v>
      </c>
      <c r="E753" t="s">
        <v>38</v>
      </c>
      <c r="F753" t="s">
        <v>39</v>
      </c>
      <c r="G753" t="s">
        <v>27</v>
      </c>
      <c r="H753" t="s">
        <v>28</v>
      </c>
      <c r="I753" s="5">
        <v>547</v>
      </c>
      <c r="J753" s="5">
        <v>400</v>
      </c>
      <c r="K753" s="5">
        <v>12</v>
      </c>
      <c r="L753" s="5">
        <v>0</v>
      </c>
      <c r="M753" s="5">
        <v>0</v>
      </c>
      <c r="N753" s="7">
        <v>320.89999999999998</v>
      </c>
      <c r="O753" s="7">
        <f t="shared" si="79"/>
        <v>0</v>
      </c>
      <c r="P753" s="4">
        <v>0</v>
      </c>
      <c r="Q753" s="7">
        <f t="shared" si="80"/>
        <v>0</v>
      </c>
      <c r="R753" s="7">
        <f t="shared" si="81"/>
        <v>0</v>
      </c>
      <c r="S753" s="7">
        <f t="shared" si="82"/>
        <v>0</v>
      </c>
      <c r="T753" s="6">
        <f t="shared" si="83"/>
        <v>0</v>
      </c>
      <c r="V753" t="s">
        <v>81</v>
      </c>
    </row>
    <row r="754" spans="1:22">
      <c r="A754" s="3">
        <v>45689</v>
      </c>
      <c r="B754" t="str">
        <f t="shared" si="77"/>
        <v>yyyy-02</v>
      </c>
      <c r="C754">
        <f t="shared" si="78"/>
        <v>5</v>
      </c>
      <c r="D754" t="s">
        <v>24</v>
      </c>
      <c r="E754" t="s">
        <v>40</v>
      </c>
      <c r="F754" t="s">
        <v>41</v>
      </c>
      <c r="G754" t="s">
        <v>31</v>
      </c>
      <c r="H754" t="s">
        <v>32</v>
      </c>
      <c r="I754" s="5">
        <v>971</v>
      </c>
      <c r="J754" s="5">
        <v>785</v>
      </c>
      <c r="K754" s="5">
        <v>69</v>
      </c>
      <c r="L754" s="5">
        <v>15</v>
      </c>
      <c r="M754" s="5">
        <v>19</v>
      </c>
      <c r="N754" s="7">
        <v>180.46</v>
      </c>
      <c r="O754" s="7">
        <f t="shared" si="79"/>
        <v>3428.7400000000002</v>
      </c>
      <c r="P754" s="4">
        <v>0</v>
      </c>
      <c r="Q754" s="7">
        <f t="shared" si="80"/>
        <v>0</v>
      </c>
      <c r="R754" s="7">
        <f t="shared" si="81"/>
        <v>3428.7400000000002</v>
      </c>
      <c r="S754" s="7">
        <f t="shared" si="82"/>
        <v>228.58266666666668</v>
      </c>
      <c r="T754" s="6">
        <f t="shared" si="83"/>
        <v>1.5447991761071062E-2</v>
      </c>
      <c r="V754" t="s">
        <v>78</v>
      </c>
    </row>
    <row r="755" spans="1:22">
      <c r="A755" s="3">
        <v>45689</v>
      </c>
      <c r="B755" t="str">
        <f t="shared" si="77"/>
        <v>yyyy-02</v>
      </c>
      <c r="C755">
        <f t="shared" si="78"/>
        <v>5</v>
      </c>
      <c r="D755" t="s">
        <v>42</v>
      </c>
      <c r="E755" t="s">
        <v>43</v>
      </c>
      <c r="F755" t="s">
        <v>44</v>
      </c>
      <c r="G755" t="s">
        <v>27</v>
      </c>
      <c r="H755" t="s">
        <v>45</v>
      </c>
      <c r="I755" s="5">
        <v>275</v>
      </c>
      <c r="J755" s="5">
        <v>200</v>
      </c>
      <c r="K755" s="5">
        <v>6</v>
      </c>
      <c r="L755" s="5">
        <v>0</v>
      </c>
      <c r="M755" s="5">
        <v>0</v>
      </c>
      <c r="N755" s="7">
        <v>1261.02</v>
      </c>
      <c r="O755" s="7">
        <f t="shared" si="79"/>
        <v>0</v>
      </c>
      <c r="P755" s="4">
        <v>0</v>
      </c>
      <c r="Q755" s="7">
        <f t="shared" si="80"/>
        <v>0</v>
      </c>
      <c r="R755" s="7">
        <f t="shared" si="81"/>
        <v>0</v>
      </c>
      <c r="S755" s="7">
        <f t="shared" si="82"/>
        <v>0</v>
      </c>
      <c r="T755" s="6">
        <f t="shared" si="83"/>
        <v>0</v>
      </c>
      <c r="V755" t="s">
        <v>81</v>
      </c>
    </row>
    <row r="756" spans="1:22">
      <c r="A756" s="3">
        <v>45689</v>
      </c>
      <c r="B756" t="str">
        <f t="shared" si="77"/>
        <v>yyyy-02</v>
      </c>
      <c r="C756">
        <f t="shared" si="78"/>
        <v>5</v>
      </c>
      <c r="D756" t="s">
        <v>42</v>
      </c>
      <c r="E756" t="s">
        <v>43</v>
      </c>
      <c r="F756" t="s">
        <v>46</v>
      </c>
      <c r="G756" t="s">
        <v>31</v>
      </c>
      <c r="H756" t="s">
        <v>32</v>
      </c>
      <c r="I756" s="5">
        <v>611</v>
      </c>
      <c r="J756" s="5">
        <v>484</v>
      </c>
      <c r="K756" s="5">
        <v>40</v>
      </c>
      <c r="L756" s="5">
        <v>7</v>
      </c>
      <c r="M756" s="5">
        <v>7</v>
      </c>
      <c r="N756" s="7">
        <v>2129.75</v>
      </c>
      <c r="O756" s="7">
        <f t="shared" si="79"/>
        <v>14908.25</v>
      </c>
      <c r="P756" s="4">
        <v>0</v>
      </c>
      <c r="Q756" s="7">
        <f t="shared" si="80"/>
        <v>0</v>
      </c>
      <c r="R756" s="7">
        <f t="shared" si="81"/>
        <v>14908.25</v>
      </c>
      <c r="S756" s="7">
        <f t="shared" si="82"/>
        <v>2129.75</v>
      </c>
      <c r="T756" s="6">
        <f t="shared" si="83"/>
        <v>1.1456628477905073E-2</v>
      </c>
      <c r="V756" t="s">
        <v>29</v>
      </c>
    </row>
    <row r="757" spans="1:22">
      <c r="A757" s="3">
        <v>45689</v>
      </c>
      <c r="B757" t="str">
        <f t="shared" si="77"/>
        <v>yyyy-02</v>
      </c>
      <c r="C757">
        <f t="shared" si="78"/>
        <v>5</v>
      </c>
      <c r="D757" t="s">
        <v>42</v>
      </c>
      <c r="E757" t="s">
        <v>43</v>
      </c>
      <c r="F757" t="s">
        <v>47</v>
      </c>
      <c r="G757" t="s">
        <v>31</v>
      </c>
      <c r="H757" t="s">
        <v>32</v>
      </c>
      <c r="I757" s="5">
        <v>366</v>
      </c>
      <c r="J757" s="5">
        <v>222</v>
      </c>
      <c r="K757" s="5">
        <v>25</v>
      </c>
      <c r="L757" s="5">
        <v>5</v>
      </c>
      <c r="M757" s="5">
        <v>5</v>
      </c>
      <c r="N757" s="7">
        <v>584.5</v>
      </c>
      <c r="O757" s="7">
        <f t="shared" si="79"/>
        <v>2922.5</v>
      </c>
      <c r="P757" s="4">
        <v>0</v>
      </c>
      <c r="Q757" s="7">
        <f t="shared" si="80"/>
        <v>0</v>
      </c>
      <c r="R757" s="7">
        <f t="shared" si="81"/>
        <v>2922.5</v>
      </c>
      <c r="S757" s="7">
        <f t="shared" si="82"/>
        <v>584.5</v>
      </c>
      <c r="T757" s="6">
        <f t="shared" si="83"/>
        <v>1.3661202185792349E-2</v>
      </c>
      <c r="V757" t="s">
        <v>29</v>
      </c>
    </row>
    <row r="758" spans="1:22">
      <c r="A758" s="3">
        <v>45689</v>
      </c>
      <c r="B758" t="str">
        <f t="shared" si="77"/>
        <v>yyyy-02</v>
      </c>
      <c r="C758">
        <f t="shared" si="78"/>
        <v>5</v>
      </c>
      <c r="D758" t="s">
        <v>42</v>
      </c>
      <c r="E758" t="s">
        <v>49</v>
      </c>
      <c r="F758" t="s">
        <v>50</v>
      </c>
      <c r="G758" t="s">
        <v>27</v>
      </c>
      <c r="H758" t="s">
        <v>48</v>
      </c>
      <c r="I758" s="5">
        <v>128</v>
      </c>
      <c r="J758" s="5">
        <v>83</v>
      </c>
      <c r="K758" s="5">
        <v>8</v>
      </c>
      <c r="L758" s="5">
        <v>2</v>
      </c>
      <c r="M758" s="5">
        <v>2</v>
      </c>
      <c r="N758" s="7">
        <v>1015.99</v>
      </c>
      <c r="O758" s="7">
        <f t="shared" si="79"/>
        <v>2031.98</v>
      </c>
      <c r="P758" s="4">
        <v>0</v>
      </c>
      <c r="Q758" s="7">
        <f t="shared" si="80"/>
        <v>0</v>
      </c>
      <c r="R758" s="7">
        <f t="shared" si="81"/>
        <v>2031.98</v>
      </c>
      <c r="S758" s="7">
        <f t="shared" si="82"/>
        <v>1015.99</v>
      </c>
      <c r="T758" s="6">
        <f t="shared" si="83"/>
        <v>1.5625E-2</v>
      </c>
      <c r="V758" t="s">
        <v>29</v>
      </c>
    </row>
    <row r="759" spans="1:22">
      <c r="A759" s="3">
        <v>45689</v>
      </c>
      <c r="B759" t="str">
        <f t="shared" si="77"/>
        <v>yyyy-02</v>
      </c>
      <c r="C759">
        <f t="shared" si="78"/>
        <v>5</v>
      </c>
      <c r="D759" t="s">
        <v>42</v>
      </c>
      <c r="E759" t="s">
        <v>51</v>
      </c>
      <c r="F759" t="s">
        <v>52</v>
      </c>
      <c r="G759" t="s">
        <v>27</v>
      </c>
      <c r="H759" t="s">
        <v>28</v>
      </c>
      <c r="I759" s="5">
        <v>256</v>
      </c>
      <c r="J759" s="5">
        <v>137</v>
      </c>
      <c r="K759" s="5">
        <v>10</v>
      </c>
      <c r="L759" s="5">
        <v>3</v>
      </c>
      <c r="M759" s="5">
        <v>3</v>
      </c>
      <c r="N759" s="7">
        <v>591.83000000000004</v>
      </c>
      <c r="O759" s="7">
        <f t="shared" si="79"/>
        <v>1775.4900000000002</v>
      </c>
      <c r="P759" s="4">
        <v>0.05</v>
      </c>
      <c r="Q759" s="7">
        <f t="shared" si="80"/>
        <v>88.774500000000018</v>
      </c>
      <c r="R759" s="7">
        <f t="shared" si="81"/>
        <v>1686.7155000000002</v>
      </c>
      <c r="S759" s="7">
        <f t="shared" si="82"/>
        <v>562.23850000000004</v>
      </c>
      <c r="T759" s="6">
        <f t="shared" si="83"/>
        <v>1.171875E-2</v>
      </c>
      <c r="V759" t="s">
        <v>29</v>
      </c>
    </row>
    <row r="760" spans="1:22">
      <c r="A760" s="3">
        <v>45689</v>
      </c>
      <c r="B760" t="str">
        <f t="shared" si="77"/>
        <v>yyyy-02</v>
      </c>
      <c r="C760">
        <f t="shared" si="78"/>
        <v>5</v>
      </c>
      <c r="D760" t="s">
        <v>53</v>
      </c>
      <c r="E760" t="s">
        <v>54</v>
      </c>
      <c r="F760" t="s">
        <v>55</v>
      </c>
      <c r="G760" t="s">
        <v>31</v>
      </c>
      <c r="H760" t="s">
        <v>32</v>
      </c>
      <c r="I760" s="5">
        <v>232</v>
      </c>
      <c r="J760" s="5">
        <v>146</v>
      </c>
      <c r="K760" s="5">
        <v>12</v>
      </c>
      <c r="L760" s="5">
        <v>2</v>
      </c>
      <c r="M760" s="5">
        <v>2</v>
      </c>
      <c r="N760" s="7">
        <v>1312.96</v>
      </c>
      <c r="O760" s="7">
        <f t="shared" si="79"/>
        <v>2625.92</v>
      </c>
      <c r="P760" s="4">
        <v>0</v>
      </c>
      <c r="Q760" s="7">
        <f t="shared" si="80"/>
        <v>0</v>
      </c>
      <c r="R760" s="7">
        <f t="shared" si="81"/>
        <v>2625.92</v>
      </c>
      <c r="S760" s="7">
        <f t="shared" si="82"/>
        <v>1312.96</v>
      </c>
      <c r="T760" s="6">
        <f t="shared" si="83"/>
        <v>8.6206896551724137E-3</v>
      </c>
      <c r="V760" t="s">
        <v>78</v>
      </c>
    </row>
    <row r="761" spans="1:22">
      <c r="A761" s="3">
        <v>45689</v>
      </c>
      <c r="B761" t="str">
        <f t="shared" si="77"/>
        <v>yyyy-02</v>
      </c>
      <c r="C761">
        <f t="shared" si="78"/>
        <v>5</v>
      </c>
      <c r="D761" t="s">
        <v>53</v>
      </c>
      <c r="E761" t="s">
        <v>56</v>
      </c>
      <c r="F761" t="s">
        <v>57</v>
      </c>
      <c r="G761" t="s">
        <v>27</v>
      </c>
      <c r="H761" t="s">
        <v>48</v>
      </c>
      <c r="I761" s="5">
        <v>212</v>
      </c>
      <c r="J761" s="5">
        <v>122</v>
      </c>
      <c r="K761" s="5">
        <v>8</v>
      </c>
      <c r="L761" s="5">
        <v>2</v>
      </c>
      <c r="M761" s="5">
        <v>2</v>
      </c>
      <c r="N761" s="7">
        <v>759.08</v>
      </c>
      <c r="O761" s="7">
        <f t="shared" si="79"/>
        <v>1518.16</v>
      </c>
      <c r="P761" s="4">
        <v>0.08</v>
      </c>
      <c r="Q761" s="7">
        <f t="shared" si="80"/>
        <v>121.45280000000001</v>
      </c>
      <c r="R761" s="7">
        <f t="shared" si="81"/>
        <v>1396.7072000000001</v>
      </c>
      <c r="S761" s="7">
        <f t="shared" si="82"/>
        <v>698.35360000000003</v>
      </c>
      <c r="T761" s="6">
        <f t="shared" si="83"/>
        <v>9.433962264150943E-3</v>
      </c>
      <c r="U761" t="s">
        <v>82</v>
      </c>
      <c r="V761" t="s">
        <v>29</v>
      </c>
    </row>
    <row r="762" spans="1:22">
      <c r="A762" s="3">
        <v>45689</v>
      </c>
      <c r="B762" t="str">
        <f t="shared" si="77"/>
        <v>yyyy-02</v>
      </c>
      <c r="C762">
        <f t="shared" si="78"/>
        <v>5</v>
      </c>
      <c r="D762" t="s">
        <v>53</v>
      </c>
      <c r="E762" t="s">
        <v>56</v>
      </c>
      <c r="F762" t="s">
        <v>58</v>
      </c>
      <c r="G762" t="s">
        <v>27</v>
      </c>
      <c r="H762" t="s">
        <v>28</v>
      </c>
      <c r="I762" s="5">
        <v>254</v>
      </c>
      <c r="J762" s="5">
        <v>208</v>
      </c>
      <c r="K762" s="5">
        <v>15</v>
      </c>
      <c r="L762" s="5">
        <v>4</v>
      </c>
      <c r="M762" s="5">
        <v>4</v>
      </c>
      <c r="N762" s="7">
        <v>867.18</v>
      </c>
      <c r="O762" s="7">
        <f t="shared" si="79"/>
        <v>3468.72</v>
      </c>
      <c r="P762" s="4">
        <v>0.08</v>
      </c>
      <c r="Q762" s="7">
        <f t="shared" si="80"/>
        <v>277.49759999999998</v>
      </c>
      <c r="R762" s="7">
        <f t="shared" si="81"/>
        <v>3191.2223999999997</v>
      </c>
      <c r="S762" s="7">
        <f t="shared" si="82"/>
        <v>797.80559999999991</v>
      </c>
      <c r="T762" s="6">
        <f t="shared" si="83"/>
        <v>1.5748031496062992E-2</v>
      </c>
      <c r="U762" t="s">
        <v>82</v>
      </c>
      <c r="V762" t="s">
        <v>29</v>
      </c>
    </row>
    <row r="763" spans="1:22">
      <c r="A763" s="3">
        <v>45689</v>
      </c>
      <c r="B763" t="str">
        <f t="shared" si="77"/>
        <v>yyyy-02</v>
      </c>
      <c r="C763">
        <f t="shared" si="78"/>
        <v>5</v>
      </c>
      <c r="D763" t="s">
        <v>53</v>
      </c>
      <c r="E763" t="s">
        <v>59</v>
      </c>
      <c r="F763" t="s">
        <v>60</v>
      </c>
      <c r="G763" t="s">
        <v>27</v>
      </c>
      <c r="H763" t="s">
        <v>45</v>
      </c>
      <c r="I763" s="5">
        <v>136</v>
      </c>
      <c r="J763" s="5">
        <v>112</v>
      </c>
      <c r="K763" s="5">
        <v>13</v>
      </c>
      <c r="L763" s="5">
        <v>1</v>
      </c>
      <c r="M763" s="5">
        <v>1</v>
      </c>
      <c r="N763" s="7">
        <v>675.49</v>
      </c>
      <c r="O763" s="7">
        <f t="shared" si="79"/>
        <v>675.49</v>
      </c>
      <c r="P763" s="4">
        <v>0.05</v>
      </c>
      <c r="Q763" s="7">
        <f t="shared" si="80"/>
        <v>33.774500000000003</v>
      </c>
      <c r="R763" s="7">
        <f t="shared" si="81"/>
        <v>641.71550000000002</v>
      </c>
      <c r="S763" s="7">
        <f t="shared" si="82"/>
        <v>641.71550000000002</v>
      </c>
      <c r="T763" s="6">
        <f t="shared" si="83"/>
        <v>7.3529411764705881E-3</v>
      </c>
      <c r="V763" t="s">
        <v>29</v>
      </c>
    </row>
    <row r="764" spans="1:22">
      <c r="A764" s="3">
        <v>45689</v>
      </c>
      <c r="B764" t="str">
        <f t="shared" si="77"/>
        <v>yyyy-02</v>
      </c>
      <c r="C764">
        <f t="shared" si="78"/>
        <v>5</v>
      </c>
      <c r="D764" t="s">
        <v>53</v>
      </c>
      <c r="E764" t="s">
        <v>61</v>
      </c>
      <c r="F764" t="s">
        <v>62</v>
      </c>
      <c r="G764" t="s">
        <v>36</v>
      </c>
      <c r="H764" t="s">
        <v>37</v>
      </c>
      <c r="I764" s="5">
        <v>211</v>
      </c>
      <c r="J764" s="5">
        <v>164</v>
      </c>
      <c r="K764" s="5">
        <v>19</v>
      </c>
      <c r="L764" s="5">
        <v>3</v>
      </c>
      <c r="M764" s="5">
        <v>3</v>
      </c>
      <c r="N764" s="7">
        <v>496.83</v>
      </c>
      <c r="O764" s="7">
        <f t="shared" si="79"/>
        <v>1490.49</v>
      </c>
      <c r="P764" s="4">
        <v>0</v>
      </c>
      <c r="Q764" s="7">
        <f t="shared" si="80"/>
        <v>0</v>
      </c>
      <c r="R764" s="7">
        <f t="shared" si="81"/>
        <v>1490.49</v>
      </c>
      <c r="S764" s="7">
        <f t="shared" si="82"/>
        <v>496.83</v>
      </c>
      <c r="T764" s="6">
        <f t="shared" si="83"/>
        <v>1.4218009478672985E-2</v>
      </c>
      <c r="V764" t="s">
        <v>29</v>
      </c>
    </row>
    <row r="765" spans="1:22">
      <c r="A765" s="3">
        <v>45689</v>
      </c>
      <c r="B765" t="str">
        <f t="shared" si="77"/>
        <v>yyyy-02</v>
      </c>
      <c r="C765">
        <f t="shared" si="78"/>
        <v>5</v>
      </c>
      <c r="D765" t="s">
        <v>53</v>
      </c>
      <c r="E765" t="s">
        <v>64</v>
      </c>
      <c r="F765" t="s">
        <v>65</v>
      </c>
      <c r="G765" t="s">
        <v>31</v>
      </c>
      <c r="H765" t="s">
        <v>32</v>
      </c>
      <c r="I765" s="5">
        <v>292</v>
      </c>
      <c r="J765" s="5">
        <v>218</v>
      </c>
      <c r="K765" s="5">
        <v>19</v>
      </c>
      <c r="L765" s="5">
        <v>4</v>
      </c>
      <c r="M765" s="5">
        <v>4</v>
      </c>
      <c r="N765" s="7">
        <v>777.17</v>
      </c>
      <c r="O765" s="7">
        <f t="shared" si="79"/>
        <v>3108.68</v>
      </c>
      <c r="P765" s="4">
        <v>0</v>
      </c>
      <c r="Q765" s="7">
        <f t="shared" si="80"/>
        <v>0</v>
      </c>
      <c r="R765" s="7">
        <f t="shared" si="81"/>
        <v>3108.68</v>
      </c>
      <c r="S765" s="7">
        <f t="shared" si="82"/>
        <v>777.17</v>
      </c>
      <c r="T765" s="6">
        <f t="shared" si="83"/>
        <v>1.3698630136986301E-2</v>
      </c>
      <c r="V765" t="s">
        <v>29</v>
      </c>
    </row>
    <row r="766" spans="1:22">
      <c r="A766" s="3">
        <v>45689</v>
      </c>
      <c r="B766" t="str">
        <f t="shared" si="77"/>
        <v>yyyy-02</v>
      </c>
      <c r="C766">
        <f t="shared" si="78"/>
        <v>5</v>
      </c>
      <c r="D766" t="s">
        <v>66</v>
      </c>
      <c r="E766" t="s">
        <v>67</v>
      </c>
      <c r="F766" t="s">
        <v>68</v>
      </c>
      <c r="G766" t="s">
        <v>31</v>
      </c>
      <c r="H766" t="s">
        <v>32</v>
      </c>
      <c r="I766" s="5">
        <v>436</v>
      </c>
      <c r="J766" s="5">
        <v>270</v>
      </c>
      <c r="K766" s="5">
        <v>31</v>
      </c>
      <c r="L766" s="5">
        <v>7</v>
      </c>
      <c r="M766" s="5">
        <v>7</v>
      </c>
      <c r="N766" s="7">
        <v>687.04</v>
      </c>
      <c r="O766" s="7">
        <f t="shared" si="79"/>
        <v>4809.28</v>
      </c>
      <c r="P766" s="4">
        <v>7.0000000000000007E-2</v>
      </c>
      <c r="Q766" s="7">
        <f t="shared" si="80"/>
        <v>336.64960000000002</v>
      </c>
      <c r="R766" s="7">
        <f t="shared" si="81"/>
        <v>4472.6304</v>
      </c>
      <c r="S766" s="7">
        <f t="shared" si="82"/>
        <v>638.94719999999995</v>
      </c>
      <c r="T766" s="6">
        <f t="shared" si="83"/>
        <v>1.6055045871559634E-2</v>
      </c>
      <c r="U766" t="s">
        <v>83</v>
      </c>
      <c r="V766" t="s">
        <v>29</v>
      </c>
    </row>
    <row r="767" spans="1:22">
      <c r="A767" s="3">
        <v>45689</v>
      </c>
      <c r="B767" t="str">
        <f t="shared" si="77"/>
        <v>yyyy-02</v>
      </c>
      <c r="C767">
        <f t="shared" si="78"/>
        <v>5</v>
      </c>
      <c r="D767" t="s">
        <v>66</v>
      </c>
      <c r="E767" t="s">
        <v>67</v>
      </c>
      <c r="F767" t="s">
        <v>69</v>
      </c>
      <c r="G767" t="s">
        <v>36</v>
      </c>
      <c r="H767" t="s">
        <v>37</v>
      </c>
      <c r="I767" s="5">
        <v>541</v>
      </c>
      <c r="J767" s="5">
        <v>296</v>
      </c>
      <c r="K767" s="5">
        <v>35</v>
      </c>
      <c r="L767" s="5">
        <v>14</v>
      </c>
      <c r="M767" s="5">
        <v>14</v>
      </c>
      <c r="N767" s="7">
        <v>389.86</v>
      </c>
      <c r="O767" s="7">
        <f t="shared" si="79"/>
        <v>5458.04</v>
      </c>
      <c r="P767" s="4">
        <v>7.0000000000000007E-2</v>
      </c>
      <c r="Q767" s="7">
        <f t="shared" si="80"/>
        <v>382.06280000000004</v>
      </c>
      <c r="R767" s="7">
        <f t="shared" si="81"/>
        <v>5075.9772000000003</v>
      </c>
      <c r="S767" s="7">
        <f t="shared" si="82"/>
        <v>362.56980000000004</v>
      </c>
      <c r="T767" s="6">
        <f t="shared" si="83"/>
        <v>2.5878003696857672E-2</v>
      </c>
      <c r="U767" t="s">
        <v>83</v>
      </c>
      <c r="V767" t="s">
        <v>29</v>
      </c>
    </row>
    <row r="768" spans="1:22">
      <c r="A768" s="3">
        <v>45689</v>
      </c>
      <c r="B768" t="str">
        <f t="shared" si="77"/>
        <v>yyyy-02</v>
      </c>
      <c r="C768">
        <f t="shared" si="78"/>
        <v>5</v>
      </c>
      <c r="D768" t="s">
        <v>66</v>
      </c>
      <c r="E768" t="s">
        <v>67</v>
      </c>
      <c r="F768" t="s">
        <v>70</v>
      </c>
      <c r="G768" t="s">
        <v>27</v>
      </c>
      <c r="H768" t="s">
        <v>45</v>
      </c>
      <c r="I768" s="5">
        <v>323</v>
      </c>
      <c r="J768" s="5">
        <v>180</v>
      </c>
      <c r="K768" s="5">
        <v>23</v>
      </c>
      <c r="L768" s="5">
        <v>7</v>
      </c>
      <c r="M768" s="5">
        <v>7</v>
      </c>
      <c r="N768" s="7">
        <v>341.53</v>
      </c>
      <c r="O768" s="7">
        <f t="shared" si="79"/>
        <v>2390.71</v>
      </c>
      <c r="P768" s="4">
        <v>7.0000000000000007E-2</v>
      </c>
      <c r="Q768" s="7">
        <f t="shared" si="80"/>
        <v>167.34970000000001</v>
      </c>
      <c r="R768" s="7">
        <f t="shared" si="81"/>
        <v>2223.3602999999998</v>
      </c>
      <c r="S768" s="7">
        <f t="shared" si="82"/>
        <v>317.62289999999996</v>
      </c>
      <c r="T768" s="6">
        <f t="shared" si="83"/>
        <v>2.1671826625386997E-2</v>
      </c>
      <c r="U768" t="s">
        <v>83</v>
      </c>
      <c r="V768" t="s">
        <v>29</v>
      </c>
    </row>
    <row r="769" spans="1:22">
      <c r="A769" s="3">
        <v>45689</v>
      </c>
      <c r="B769" t="str">
        <f t="shared" si="77"/>
        <v>yyyy-02</v>
      </c>
      <c r="C769">
        <f t="shared" si="78"/>
        <v>5</v>
      </c>
      <c r="D769" t="s">
        <v>66</v>
      </c>
      <c r="E769" t="s">
        <v>71</v>
      </c>
      <c r="F769" t="s">
        <v>72</v>
      </c>
      <c r="G769" t="s">
        <v>27</v>
      </c>
      <c r="H769" t="s">
        <v>45</v>
      </c>
      <c r="I769" s="5">
        <v>345</v>
      </c>
      <c r="J769" s="5">
        <v>200</v>
      </c>
      <c r="K769" s="5">
        <v>19</v>
      </c>
      <c r="L769" s="5">
        <v>6</v>
      </c>
      <c r="M769" s="5">
        <v>7</v>
      </c>
      <c r="N769" s="7">
        <v>124.54</v>
      </c>
      <c r="O769" s="7">
        <f t="shared" si="79"/>
        <v>871.78000000000009</v>
      </c>
      <c r="P769" s="4">
        <v>0</v>
      </c>
      <c r="Q769" s="7">
        <f t="shared" si="80"/>
        <v>0</v>
      </c>
      <c r="R769" s="7">
        <f t="shared" si="81"/>
        <v>871.78000000000009</v>
      </c>
      <c r="S769" s="7">
        <f t="shared" si="82"/>
        <v>145.29666666666668</v>
      </c>
      <c r="T769" s="6">
        <f t="shared" si="83"/>
        <v>1.7391304347826087E-2</v>
      </c>
      <c r="V769" t="s">
        <v>29</v>
      </c>
    </row>
    <row r="770" spans="1:22">
      <c r="A770" s="3">
        <v>45689</v>
      </c>
      <c r="B770" t="str">
        <f t="shared" si="77"/>
        <v>yyyy-02</v>
      </c>
      <c r="C770">
        <f t="shared" si="78"/>
        <v>5</v>
      </c>
      <c r="D770" t="s">
        <v>66</v>
      </c>
      <c r="E770" t="s">
        <v>73</v>
      </c>
      <c r="F770" t="s">
        <v>74</v>
      </c>
      <c r="G770" t="s">
        <v>36</v>
      </c>
      <c r="H770" t="s">
        <v>37</v>
      </c>
      <c r="I770" s="5">
        <v>262</v>
      </c>
      <c r="J770" s="5">
        <v>171</v>
      </c>
      <c r="K770" s="5">
        <v>12</v>
      </c>
      <c r="L770" s="5">
        <v>5</v>
      </c>
      <c r="M770" s="5">
        <v>5</v>
      </c>
      <c r="N770" s="7">
        <v>1184.3900000000001</v>
      </c>
      <c r="O770" s="7">
        <f t="shared" si="79"/>
        <v>5921.9500000000007</v>
      </c>
      <c r="P770" s="4">
        <v>0</v>
      </c>
      <c r="Q770" s="7">
        <f t="shared" si="80"/>
        <v>0</v>
      </c>
      <c r="R770" s="7">
        <f t="shared" si="81"/>
        <v>5921.9500000000007</v>
      </c>
      <c r="S770" s="7">
        <f t="shared" si="82"/>
        <v>1184.3900000000001</v>
      </c>
      <c r="T770" s="6">
        <f t="shared" si="83"/>
        <v>1.9083969465648856E-2</v>
      </c>
      <c r="V770" t="s">
        <v>29</v>
      </c>
    </row>
    <row r="771" spans="1:22">
      <c r="A771" s="3">
        <v>45689</v>
      </c>
      <c r="B771" t="str">
        <f t="shared" si="77"/>
        <v>yyyy-02</v>
      </c>
      <c r="C771">
        <f t="shared" si="78"/>
        <v>5</v>
      </c>
      <c r="D771" t="s">
        <v>66</v>
      </c>
      <c r="E771" t="s">
        <v>71</v>
      </c>
      <c r="F771" t="s">
        <v>75</v>
      </c>
      <c r="G771" t="s">
        <v>31</v>
      </c>
      <c r="H771" t="s">
        <v>32</v>
      </c>
      <c r="I771" s="5">
        <v>474</v>
      </c>
      <c r="J771" s="5">
        <v>341</v>
      </c>
      <c r="K771" s="5">
        <v>24</v>
      </c>
      <c r="L771" s="5">
        <v>7</v>
      </c>
      <c r="M771" s="5">
        <v>9</v>
      </c>
      <c r="N771" s="7">
        <v>38.14</v>
      </c>
      <c r="O771" s="7">
        <f t="shared" si="79"/>
        <v>343.26</v>
      </c>
      <c r="P771" s="4">
        <v>0.05</v>
      </c>
      <c r="Q771" s="7">
        <f t="shared" si="80"/>
        <v>17.163</v>
      </c>
      <c r="R771" s="7">
        <f t="shared" si="81"/>
        <v>326.09699999999998</v>
      </c>
      <c r="S771" s="7">
        <f t="shared" si="82"/>
        <v>46.58528571428571</v>
      </c>
      <c r="T771" s="6">
        <f t="shared" si="83"/>
        <v>1.4767932489451477E-2</v>
      </c>
      <c r="V771" t="s">
        <v>29</v>
      </c>
    </row>
    <row r="772" spans="1:22">
      <c r="A772" s="3">
        <v>45689</v>
      </c>
      <c r="B772" t="str">
        <f t="shared" si="77"/>
        <v>yyyy-02</v>
      </c>
      <c r="C772">
        <f t="shared" si="78"/>
        <v>5</v>
      </c>
      <c r="D772" t="s">
        <v>24</v>
      </c>
      <c r="E772" t="s">
        <v>76</v>
      </c>
      <c r="F772" t="s">
        <v>77</v>
      </c>
      <c r="G772" t="s">
        <v>27</v>
      </c>
      <c r="H772" t="s">
        <v>63</v>
      </c>
      <c r="I772" s="5">
        <v>384</v>
      </c>
      <c r="J772" s="5">
        <v>299</v>
      </c>
      <c r="K772" s="5">
        <v>23</v>
      </c>
      <c r="L772" s="5">
        <v>8</v>
      </c>
      <c r="M772" s="5">
        <v>9</v>
      </c>
      <c r="N772" s="7">
        <v>191.58</v>
      </c>
      <c r="O772" s="7">
        <f t="shared" si="79"/>
        <v>1724.22</v>
      </c>
      <c r="P772" s="4">
        <v>0.05</v>
      </c>
      <c r="Q772" s="7">
        <f t="shared" si="80"/>
        <v>86.211000000000013</v>
      </c>
      <c r="R772" s="7">
        <f t="shared" si="81"/>
        <v>1638.009</v>
      </c>
      <c r="S772" s="7">
        <f t="shared" si="82"/>
        <v>204.751125</v>
      </c>
      <c r="T772" s="6">
        <f t="shared" si="83"/>
        <v>2.0833333333333332E-2</v>
      </c>
      <c r="V772" t="s">
        <v>29</v>
      </c>
    </row>
    <row r="773" spans="1:22">
      <c r="A773" s="3">
        <v>45690</v>
      </c>
      <c r="B773" t="str">
        <f t="shared" ref="B773:B836" si="84">TEXT(A773,"yyyy-mm")</f>
        <v>yyyy-02</v>
      </c>
      <c r="C773">
        <f t="shared" ref="C773:C836" si="85">WEEKNUM(A773,2)</f>
        <v>5</v>
      </c>
      <c r="D773" t="s">
        <v>24</v>
      </c>
      <c r="E773" t="s">
        <v>25</v>
      </c>
      <c r="F773" t="s">
        <v>26</v>
      </c>
      <c r="G773" t="s">
        <v>31</v>
      </c>
      <c r="H773" t="s">
        <v>32</v>
      </c>
      <c r="I773" s="5">
        <v>1452</v>
      </c>
      <c r="J773" s="5">
        <v>1120</v>
      </c>
      <c r="K773" s="5">
        <v>114</v>
      </c>
      <c r="L773" s="5">
        <v>27</v>
      </c>
      <c r="M773" s="5">
        <v>27</v>
      </c>
      <c r="N773" s="7">
        <v>960.02</v>
      </c>
      <c r="O773" s="7">
        <f t="shared" ref="O773:O836" si="86">M773*N773</f>
        <v>25920.54</v>
      </c>
      <c r="P773" s="4">
        <v>0</v>
      </c>
      <c r="Q773" s="7">
        <f t="shared" ref="Q773:Q836" si="87">O773*P773</f>
        <v>0</v>
      </c>
      <c r="R773" s="7">
        <f t="shared" ref="R773:R836" si="88">O773-Q773</f>
        <v>25920.54</v>
      </c>
      <c r="S773" s="7">
        <f t="shared" ref="S773:S836" si="89">IFERROR(R773/L773,0)</f>
        <v>960.02</v>
      </c>
      <c r="T773" s="6">
        <f t="shared" ref="T773:T836" si="90">IFERROR(L773/I773,0)</f>
        <v>1.859504132231405E-2</v>
      </c>
      <c r="V773" t="s">
        <v>29</v>
      </c>
    </row>
    <row r="774" spans="1:22">
      <c r="A774" s="3">
        <v>45690</v>
      </c>
      <c r="B774" t="str">
        <f t="shared" si="84"/>
        <v>yyyy-02</v>
      </c>
      <c r="C774">
        <f t="shared" si="85"/>
        <v>5</v>
      </c>
      <c r="D774" t="s">
        <v>24</v>
      </c>
      <c r="E774" t="s">
        <v>25</v>
      </c>
      <c r="F774" t="s">
        <v>30</v>
      </c>
      <c r="G774" t="s">
        <v>27</v>
      </c>
      <c r="H774" t="s">
        <v>45</v>
      </c>
      <c r="I774" s="5">
        <v>1516</v>
      </c>
      <c r="J774" s="5">
        <v>873</v>
      </c>
      <c r="K774" s="5">
        <v>96</v>
      </c>
      <c r="L774" s="5">
        <v>29</v>
      </c>
      <c r="M774" s="5">
        <v>29</v>
      </c>
      <c r="N774" s="7">
        <v>390.17</v>
      </c>
      <c r="O774" s="7">
        <f t="shared" si="86"/>
        <v>11314.93</v>
      </c>
      <c r="P774" s="4">
        <v>0</v>
      </c>
      <c r="Q774" s="7">
        <f t="shared" si="87"/>
        <v>0</v>
      </c>
      <c r="R774" s="7">
        <f t="shared" si="88"/>
        <v>11314.93</v>
      </c>
      <c r="S774" s="7">
        <f t="shared" si="89"/>
        <v>390.17</v>
      </c>
      <c r="T774" s="6">
        <f t="shared" si="90"/>
        <v>1.912928759894459E-2</v>
      </c>
      <c r="V774" t="s">
        <v>29</v>
      </c>
    </row>
    <row r="775" spans="1:22">
      <c r="A775" s="3">
        <v>45690</v>
      </c>
      <c r="B775" t="str">
        <f t="shared" si="84"/>
        <v>yyyy-02</v>
      </c>
      <c r="C775">
        <f t="shared" si="85"/>
        <v>5</v>
      </c>
      <c r="D775" t="s">
        <v>24</v>
      </c>
      <c r="E775" t="s">
        <v>25</v>
      </c>
      <c r="F775" t="s">
        <v>33</v>
      </c>
      <c r="G775" t="s">
        <v>27</v>
      </c>
      <c r="H775" t="s">
        <v>28</v>
      </c>
      <c r="I775" s="5">
        <v>1179</v>
      </c>
      <c r="J775" s="5">
        <v>737</v>
      </c>
      <c r="K775" s="5">
        <v>133</v>
      </c>
      <c r="L775" s="5">
        <v>30</v>
      </c>
      <c r="M775" s="5">
        <v>30</v>
      </c>
      <c r="N775" s="7">
        <v>1735.48</v>
      </c>
      <c r="O775" s="7">
        <f t="shared" si="86"/>
        <v>52064.4</v>
      </c>
      <c r="P775" s="4">
        <v>0</v>
      </c>
      <c r="Q775" s="7">
        <f t="shared" si="87"/>
        <v>0</v>
      </c>
      <c r="R775" s="7">
        <f t="shared" si="88"/>
        <v>52064.4</v>
      </c>
      <c r="S775" s="7">
        <f t="shared" si="89"/>
        <v>1735.48</v>
      </c>
      <c r="T775" s="6">
        <f t="shared" si="90"/>
        <v>2.5445292620865138E-2</v>
      </c>
      <c r="V775" t="s">
        <v>29</v>
      </c>
    </row>
    <row r="776" spans="1:22">
      <c r="A776" s="3">
        <v>45690</v>
      </c>
      <c r="B776" t="str">
        <f t="shared" si="84"/>
        <v>yyyy-02</v>
      </c>
      <c r="C776">
        <f t="shared" si="85"/>
        <v>5</v>
      </c>
      <c r="D776" t="s">
        <v>24</v>
      </c>
      <c r="E776" t="s">
        <v>34</v>
      </c>
      <c r="F776" t="s">
        <v>35</v>
      </c>
      <c r="G776" t="s">
        <v>27</v>
      </c>
      <c r="H776" t="s">
        <v>63</v>
      </c>
      <c r="I776" s="5">
        <v>780</v>
      </c>
      <c r="J776" s="5">
        <v>431</v>
      </c>
      <c r="K776" s="5">
        <v>32</v>
      </c>
      <c r="L776" s="5">
        <v>16</v>
      </c>
      <c r="M776" s="5">
        <v>16</v>
      </c>
      <c r="N776" s="7">
        <v>872.3</v>
      </c>
      <c r="O776" s="7">
        <f t="shared" si="86"/>
        <v>13956.8</v>
      </c>
      <c r="P776" s="4">
        <v>0</v>
      </c>
      <c r="Q776" s="7">
        <f t="shared" si="87"/>
        <v>0</v>
      </c>
      <c r="R776" s="7">
        <f t="shared" si="88"/>
        <v>13956.8</v>
      </c>
      <c r="S776" s="7">
        <f t="shared" si="89"/>
        <v>872.3</v>
      </c>
      <c r="T776" s="6">
        <f t="shared" si="90"/>
        <v>2.0512820512820513E-2</v>
      </c>
      <c r="V776" t="s">
        <v>29</v>
      </c>
    </row>
    <row r="777" spans="1:22">
      <c r="A777" s="3">
        <v>45690</v>
      </c>
      <c r="B777" t="str">
        <f t="shared" si="84"/>
        <v>yyyy-02</v>
      </c>
      <c r="C777">
        <f t="shared" si="85"/>
        <v>5</v>
      </c>
      <c r="D777" t="s">
        <v>24</v>
      </c>
      <c r="E777" t="s">
        <v>38</v>
      </c>
      <c r="F777" t="s">
        <v>39</v>
      </c>
      <c r="G777" t="s">
        <v>36</v>
      </c>
      <c r="H777" t="s">
        <v>37</v>
      </c>
      <c r="I777" s="5">
        <v>803</v>
      </c>
      <c r="J777" s="5">
        <v>598</v>
      </c>
      <c r="K777" s="5">
        <v>67</v>
      </c>
      <c r="L777" s="5">
        <v>15</v>
      </c>
      <c r="M777" s="5">
        <v>15</v>
      </c>
      <c r="N777" s="7">
        <v>329.47</v>
      </c>
      <c r="O777" s="7">
        <f t="shared" si="86"/>
        <v>4942.05</v>
      </c>
      <c r="P777" s="4">
        <v>0.05</v>
      </c>
      <c r="Q777" s="7">
        <f t="shared" si="87"/>
        <v>247.10250000000002</v>
      </c>
      <c r="R777" s="7">
        <f t="shared" si="88"/>
        <v>4694.9475000000002</v>
      </c>
      <c r="S777" s="7">
        <f t="shared" si="89"/>
        <v>312.99650000000003</v>
      </c>
      <c r="T777" s="6">
        <f t="shared" si="90"/>
        <v>1.86799501867995E-2</v>
      </c>
      <c r="V777" t="s">
        <v>29</v>
      </c>
    </row>
    <row r="778" spans="1:22">
      <c r="A778" s="3">
        <v>45690</v>
      </c>
      <c r="B778" t="str">
        <f t="shared" si="84"/>
        <v>yyyy-02</v>
      </c>
      <c r="C778">
        <f t="shared" si="85"/>
        <v>5</v>
      </c>
      <c r="D778" t="s">
        <v>24</v>
      </c>
      <c r="E778" t="s">
        <v>40</v>
      </c>
      <c r="F778" t="s">
        <v>41</v>
      </c>
      <c r="G778" t="s">
        <v>27</v>
      </c>
      <c r="H778" t="s">
        <v>63</v>
      </c>
      <c r="I778" s="5">
        <v>420</v>
      </c>
      <c r="J778" s="5">
        <v>257</v>
      </c>
      <c r="K778" s="5">
        <v>14</v>
      </c>
      <c r="L778" s="5">
        <v>7</v>
      </c>
      <c r="M778" s="5">
        <v>7</v>
      </c>
      <c r="N778" s="7">
        <v>182.26</v>
      </c>
      <c r="O778" s="7">
        <f t="shared" si="86"/>
        <v>1275.82</v>
      </c>
      <c r="P778" s="4">
        <v>0.05</v>
      </c>
      <c r="Q778" s="7">
        <f t="shared" si="87"/>
        <v>63.790999999999997</v>
      </c>
      <c r="R778" s="7">
        <f t="shared" si="88"/>
        <v>1212.029</v>
      </c>
      <c r="S778" s="7">
        <f t="shared" si="89"/>
        <v>173.14699999999999</v>
      </c>
      <c r="T778" s="6">
        <f t="shared" si="90"/>
        <v>1.6666666666666666E-2</v>
      </c>
      <c r="V778" t="s">
        <v>29</v>
      </c>
    </row>
    <row r="779" spans="1:22">
      <c r="A779" s="3">
        <v>45690</v>
      </c>
      <c r="B779" t="str">
        <f t="shared" si="84"/>
        <v>yyyy-02</v>
      </c>
      <c r="C779">
        <f t="shared" si="85"/>
        <v>5</v>
      </c>
      <c r="D779" t="s">
        <v>42</v>
      </c>
      <c r="E779" t="s">
        <v>43</v>
      </c>
      <c r="F779" t="s">
        <v>44</v>
      </c>
      <c r="G779" t="s">
        <v>27</v>
      </c>
      <c r="H779" t="s">
        <v>48</v>
      </c>
      <c r="I779" s="5">
        <v>430</v>
      </c>
      <c r="J779" s="5">
        <v>335</v>
      </c>
      <c r="K779" s="5">
        <v>25</v>
      </c>
      <c r="L779" s="5">
        <v>7</v>
      </c>
      <c r="M779" s="5">
        <v>7</v>
      </c>
      <c r="N779" s="7">
        <v>1307.03</v>
      </c>
      <c r="O779" s="7">
        <f t="shared" si="86"/>
        <v>9149.2099999999991</v>
      </c>
      <c r="P779" s="4">
        <v>0</v>
      </c>
      <c r="Q779" s="7">
        <f t="shared" si="87"/>
        <v>0</v>
      </c>
      <c r="R779" s="7">
        <f t="shared" si="88"/>
        <v>9149.2099999999991</v>
      </c>
      <c r="S779" s="7">
        <f t="shared" si="89"/>
        <v>1307.03</v>
      </c>
      <c r="T779" s="6">
        <f t="shared" si="90"/>
        <v>1.627906976744186E-2</v>
      </c>
      <c r="V779" t="s">
        <v>29</v>
      </c>
    </row>
    <row r="780" spans="1:22">
      <c r="A780" s="3">
        <v>45690</v>
      </c>
      <c r="B780" t="str">
        <f t="shared" si="84"/>
        <v>yyyy-02</v>
      </c>
      <c r="C780">
        <f t="shared" si="85"/>
        <v>5</v>
      </c>
      <c r="D780" t="s">
        <v>42</v>
      </c>
      <c r="E780" t="s">
        <v>43</v>
      </c>
      <c r="F780" t="s">
        <v>46</v>
      </c>
      <c r="G780" t="s">
        <v>31</v>
      </c>
      <c r="H780" t="s">
        <v>32</v>
      </c>
      <c r="I780" s="5">
        <v>668</v>
      </c>
      <c r="J780" s="5">
        <v>381</v>
      </c>
      <c r="K780" s="5">
        <v>45</v>
      </c>
      <c r="L780" s="5">
        <v>6</v>
      </c>
      <c r="M780" s="5">
        <v>6</v>
      </c>
      <c r="N780" s="7">
        <v>2173.25</v>
      </c>
      <c r="O780" s="7">
        <f t="shared" si="86"/>
        <v>13039.5</v>
      </c>
      <c r="P780" s="4">
        <v>0</v>
      </c>
      <c r="Q780" s="7">
        <f t="shared" si="87"/>
        <v>0</v>
      </c>
      <c r="R780" s="7">
        <f t="shared" si="88"/>
        <v>13039.5</v>
      </c>
      <c r="S780" s="7">
        <f t="shared" si="89"/>
        <v>2173.25</v>
      </c>
      <c r="T780" s="6">
        <f t="shared" si="90"/>
        <v>8.9820359281437123E-3</v>
      </c>
      <c r="V780" t="s">
        <v>78</v>
      </c>
    </row>
    <row r="781" spans="1:22">
      <c r="A781" s="3">
        <v>45690</v>
      </c>
      <c r="B781" t="str">
        <f t="shared" si="84"/>
        <v>yyyy-02</v>
      </c>
      <c r="C781">
        <f t="shared" si="85"/>
        <v>5</v>
      </c>
      <c r="D781" t="s">
        <v>42</v>
      </c>
      <c r="E781" t="s">
        <v>43</v>
      </c>
      <c r="F781" t="s">
        <v>47</v>
      </c>
      <c r="G781" t="s">
        <v>27</v>
      </c>
      <c r="H781" t="s">
        <v>48</v>
      </c>
      <c r="I781" s="5">
        <v>371</v>
      </c>
      <c r="J781" s="5">
        <v>237</v>
      </c>
      <c r="K781" s="5">
        <v>26</v>
      </c>
      <c r="L781" s="5">
        <v>5</v>
      </c>
      <c r="M781" s="5">
        <v>5</v>
      </c>
      <c r="N781" s="7">
        <v>590.55999999999995</v>
      </c>
      <c r="O781" s="7">
        <f t="shared" si="86"/>
        <v>2952.7999999999997</v>
      </c>
      <c r="P781" s="4">
        <v>0.03</v>
      </c>
      <c r="Q781" s="7">
        <f t="shared" si="87"/>
        <v>88.583999999999989</v>
      </c>
      <c r="R781" s="7">
        <f t="shared" si="88"/>
        <v>2864.2159999999999</v>
      </c>
      <c r="S781" s="7">
        <f t="shared" si="89"/>
        <v>572.84320000000002</v>
      </c>
      <c r="T781" s="6">
        <f t="shared" si="90"/>
        <v>1.3477088948787063E-2</v>
      </c>
      <c r="V781" t="s">
        <v>29</v>
      </c>
    </row>
    <row r="782" spans="1:22">
      <c r="A782" s="3">
        <v>45690</v>
      </c>
      <c r="B782" t="str">
        <f t="shared" si="84"/>
        <v>yyyy-02</v>
      </c>
      <c r="C782">
        <f t="shared" si="85"/>
        <v>5</v>
      </c>
      <c r="D782" t="s">
        <v>42</v>
      </c>
      <c r="E782" t="s">
        <v>49</v>
      </c>
      <c r="F782" t="s">
        <v>50</v>
      </c>
      <c r="G782" t="s">
        <v>36</v>
      </c>
      <c r="H782" t="s">
        <v>37</v>
      </c>
      <c r="I782" s="5">
        <v>228</v>
      </c>
      <c r="J782" s="5">
        <v>160</v>
      </c>
      <c r="K782" s="5">
        <v>13</v>
      </c>
      <c r="L782" s="5">
        <v>3</v>
      </c>
      <c r="M782" s="5">
        <v>3</v>
      </c>
      <c r="N782" s="7">
        <v>988.18</v>
      </c>
      <c r="O782" s="7">
        <f t="shared" si="86"/>
        <v>2964.54</v>
      </c>
      <c r="P782" s="4">
        <v>0</v>
      </c>
      <c r="Q782" s="7">
        <f t="shared" si="87"/>
        <v>0</v>
      </c>
      <c r="R782" s="7">
        <f t="shared" si="88"/>
        <v>2964.54</v>
      </c>
      <c r="S782" s="7">
        <f t="shared" si="89"/>
        <v>988.18</v>
      </c>
      <c r="T782" s="6">
        <f t="shared" si="90"/>
        <v>1.3157894736842105E-2</v>
      </c>
      <c r="V782" t="s">
        <v>29</v>
      </c>
    </row>
    <row r="783" spans="1:22">
      <c r="A783" s="3">
        <v>45690</v>
      </c>
      <c r="B783" t="str">
        <f t="shared" si="84"/>
        <v>yyyy-02</v>
      </c>
      <c r="C783">
        <f t="shared" si="85"/>
        <v>5</v>
      </c>
      <c r="D783" t="s">
        <v>42</v>
      </c>
      <c r="E783" t="s">
        <v>51</v>
      </c>
      <c r="F783" t="s">
        <v>52</v>
      </c>
      <c r="G783" t="s">
        <v>27</v>
      </c>
      <c r="H783" t="s">
        <v>28</v>
      </c>
      <c r="I783" s="5">
        <v>351</v>
      </c>
      <c r="J783" s="5">
        <v>207</v>
      </c>
      <c r="K783" s="5">
        <v>18</v>
      </c>
      <c r="L783" s="5">
        <v>4</v>
      </c>
      <c r="M783" s="5">
        <v>4</v>
      </c>
      <c r="N783" s="7">
        <v>594.91999999999996</v>
      </c>
      <c r="O783" s="7">
        <f t="shared" si="86"/>
        <v>2379.6799999999998</v>
      </c>
      <c r="P783" s="4">
        <v>0.03</v>
      </c>
      <c r="Q783" s="7">
        <f t="shared" si="87"/>
        <v>71.390399999999985</v>
      </c>
      <c r="R783" s="7">
        <f t="shared" si="88"/>
        <v>2308.2896000000001</v>
      </c>
      <c r="S783" s="7">
        <f t="shared" si="89"/>
        <v>577.07240000000002</v>
      </c>
      <c r="T783" s="6">
        <f t="shared" si="90"/>
        <v>1.1396011396011397E-2</v>
      </c>
      <c r="V783" t="s">
        <v>29</v>
      </c>
    </row>
    <row r="784" spans="1:22">
      <c r="A784" s="3">
        <v>45690</v>
      </c>
      <c r="B784" t="str">
        <f t="shared" si="84"/>
        <v>yyyy-02</v>
      </c>
      <c r="C784">
        <f t="shared" si="85"/>
        <v>5</v>
      </c>
      <c r="D784" t="s">
        <v>53</v>
      </c>
      <c r="E784" t="s">
        <v>54</v>
      </c>
      <c r="F784" t="s">
        <v>55</v>
      </c>
      <c r="G784" t="s">
        <v>36</v>
      </c>
      <c r="H784" t="s">
        <v>37</v>
      </c>
      <c r="I784" s="5">
        <v>171</v>
      </c>
      <c r="J784" s="5">
        <v>114</v>
      </c>
      <c r="K784" s="5">
        <v>10</v>
      </c>
      <c r="L784" s="5">
        <v>2</v>
      </c>
      <c r="M784" s="5">
        <v>2</v>
      </c>
      <c r="N784" s="7">
        <v>1301.4000000000001</v>
      </c>
      <c r="O784" s="7">
        <f t="shared" si="86"/>
        <v>2602.8000000000002</v>
      </c>
      <c r="P784" s="4">
        <v>0.05</v>
      </c>
      <c r="Q784" s="7">
        <f t="shared" si="87"/>
        <v>130.14000000000001</v>
      </c>
      <c r="R784" s="7">
        <f t="shared" si="88"/>
        <v>2472.6600000000003</v>
      </c>
      <c r="S784" s="7">
        <f t="shared" si="89"/>
        <v>1236.3300000000002</v>
      </c>
      <c r="T784" s="6">
        <f t="shared" si="90"/>
        <v>1.1695906432748537E-2</v>
      </c>
      <c r="V784" t="s">
        <v>29</v>
      </c>
    </row>
    <row r="785" spans="1:22">
      <c r="A785" s="3">
        <v>45690</v>
      </c>
      <c r="B785" t="str">
        <f t="shared" si="84"/>
        <v>yyyy-02</v>
      </c>
      <c r="C785">
        <f t="shared" si="85"/>
        <v>5</v>
      </c>
      <c r="D785" t="s">
        <v>53</v>
      </c>
      <c r="E785" t="s">
        <v>56</v>
      </c>
      <c r="F785" t="s">
        <v>57</v>
      </c>
      <c r="G785" t="s">
        <v>31</v>
      </c>
      <c r="H785" t="s">
        <v>32</v>
      </c>
      <c r="I785" s="5">
        <v>272</v>
      </c>
      <c r="J785" s="5">
        <v>161</v>
      </c>
      <c r="K785" s="5">
        <v>14</v>
      </c>
      <c r="L785" s="5">
        <v>3</v>
      </c>
      <c r="M785" s="5">
        <v>3</v>
      </c>
      <c r="N785" s="7">
        <v>746.1</v>
      </c>
      <c r="O785" s="7">
        <f t="shared" si="86"/>
        <v>2238.3000000000002</v>
      </c>
      <c r="P785" s="4">
        <v>0.08</v>
      </c>
      <c r="Q785" s="7">
        <f t="shared" si="87"/>
        <v>179.06400000000002</v>
      </c>
      <c r="R785" s="7">
        <f t="shared" si="88"/>
        <v>2059.2360000000003</v>
      </c>
      <c r="S785" s="7">
        <f t="shared" si="89"/>
        <v>686.41200000000015</v>
      </c>
      <c r="T785" s="6">
        <f t="shared" si="90"/>
        <v>1.1029411764705883E-2</v>
      </c>
      <c r="U785" t="s">
        <v>82</v>
      </c>
      <c r="V785" t="s">
        <v>29</v>
      </c>
    </row>
    <row r="786" spans="1:22">
      <c r="A786" s="3">
        <v>45690</v>
      </c>
      <c r="B786" t="str">
        <f t="shared" si="84"/>
        <v>yyyy-02</v>
      </c>
      <c r="C786">
        <f t="shared" si="85"/>
        <v>5</v>
      </c>
      <c r="D786" t="s">
        <v>53</v>
      </c>
      <c r="E786" t="s">
        <v>56</v>
      </c>
      <c r="F786" t="s">
        <v>58</v>
      </c>
      <c r="G786" t="s">
        <v>27</v>
      </c>
      <c r="H786" t="s">
        <v>48</v>
      </c>
      <c r="I786" s="5">
        <v>192</v>
      </c>
      <c r="J786" s="5">
        <v>107</v>
      </c>
      <c r="K786" s="5">
        <v>12</v>
      </c>
      <c r="L786" s="5">
        <v>2</v>
      </c>
      <c r="M786" s="5">
        <v>2</v>
      </c>
      <c r="N786" s="7">
        <v>907.98</v>
      </c>
      <c r="O786" s="7">
        <f t="shared" si="86"/>
        <v>1815.96</v>
      </c>
      <c r="P786" s="4">
        <v>0.08</v>
      </c>
      <c r="Q786" s="7">
        <f t="shared" si="87"/>
        <v>145.27680000000001</v>
      </c>
      <c r="R786" s="7">
        <f t="shared" si="88"/>
        <v>1670.6831999999999</v>
      </c>
      <c r="S786" s="7">
        <f t="shared" si="89"/>
        <v>835.34159999999997</v>
      </c>
      <c r="T786" s="6">
        <f t="shared" si="90"/>
        <v>1.0416666666666666E-2</v>
      </c>
      <c r="U786" t="s">
        <v>82</v>
      </c>
      <c r="V786" t="s">
        <v>29</v>
      </c>
    </row>
    <row r="787" spans="1:22">
      <c r="A787" s="3">
        <v>45690</v>
      </c>
      <c r="B787" t="str">
        <f t="shared" si="84"/>
        <v>yyyy-02</v>
      </c>
      <c r="C787">
        <f t="shared" si="85"/>
        <v>5</v>
      </c>
      <c r="D787" t="s">
        <v>53</v>
      </c>
      <c r="E787" t="s">
        <v>59</v>
      </c>
      <c r="F787" t="s">
        <v>60</v>
      </c>
      <c r="G787" t="s">
        <v>27</v>
      </c>
      <c r="H787" t="s">
        <v>45</v>
      </c>
      <c r="I787" s="5">
        <v>87</v>
      </c>
      <c r="J787" s="5">
        <v>49</v>
      </c>
      <c r="K787" s="5">
        <v>4</v>
      </c>
      <c r="L787" s="5">
        <v>1</v>
      </c>
      <c r="M787" s="5">
        <v>1</v>
      </c>
      <c r="N787" s="7">
        <v>691.29</v>
      </c>
      <c r="O787" s="7">
        <f t="shared" si="86"/>
        <v>691.29</v>
      </c>
      <c r="P787" s="4">
        <v>0.05</v>
      </c>
      <c r="Q787" s="7">
        <f t="shared" si="87"/>
        <v>34.564500000000002</v>
      </c>
      <c r="R787" s="7">
        <f t="shared" si="88"/>
        <v>656.72550000000001</v>
      </c>
      <c r="S787" s="7">
        <f t="shared" si="89"/>
        <v>656.72550000000001</v>
      </c>
      <c r="T787" s="6">
        <f t="shared" si="90"/>
        <v>1.1494252873563218E-2</v>
      </c>
      <c r="V787" t="s">
        <v>29</v>
      </c>
    </row>
    <row r="788" spans="1:22">
      <c r="A788" s="3">
        <v>45690</v>
      </c>
      <c r="B788" t="str">
        <f t="shared" si="84"/>
        <v>yyyy-02</v>
      </c>
      <c r="C788">
        <f t="shared" si="85"/>
        <v>5</v>
      </c>
      <c r="D788" t="s">
        <v>53</v>
      </c>
      <c r="E788" t="s">
        <v>61</v>
      </c>
      <c r="F788" t="s">
        <v>62</v>
      </c>
      <c r="G788" t="s">
        <v>31</v>
      </c>
      <c r="H788" t="s">
        <v>32</v>
      </c>
      <c r="I788" s="5">
        <v>221</v>
      </c>
      <c r="J788" s="5">
        <v>121</v>
      </c>
      <c r="K788" s="5">
        <v>10</v>
      </c>
      <c r="L788" s="5">
        <v>2</v>
      </c>
      <c r="M788" s="5">
        <v>2</v>
      </c>
      <c r="N788" s="7">
        <v>485.31</v>
      </c>
      <c r="O788" s="7">
        <f t="shared" si="86"/>
        <v>970.62</v>
      </c>
      <c r="P788" s="4">
        <v>0</v>
      </c>
      <c r="Q788" s="7">
        <f t="shared" si="87"/>
        <v>0</v>
      </c>
      <c r="R788" s="7">
        <f t="shared" si="88"/>
        <v>970.62</v>
      </c>
      <c r="S788" s="7">
        <f t="shared" si="89"/>
        <v>485.31</v>
      </c>
      <c r="T788" s="6">
        <f t="shared" si="90"/>
        <v>9.0497737556561094E-3</v>
      </c>
      <c r="V788" t="s">
        <v>29</v>
      </c>
    </row>
    <row r="789" spans="1:22">
      <c r="A789" s="3">
        <v>45690</v>
      </c>
      <c r="B789" t="str">
        <f t="shared" si="84"/>
        <v>yyyy-02</v>
      </c>
      <c r="C789">
        <f t="shared" si="85"/>
        <v>5</v>
      </c>
      <c r="D789" t="s">
        <v>53</v>
      </c>
      <c r="E789" t="s">
        <v>64</v>
      </c>
      <c r="F789" t="s">
        <v>65</v>
      </c>
      <c r="G789" t="s">
        <v>31</v>
      </c>
      <c r="H789" t="s">
        <v>32</v>
      </c>
      <c r="I789" s="5">
        <v>255</v>
      </c>
      <c r="J789" s="5">
        <v>146</v>
      </c>
      <c r="K789" s="5">
        <v>15</v>
      </c>
      <c r="L789" s="5">
        <v>3</v>
      </c>
      <c r="M789" s="5">
        <v>3</v>
      </c>
      <c r="N789" s="7">
        <v>783.23</v>
      </c>
      <c r="O789" s="7">
        <f t="shared" si="86"/>
        <v>2349.69</v>
      </c>
      <c r="P789" s="4">
        <v>0</v>
      </c>
      <c r="Q789" s="7">
        <f t="shared" si="87"/>
        <v>0</v>
      </c>
      <c r="R789" s="7">
        <f t="shared" si="88"/>
        <v>2349.69</v>
      </c>
      <c r="S789" s="7">
        <f t="shared" si="89"/>
        <v>783.23</v>
      </c>
      <c r="T789" s="6">
        <f t="shared" si="90"/>
        <v>1.1764705882352941E-2</v>
      </c>
      <c r="V789" t="s">
        <v>29</v>
      </c>
    </row>
    <row r="790" spans="1:22">
      <c r="A790" s="3">
        <v>45690</v>
      </c>
      <c r="B790" t="str">
        <f t="shared" si="84"/>
        <v>yyyy-02</v>
      </c>
      <c r="C790">
        <f t="shared" si="85"/>
        <v>5</v>
      </c>
      <c r="D790" t="s">
        <v>66</v>
      </c>
      <c r="E790" t="s">
        <v>67</v>
      </c>
      <c r="F790" t="s">
        <v>68</v>
      </c>
      <c r="G790" t="s">
        <v>31</v>
      </c>
      <c r="H790" t="s">
        <v>32</v>
      </c>
      <c r="I790" s="5">
        <v>557</v>
      </c>
      <c r="J790" s="5">
        <v>386</v>
      </c>
      <c r="K790" s="5">
        <v>60</v>
      </c>
      <c r="L790" s="5">
        <v>12</v>
      </c>
      <c r="M790" s="5">
        <v>12</v>
      </c>
      <c r="N790" s="7">
        <v>703.31</v>
      </c>
      <c r="O790" s="7">
        <f t="shared" si="86"/>
        <v>8439.7199999999993</v>
      </c>
      <c r="P790" s="4">
        <v>7.0000000000000007E-2</v>
      </c>
      <c r="Q790" s="7">
        <f t="shared" si="87"/>
        <v>590.78039999999999</v>
      </c>
      <c r="R790" s="7">
        <f t="shared" si="88"/>
        <v>7848.9395999999997</v>
      </c>
      <c r="S790" s="7">
        <f t="shared" si="89"/>
        <v>654.07830000000001</v>
      </c>
      <c r="T790" s="6">
        <f t="shared" si="90"/>
        <v>2.1543985637342909E-2</v>
      </c>
      <c r="U790" t="s">
        <v>83</v>
      </c>
      <c r="V790" t="s">
        <v>29</v>
      </c>
    </row>
    <row r="791" spans="1:22">
      <c r="A791" s="3">
        <v>45690</v>
      </c>
      <c r="B791" t="str">
        <f t="shared" si="84"/>
        <v>yyyy-02</v>
      </c>
      <c r="C791">
        <f t="shared" si="85"/>
        <v>5</v>
      </c>
      <c r="D791" t="s">
        <v>66</v>
      </c>
      <c r="E791" t="s">
        <v>67</v>
      </c>
      <c r="F791" t="s">
        <v>69</v>
      </c>
      <c r="G791" t="s">
        <v>27</v>
      </c>
      <c r="H791" t="s">
        <v>45</v>
      </c>
      <c r="I791" s="5">
        <v>426</v>
      </c>
      <c r="J791" s="5">
        <v>336</v>
      </c>
      <c r="K791" s="5">
        <v>23</v>
      </c>
      <c r="L791" s="5">
        <v>10</v>
      </c>
      <c r="M791" s="5">
        <v>10</v>
      </c>
      <c r="N791" s="7">
        <v>405.69</v>
      </c>
      <c r="O791" s="7">
        <f t="shared" si="86"/>
        <v>4056.9</v>
      </c>
      <c r="P791" s="4">
        <v>7.0000000000000007E-2</v>
      </c>
      <c r="Q791" s="7">
        <f t="shared" si="87"/>
        <v>283.98300000000006</v>
      </c>
      <c r="R791" s="7">
        <f t="shared" si="88"/>
        <v>3772.9169999999999</v>
      </c>
      <c r="S791" s="7">
        <f t="shared" si="89"/>
        <v>377.29169999999999</v>
      </c>
      <c r="T791" s="6">
        <f t="shared" si="90"/>
        <v>2.3474178403755867E-2</v>
      </c>
      <c r="U791" t="s">
        <v>83</v>
      </c>
      <c r="V791" t="s">
        <v>29</v>
      </c>
    </row>
    <row r="792" spans="1:22">
      <c r="A792" s="3">
        <v>45690</v>
      </c>
      <c r="B792" t="str">
        <f t="shared" si="84"/>
        <v>yyyy-02</v>
      </c>
      <c r="C792">
        <f t="shared" si="85"/>
        <v>5</v>
      </c>
      <c r="D792" t="s">
        <v>66</v>
      </c>
      <c r="E792" t="s">
        <v>67</v>
      </c>
      <c r="F792" t="s">
        <v>70</v>
      </c>
      <c r="G792" t="s">
        <v>27</v>
      </c>
      <c r="H792" t="s">
        <v>45</v>
      </c>
      <c r="I792" s="5">
        <v>284</v>
      </c>
      <c r="J792" s="5">
        <v>214</v>
      </c>
      <c r="K792" s="5">
        <v>35</v>
      </c>
      <c r="L792" s="5">
        <v>8</v>
      </c>
      <c r="M792" s="5">
        <v>8</v>
      </c>
      <c r="N792" s="7">
        <v>353.01</v>
      </c>
      <c r="O792" s="7">
        <f t="shared" si="86"/>
        <v>2824.08</v>
      </c>
      <c r="P792" s="4">
        <v>7.0000000000000007E-2</v>
      </c>
      <c r="Q792" s="7">
        <f t="shared" si="87"/>
        <v>197.68560000000002</v>
      </c>
      <c r="R792" s="7">
        <f t="shared" si="88"/>
        <v>2626.3944000000001</v>
      </c>
      <c r="S792" s="7">
        <f t="shared" si="89"/>
        <v>328.29930000000002</v>
      </c>
      <c r="T792" s="6">
        <f t="shared" si="90"/>
        <v>2.8169014084507043E-2</v>
      </c>
      <c r="U792" t="s">
        <v>83</v>
      </c>
      <c r="V792" t="s">
        <v>29</v>
      </c>
    </row>
    <row r="793" spans="1:22">
      <c r="A793" s="3">
        <v>45690</v>
      </c>
      <c r="B793" t="str">
        <f t="shared" si="84"/>
        <v>yyyy-02</v>
      </c>
      <c r="C793">
        <f t="shared" si="85"/>
        <v>5</v>
      </c>
      <c r="D793" t="s">
        <v>66</v>
      </c>
      <c r="E793" t="s">
        <v>71</v>
      </c>
      <c r="F793" t="s">
        <v>72</v>
      </c>
      <c r="G793" t="s">
        <v>31</v>
      </c>
      <c r="H793" t="s">
        <v>32</v>
      </c>
      <c r="I793" s="5">
        <v>474</v>
      </c>
      <c r="J793" s="5">
        <v>374</v>
      </c>
      <c r="K793" s="5">
        <v>24</v>
      </c>
      <c r="L793" s="5">
        <v>8</v>
      </c>
      <c r="M793" s="5">
        <v>9</v>
      </c>
      <c r="N793" s="7">
        <v>127.76</v>
      </c>
      <c r="O793" s="7">
        <f t="shared" si="86"/>
        <v>1149.8400000000001</v>
      </c>
      <c r="P793" s="4">
        <v>0.03</v>
      </c>
      <c r="Q793" s="7">
        <f t="shared" si="87"/>
        <v>34.495200000000004</v>
      </c>
      <c r="R793" s="7">
        <f t="shared" si="88"/>
        <v>1115.3448000000001</v>
      </c>
      <c r="S793" s="7">
        <f t="shared" si="89"/>
        <v>139.41810000000001</v>
      </c>
      <c r="T793" s="6">
        <f t="shared" si="90"/>
        <v>1.6877637130801686E-2</v>
      </c>
      <c r="V793" t="s">
        <v>78</v>
      </c>
    </row>
    <row r="794" spans="1:22">
      <c r="A794" s="3">
        <v>45690</v>
      </c>
      <c r="B794" t="str">
        <f t="shared" si="84"/>
        <v>yyyy-02</v>
      </c>
      <c r="C794">
        <f t="shared" si="85"/>
        <v>5</v>
      </c>
      <c r="D794" t="s">
        <v>66</v>
      </c>
      <c r="E794" t="s">
        <v>73</v>
      </c>
      <c r="F794" t="s">
        <v>74</v>
      </c>
      <c r="G794" t="s">
        <v>27</v>
      </c>
      <c r="H794" t="s">
        <v>45</v>
      </c>
      <c r="I794" s="5">
        <v>226</v>
      </c>
      <c r="J794" s="5">
        <v>143</v>
      </c>
      <c r="K794" s="5">
        <v>12</v>
      </c>
      <c r="L794" s="5">
        <v>5</v>
      </c>
      <c r="M794" s="5">
        <v>5</v>
      </c>
      <c r="N794" s="7">
        <v>1220.8</v>
      </c>
      <c r="O794" s="7">
        <f t="shared" si="86"/>
        <v>6104</v>
      </c>
      <c r="P794" s="4">
        <v>0</v>
      </c>
      <c r="Q794" s="7">
        <f t="shared" si="87"/>
        <v>0</v>
      </c>
      <c r="R794" s="7">
        <f t="shared" si="88"/>
        <v>6104</v>
      </c>
      <c r="S794" s="7">
        <f t="shared" si="89"/>
        <v>1220.8</v>
      </c>
      <c r="T794" s="6">
        <f t="shared" si="90"/>
        <v>2.2123893805309734E-2</v>
      </c>
      <c r="V794" t="s">
        <v>29</v>
      </c>
    </row>
    <row r="795" spans="1:22">
      <c r="A795" s="3">
        <v>45690</v>
      </c>
      <c r="B795" t="str">
        <f t="shared" si="84"/>
        <v>yyyy-02</v>
      </c>
      <c r="C795">
        <f t="shared" si="85"/>
        <v>5</v>
      </c>
      <c r="D795" t="s">
        <v>66</v>
      </c>
      <c r="E795" t="s">
        <v>71</v>
      </c>
      <c r="F795" t="s">
        <v>75</v>
      </c>
      <c r="G795" t="s">
        <v>27</v>
      </c>
      <c r="H795" t="s">
        <v>45</v>
      </c>
      <c r="I795" s="5">
        <v>324</v>
      </c>
      <c r="J795" s="5">
        <v>219</v>
      </c>
      <c r="K795" s="5">
        <v>22</v>
      </c>
      <c r="L795" s="5">
        <v>5</v>
      </c>
      <c r="M795" s="5">
        <v>6</v>
      </c>
      <c r="N795" s="7">
        <v>39</v>
      </c>
      <c r="O795" s="7">
        <f t="shared" si="86"/>
        <v>234</v>
      </c>
      <c r="P795" s="4">
        <v>0</v>
      </c>
      <c r="Q795" s="7">
        <f t="shared" si="87"/>
        <v>0</v>
      </c>
      <c r="R795" s="7">
        <f t="shared" si="88"/>
        <v>234</v>
      </c>
      <c r="S795" s="7">
        <f t="shared" si="89"/>
        <v>46.8</v>
      </c>
      <c r="T795" s="6">
        <f t="shared" si="90"/>
        <v>1.5432098765432098E-2</v>
      </c>
      <c r="V795" t="s">
        <v>29</v>
      </c>
    </row>
    <row r="796" spans="1:22">
      <c r="A796" s="3">
        <v>45690</v>
      </c>
      <c r="B796" t="str">
        <f t="shared" si="84"/>
        <v>yyyy-02</v>
      </c>
      <c r="C796">
        <f t="shared" si="85"/>
        <v>5</v>
      </c>
      <c r="D796" t="s">
        <v>24</v>
      </c>
      <c r="E796" t="s">
        <v>76</v>
      </c>
      <c r="F796" t="s">
        <v>77</v>
      </c>
      <c r="G796" t="s">
        <v>31</v>
      </c>
      <c r="H796" t="s">
        <v>32</v>
      </c>
      <c r="I796" s="5">
        <v>606</v>
      </c>
      <c r="J796" s="5">
        <v>357</v>
      </c>
      <c r="K796" s="5">
        <v>45</v>
      </c>
      <c r="L796" s="5">
        <v>14</v>
      </c>
      <c r="M796" s="5">
        <v>17</v>
      </c>
      <c r="N796" s="7">
        <v>201.22</v>
      </c>
      <c r="O796" s="7">
        <f t="shared" si="86"/>
        <v>3420.74</v>
      </c>
      <c r="P796" s="4">
        <v>0.03</v>
      </c>
      <c r="Q796" s="7">
        <f t="shared" si="87"/>
        <v>102.62219999999999</v>
      </c>
      <c r="R796" s="7">
        <f t="shared" si="88"/>
        <v>3318.1178</v>
      </c>
      <c r="S796" s="7">
        <f t="shared" si="89"/>
        <v>237.00841428571428</v>
      </c>
      <c r="T796" s="6">
        <f t="shared" si="90"/>
        <v>2.3102310231023101E-2</v>
      </c>
      <c r="V796" t="s">
        <v>29</v>
      </c>
    </row>
    <row r="797" spans="1:22">
      <c r="A797" s="3">
        <v>45691</v>
      </c>
      <c r="B797" t="str">
        <f t="shared" si="84"/>
        <v>yyyy-02</v>
      </c>
      <c r="C797">
        <f t="shared" si="85"/>
        <v>6</v>
      </c>
      <c r="D797" t="s">
        <v>24</v>
      </c>
      <c r="E797" t="s">
        <v>25</v>
      </c>
      <c r="F797" t="s">
        <v>26</v>
      </c>
      <c r="G797" t="s">
        <v>27</v>
      </c>
      <c r="H797" t="s">
        <v>45</v>
      </c>
      <c r="I797" s="5">
        <v>976</v>
      </c>
      <c r="J797" s="5">
        <v>724</v>
      </c>
      <c r="K797" s="5">
        <v>49</v>
      </c>
      <c r="L797" s="5">
        <v>20</v>
      </c>
      <c r="M797" s="5">
        <v>20</v>
      </c>
      <c r="N797" s="7">
        <v>983.11</v>
      </c>
      <c r="O797" s="7">
        <f t="shared" si="86"/>
        <v>19662.2</v>
      </c>
      <c r="P797" s="4">
        <v>0</v>
      </c>
      <c r="Q797" s="7">
        <f t="shared" si="87"/>
        <v>0</v>
      </c>
      <c r="R797" s="7">
        <f t="shared" si="88"/>
        <v>19662.2</v>
      </c>
      <c r="S797" s="7">
        <f t="shared" si="89"/>
        <v>983.11</v>
      </c>
      <c r="T797" s="6">
        <f t="shared" si="90"/>
        <v>2.0491803278688523E-2</v>
      </c>
      <c r="V797" t="s">
        <v>29</v>
      </c>
    </row>
    <row r="798" spans="1:22">
      <c r="A798" s="3">
        <v>45691</v>
      </c>
      <c r="B798" t="str">
        <f t="shared" si="84"/>
        <v>yyyy-02</v>
      </c>
      <c r="C798">
        <f t="shared" si="85"/>
        <v>6</v>
      </c>
      <c r="D798" t="s">
        <v>24</v>
      </c>
      <c r="E798" t="s">
        <v>25</v>
      </c>
      <c r="F798" t="s">
        <v>30</v>
      </c>
      <c r="G798" t="s">
        <v>27</v>
      </c>
      <c r="H798" t="s">
        <v>45</v>
      </c>
      <c r="I798" s="5">
        <v>1402</v>
      </c>
      <c r="J798" s="5">
        <v>1059</v>
      </c>
      <c r="K798" s="5">
        <v>119</v>
      </c>
      <c r="L798" s="5">
        <v>23</v>
      </c>
      <c r="M798" s="5">
        <v>23</v>
      </c>
      <c r="N798" s="7">
        <v>384.42</v>
      </c>
      <c r="O798" s="7">
        <f t="shared" si="86"/>
        <v>8841.66</v>
      </c>
      <c r="P798" s="4">
        <v>0</v>
      </c>
      <c r="Q798" s="7">
        <f t="shared" si="87"/>
        <v>0</v>
      </c>
      <c r="R798" s="7">
        <f t="shared" si="88"/>
        <v>8841.66</v>
      </c>
      <c r="S798" s="7">
        <f t="shared" si="89"/>
        <v>384.42</v>
      </c>
      <c r="T798" s="6">
        <f t="shared" si="90"/>
        <v>1.6405135520684736E-2</v>
      </c>
      <c r="V798" t="s">
        <v>78</v>
      </c>
    </row>
    <row r="799" spans="1:22">
      <c r="A799" s="3">
        <v>45691</v>
      </c>
      <c r="B799" t="str">
        <f t="shared" si="84"/>
        <v>yyyy-02</v>
      </c>
      <c r="C799">
        <f t="shared" si="85"/>
        <v>6</v>
      </c>
      <c r="D799" t="s">
        <v>24</v>
      </c>
      <c r="E799" t="s">
        <v>25</v>
      </c>
      <c r="F799" t="s">
        <v>33</v>
      </c>
      <c r="G799" t="s">
        <v>27</v>
      </c>
      <c r="H799" t="s">
        <v>28</v>
      </c>
      <c r="I799" s="5">
        <v>1828</v>
      </c>
      <c r="J799" s="5">
        <v>1188</v>
      </c>
      <c r="K799" s="5">
        <v>185</v>
      </c>
      <c r="L799" s="5">
        <v>45</v>
      </c>
      <c r="M799" s="5">
        <v>45</v>
      </c>
      <c r="N799" s="7">
        <v>1804.92</v>
      </c>
      <c r="O799" s="7">
        <f t="shared" si="86"/>
        <v>81221.400000000009</v>
      </c>
      <c r="P799" s="4">
        <v>0.05</v>
      </c>
      <c r="Q799" s="7">
        <f t="shared" si="87"/>
        <v>4061.0700000000006</v>
      </c>
      <c r="R799" s="7">
        <f t="shared" si="88"/>
        <v>77160.33</v>
      </c>
      <c r="S799" s="7">
        <f t="shared" si="89"/>
        <v>1714.674</v>
      </c>
      <c r="T799" s="6">
        <f t="shared" si="90"/>
        <v>2.461706783369803E-2</v>
      </c>
      <c r="V799" t="s">
        <v>29</v>
      </c>
    </row>
    <row r="800" spans="1:22">
      <c r="A800" s="3">
        <v>45691</v>
      </c>
      <c r="B800" t="str">
        <f t="shared" si="84"/>
        <v>yyyy-02</v>
      </c>
      <c r="C800">
        <f t="shared" si="85"/>
        <v>6</v>
      </c>
      <c r="D800" t="s">
        <v>24</v>
      </c>
      <c r="E800" t="s">
        <v>34</v>
      </c>
      <c r="F800" t="s">
        <v>35</v>
      </c>
      <c r="G800" t="s">
        <v>36</v>
      </c>
      <c r="H800" t="s">
        <v>37</v>
      </c>
      <c r="I800" s="5">
        <v>316</v>
      </c>
      <c r="J800" s="5">
        <v>216</v>
      </c>
      <c r="K800" s="5">
        <v>6</v>
      </c>
      <c r="L800" s="5">
        <v>0</v>
      </c>
      <c r="M800" s="5">
        <v>0</v>
      </c>
      <c r="N800" s="7">
        <v>874.1</v>
      </c>
      <c r="O800" s="7">
        <f t="shared" si="86"/>
        <v>0</v>
      </c>
      <c r="P800" s="4">
        <v>0</v>
      </c>
      <c r="Q800" s="7">
        <f t="shared" si="87"/>
        <v>0</v>
      </c>
      <c r="R800" s="7">
        <f t="shared" si="88"/>
        <v>0</v>
      </c>
      <c r="S800" s="7">
        <f t="shared" si="89"/>
        <v>0</v>
      </c>
      <c r="T800" s="6">
        <f t="shared" si="90"/>
        <v>0</v>
      </c>
      <c r="V800" t="s">
        <v>81</v>
      </c>
    </row>
    <row r="801" spans="1:22">
      <c r="A801" s="3">
        <v>45691</v>
      </c>
      <c r="B801" t="str">
        <f t="shared" si="84"/>
        <v>yyyy-02</v>
      </c>
      <c r="C801">
        <f t="shared" si="85"/>
        <v>6</v>
      </c>
      <c r="D801" t="s">
        <v>24</v>
      </c>
      <c r="E801" t="s">
        <v>38</v>
      </c>
      <c r="F801" t="s">
        <v>39</v>
      </c>
      <c r="G801" t="s">
        <v>27</v>
      </c>
      <c r="H801" t="s">
        <v>28</v>
      </c>
      <c r="I801" s="5">
        <v>656</v>
      </c>
      <c r="J801" s="5">
        <v>521</v>
      </c>
      <c r="K801" s="5">
        <v>61</v>
      </c>
      <c r="L801" s="5">
        <v>19</v>
      </c>
      <c r="M801" s="5">
        <v>19</v>
      </c>
      <c r="N801" s="7">
        <v>321.79000000000002</v>
      </c>
      <c r="O801" s="7">
        <f t="shared" si="86"/>
        <v>6114.01</v>
      </c>
      <c r="P801" s="4">
        <v>0.09</v>
      </c>
      <c r="Q801" s="7">
        <f t="shared" si="87"/>
        <v>550.26089999999999</v>
      </c>
      <c r="R801" s="7">
        <f t="shared" si="88"/>
        <v>5563.7491</v>
      </c>
      <c r="S801" s="7">
        <f t="shared" si="89"/>
        <v>292.82889999999998</v>
      </c>
      <c r="T801" s="6">
        <f t="shared" si="90"/>
        <v>2.8963414634146343E-2</v>
      </c>
      <c r="U801" t="s">
        <v>84</v>
      </c>
      <c r="V801" t="s">
        <v>29</v>
      </c>
    </row>
    <row r="802" spans="1:22">
      <c r="A802" s="3">
        <v>45691</v>
      </c>
      <c r="B802" t="str">
        <f t="shared" si="84"/>
        <v>yyyy-02</v>
      </c>
      <c r="C802">
        <f t="shared" si="85"/>
        <v>6</v>
      </c>
      <c r="D802" t="s">
        <v>24</v>
      </c>
      <c r="E802" t="s">
        <v>40</v>
      </c>
      <c r="F802" t="s">
        <v>41</v>
      </c>
      <c r="G802" t="s">
        <v>31</v>
      </c>
      <c r="H802" t="s">
        <v>32</v>
      </c>
      <c r="I802" s="5">
        <v>640</v>
      </c>
      <c r="J802" s="5">
        <v>475</v>
      </c>
      <c r="K802" s="5">
        <v>57</v>
      </c>
      <c r="L802" s="5">
        <v>16</v>
      </c>
      <c r="M802" s="5">
        <v>18</v>
      </c>
      <c r="N802" s="7">
        <v>177.34</v>
      </c>
      <c r="O802" s="7">
        <f t="shared" si="86"/>
        <v>3192.12</v>
      </c>
      <c r="P802" s="4">
        <v>0</v>
      </c>
      <c r="Q802" s="7">
        <f t="shared" si="87"/>
        <v>0</v>
      </c>
      <c r="R802" s="7">
        <f t="shared" si="88"/>
        <v>3192.12</v>
      </c>
      <c r="S802" s="7">
        <f t="shared" si="89"/>
        <v>199.50749999999999</v>
      </c>
      <c r="T802" s="6">
        <f t="shared" si="90"/>
        <v>2.5000000000000001E-2</v>
      </c>
      <c r="V802" t="s">
        <v>29</v>
      </c>
    </row>
    <row r="803" spans="1:22">
      <c r="A803" s="3">
        <v>45691</v>
      </c>
      <c r="B803" t="str">
        <f t="shared" si="84"/>
        <v>yyyy-02</v>
      </c>
      <c r="C803">
        <f t="shared" si="85"/>
        <v>6</v>
      </c>
      <c r="D803" t="s">
        <v>42</v>
      </c>
      <c r="E803" t="s">
        <v>43</v>
      </c>
      <c r="F803" t="s">
        <v>44</v>
      </c>
      <c r="G803" t="s">
        <v>36</v>
      </c>
      <c r="H803" t="s">
        <v>37</v>
      </c>
      <c r="I803" s="5">
        <v>514</v>
      </c>
      <c r="J803" s="5">
        <v>394</v>
      </c>
      <c r="K803" s="5">
        <v>40</v>
      </c>
      <c r="L803" s="5">
        <v>8</v>
      </c>
      <c r="M803" s="5">
        <v>8</v>
      </c>
      <c r="N803" s="7">
        <v>1303.6600000000001</v>
      </c>
      <c r="O803" s="7">
        <f t="shared" si="86"/>
        <v>10429.280000000001</v>
      </c>
      <c r="P803" s="4">
        <v>0</v>
      </c>
      <c r="Q803" s="7">
        <f t="shared" si="87"/>
        <v>0</v>
      </c>
      <c r="R803" s="7">
        <f t="shared" si="88"/>
        <v>10429.280000000001</v>
      </c>
      <c r="S803" s="7">
        <f t="shared" si="89"/>
        <v>1303.6600000000001</v>
      </c>
      <c r="T803" s="6">
        <f t="shared" si="90"/>
        <v>1.556420233463035E-2</v>
      </c>
      <c r="V803" t="s">
        <v>29</v>
      </c>
    </row>
    <row r="804" spans="1:22">
      <c r="A804" s="3">
        <v>45691</v>
      </c>
      <c r="B804" t="str">
        <f t="shared" si="84"/>
        <v>yyyy-02</v>
      </c>
      <c r="C804">
        <f t="shared" si="85"/>
        <v>6</v>
      </c>
      <c r="D804" t="s">
        <v>42</v>
      </c>
      <c r="E804" t="s">
        <v>43</v>
      </c>
      <c r="F804" t="s">
        <v>46</v>
      </c>
      <c r="G804" t="s">
        <v>27</v>
      </c>
      <c r="H804" t="s">
        <v>63</v>
      </c>
      <c r="I804" s="5">
        <v>339</v>
      </c>
      <c r="J804" s="5">
        <v>264</v>
      </c>
      <c r="K804" s="5">
        <v>14</v>
      </c>
      <c r="L804" s="5">
        <v>4</v>
      </c>
      <c r="M804" s="5">
        <v>4</v>
      </c>
      <c r="N804" s="7">
        <v>2210.86</v>
      </c>
      <c r="O804" s="7">
        <f t="shared" si="86"/>
        <v>8843.44</v>
      </c>
      <c r="P804" s="4">
        <v>0</v>
      </c>
      <c r="Q804" s="7">
        <f t="shared" si="87"/>
        <v>0</v>
      </c>
      <c r="R804" s="7">
        <f t="shared" si="88"/>
        <v>8843.44</v>
      </c>
      <c r="S804" s="7">
        <f t="shared" si="89"/>
        <v>2210.86</v>
      </c>
      <c r="T804" s="6">
        <f t="shared" si="90"/>
        <v>1.1799410029498525E-2</v>
      </c>
      <c r="V804" t="s">
        <v>29</v>
      </c>
    </row>
    <row r="805" spans="1:22">
      <c r="A805" s="3">
        <v>45691</v>
      </c>
      <c r="B805" t="str">
        <f t="shared" si="84"/>
        <v>yyyy-02</v>
      </c>
      <c r="C805">
        <f t="shared" si="85"/>
        <v>6</v>
      </c>
      <c r="D805" t="s">
        <v>42</v>
      </c>
      <c r="E805" t="s">
        <v>43</v>
      </c>
      <c r="F805" t="s">
        <v>47</v>
      </c>
      <c r="G805" t="s">
        <v>27</v>
      </c>
      <c r="H805" t="s">
        <v>63</v>
      </c>
      <c r="I805" s="5">
        <v>324</v>
      </c>
      <c r="J805" s="5">
        <v>267</v>
      </c>
      <c r="K805" s="5">
        <v>25</v>
      </c>
      <c r="L805" s="5">
        <v>5</v>
      </c>
      <c r="M805" s="5">
        <v>5</v>
      </c>
      <c r="N805" s="7">
        <v>607.17999999999995</v>
      </c>
      <c r="O805" s="7">
        <f t="shared" si="86"/>
        <v>3035.8999999999996</v>
      </c>
      <c r="P805" s="4">
        <v>0</v>
      </c>
      <c r="Q805" s="7">
        <f t="shared" si="87"/>
        <v>0</v>
      </c>
      <c r="R805" s="7">
        <f t="shared" si="88"/>
        <v>3035.8999999999996</v>
      </c>
      <c r="S805" s="7">
        <f t="shared" si="89"/>
        <v>607.17999999999995</v>
      </c>
      <c r="T805" s="6">
        <f t="shared" si="90"/>
        <v>1.5432098765432098E-2</v>
      </c>
      <c r="V805" t="s">
        <v>29</v>
      </c>
    </row>
    <row r="806" spans="1:22">
      <c r="A806" s="3">
        <v>45691</v>
      </c>
      <c r="B806" t="str">
        <f t="shared" si="84"/>
        <v>yyyy-02</v>
      </c>
      <c r="C806">
        <f t="shared" si="85"/>
        <v>6</v>
      </c>
      <c r="D806" t="s">
        <v>42</v>
      </c>
      <c r="E806" t="s">
        <v>49</v>
      </c>
      <c r="F806" t="s">
        <v>50</v>
      </c>
      <c r="G806" t="s">
        <v>27</v>
      </c>
      <c r="H806" t="s">
        <v>28</v>
      </c>
      <c r="I806" s="5">
        <v>122</v>
      </c>
      <c r="J806" s="5">
        <v>72</v>
      </c>
      <c r="K806" s="5">
        <v>8</v>
      </c>
      <c r="L806" s="5">
        <v>2</v>
      </c>
      <c r="M806" s="5">
        <v>2</v>
      </c>
      <c r="N806" s="7">
        <v>993.37</v>
      </c>
      <c r="O806" s="7">
        <f t="shared" si="86"/>
        <v>1986.74</v>
      </c>
      <c r="P806" s="4">
        <v>0.03</v>
      </c>
      <c r="Q806" s="7">
        <f t="shared" si="87"/>
        <v>59.602199999999996</v>
      </c>
      <c r="R806" s="7">
        <f t="shared" si="88"/>
        <v>1927.1378</v>
      </c>
      <c r="S806" s="7">
        <f t="shared" si="89"/>
        <v>963.56889999999999</v>
      </c>
      <c r="T806" s="6">
        <f t="shared" si="90"/>
        <v>1.6393442622950821E-2</v>
      </c>
      <c r="V806" t="s">
        <v>29</v>
      </c>
    </row>
    <row r="807" spans="1:22">
      <c r="A807" s="3">
        <v>45691</v>
      </c>
      <c r="B807" t="str">
        <f t="shared" si="84"/>
        <v>yyyy-02</v>
      </c>
      <c r="C807">
        <f t="shared" si="85"/>
        <v>6</v>
      </c>
      <c r="D807" t="s">
        <v>42</v>
      </c>
      <c r="E807" t="s">
        <v>51</v>
      </c>
      <c r="F807" t="s">
        <v>52</v>
      </c>
      <c r="G807" t="s">
        <v>31</v>
      </c>
      <c r="H807" t="s">
        <v>32</v>
      </c>
      <c r="I807" s="5">
        <v>299</v>
      </c>
      <c r="J807" s="5">
        <v>209</v>
      </c>
      <c r="K807" s="5">
        <v>15</v>
      </c>
      <c r="L807" s="5">
        <v>5</v>
      </c>
      <c r="M807" s="5">
        <v>5</v>
      </c>
      <c r="N807" s="7">
        <v>600.62</v>
      </c>
      <c r="O807" s="7">
        <f t="shared" si="86"/>
        <v>3003.1</v>
      </c>
      <c r="P807" s="4">
        <v>0</v>
      </c>
      <c r="Q807" s="7">
        <f t="shared" si="87"/>
        <v>0</v>
      </c>
      <c r="R807" s="7">
        <f t="shared" si="88"/>
        <v>3003.1</v>
      </c>
      <c r="S807" s="7">
        <f t="shared" si="89"/>
        <v>600.62</v>
      </c>
      <c r="T807" s="6">
        <f t="shared" si="90"/>
        <v>1.6722408026755852E-2</v>
      </c>
      <c r="V807" t="s">
        <v>29</v>
      </c>
    </row>
    <row r="808" spans="1:22">
      <c r="A808" s="3">
        <v>45691</v>
      </c>
      <c r="B808" t="str">
        <f t="shared" si="84"/>
        <v>yyyy-02</v>
      </c>
      <c r="C808">
        <f t="shared" si="85"/>
        <v>6</v>
      </c>
      <c r="D808" t="s">
        <v>53</v>
      </c>
      <c r="E808" t="s">
        <v>54</v>
      </c>
      <c r="F808" t="s">
        <v>55</v>
      </c>
      <c r="G808" t="s">
        <v>27</v>
      </c>
      <c r="H808" t="s">
        <v>48</v>
      </c>
      <c r="I808" s="5">
        <v>149</v>
      </c>
      <c r="J808" s="5">
        <v>97</v>
      </c>
      <c r="K808" s="5">
        <v>4</v>
      </c>
      <c r="L808" s="5">
        <v>1</v>
      </c>
      <c r="M808" s="5">
        <v>1</v>
      </c>
      <c r="N808" s="7">
        <v>1299.79</v>
      </c>
      <c r="O808" s="7">
        <f t="shared" si="86"/>
        <v>1299.79</v>
      </c>
      <c r="P808" s="4">
        <v>0</v>
      </c>
      <c r="Q808" s="7">
        <f t="shared" si="87"/>
        <v>0</v>
      </c>
      <c r="R808" s="7">
        <f t="shared" si="88"/>
        <v>1299.79</v>
      </c>
      <c r="S808" s="7">
        <f t="shared" si="89"/>
        <v>1299.79</v>
      </c>
      <c r="T808" s="6">
        <f t="shared" si="90"/>
        <v>6.7114093959731542E-3</v>
      </c>
      <c r="V808" t="s">
        <v>29</v>
      </c>
    </row>
    <row r="809" spans="1:22">
      <c r="A809" s="3">
        <v>45691</v>
      </c>
      <c r="B809" t="str">
        <f t="shared" si="84"/>
        <v>yyyy-02</v>
      </c>
      <c r="C809">
        <f t="shared" si="85"/>
        <v>6</v>
      </c>
      <c r="D809" t="s">
        <v>53</v>
      </c>
      <c r="E809" t="s">
        <v>56</v>
      </c>
      <c r="F809" t="s">
        <v>57</v>
      </c>
      <c r="G809" t="s">
        <v>36</v>
      </c>
      <c r="H809" t="s">
        <v>37</v>
      </c>
      <c r="I809" s="5">
        <v>193</v>
      </c>
      <c r="J809" s="5">
        <v>130</v>
      </c>
      <c r="K809" s="5">
        <v>15</v>
      </c>
      <c r="L809" s="5">
        <v>2</v>
      </c>
      <c r="M809" s="5">
        <v>2</v>
      </c>
      <c r="N809" s="7">
        <v>741.04</v>
      </c>
      <c r="O809" s="7">
        <f t="shared" si="86"/>
        <v>1482.08</v>
      </c>
      <c r="P809" s="4">
        <v>0.03</v>
      </c>
      <c r="Q809" s="7">
        <f t="shared" si="87"/>
        <v>44.462399999999995</v>
      </c>
      <c r="R809" s="7">
        <f t="shared" si="88"/>
        <v>1437.6176</v>
      </c>
      <c r="S809" s="7">
        <f t="shared" si="89"/>
        <v>718.80880000000002</v>
      </c>
      <c r="T809" s="6">
        <f t="shared" si="90"/>
        <v>1.0362694300518135E-2</v>
      </c>
      <c r="V809" t="s">
        <v>29</v>
      </c>
    </row>
    <row r="810" spans="1:22">
      <c r="A810" s="3">
        <v>45691</v>
      </c>
      <c r="B810" t="str">
        <f t="shared" si="84"/>
        <v>yyyy-02</v>
      </c>
      <c r="C810">
        <f t="shared" si="85"/>
        <v>6</v>
      </c>
      <c r="D810" t="s">
        <v>53</v>
      </c>
      <c r="E810" t="s">
        <v>56</v>
      </c>
      <c r="F810" t="s">
        <v>58</v>
      </c>
      <c r="G810" t="s">
        <v>27</v>
      </c>
      <c r="H810" t="s">
        <v>63</v>
      </c>
      <c r="I810" s="5">
        <v>148</v>
      </c>
      <c r="J810" s="5">
        <v>82</v>
      </c>
      <c r="K810" s="5">
        <v>8</v>
      </c>
      <c r="L810" s="5">
        <v>2</v>
      </c>
      <c r="M810" s="5">
        <v>2</v>
      </c>
      <c r="N810" s="7">
        <v>909.6</v>
      </c>
      <c r="O810" s="7">
        <f t="shared" si="86"/>
        <v>1819.2</v>
      </c>
      <c r="P810" s="4">
        <v>0</v>
      </c>
      <c r="Q810" s="7">
        <f t="shared" si="87"/>
        <v>0</v>
      </c>
      <c r="R810" s="7">
        <f t="shared" si="88"/>
        <v>1819.2</v>
      </c>
      <c r="S810" s="7">
        <f t="shared" si="89"/>
        <v>909.6</v>
      </c>
      <c r="T810" s="6">
        <f t="shared" si="90"/>
        <v>1.3513513513513514E-2</v>
      </c>
      <c r="V810" t="s">
        <v>29</v>
      </c>
    </row>
    <row r="811" spans="1:22">
      <c r="A811" s="3">
        <v>45691</v>
      </c>
      <c r="B811" t="str">
        <f t="shared" si="84"/>
        <v>yyyy-02</v>
      </c>
      <c r="C811">
        <f t="shared" si="85"/>
        <v>6</v>
      </c>
      <c r="D811" t="s">
        <v>53</v>
      </c>
      <c r="E811" t="s">
        <v>59</v>
      </c>
      <c r="F811" t="s">
        <v>60</v>
      </c>
      <c r="G811" t="s">
        <v>31</v>
      </c>
      <c r="H811" t="s">
        <v>32</v>
      </c>
      <c r="I811" s="5">
        <v>184</v>
      </c>
      <c r="J811" s="5">
        <v>127</v>
      </c>
      <c r="K811" s="5">
        <v>14</v>
      </c>
      <c r="L811" s="5">
        <v>3</v>
      </c>
      <c r="M811" s="5">
        <v>3</v>
      </c>
      <c r="N811" s="7">
        <v>675.67</v>
      </c>
      <c r="O811" s="7">
        <f t="shared" si="86"/>
        <v>2027.0099999999998</v>
      </c>
      <c r="P811" s="4">
        <v>0</v>
      </c>
      <c r="Q811" s="7">
        <f t="shared" si="87"/>
        <v>0</v>
      </c>
      <c r="R811" s="7">
        <f t="shared" si="88"/>
        <v>2027.0099999999998</v>
      </c>
      <c r="S811" s="7">
        <f t="shared" si="89"/>
        <v>675.67</v>
      </c>
      <c r="T811" s="6">
        <f t="shared" si="90"/>
        <v>1.6304347826086956E-2</v>
      </c>
      <c r="V811" t="s">
        <v>29</v>
      </c>
    </row>
    <row r="812" spans="1:22">
      <c r="A812" s="3">
        <v>45691</v>
      </c>
      <c r="B812" t="str">
        <f t="shared" si="84"/>
        <v>yyyy-02</v>
      </c>
      <c r="C812">
        <f t="shared" si="85"/>
        <v>6</v>
      </c>
      <c r="D812" t="s">
        <v>53</v>
      </c>
      <c r="E812" t="s">
        <v>61</v>
      </c>
      <c r="F812" t="s">
        <v>62</v>
      </c>
      <c r="G812" t="s">
        <v>36</v>
      </c>
      <c r="H812" t="s">
        <v>37</v>
      </c>
      <c r="I812" s="5">
        <v>173</v>
      </c>
      <c r="J812" s="5">
        <v>98</v>
      </c>
      <c r="K812" s="5">
        <v>6</v>
      </c>
      <c r="L812" s="5">
        <v>1</v>
      </c>
      <c r="M812" s="5">
        <v>1</v>
      </c>
      <c r="N812" s="7">
        <v>493.59</v>
      </c>
      <c r="O812" s="7">
        <f t="shared" si="86"/>
        <v>493.59</v>
      </c>
      <c r="P812" s="4">
        <v>0</v>
      </c>
      <c r="Q812" s="7">
        <f t="shared" si="87"/>
        <v>0</v>
      </c>
      <c r="R812" s="7">
        <f t="shared" si="88"/>
        <v>493.59</v>
      </c>
      <c r="S812" s="7">
        <f t="shared" si="89"/>
        <v>493.59</v>
      </c>
      <c r="T812" s="6">
        <f t="shared" si="90"/>
        <v>5.7803468208092483E-3</v>
      </c>
      <c r="V812" t="s">
        <v>78</v>
      </c>
    </row>
    <row r="813" spans="1:22">
      <c r="A813" s="3">
        <v>45691</v>
      </c>
      <c r="B813" t="str">
        <f t="shared" si="84"/>
        <v>yyyy-02</v>
      </c>
      <c r="C813">
        <f t="shared" si="85"/>
        <v>6</v>
      </c>
      <c r="D813" t="s">
        <v>53</v>
      </c>
      <c r="E813" t="s">
        <v>64</v>
      </c>
      <c r="F813" t="s">
        <v>65</v>
      </c>
      <c r="G813" t="s">
        <v>27</v>
      </c>
      <c r="H813" t="s">
        <v>45</v>
      </c>
      <c r="I813" s="5">
        <v>121</v>
      </c>
      <c r="J813" s="5">
        <v>74</v>
      </c>
      <c r="K813" s="5">
        <v>7</v>
      </c>
      <c r="L813" s="5">
        <v>1</v>
      </c>
      <c r="M813" s="5">
        <v>1</v>
      </c>
      <c r="N813" s="7">
        <v>767.14</v>
      </c>
      <c r="O813" s="7">
        <f t="shared" si="86"/>
        <v>767.14</v>
      </c>
      <c r="P813" s="4">
        <v>0</v>
      </c>
      <c r="Q813" s="7">
        <f t="shared" si="87"/>
        <v>0</v>
      </c>
      <c r="R813" s="7">
        <f t="shared" si="88"/>
        <v>767.14</v>
      </c>
      <c r="S813" s="7">
        <f t="shared" si="89"/>
        <v>767.14</v>
      </c>
      <c r="T813" s="6">
        <f t="shared" si="90"/>
        <v>8.2644628099173556E-3</v>
      </c>
      <c r="V813" t="s">
        <v>29</v>
      </c>
    </row>
    <row r="814" spans="1:22">
      <c r="A814" s="3">
        <v>45691</v>
      </c>
      <c r="B814" t="str">
        <f t="shared" si="84"/>
        <v>yyyy-02</v>
      </c>
      <c r="C814">
        <f t="shared" si="85"/>
        <v>6</v>
      </c>
      <c r="D814" t="s">
        <v>66</v>
      </c>
      <c r="E814" t="s">
        <v>67</v>
      </c>
      <c r="F814" t="s">
        <v>68</v>
      </c>
      <c r="G814" t="s">
        <v>27</v>
      </c>
      <c r="H814" t="s">
        <v>28</v>
      </c>
      <c r="I814" s="5">
        <v>397</v>
      </c>
      <c r="J814" s="5">
        <v>211</v>
      </c>
      <c r="K814" s="5">
        <v>21</v>
      </c>
      <c r="L814" s="5">
        <v>7</v>
      </c>
      <c r="M814" s="5">
        <v>7</v>
      </c>
      <c r="N814" s="7">
        <v>685.21</v>
      </c>
      <c r="O814" s="7">
        <f t="shared" si="86"/>
        <v>4796.47</v>
      </c>
      <c r="P814" s="4">
        <v>7.0000000000000007E-2</v>
      </c>
      <c r="Q814" s="7">
        <f t="shared" si="87"/>
        <v>335.75290000000007</v>
      </c>
      <c r="R814" s="7">
        <f t="shared" si="88"/>
        <v>4460.7170999999998</v>
      </c>
      <c r="S814" s="7">
        <f t="shared" si="89"/>
        <v>637.24529999999993</v>
      </c>
      <c r="T814" s="6">
        <f t="shared" si="90"/>
        <v>1.7632241813602016E-2</v>
      </c>
      <c r="U814" t="s">
        <v>83</v>
      </c>
      <c r="V814" t="s">
        <v>78</v>
      </c>
    </row>
    <row r="815" spans="1:22">
      <c r="A815" s="3">
        <v>45691</v>
      </c>
      <c r="B815" t="str">
        <f t="shared" si="84"/>
        <v>yyyy-02</v>
      </c>
      <c r="C815">
        <f t="shared" si="85"/>
        <v>6</v>
      </c>
      <c r="D815" t="s">
        <v>66</v>
      </c>
      <c r="E815" t="s">
        <v>67</v>
      </c>
      <c r="F815" t="s">
        <v>69</v>
      </c>
      <c r="G815" t="s">
        <v>36</v>
      </c>
      <c r="H815" t="s">
        <v>37</v>
      </c>
      <c r="I815" s="5">
        <v>388</v>
      </c>
      <c r="J815" s="5">
        <v>218</v>
      </c>
      <c r="K815" s="5">
        <v>39</v>
      </c>
      <c r="L815" s="5">
        <v>9</v>
      </c>
      <c r="M815" s="5">
        <v>9</v>
      </c>
      <c r="N815" s="7">
        <v>386.61</v>
      </c>
      <c r="O815" s="7">
        <f t="shared" si="86"/>
        <v>3479.4900000000002</v>
      </c>
      <c r="P815" s="4">
        <v>7.0000000000000007E-2</v>
      </c>
      <c r="Q815" s="7">
        <f t="shared" si="87"/>
        <v>243.56430000000003</v>
      </c>
      <c r="R815" s="7">
        <f t="shared" si="88"/>
        <v>3235.9257000000002</v>
      </c>
      <c r="S815" s="7">
        <f t="shared" si="89"/>
        <v>359.54730000000001</v>
      </c>
      <c r="T815" s="6">
        <f t="shared" si="90"/>
        <v>2.3195876288659795E-2</v>
      </c>
      <c r="U815" t="s">
        <v>83</v>
      </c>
      <c r="V815" t="s">
        <v>29</v>
      </c>
    </row>
    <row r="816" spans="1:22">
      <c r="A816" s="3">
        <v>45691</v>
      </c>
      <c r="B816" t="str">
        <f t="shared" si="84"/>
        <v>yyyy-02</v>
      </c>
      <c r="C816">
        <f t="shared" si="85"/>
        <v>6</v>
      </c>
      <c r="D816" t="s">
        <v>66</v>
      </c>
      <c r="E816" t="s">
        <v>67</v>
      </c>
      <c r="F816" t="s">
        <v>70</v>
      </c>
      <c r="G816" t="s">
        <v>27</v>
      </c>
      <c r="H816" t="s">
        <v>45</v>
      </c>
      <c r="I816" s="5">
        <v>287</v>
      </c>
      <c r="J816" s="5">
        <v>204</v>
      </c>
      <c r="K816" s="5">
        <v>23</v>
      </c>
      <c r="L816" s="5">
        <v>7</v>
      </c>
      <c r="M816" s="5">
        <v>7</v>
      </c>
      <c r="N816" s="7">
        <v>342.14</v>
      </c>
      <c r="O816" s="7">
        <f t="shared" si="86"/>
        <v>2394.98</v>
      </c>
      <c r="P816" s="4">
        <v>7.0000000000000007E-2</v>
      </c>
      <c r="Q816" s="7">
        <f t="shared" si="87"/>
        <v>167.64860000000002</v>
      </c>
      <c r="R816" s="7">
        <f t="shared" si="88"/>
        <v>2227.3314</v>
      </c>
      <c r="S816" s="7">
        <f t="shared" si="89"/>
        <v>318.1902</v>
      </c>
      <c r="T816" s="6">
        <f t="shared" si="90"/>
        <v>2.4390243902439025E-2</v>
      </c>
      <c r="U816" t="s">
        <v>83</v>
      </c>
      <c r="V816" t="s">
        <v>29</v>
      </c>
    </row>
    <row r="817" spans="1:22">
      <c r="A817" s="3">
        <v>45691</v>
      </c>
      <c r="B817" t="str">
        <f t="shared" si="84"/>
        <v>yyyy-02</v>
      </c>
      <c r="C817">
        <f t="shared" si="85"/>
        <v>6</v>
      </c>
      <c r="D817" t="s">
        <v>66</v>
      </c>
      <c r="E817" t="s">
        <v>71</v>
      </c>
      <c r="F817" t="s">
        <v>72</v>
      </c>
      <c r="G817" t="s">
        <v>31</v>
      </c>
      <c r="H817" t="s">
        <v>32</v>
      </c>
      <c r="I817" s="5">
        <v>356</v>
      </c>
      <c r="J817" s="5">
        <v>280</v>
      </c>
      <c r="K817" s="5">
        <v>29</v>
      </c>
      <c r="L817" s="5">
        <v>7</v>
      </c>
      <c r="M817" s="5">
        <v>9</v>
      </c>
      <c r="N817" s="7">
        <v>128.18</v>
      </c>
      <c r="O817" s="7">
        <f t="shared" si="86"/>
        <v>1153.6200000000001</v>
      </c>
      <c r="P817" s="4">
        <v>0.05</v>
      </c>
      <c r="Q817" s="7">
        <f t="shared" si="87"/>
        <v>57.681000000000012</v>
      </c>
      <c r="R817" s="7">
        <f t="shared" si="88"/>
        <v>1095.9390000000001</v>
      </c>
      <c r="S817" s="7">
        <f t="shared" si="89"/>
        <v>156.56271428571429</v>
      </c>
      <c r="T817" s="6">
        <f t="shared" si="90"/>
        <v>1.9662921348314606E-2</v>
      </c>
      <c r="V817" t="s">
        <v>29</v>
      </c>
    </row>
    <row r="818" spans="1:22">
      <c r="A818" s="3">
        <v>45691</v>
      </c>
      <c r="B818" t="str">
        <f t="shared" si="84"/>
        <v>yyyy-02</v>
      </c>
      <c r="C818">
        <f t="shared" si="85"/>
        <v>6</v>
      </c>
      <c r="D818" t="s">
        <v>66</v>
      </c>
      <c r="E818" t="s">
        <v>73</v>
      </c>
      <c r="F818" t="s">
        <v>74</v>
      </c>
      <c r="G818" t="s">
        <v>31</v>
      </c>
      <c r="H818" t="s">
        <v>32</v>
      </c>
      <c r="I818" s="5">
        <v>184</v>
      </c>
      <c r="J818" s="5">
        <v>150</v>
      </c>
      <c r="K818" s="5">
        <v>17</v>
      </c>
      <c r="L818" s="5">
        <v>3</v>
      </c>
      <c r="M818" s="5">
        <v>3</v>
      </c>
      <c r="N818" s="7">
        <v>1188.57</v>
      </c>
      <c r="O818" s="7">
        <f t="shared" si="86"/>
        <v>3565.71</v>
      </c>
      <c r="P818" s="4">
        <v>0.03</v>
      </c>
      <c r="Q818" s="7">
        <f t="shared" si="87"/>
        <v>106.9713</v>
      </c>
      <c r="R818" s="7">
        <f t="shared" si="88"/>
        <v>3458.7386999999999</v>
      </c>
      <c r="S818" s="7">
        <f t="shared" si="89"/>
        <v>1152.9129</v>
      </c>
      <c r="T818" s="6">
        <f t="shared" si="90"/>
        <v>1.6304347826086956E-2</v>
      </c>
      <c r="V818" t="s">
        <v>29</v>
      </c>
    </row>
    <row r="819" spans="1:22">
      <c r="A819" s="3">
        <v>45691</v>
      </c>
      <c r="B819" t="str">
        <f t="shared" si="84"/>
        <v>yyyy-02</v>
      </c>
      <c r="C819">
        <f t="shared" si="85"/>
        <v>6</v>
      </c>
      <c r="D819" t="s">
        <v>66</v>
      </c>
      <c r="E819" t="s">
        <v>71</v>
      </c>
      <c r="F819" t="s">
        <v>75</v>
      </c>
      <c r="G819" t="s">
        <v>27</v>
      </c>
      <c r="H819" t="s">
        <v>45</v>
      </c>
      <c r="I819" s="5">
        <v>346</v>
      </c>
      <c r="J819" s="5">
        <v>199</v>
      </c>
      <c r="K819" s="5">
        <v>22</v>
      </c>
      <c r="L819" s="5">
        <v>5</v>
      </c>
      <c r="M819" s="5">
        <v>6</v>
      </c>
      <c r="N819" s="7">
        <v>39.520000000000003</v>
      </c>
      <c r="O819" s="7">
        <f t="shared" si="86"/>
        <v>237.12</v>
      </c>
      <c r="P819" s="4">
        <v>0.03</v>
      </c>
      <c r="Q819" s="7">
        <f t="shared" si="87"/>
        <v>7.1135999999999999</v>
      </c>
      <c r="R819" s="7">
        <f t="shared" si="88"/>
        <v>230.00640000000001</v>
      </c>
      <c r="S819" s="7">
        <f t="shared" si="89"/>
        <v>46.001280000000001</v>
      </c>
      <c r="T819" s="6">
        <f t="shared" si="90"/>
        <v>1.4450867052023121E-2</v>
      </c>
      <c r="V819" t="s">
        <v>29</v>
      </c>
    </row>
    <row r="820" spans="1:22">
      <c r="A820" s="3">
        <v>45691</v>
      </c>
      <c r="B820" t="str">
        <f t="shared" si="84"/>
        <v>yyyy-02</v>
      </c>
      <c r="C820">
        <f t="shared" si="85"/>
        <v>6</v>
      </c>
      <c r="D820" t="s">
        <v>24</v>
      </c>
      <c r="E820" t="s">
        <v>76</v>
      </c>
      <c r="F820" t="s">
        <v>77</v>
      </c>
      <c r="G820" t="s">
        <v>36</v>
      </c>
      <c r="H820" t="s">
        <v>37</v>
      </c>
      <c r="I820" s="5">
        <v>708</v>
      </c>
      <c r="J820" s="5">
        <v>456</v>
      </c>
      <c r="K820" s="5">
        <v>50</v>
      </c>
      <c r="L820" s="5">
        <v>11</v>
      </c>
      <c r="M820" s="5">
        <v>13</v>
      </c>
      <c r="N820" s="7">
        <v>195.99</v>
      </c>
      <c r="O820" s="7">
        <f t="shared" si="86"/>
        <v>2547.87</v>
      </c>
      <c r="P820" s="4">
        <v>0.03</v>
      </c>
      <c r="Q820" s="7">
        <f t="shared" si="87"/>
        <v>76.436099999999996</v>
      </c>
      <c r="R820" s="7">
        <f t="shared" si="88"/>
        <v>2471.4339</v>
      </c>
      <c r="S820" s="7">
        <f t="shared" si="89"/>
        <v>224.6758090909091</v>
      </c>
      <c r="T820" s="6">
        <f t="shared" si="90"/>
        <v>1.5536723163841809E-2</v>
      </c>
      <c r="V820" t="s">
        <v>29</v>
      </c>
    </row>
    <row r="821" spans="1:22">
      <c r="A821" s="3">
        <v>45692</v>
      </c>
      <c r="B821" t="str">
        <f t="shared" si="84"/>
        <v>yyyy-02</v>
      </c>
      <c r="C821">
        <f t="shared" si="85"/>
        <v>6</v>
      </c>
      <c r="D821" t="s">
        <v>24</v>
      </c>
      <c r="E821" t="s">
        <v>25</v>
      </c>
      <c r="F821" t="s">
        <v>26</v>
      </c>
      <c r="G821" t="s">
        <v>27</v>
      </c>
      <c r="H821" t="s">
        <v>48</v>
      </c>
      <c r="I821" s="5">
        <v>1501</v>
      </c>
      <c r="J821" s="5">
        <v>1032</v>
      </c>
      <c r="K821" s="5">
        <v>105</v>
      </c>
      <c r="L821" s="5">
        <v>27</v>
      </c>
      <c r="M821" s="5">
        <v>27</v>
      </c>
      <c r="N821" s="7">
        <v>968.28</v>
      </c>
      <c r="O821" s="7">
        <f t="shared" si="86"/>
        <v>26143.559999999998</v>
      </c>
      <c r="P821" s="4">
        <v>0</v>
      </c>
      <c r="Q821" s="7">
        <f t="shared" si="87"/>
        <v>0</v>
      </c>
      <c r="R821" s="7">
        <f t="shared" si="88"/>
        <v>26143.559999999998</v>
      </c>
      <c r="S821" s="7">
        <f t="shared" si="89"/>
        <v>968.27999999999986</v>
      </c>
      <c r="T821" s="6">
        <f t="shared" si="90"/>
        <v>1.7988007994670221E-2</v>
      </c>
      <c r="V821" t="s">
        <v>29</v>
      </c>
    </row>
    <row r="822" spans="1:22">
      <c r="A822" s="3">
        <v>45692</v>
      </c>
      <c r="B822" t="str">
        <f t="shared" si="84"/>
        <v>yyyy-02</v>
      </c>
      <c r="C822">
        <f t="shared" si="85"/>
        <v>6</v>
      </c>
      <c r="D822" t="s">
        <v>24</v>
      </c>
      <c r="E822" t="s">
        <v>25</v>
      </c>
      <c r="F822" t="s">
        <v>30</v>
      </c>
      <c r="G822" t="s">
        <v>27</v>
      </c>
      <c r="H822" t="s">
        <v>63</v>
      </c>
      <c r="I822" s="5">
        <v>1245</v>
      </c>
      <c r="J822" s="5">
        <v>884</v>
      </c>
      <c r="K822" s="5">
        <v>48</v>
      </c>
      <c r="L822" s="5">
        <v>23</v>
      </c>
      <c r="M822" s="5">
        <v>23</v>
      </c>
      <c r="N822" s="7">
        <v>392.38</v>
      </c>
      <c r="O822" s="7">
        <f t="shared" si="86"/>
        <v>9024.74</v>
      </c>
      <c r="P822" s="4">
        <v>0.05</v>
      </c>
      <c r="Q822" s="7">
        <f t="shared" si="87"/>
        <v>451.23700000000002</v>
      </c>
      <c r="R822" s="7">
        <f t="shared" si="88"/>
        <v>8573.5030000000006</v>
      </c>
      <c r="S822" s="7">
        <f t="shared" si="89"/>
        <v>372.76100000000002</v>
      </c>
      <c r="T822" s="6">
        <f t="shared" si="90"/>
        <v>1.8473895582329317E-2</v>
      </c>
      <c r="V822" t="s">
        <v>29</v>
      </c>
    </row>
    <row r="823" spans="1:22">
      <c r="A823" s="3">
        <v>45692</v>
      </c>
      <c r="B823" t="str">
        <f t="shared" si="84"/>
        <v>yyyy-02</v>
      </c>
      <c r="C823">
        <f t="shared" si="85"/>
        <v>6</v>
      </c>
      <c r="D823" t="s">
        <v>24</v>
      </c>
      <c r="E823" t="s">
        <v>25</v>
      </c>
      <c r="F823" t="s">
        <v>33</v>
      </c>
      <c r="G823" t="s">
        <v>36</v>
      </c>
      <c r="H823" t="s">
        <v>37</v>
      </c>
      <c r="I823" s="5">
        <v>1529</v>
      </c>
      <c r="J823" s="5">
        <v>1221</v>
      </c>
      <c r="K823" s="5">
        <v>107</v>
      </c>
      <c r="L823" s="5">
        <v>24</v>
      </c>
      <c r="M823" s="5">
        <v>24</v>
      </c>
      <c r="N823" s="7">
        <v>1752.57</v>
      </c>
      <c r="O823" s="7">
        <f t="shared" si="86"/>
        <v>42061.68</v>
      </c>
      <c r="P823" s="4">
        <v>0</v>
      </c>
      <c r="Q823" s="7">
        <f t="shared" si="87"/>
        <v>0</v>
      </c>
      <c r="R823" s="7">
        <f t="shared" si="88"/>
        <v>42061.68</v>
      </c>
      <c r="S823" s="7">
        <f t="shared" si="89"/>
        <v>1752.57</v>
      </c>
      <c r="T823" s="6">
        <f t="shared" si="90"/>
        <v>1.5696533682145193E-2</v>
      </c>
      <c r="V823" t="s">
        <v>29</v>
      </c>
    </row>
    <row r="824" spans="1:22">
      <c r="A824" s="3">
        <v>45692</v>
      </c>
      <c r="B824" t="str">
        <f t="shared" si="84"/>
        <v>yyyy-02</v>
      </c>
      <c r="C824">
        <f t="shared" si="85"/>
        <v>6</v>
      </c>
      <c r="D824" t="s">
        <v>24</v>
      </c>
      <c r="E824" t="s">
        <v>34</v>
      </c>
      <c r="F824" t="s">
        <v>35</v>
      </c>
      <c r="G824" t="s">
        <v>27</v>
      </c>
      <c r="H824" t="s">
        <v>28</v>
      </c>
      <c r="I824" s="5">
        <v>1221</v>
      </c>
      <c r="J824" s="5">
        <v>678</v>
      </c>
      <c r="K824" s="5">
        <v>64</v>
      </c>
      <c r="L824" s="5">
        <v>19</v>
      </c>
      <c r="M824" s="5">
        <v>19</v>
      </c>
      <c r="N824" s="7">
        <v>889.16</v>
      </c>
      <c r="O824" s="7">
        <f t="shared" si="86"/>
        <v>16894.04</v>
      </c>
      <c r="P824" s="4">
        <v>0.03</v>
      </c>
      <c r="Q824" s="7">
        <f t="shared" si="87"/>
        <v>506.82120000000003</v>
      </c>
      <c r="R824" s="7">
        <f t="shared" si="88"/>
        <v>16387.218800000002</v>
      </c>
      <c r="S824" s="7">
        <f t="shared" si="89"/>
        <v>862.48520000000008</v>
      </c>
      <c r="T824" s="6">
        <f t="shared" si="90"/>
        <v>1.5561015561015561E-2</v>
      </c>
      <c r="V824" t="s">
        <v>29</v>
      </c>
    </row>
    <row r="825" spans="1:22">
      <c r="A825" s="3">
        <v>45692</v>
      </c>
      <c r="B825" t="str">
        <f t="shared" si="84"/>
        <v>yyyy-02</v>
      </c>
      <c r="C825">
        <f t="shared" si="85"/>
        <v>6</v>
      </c>
      <c r="D825" t="s">
        <v>24</v>
      </c>
      <c r="E825" t="s">
        <v>38</v>
      </c>
      <c r="F825" t="s">
        <v>39</v>
      </c>
      <c r="G825" t="s">
        <v>36</v>
      </c>
      <c r="H825" t="s">
        <v>37</v>
      </c>
      <c r="I825" s="5">
        <v>904</v>
      </c>
      <c r="J825" s="5">
        <v>740</v>
      </c>
      <c r="K825" s="5">
        <v>68</v>
      </c>
      <c r="L825" s="5">
        <v>25</v>
      </c>
      <c r="M825" s="5">
        <v>25</v>
      </c>
      <c r="N825" s="7">
        <v>331.34</v>
      </c>
      <c r="O825" s="7">
        <f t="shared" si="86"/>
        <v>8283.5</v>
      </c>
      <c r="P825" s="4">
        <v>0.09</v>
      </c>
      <c r="Q825" s="7">
        <f t="shared" si="87"/>
        <v>745.51499999999999</v>
      </c>
      <c r="R825" s="7">
        <f t="shared" si="88"/>
        <v>7537.9849999999997</v>
      </c>
      <c r="S825" s="7">
        <f t="shared" si="89"/>
        <v>301.51939999999996</v>
      </c>
      <c r="T825" s="6">
        <f t="shared" si="90"/>
        <v>2.7654867256637169E-2</v>
      </c>
      <c r="U825" t="s">
        <v>84</v>
      </c>
      <c r="V825" t="s">
        <v>29</v>
      </c>
    </row>
    <row r="826" spans="1:22">
      <c r="A826" s="3">
        <v>45692</v>
      </c>
      <c r="B826" t="str">
        <f t="shared" si="84"/>
        <v>yyyy-02</v>
      </c>
      <c r="C826">
        <f t="shared" si="85"/>
        <v>6</v>
      </c>
      <c r="D826" t="s">
        <v>24</v>
      </c>
      <c r="E826" t="s">
        <v>40</v>
      </c>
      <c r="F826" t="s">
        <v>41</v>
      </c>
      <c r="G826" t="s">
        <v>36</v>
      </c>
      <c r="H826" t="s">
        <v>37</v>
      </c>
      <c r="I826" s="5">
        <v>669</v>
      </c>
      <c r="J826" s="5">
        <v>523</v>
      </c>
      <c r="K826" s="5">
        <v>61</v>
      </c>
      <c r="L826" s="5">
        <v>14</v>
      </c>
      <c r="M826" s="5">
        <v>17</v>
      </c>
      <c r="N826" s="7">
        <v>173.65</v>
      </c>
      <c r="O826" s="7">
        <f t="shared" si="86"/>
        <v>2952.05</v>
      </c>
      <c r="P826" s="4">
        <v>0</v>
      </c>
      <c r="Q826" s="7">
        <f t="shared" si="87"/>
        <v>0</v>
      </c>
      <c r="R826" s="7">
        <f t="shared" si="88"/>
        <v>2952.05</v>
      </c>
      <c r="S826" s="7">
        <f t="shared" si="89"/>
        <v>210.86071428571429</v>
      </c>
      <c r="T826" s="6">
        <f t="shared" si="90"/>
        <v>2.0926756352765322E-2</v>
      </c>
      <c r="V826" t="s">
        <v>29</v>
      </c>
    </row>
    <row r="827" spans="1:22">
      <c r="A827" s="3">
        <v>45692</v>
      </c>
      <c r="B827" t="str">
        <f t="shared" si="84"/>
        <v>yyyy-02</v>
      </c>
      <c r="C827">
        <f t="shared" si="85"/>
        <v>6</v>
      </c>
      <c r="D827" t="s">
        <v>42</v>
      </c>
      <c r="E827" t="s">
        <v>43</v>
      </c>
      <c r="F827" t="s">
        <v>44</v>
      </c>
      <c r="G827" t="s">
        <v>31</v>
      </c>
      <c r="H827" t="s">
        <v>32</v>
      </c>
      <c r="I827" s="5">
        <v>526</v>
      </c>
      <c r="J827" s="5">
        <v>406</v>
      </c>
      <c r="K827" s="5">
        <v>37</v>
      </c>
      <c r="L827" s="5">
        <v>9</v>
      </c>
      <c r="M827" s="5">
        <v>9</v>
      </c>
      <c r="N827" s="7">
        <v>1260.0899999999999</v>
      </c>
      <c r="O827" s="7">
        <f t="shared" si="86"/>
        <v>11340.81</v>
      </c>
      <c r="P827" s="4">
        <v>0</v>
      </c>
      <c r="Q827" s="7">
        <f t="shared" si="87"/>
        <v>0</v>
      </c>
      <c r="R827" s="7">
        <f t="shared" si="88"/>
        <v>11340.81</v>
      </c>
      <c r="S827" s="7">
        <f t="shared" si="89"/>
        <v>1260.0899999999999</v>
      </c>
      <c r="T827" s="6">
        <f t="shared" si="90"/>
        <v>1.7110266159695818E-2</v>
      </c>
      <c r="V827" t="s">
        <v>29</v>
      </c>
    </row>
    <row r="828" spans="1:22">
      <c r="A828" s="3">
        <v>45692</v>
      </c>
      <c r="B828" t="str">
        <f t="shared" si="84"/>
        <v>yyyy-02</v>
      </c>
      <c r="C828">
        <f t="shared" si="85"/>
        <v>6</v>
      </c>
      <c r="D828" t="s">
        <v>42</v>
      </c>
      <c r="E828" t="s">
        <v>43</v>
      </c>
      <c r="F828" t="s">
        <v>46</v>
      </c>
      <c r="G828" t="s">
        <v>31</v>
      </c>
      <c r="H828" t="s">
        <v>32</v>
      </c>
      <c r="I828" s="5">
        <v>540</v>
      </c>
      <c r="J828" s="5">
        <v>322</v>
      </c>
      <c r="K828" s="5">
        <v>40</v>
      </c>
      <c r="L828" s="5">
        <v>8</v>
      </c>
      <c r="M828" s="5">
        <v>8</v>
      </c>
      <c r="N828" s="7">
        <v>2139.11</v>
      </c>
      <c r="O828" s="7">
        <f t="shared" si="86"/>
        <v>17112.88</v>
      </c>
      <c r="P828" s="4">
        <v>0</v>
      </c>
      <c r="Q828" s="7">
        <f t="shared" si="87"/>
        <v>0</v>
      </c>
      <c r="R828" s="7">
        <f t="shared" si="88"/>
        <v>17112.88</v>
      </c>
      <c r="S828" s="7">
        <f t="shared" si="89"/>
        <v>2139.11</v>
      </c>
      <c r="T828" s="6">
        <f t="shared" si="90"/>
        <v>1.4814814814814815E-2</v>
      </c>
      <c r="V828" t="s">
        <v>29</v>
      </c>
    </row>
    <row r="829" spans="1:22">
      <c r="A829" s="3">
        <v>45692</v>
      </c>
      <c r="B829" t="str">
        <f t="shared" si="84"/>
        <v>yyyy-02</v>
      </c>
      <c r="C829">
        <f t="shared" si="85"/>
        <v>6</v>
      </c>
      <c r="D829" t="s">
        <v>42</v>
      </c>
      <c r="E829" t="s">
        <v>43</v>
      </c>
      <c r="F829" t="s">
        <v>47</v>
      </c>
      <c r="G829" t="s">
        <v>27</v>
      </c>
      <c r="H829" t="s">
        <v>48</v>
      </c>
      <c r="I829" s="5">
        <v>355</v>
      </c>
      <c r="J829" s="5">
        <v>217</v>
      </c>
      <c r="K829" s="5">
        <v>11</v>
      </c>
      <c r="L829" s="5">
        <v>4</v>
      </c>
      <c r="M829" s="5">
        <v>4</v>
      </c>
      <c r="N829" s="7">
        <v>595.04</v>
      </c>
      <c r="O829" s="7">
        <f t="shared" si="86"/>
        <v>2380.16</v>
      </c>
      <c r="P829" s="4">
        <v>0</v>
      </c>
      <c r="Q829" s="7">
        <f t="shared" si="87"/>
        <v>0</v>
      </c>
      <c r="R829" s="7">
        <f t="shared" si="88"/>
        <v>2380.16</v>
      </c>
      <c r="S829" s="7">
        <f t="shared" si="89"/>
        <v>595.04</v>
      </c>
      <c r="T829" s="6">
        <f t="shared" si="90"/>
        <v>1.1267605633802818E-2</v>
      </c>
      <c r="V829" t="s">
        <v>78</v>
      </c>
    </row>
    <row r="830" spans="1:22">
      <c r="A830" s="3">
        <v>45692</v>
      </c>
      <c r="B830" t="str">
        <f t="shared" si="84"/>
        <v>yyyy-02</v>
      </c>
      <c r="C830">
        <f t="shared" si="85"/>
        <v>6</v>
      </c>
      <c r="D830" t="s">
        <v>42</v>
      </c>
      <c r="E830" t="s">
        <v>49</v>
      </c>
      <c r="F830" t="s">
        <v>50</v>
      </c>
      <c r="G830" t="s">
        <v>36</v>
      </c>
      <c r="H830" t="s">
        <v>37</v>
      </c>
      <c r="I830" s="5">
        <v>129</v>
      </c>
      <c r="J830" s="5">
        <v>87</v>
      </c>
      <c r="K830" s="5">
        <v>10</v>
      </c>
      <c r="L830" s="5">
        <v>2</v>
      </c>
      <c r="M830" s="5">
        <v>2</v>
      </c>
      <c r="N830" s="7">
        <v>997.11</v>
      </c>
      <c r="O830" s="7">
        <f t="shared" si="86"/>
        <v>1994.22</v>
      </c>
      <c r="P830" s="4">
        <v>0</v>
      </c>
      <c r="Q830" s="7">
        <f t="shared" si="87"/>
        <v>0</v>
      </c>
      <c r="R830" s="7">
        <f t="shared" si="88"/>
        <v>1994.22</v>
      </c>
      <c r="S830" s="7">
        <f t="shared" si="89"/>
        <v>997.11</v>
      </c>
      <c r="T830" s="6">
        <f t="shared" si="90"/>
        <v>1.5503875968992248E-2</v>
      </c>
      <c r="V830" t="s">
        <v>29</v>
      </c>
    </row>
    <row r="831" spans="1:22">
      <c r="A831" s="3">
        <v>45692</v>
      </c>
      <c r="B831" t="str">
        <f t="shared" si="84"/>
        <v>yyyy-02</v>
      </c>
      <c r="C831">
        <f t="shared" si="85"/>
        <v>6</v>
      </c>
      <c r="D831" t="s">
        <v>42</v>
      </c>
      <c r="E831" t="s">
        <v>51</v>
      </c>
      <c r="F831" t="s">
        <v>52</v>
      </c>
      <c r="G831" t="s">
        <v>27</v>
      </c>
      <c r="H831" t="s">
        <v>63</v>
      </c>
      <c r="I831" s="5">
        <v>181</v>
      </c>
      <c r="J831" s="5">
        <v>113</v>
      </c>
      <c r="K831" s="5">
        <v>11</v>
      </c>
      <c r="L831" s="5">
        <v>3</v>
      </c>
      <c r="M831" s="5">
        <v>3</v>
      </c>
      <c r="N831" s="7">
        <v>599.9</v>
      </c>
      <c r="O831" s="7">
        <f t="shared" si="86"/>
        <v>1799.6999999999998</v>
      </c>
      <c r="P831" s="4">
        <v>0.05</v>
      </c>
      <c r="Q831" s="7">
        <f t="shared" si="87"/>
        <v>89.984999999999999</v>
      </c>
      <c r="R831" s="7">
        <f t="shared" si="88"/>
        <v>1709.7149999999999</v>
      </c>
      <c r="S831" s="7">
        <f t="shared" si="89"/>
        <v>569.90499999999997</v>
      </c>
      <c r="T831" s="6">
        <f t="shared" si="90"/>
        <v>1.6574585635359115E-2</v>
      </c>
      <c r="V831" t="s">
        <v>29</v>
      </c>
    </row>
    <row r="832" spans="1:22">
      <c r="A832" s="3">
        <v>45692</v>
      </c>
      <c r="B832" t="str">
        <f t="shared" si="84"/>
        <v>yyyy-02</v>
      </c>
      <c r="C832">
        <f t="shared" si="85"/>
        <v>6</v>
      </c>
      <c r="D832" t="s">
        <v>53</v>
      </c>
      <c r="E832" t="s">
        <v>54</v>
      </c>
      <c r="F832" t="s">
        <v>55</v>
      </c>
      <c r="G832" t="s">
        <v>27</v>
      </c>
      <c r="H832" t="s">
        <v>28</v>
      </c>
      <c r="I832" s="5">
        <v>240</v>
      </c>
      <c r="J832" s="5">
        <v>125</v>
      </c>
      <c r="K832" s="5">
        <v>11</v>
      </c>
      <c r="L832" s="5">
        <v>2</v>
      </c>
      <c r="M832" s="5">
        <v>2</v>
      </c>
      <c r="N832" s="7">
        <v>1301.32</v>
      </c>
      <c r="O832" s="7">
        <f t="shared" si="86"/>
        <v>2602.64</v>
      </c>
      <c r="P832" s="4">
        <v>0</v>
      </c>
      <c r="Q832" s="7">
        <f t="shared" si="87"/>
        <v>0</v>
      </c>
      <c r="R832" s="7">
        <f t="shared" si="88"/>
        <v>2602.64</v>
      </c>
      <c r="S832" s="7">
        <f t="shared" si="89"/>
        <v>1301.32</v>
      </c>
      <c r="T832" s="6">
        <f t="shared" si="90"/>
        <v>8.3333333333333332E-3</v>
      </c>
      <c r="V832" t="s">
        <v>29</v>
      </c>
    </row>
    <row r="833" spans="1:22">
      <c r="A833" s="3">
        <v>45692</v>
      </c>
      <c r="B833" t="str">
        <f t="shared" si="84"/>
        <v>yyyy-02</v>
      </c>
      <c r="C833">
        <f t="shared" si="85"/>
        <v>6</v>
      </c>
      <c r="D833" t="s">
        <v>53</v>
      </c>
      <c r="E833" t="s">
        <v>56</v>
      </c>
      <c r="F833" t="s">
        <v>57</v>
      </c>
      <c r="G833" t="s">
        <v>27</v>
      </c>
      <c r="H833" t="s">
        <v>28</v>
      </c>
      <c r="I833" s="5">
        <v>204</v>
      </c>
      <c r="J833" s="5">
        <v>110</v>
      </c>
      <c r="K833" s="5">
        <v>10</v>
      </c>
      <c r="L833" s="5">
        <v>2</v>
      </c>
      <c r="M833" s="5">
        <v>2</v>
      </c>
      <c r="N833" s="7">
        <v>749.25</v>
      </c>
      <c r="O833" s="7">
        <f t="shared" si="86"/>
        <v>1498.5</v>
      </c>
      <c r="P833" s="4">
        <v>0</v>
      </c>
      <c r="Q833" s="7">
        <f t="shared" si="87"/>
        <v>0</v>
      </c>
      <c r="R833" s="7">
        <f t="shared" si="88"/>
        <v>1498.5</v>
      </c>
      <c r="S833" s="7">
        <f t="shared" si="89"/>
        <v>749.25</v>
      </c>
      <c r="T833" s="6">
        <f t="shared" si="90"/>
        <v>9.8039215686274508E-3</v>
      </c>
      <c r="V833" t="s">
        <v>29</v>
      </c>
    </row>
    <row r="834" spans="1:22">
      <c r="A834" s="3">
        <v>45692</v>
      </c>
      <c r="B834" t="str">
        <f t="shared" si="84"/>
        <v>yyyy-02</v>
      </c>
      <c r="C834">
        <f t="shared" si="85"/>
        <v>6</v>
      </c>
      <c r="D834" t="s">
        <v>53</v>
      </c>
      <c r="E834" t="s">
        <v>56</v>
      </c>
      <c r="F834" t="s">
        <v>58</v>
      </c>
      <c r="G834" t="s">
        <v>36</v>
      </c>
      <c r="H834" t="s">
        <v>37</v>
      </c>
      <c r="I834" s="5">
        <v>168</v>
      </c>
      <c r="J834" s="5">
        <v>106</v>
      </c>
      <c r="K834" s="5">
        <v>10</v>
      </c>
      <c r="L834" s="5">
        <v>2</v>
      </c>
      <c r="M834" s="5">
        <v>2</v>
      </c>
      <c r="N834" s="7">
        <v>863.49</v>
      </c>
      <c r="O834" s="7">
        <f t="shared" si="86"/>
        <v>1726.98</v>
      </c>
      <c r="P834" s="4">
        <v>0</v>
      </c>
      <c r="Q834" s="7">
        <f t="shared" si="87"/>
        <v>0</v>
      </c>
      <c r="R834" s="7">
        <f t="shared" si="88"/>
        <v>1726.98</v>
      </c>
      <c r="S834" s="7">
        <f t="shared" si="89"/>
        <v>863.49</v>
      </c>
      <c r="T834" s="6">
        <f t="shared" si="90"/>
        <v>1.1904761904761904E-2</v>
      </c>
      <c r="V834" t="s">
        <v>29</v>
      </c>
    </row>
    <row r="835" spans="1:22">
      <c r="A835" s="3">
        <v>45692</v>
      </c>
      <c r="B835" t="str">
        <f t="shared" si="84"/>
        <v>yyyy-02</v>
      </c>
      <c r="C835">
        <f t="shared" si="85"/>
        <v>6</v>
      </c>
      <c r="D835" t="s">
        <v>53</v>
      </c>
      <c r="E835" t="s">
        <v>59</v>
      </c>
      <c r="F835" t="s">
        <v>60</v>
      </c>
      <c r="G835" t="s">
        <v>36</v>
      </c>
      <c r="H835" t="s">
        <v>37</v>
      </c>
      <c r="I835" s="5">
        <v>157</v>
      </c>
      <c r="J835" s="5">
        <v>95</v>
      </c>
      <c r="K835" s="5">
        <v>6</v>
      </c>
      <c r="L835" s="5">
        <v>2</v>
      </c>
      <c r="M835" s="5">
        <v>2</v>
      </c>
      <c r="N835" s="7">
        <v>696.77</v>
      </c>
      <c r="O835" s="7">
        <f t="shared" si="86"/>
        <v>1393.54</v>
      </c>
      <c r="P835" s="4">
        <v>0</v>
      </c>
      <c r="Q835" s="7">
        <f t="shared" si="87"/>
        <v>0</v>
      </c>
      <c r="R835" s="7">
        <f t="shared" si="88"/>
        <v>1393.54</v>
      </c>
      <c r="S835" s="7">
        <f t="shared" si="89"/>
        <v>696.77</v>
      </c>
      <c r="T835" s="6">
        <f t="shared" si="90"/>
        <v>1.2738853503184714E-2</v>
      </c>
      <c r="V835" t="s">
        <v>29</v>
      </c>
    </row>
    <row r="836" spans="1:22">
      <c r="A836" s="3">
        <v>45692</v>
      </c>
      <c r="B836" t="str">
        <f t="shared" si="84"/>
        <v>yyyy-02</v>
      </c>
      <c r="C836">
        <f t="shared" si="85"/>
        <v>6</v>
      </c>
      <c r="D836" t="s">
        <v>53</v>
      </c>
      <c r="E836" t="s">
        <v>61</v>
      </c>
      <c r="F836" t="s">
        <v>62</v>
      </c>
      <c r="G836" t="s">
        <v>36</v>
      </c>
      <c r="H836" t="s">
        <v>37</v>
      </c>
      <c r="I836" s="5">
        <v>175</v>
      </c>
      <c r="J836" s="5">
        <v>144</v>
      </c>
      <c r="K836" s="5">
        <v>11</v>
      </c>
      <c r="L836" s="5">
        <v>2</v>
      </c>
      <c r="M836" s="5">
        <v>2</v>
      </c>
      <c r="N836" s="7">
        <v>500.12</v>
      </c>
      <c r="O836" s="7">
        <f t="shared" si="86"/>
        <v>1000.24</v>
      </c>
      <c r="P836" s="4">
        <v>0.05</v>
      </c>
      <c r="Q836" s="7">
        <f t="shared" si="87"/>
        <v>50.012</v>
      </c>
      <c r="R836" s="7">
        <f t="shared" si="88"/>
        <v>950.22800000000007</v>
      </c>
      <c r="S836" s="7">
        <f t="shared" si="89"/>
        <v>475.11400000000003</v>
      </c>
      <c r="T836" s="6">
        <f t="shared" si="90"/>
        <v>1.1428571428571429E-2</v>
      </c>
      <c r="V836" t="s">
        <v>29</v>
      </c>
    </row>
    <row r="837" spans="1:22">
      <c r="A837" s="3">
        <v>45692</v>
      </c>
      <c r="B837" t="str">
        <f t="shared" ref="B837:B900" si="91">TEXT(A837,"yyyy-mm")</f>
        <v>yyyy-02</v>
      </c>
      <c r="C837">
        <f t="shared" ref="C837:C900" si="92">WEEKNUM(A837,2)</f>
        <v>6</v>
      </c>
      <c r="D837" t="s">
        <v>53</v>
      </c>
      <c r="E837" t="s">
        <v>64</v>
      </c>
      <c r="F837" t="s">
        <v>65</v>
      </c>
      <c r="G837" t="s">
        <v>27</v>
      </c>
      <c r="H837" t="s">
        <v>28</v>
      </c>
      <c r="I837" s="5">
        <v>207</v>
      </c>
      <c r="J837" s="5">
        <v>163</v>
      </c>
      <c r="K837" s="5">
        <v>14</v>
      </c>
      <c r="L837" s="5">
        <v>2</v>
      </c>
      <c r="M837" s="5">
        <v>2</v>
      </c>
      <c r="N837" s="7">
        <v>798.67</v>
      </c>
      <c r="O837" s="7">
        <f t="shared" ref="O837:O900" si="93">M837*N837</f>
        <v>1597.34</v>
      </c>
      <c r="P837" s="4">
        <v>0</v>
      </c>
      <c r="Q837" s="7">
        <f t="shared" ref="Q837:Q900" si="94">O837*P837</f>
        <v>0</v>
      </c>
      <c r="R837" s="7">
        <f t="shared" ref="R837:R900" si="95">O837-Q837</f>
        <v>1597.34</v>
      </c>
      <c r="S837" s="7">
        <f t="shared" ref="S837:S900" si="96">IFERROR(R837/L837,0)</f>
        <v>798.67</v>
      </c>
      <c r="T837" s="6">
        <f t="shared" ref="T837:T900" si="97">IFERROR(L837/I837,0)</f>
        <v>9.6618357487922701E-3</v>
      </c>
      <c r="V837" t="s">
        <v>29</v>
      </c>
    </row>
    <row r="838" spans="1:22">
      <c r="A838" s="3">
        <v>45692</v>
      </c>
      <c r="B838" t="str">
        <f t="shared" si="91"/>
        <v>yyyy-02</v>
      </c>
      <c r="C838">
        <f t="shared" si="92"/>
        <v>6</v>
      </c>
      <c r="D838" t="s">
        <v>66</v>
      </c>
      <c r="E838" t="s">
        <v>67</v>
      </c>
      <c r="F838" t="s">
        <v>68</v>
      </c>
      <c r="G838" t="s">
        <v>27</v>
      </c>
      <c r="H838" t="s">
        <v>28</v>
      </c>
      <c r="I838" s="5">
        <v>294</v>
      </c>
      <c r="J838" s="5">
        <v>204</v>
      </c>
      <c r="K838" s="5">
        <v>12</v>
      </c>
      <c r="L838" s="5">
        <v>5</v>
      </c>
      <c r="M838" s="5">
        <v>5</v>
      </c>
      <c r="N838" s="7">
        <v>681.93</v>
      </c>
      <c r="O838" s="7">
        <f t="shared" si="93"/>
        <v>3409.6499999999996</v>
      </c>
      <c r="P838" s="4">
        <v>7.0000000000000007E-2</v>
      </c>
      <c r="Q838" s="7">
        <f t="shared" si="94"/>
        <v>238.6755</v>
      </c>
      <c r="R838" s="7">
        <f t="shared" si="95"/>
        <v>3170.9744999999998</v>
      </c>
      <c r="S838" s="7">
        <f t="shared" si="96"/>
        <v>634.19489999999996</v>
      </c>
      <c r="T838" s="6">
        <f t="shared" si="97"/>
        <v>1.7006802721088437E-2</v>
      </c>
      <c r="U838" t="s">
        <v>83</v>
      </c>
      <c r="V838" t="s">
        <v>29</v>
      </c>
    </row>
    <row r="839" spans="1:22">
      <c r="A839" s="3">
        <v>45692</v>
      </c>
      <c r="B839" t="str">
        <f t="shared" si="91"/>
        <v>yyyy-02</v>
      </c>
      <c r="C839">
        <f t="shared" si="92"/>
        <v>6</v>
      </c>
      <c r="D839" t="s">
        <v>66</v>
      </c>
      <c r="E839" t="s">
        <v>67</v>
      </c>
      <c r="F839" t="s">
        <v>69</v>
      </c>
      <c r="G839" t="s">
        <v>27</v>
      </c>
      <c r="H839" t="s">
        <v>28</v>
      </c>
      <c r="I839" s="5">
        <v>252</v>
      </c>
      <c r="J839" s="5">
        <v>146</v>
      </c>
      <c r="K839" s="5">
        <v>30</v>
      </c>
      <c r="L839" s="5">
        <v>6</v>
      </c>
      <c r="M839" s="5">
        <v>6</v>
      </c>
      <c r="N839" s="7">
        <v>395.8</v>
      </c>
      <c r="O839" s="7">
        <f t="shared" si="93"/>
        <v>2374.8000000000002</v>
      </c>
      <c r="P839" s="4">
        <v>7.0000000000000007E-2</v>
      </c>
      <c r="Q839" s="7">
        <f t="shared" si="94"/>
        <v>166.23600000000002</v>
      </c>
      <c r="R839" s="7">
        <f t="shared" si="95"/>
        <v>2208.5640000000003</v>
      </c>
      <c r="S839" s="7">
        <f t="shared" si="96"/>
        <v>368.09400000000005</v>
      </c>
      <c r="T839" s="6">
        <f t="shared" si="97"/>
        <v>2.3809523809523808E-2</v>
      </c>
      <c r="U839" t="s">
        <v>83</v>
      </c>
      <c r="V839" t="s">
        <v>29</v>
      </c>
    </row>
    <row r="840" spans="1:22">
      <c r="A840" s="3">
        <v>45692</v>
      </c>
      <c r="B840" t="str">
        <f t="shared" si="91"/>
        <v>yyyy-02</v>
      </c>
      <c r="C840">
        <f t="shared" si="92"/>
        <v>6</v>
      </c>
      <c r="D840" t="s">
        <v>66</v>
      </c>
      <c r="E840" t="s">
        <v>67</v>
      </c>
      <c r="F840" t="s">
        <v>70</v>
      </c>
      <c r="G840" t="s">
        <v>36</v>
      </c>
      <c r="H840" t="s">
        <v>37</v>
      </c>
      <c r="I840" s="5">
        <v>359</v>
      </c>
      <c r="J840" s="5">
        <v>237</v>
      </c>
      <c r="K840" s="5">
        <v>39</v>
      </c>
      <c r="L840" s="5">
        <v>10</v>
      </c>
      <c r="M840" s="5">
        <v>10</v>
      </c>
      <c r="N840" s="7">
        <v>336.13</v>
      </c>
      <c r="O840" s="7">
        <f t="shared" si="93"/>
        <v>3361.3</v>
      </c>
      <c r="P840" s="4">
        <v>7.0000000000000007E-2</v>
      </c>
      <c r="Q840" s="7">
        <f t="shared" si="94"/>
        <v>235.29100000000003</v>
      </c>
      <c r="R840" s="7">
        <f t="shared" si="95"/>
        <v>3126.009</v>
      </c>
      <c r="S840" s="7">
        <f t="shared" si="96"/>
        <v>312.60090000000002</v>
      </c>
      <c r="T840" s="6">
        <f t="shared" si="97"/>
        <v>2.7855153203342618E-2</v>
      </c>
      <c r="U840" t="s">
        <v>83</v>
      </c>
      <c r="V840" t="s">
        <v>29</v>
      </c>
    </row>
    <row r="841" spans="1:22">
      <c r="A841" s="3">
        <v>45692</v>
      </c>
      <c r="B841" t="str">
        <f t="shared" si="91"/>
        <v>yyyy-02</v>
      </c>
      <c r="C841">
        <f t="shared" si="92"/>
        <v>6</v>
      </c>
      <c r="D841" t="s">
        <v>66</v>
      </c>
      <c r="E841" t="s">
        <v>71</v>
      </c>
      <c r="F841" t="s">
        <v>72</v>
      </c>
      <c r="G841" t="s">
        <v>27</v>
      </c>
      <c r="H841" t="s">
        <v>63</v>
      </c>
      <c r="I841" s="5">
        <v>204</v>
      </c>
      <c r="J841" s="5">
        <v>138</v>
      </c>
      <c r="K841" s="5">
        <v>14</v>
      </c>
      <c r="L841" s="5">
        <v>4</v>
      </c>
      <c r="M841" s="5">
        <v>5</v>
      </c>
      <c r="N841" s="7">
        <v>124.2</v>
      </c>
      <c r="O841" s="7">
        <f t="shared" si="93"/>
        <v>621</v>
      </c>
      <c r="P841" s="4">
        <v>0</v>
      </c>
      <c r="Q841" s="7">
        <f t="shared" si="94"/>
        <v>0</v>
      </c>
      <c r="R841" s="7">
        <f t="shared" si="95"/>
        <v>621</v>
      </c>
      <c r="S841" s="7">
        <f t="shared" si="96"/>
        <v>155.25</v>
      </c>
      <c r="T841" s="6">
        <f t="shared" si="97"/>
        <v>1.9607843137254902E-2</v>
      </c>
      <c r="V841" t="s">
        <v>29</v>
      </c>
    </row>
    <row r="842" spans="1:22">
      <c r="A842" s="3">
        <v>45692</v>
      </c>
      <c r="B842" t="str">
        <f t="shared" si="91"/>
        <v>yyyy-02</v>
      </c>
      <c r="C842">
        <f t="shared" si="92"/>
        <v>6</v>
      </c>
      <c r="D842" t="s">
        <v>66</v>
      </c>
      <c r="E842" t="s">
        <v>73</v>
      </c>
      <c r="F842" t="s">
        <v>74</v>
      </c>
      <c r="G842" t="s">
        <v>27</v>
      </c>
      <c r="H842" t="s">
        <v>48</v>
      </c>
      <c r="I842" s="5">
        <v>160</v>
      </c>
      <c r="J842" s="5">
        <v>83</v>
      </c>
      <c r="K842" s="5">
        <v>7</v>
      </c>
      <c r="L842" s="5">
        <v>2</v>
      </c>
      <c r="M842" s="5">
        <v>2</v>
      </c>
      <c r="N842" s="7">
        <v>1152.8699999999999</v>
      </c>
      <c r="O842" s="7">
        <f t="shared" si="93"/>
        <v>2305.7399999999998</v>
      </c>
      <c r="P842" s="4">
        <v>0.03</v>
      </c>
      <c r="Q842" s="7">
        <f t="shared" si="94"/>
        <v>69.172199999999989</v>
      </c>
      <c r="R842" s="7">
        <f t="shared" si="95"/>
        <v>2236.5677999999998</v>
      </c>
      <c r="S842" s="7">
        <f t="shared" si="96"/>
        <v>1118.2838999999999</v>
      </c>
      <c r="T842" s="6">
        <f t="shared" si="97"/>
        <v>1.2500000000000001E-2</v>
      </c>
      <c r="V842" t="s">
        <v>29</v>
      </c>
    </row>
    <row r="843" spans="1:22">
      <c r="A843" s="3">
        <v>45692</v>
      </c>
      <c r="B843" t="str">
        <f t="shared" si="91"/>
        <v>yyyy-02</v>
      </c>
      <c r="C843">
        <f t="shared" si="92"/>
        <v>6</v>
      </c>
      <c r="D843" t="s">
        <v>66</v>
      </c>
      <c r="E843" t="s">
        <v>71</v>
      </c>
      <c r="F843" t="s">
        <v>75</v>
      </c>
      <c r="G843" t="s">
        <v>27</v>
      </c>
      <c r="H843" t="s">
        <v>45</v>
      </c>
      <c r="I843" s="5">
        <v>304</v>
      </c>
      <c r="J843" s="5">
        <v>173</v>
      </c>
      <c r="K843" s="5">
        <v>19</v>
      </c>
      <c r="L843" s="5">
        <v>5</v>
      </c>
      <c r="M843" s="5">
        <v>6</v>
      </c>
      <c r="N843" s="7">
        <v>39.33</v>
      </c>
      <c r="O843" s="7">
        <f t="shared" si="93"/>
        <v>235.98</v>
      </c>
      <c r="P843" s="4">
        <v>0.05</v>
      </c>
      <c r="Q843" s="7">
        <f t="shared" si="94"/>
        <v>11.798999999999999</v>
      </c>
      <c r="R843" s="7">
        <f t="shared" si="95"/>
        <v>224.18099999999998</v>
      </c>
      <c r="S843" s="7">
        <f t="shared" si="96"/>
        <v>44.836199999999998</v>
      </c>
      <c r="T843" s="6">
        <f t="shared" si="97"/>
        <v>1.6447368421052631E-2</v>
      </c>
      <c r="V843" t="s">
        <v>29</v>
      </c>
    </row>
    <row r="844" spans="1:22">
      <c r="A844" s="3">
        <v>45692</v>
      </c>
      <c r="B844" t="str">
        <f t="shared" si="91"/>
        <v>yyyy-02</v>
      </c>
      <c r="C844">
        <f t="shared" si="92"/>
        <v>6</v>
      </c>
      <c r="D844" t="s">
        <v>24</v>
      </c>
      <c r="E844" t="s">
        <v>76</v>
      </c>
      <c r="F844" t="s">
        <v>77</v>
      </c>
      <c r="G844" t="s">
        <v>27</v>
      </c>
      <c r="H844" t="s">
        <v>28</v>
      </c>
      <c r="I844" s="5">
        <v>547</v>
      </c>
      <c r="J844" s="5">
        <v>426</v>
      </c>
      <c r="K844" s="5">
        <v>50</v>
      </c>
      <c r="L844" s="5">
        <v>10</v>
      </c>
      <c r="M844" s="5">
        <v>13</v>
      </c>
      <c r="N844" s="7">
        <v>200.85</v>
      </c>
      <c r="O844" s="7">
        <f t="shared" si="93"/>
        <v>2611.0499999999997</v>
      </c>
      <c r="P844" s="4">
        <v>0.05</v>
      </c>
      <c r="Q844" s="7">
        <f t="shared" si="94"/>
        <v>130.55249999999998</v>
      </c>
      <c r="R844" s="7">
        <f t="shared" si="95"/>
        <v>2480.4974999999999</v>
      </c>
      <c r="S844" s="7">
        <f t="shared" si="96"/>
        <v>248.04974999999999</v>
      </c>
      <c r="T844" s="6">
        <f t="shared" si="97"/>
        <v>1.8281535648994516E-2</v>
      </c>
      <c r="V844" t="s">
        <v>29</v>
      </c>
    </row>
    <row r="845" spans="1:22">
      <c r="A845" s="3">
        <v>45693</v>
      </c>
      <c r="B845" t="str">
        <f t="shared" si="91"/>
        <v>yyyy-02</v>
      </c>
      <c r="C845">
        <f t="shared" si="92"/>
        <v>6</v>
      </c>
      <c r="D845" t="s">
        <v>24</v>
      </c>
      <c r="E845" t="s">
        <v>25</v>
      </c>
      <c r="F845" t="s">
        <v>26</v>
      </c>
      <c r="G845" t="s">
        <v>27</v>
      </c>
      <c r="H845" t="s">
        <v>28</v>
      </c>
      <c r="I845" s="5">
        <v>1469</v>
      </c>
      <c r="J845" s="5">
        <v>1111</v>
      </c>
      <c r="K845" s="5">
        <v>120</v>
      </c>
      <c r="L845" s="5">
        <v>32</v>
      </c>
      <c r="M845" s="5">
        <v>32</v>
      </c>
      <c r="N845" s="7">
        <v>962.68</v>
      </c>
      <c r="O845" s="7">
        <f t="shared" si="93"/>
        <v>30805.759999999998</v>
      </c>
      <c r="P845" s="4">
        <v>0</v>
      </c>
      <c r="Q845" s="7">
        <f t="shared" si="94"/>
        <v>0</v>
      </c>
      <c r="R845" s="7">
        <f t="shared" si="95"/>
        <v>30805.759999999998</v>
      </c>
      <c r="S845" s="7">
        <f t="shared" si="96"/>
        <v>962.68</v>
      </c>
      <c r="T845" s="6">
        <f t="shared" si="97"/>
        <v>2.1783526208304968E-2</v>
      </c>
      <c r="V845" t="s">
        <v>29</v>
      </c>
    </row>
    <row r="846" spans="1:22">
      <c r="A846" s="3">
        <v>45693</v>
      </c>
      <c r="B846" t="str">
        <f t="shared" si="91"/>
        <v>yyyy-02</v>
      </c>
      <c r="C846">
        <f t="shared" si="92"/>
        <v>6</v>
      </c>
      <c r="D846" t="s">
        <v>24</v>
      </c>
      <c r="E846" t="s">
        <v>25</v>
      </c>
      <c r="F846" t="s">
        <v>30</v>
      </c>
      <c r="G846" t="s">
        <v>31</v>
      </c>
      <c r="H846" t="s">
        <v>32</v>
      </c>
      <c r="I846" s="5">
        <v>1343</v>
      </c>
      <c r="J846" s="5">
        <v>987</v>
      </c>
      <c r="K846" s="5">
        <v>103</v>
      </c>
      <c r="L846" s="5">
        <v>32</v>
      </c>
      <c r="M846" s="5">
        <v>32</v>
      </c>
      <c r="N846" s="7">
        <v>384.35</v>
      </c>
      <c r="O846" s="7">
        <f t="shared" si="93"/>
        <v>12299.2</v>
      </c>
      <c r="P846" s="4">
        <v>0</v>
      </c>
      <c r="Q846" s="7">
        <f t="shared" si="94"/>
        <v>0</v>
      </c>
      <c r="R846" s="7">
        <f t="shared" si="95"/>
        <v>12299.2</v>
      </c>
      <c r="S846" s="7">
        <f t="shared" si="96"/>
        <v>384.35</v>
      </c>
      <c r="T846" s="6">
        <f t="shared" si="97"/>
        <v>2.3827252419955324E-2</v>
      </c>
      <c r="V846" t="s">
        <v>29</v>
      </c>
    </row>
    <row r="847" spans="1:22">
      <c r="A847" s="3">
        <v>45693</v>
      </c>
      <c r="B847" t="str">
        <f t="shared" si="91"/>
        <v>yyyy-02</v>
      </c>
      <c r="C847">
        <f t="shared" si="92"/>
        <v>6</v>
      </c>
      <c r="D847" t="s">
        <v>24</v>
      </c>
      <c r="E847" t="s">
        <v>25</v>
      </c>
      <c r="F847" t="s">
        <v>33</v>
      </c>
      <c r="G847" t="s">
        <v>27</v>
      </c>
      <c r="H847" t="s">
        <v>28</v>
      </c>
      <c r="I847" s="5">
        <v>1301</v>
      </c>
      <c r="J847" s="5">
        <v>795</v>
      </c>
      <c r="K847" s="5">
        <v>80</v>
      </c>
      <c r="L847" s="5">
        <v>19</v>
      </c>
      <c r="M847" s="5">
        <v>19</v>
      </c>
      <c r="N847" s="7">
        <v>1752.2</v>
      </c>
      <c r="O847" s="7">
        <f t="shared" si="93"/>
        <v>33291.800000000003</v>
      </c>
      <c r="P847" s="4">
        <v>0</v>
      </c>
      <c r="Q847" s="7">
        <f t="shared" si="94"/>
        <v>0</v>
      </c>
      <c r="R847" s="7">
        <f t="shared" si="95"/>
        <v>33291.800000000003</v>
      </c>
      <c r="S847" s="7">
        <f t="shared" si="96"/>
        <v>1752.2</v>
      </c>
      <c r="T847" s="6">
        <f t="shared" si="97"/>
        <v>1.4604150653343582E-2</v>
      </c>
      <c r="V847" t="s">
        <v>78</v>
      </c>
    </row>
    <row r="848" spans="1:22">
      <c r="A848" s="3">
        <v>45693</v>
      </c>
      <c r="B848" t="str">
        <f t="shared" si="91"/>
        <v>yyyy-02</v>
      </c>
      <c r="C848">
        <f t="shared" si="92"/>
        <v>6</v>
      </c>
      <c r="D848" t="s">
        <v>24</v>
      </c>
      <c r="E848" t="s">
        <v>34</v>
      </c>
      <c r="F848" t="s">
        <v>35</v>
      </c>
      <c r="G848" t="s">
        <v>27</v>
      </c>
      <c r="H848" t="s">
        <v>28</v>
      </c>
      <c r="I848" s="5">
        <v>744</v>
      </c>
      <c r="J848" s="5">
        <v>491</v>
      </c>
      <c r="K848" s="5">
        <v>49</v>
      </c>
      <c r="L848" s="5">
        <v>15</v>
      </c>
      <c r="M848" s="5">
        <v>15</v>
      </c>
      <c r="N848" s="7">
        <v>868.5</v>
      </c>
      <c r="O848" s="7">
        <f t="shared" si="93"/>
        <v>13027.5</v>
      </c>
      <c r="P848" s="4">
        <v>0.05</v>
      </c>
      <c r="Q848" s="7">
        <f t="shared" si="94"/>
        <v>651.375</v>
      </c>
      <c r="R848" s="7">
        <f t="shared" si="95"/>
        <v>12376.125</v>
      </c>
      <c r="S848" s="7">
        <f t="shared" si="96"/>
        <v>825.07500000000005</v>
      </c>
      <c r="T848" s="6">
        <f t="shared" si="97"/>
        <v>2.0161290322580645E-2</v>
      </c>
      <c r="V848" t="s">
        <v>29</v>
      </c>
    </row>
    <row r="849" spans="1:22">
      <c r="A849" s="3">
        <v>45693</v>
      </c>
      <c r="B849" t="str">
        <f t="shared" si="91"/>
        <v>yyyy-02</v>
      </c>
      <c r="C849">
        <f t="shared" si="92"/>
        <v>6</v>
      </c>
      <c r="D849" t="s">
        <v>24</v>
      </c>
      <c r="E849" t="s">
        <v>38</v>
      </c>
      <c r="F849" t="s">
        <v>39</v>
      </c>
      <c r="G849" t="s">
        <v>27</v>
      </c>
      <c r="H849" t="s">
        <v>28</v>
      </c>
      <c r="I849" s="5">
        <v>893</v>
      </c>
      <c r="J849" s="5">
        <v>627</v>
      </c>
      <c r="K849" s="5">
        <v>61</v>
      </c>
      <c r="L849" s="5">
        <v>18</v>
      </c>
      <c r="M849" s="5">
        <v>18</v>
      </c>
      <c r="N849" s="7">
        <v>327.54000000000002</v>
      </c>
      <c r="O849" s="7">
        <f t="shared" si="93"/>
        <v>5895.72</v>
      </c>
      <c r="P849" s="4">
        <v>0.09</v>
      </c>
      <c r="Q849" s="7">
        <f t="shared" si="94"/>
        <v>530.61480000000006</v>
      </c>
      <c r="R849" s="7">
        <f t="shared" si="95"/>
        <v>5365.1052</v>
      </c>
      <c r="S849" s="7">
        <f t="shared" si="96"/>
        <v>298.06139999999999</v>
      </c>
      <c r="T849" s="6">
        <f t="shared" si="97"/>
        <v>2.0156774916013438E-2</v>
      </c>
      <c r="U849" t="s">
        <v>84</v>
      </c>
      <c r="V849" t="s">
        <v>29</v>
      </c>
    </row>
    <row r="850" spans="1:22">
      <c r="A850" s="3">
        <v>45693</v>
      </c>
      <c r="B850" t="str">
        <f t="shared" si="91"/>
        <v>yyyy-02</v>
      </c>
      <c r="C850">
        <f t="shared" si="92"/>
        <v>6</v>
      </c>
      <c r="D850" t="s">
        <v>24</v>
      </c>
      <c r="E850" t="s">
        <v>40</v>
      </c>
      <c r="F850" t="s">
        <v>41</v>
      </c>
      <c r="G850" t="s">
        <v>27</v>
      </c>
      <c r="H850" t="s">
        <v>48</v>
      </c>
      <c r="I850" s="5">
        <v>533</v>
      </c>
      <c r="J850" s="5">
        <v>361</v>
      </c>
      <c r="K850" s="5">
        <v>34</v>
      </c>
      <c r="L850" s="5">
        <v>10</v>
      </c>
      <c r="M850" s="5">
        <v>11</v>
      </c>
      <c r="N850" s="7">
        <v>173.32</v>
      </c>
      <c r="O850" s="7">
        <f t="shared" si="93"/>
        <v>1906.52</v>
      </c>
      <c r="P850" s="4">
        <v>0.03</v>
      </c>
      <c r="Q850" s="7">
        <f t="shared" si="94"/>
        <v>57.195599999999999</v>
      </c>
      <c r="R850" s="7">
        <f t="shared" si="95"/>
        <v>1849.3244</v>
      </c>
      <c r="S850" s="7">
        <f t="shared" si="96"/>
        <v>184.93243999999999</v>
      </c>
      <c r="T850" s="6">
        <f t="shared" si="97"/>
        <v>1.8761726078799251E-2</v>
      </c>
      <c r="V850" t="s">
        <v>29</v>
      </c>
    </row>
    <row r="851" spans="1:22">
      <c r="A851" s="3">
        <v>45693</v>
      </c>
      <c r="B851" t="str">
        <f t="shared" si="91"/>
        <v>yyyy-02</v>
      </c>
      <c r="C851">
        <f t="shared" si="92"/>
        <v>6</v>
      </c>
      <c r="D851" t="s">
        <v>42</v>
      </c>
      <c r="E851" t="s">
        <v>43</v>
      </c>
      <c r="F851" t="s">
        <v>44</v>
      </c>
      <c r="G851" t="s">
        <v>31</v>
      </c>
      <c r="H851" t="s">
        <v>32</v>
      </c>
      <c r="I851" s="5">
        <v>356</v>
      </c>
      <c r="J851" s="5">
        <v>268</v>
      </c>
      <c r="K851" s="5">
        <v>27</v>
      </c>
      <c r="L851" s="5">
        <v>5</v>
      </c>
      <c r="M851" s="5">
        <v>5</v>
      </c>
      <c r="N851" s="7">
        <v>1258.53</v>
      </c>
      <c r="O851" s="7">
        <f t="shared" si="93"/>
        <v>6292.65</v>
      </c>
      <c r="P851" s="4">
        <v>0</v>
      </c>
      <c r="Q851" s="7">
        <f t="shared" si="94"/>
        <v>0</v>
      </c>
      <c r="R851" s="7">
        <f t="shared" si="95"/>
        <v>6292.65</v>
      </c>
      <c r="S851" s="7">
        <f t="shared" si="96"/>
        <v>1258.53</v>
      </c>
      <c r="T851" s="6">
        <f t="shared" si="97"/>
        <v>1.4044943820224719E-2</v>
      </c>
      <c r="V851" t="s">
        <v>29</v>
      </c>
    </row>
    <row r="852" spans="1:22">
      <c r="A852" s="3">
        <v>45693</v>
      </c>
      <c r="B852" t="str">
        <f t="shared" si="91"/>
        <v>yyyy-02</v>
      </c>
      <c r="C852">
        <f t="shared" si="92"/>
        <v>6</v>
      </c>
      <c r="D852" t="s">
        <v>42</v>
      </c>
      <c r="E852" t="s">
        <v>43</v>
      </c>
      <c r="F852" t="s">
        <v>46</v>
      </c>
      <c r="G852" t="s">
        <v>36</v>
      </c>
      <c r="H852" t="s">
        <v>37</v>
      </c>
      <c r="I852" s="5">
        <v>580</v>
      </c>
      <c r="J852" s="5">
        <v>476</v>
      </c>
      <c r="K852" s="5">
        <v>32</v>
      </c>
      <c r="L852" s="5">
        <v>8</v>
      </c>
      <c r="M852" s="5">
        <v>8</v>
      </c>
      <c r="N852" s="7">
        <v>2142.36</v>
      </c>
      <c r="O852" s="7">
        <f t="shared" si="93"/>
        <v>17138.88</v>
      </c>
      <c r="P852" s="4">
        <v>0</v>
      </c>
      <c r="Q852" s="7">
        <f t="shared" si="94"/>
        <v>0</v>
      </c>
      <c r="R852" s="7">
        <f t="shared" si="95"/>
        <v>17138.88</v>
      </c>
      <c r="S852" s="7">
        <f t="shared" si="96"/>
        <v>2142.36</v>
      </c>
      <c r="T852" s="6">
        <f t="shared" si="97"/>
        <v>1.3793103448275862E-2</v>
      </c>
      <c r="V852" t="s">
        <v>29</v>
      </c>
    </row>
    <row r="853" spans="1:22">
      <c r="A853" s="3">
        <v>45693</v>
      </c>
      <c r="B853" t="str">
        <f t="shared" si="91"/>
        <v>yyyy-02</v>
      </c>
      <c r="C853">
        <f t="shared" si="92"/>
        <v>6</v>
      </c>
      <c r="D853" t="s">
        <v>42</v>
      </c>
      <c r="E853" t="s">
        <v>43</v>
      </c>
      <c r="F853" t="s">
        <v>47</v>
      </c>
      <c r="G853" t="s">
        <v>27</v>
      </c>
      <c r="H853" t="s">
        <v>45</v>
      </c>
      <c r="I853" s="5">
        <v>380</v>
      </c>
      <c r="J853" s="5">
        <v>221</v>
      </c>
      <c r="K853" s="5">
        <v>30</v>
      </c>
      <c r="L853" s="5">
        <v>7</v>
      </c>
      <c r="M853" s="5">
        <v>7</v>
      </c>
      <c r="N853" s="7">
        <v>599.04</v>
      </c>
      <c r="O853" s="7">
        <f t="shared" si="93"/>
        <v>4193.28</v>
      </c>
      <c r="P853" s="4">
        <v>0.03</v>
      </c>
      <c r="Q853" s="7">
        <f t="shared" si="94"/>
        <v>125.79839999999999</v>
      </c>
      <c r="R853" s="7">
        <f t="shared" si="95"/>
        <v>4067.4815999999996</v>
      </c>
      <c r="S853" s="7">
        <f t="shared" si="96"/>
        <v>581.0687999999999</v>
      </c>
      <c r="T853" s="6">
        <f t="shared" si="97"/>
        <v>1.8421052631578946E-2</v>
      </c>
      <c r="V853" t="s">
        <v>29</v>
      </c>
    </row>
    <row r="854" spans="1:22">
      <c r="A854" s="3">
        <v>45693</v>
      </c>
      <c r="B854" t="str">
        <f t="shared" si="91"/>
        <v>yyyy-02</v>
      </c>
      <c r="C854">
        <f t="shared" si="92"/>
        <v>6</v>
      </c>
      <c r="D854" t="s">
        <v>42</v>
      </c>
      <c r="E854" t="s">
        <v>49</v>
      </c>
      <c r="F854" t="s">
        <v>50</v>
      </c>
      <c r="G854" t="s">
        <v>27</v>
      </c>
      <c r="H854" t="s">
        <v>45</v>
      </c>
      <c r="I854" s="5">
        <v>138</v>
      </c>
      <c r="J854" s="5">
        <v>85</v>
      </c>
      <c r="K854" s="5">
        <v>10</v>
      </c>
      <c r="L854" s="5">
        <v>2</v>
      </c>
      <c r="M854" s="5">
        <v>2</v>
      </c>
      <c r="N854" s="7">
        <v>984.14</v>
      </c>
      <c r="O854" s="7">
        <f t="shared" si="93"/>
        <v>1968.28</v>
      </c>
      <c r="P854" s="4">
        <v>0</v>
      </c>
      <c r="Q854" s="7">
        <f t="shared" si="94"/>
        <v>0</v>
      </c>
      <c r="R854" s="7">
        <f t="shared" si="95"/>
        <v>1968.28</v>
      </c>
      <c r="S854" s="7">
        <f t="shared" si="96"/>
        <v>984.14</v>
      </c>
      <c r="T854" s="6">
        <f t="shared" si="97"/>
        <v>1.4492753623188406E-2</v>
      </c>
      <c r="V854" t="s">
        <v>29</v>
      </c>
    </row>
    <row r="855" spans="1:22">
      <c r="A855" s="3">
        <v>45693</v>
      </c>
      <c r="B855" t="str">
        <f t="shared" si="91"/>
        <v>yyyy-02</v>
      </c>
      <c r="C855">
        <f t="shared" si="92"/>
        <v>6</v>
      </c>
      <c r="D855" t="s">
        <v>42</v>
      </c>
      <c r="E855" t="s">
        <v>51</v>
      </c>
      <c r="F855" t="s">
        <v>52</v>
      </c>
      <c r="G855" t="s">
        <v>31</v>
      </c>
      <c r="H855" t="s">
        <v>32</v>
      </c>
      <c r="I855" s="5">
        <v>343</v>
      </c>
      <c r="J855" s="5">
        <v>276</v>
      </c>
      <c r="K855" s="5">
        <v>21</v>
      </c>
      <c r="L855" s="5">
        <v>5</v>
      </c>
      <c r="M855" s="5">
        <v>5</v>
      </c>
      <c r="N855" s="7">
        <v>582.70000000000005</v>
      </c>
      <c r="O855" s="7">
        <f t="shared" si="93"/>
        <v>2913.5</v>
      </c>
      <c r="P855" s="4">
        <v>0</v>
      </c>
      <c r="Q855" s="7">
        <f t="shared" si="94"/>
        <v>0</v>
      </c>
      <c r="R855" s="7">
        <f t="shared" si="95"/>
        <v>2913.5</v>
      </c>
      <c r="S855" s="7">
        <f t="shared" si="96"/>
        <v>582.70000000000005</v>
      </c>
      <c r="T855" s="6">
        <f t="shared" si="97"/>
        <v>1.4577259475218658E-2</v>
      </c>
      <c r="V855" t="s">
        <v>29</v>
      </c>
    </row>
    <row r="856" spans="1:22">
      <c r="A856" s="3">
        <v>45693</v>
      </c>
      <c r="B856" t="str">
        <f t="shared" si="91"/>
        <v>yyyy-02</v>
      </c>
      <c r="C856">
        <f t="shared" si="92"/>
        <v>6</v>
      </c>
      <c r="D856" t="s">
        <v>53</v>
      </c>
      <c r="E856" t="s">
        <v>54</v>
      </c>
      <c r="F856" t="s">
        <v>55</v>
      </c>
      <c r="G856" t="s">
        <v>27</v>
      </c>
      <c r="H856" t="s">
        <v>28</v>
      </c>
      <c r="I856" s="5">
        <v>152</v>
      </c>
      <c r="J856" s="5">
        <v>96</v>
      </c>
      <c r="K856" s="5">
        <v>9</v>
      </c>
      <c r="L856" s="5">
        <v>2</v>
      </c>
      <c r="M856" s="5">
        <v>2</v>
      </c>
      <c r="N856" s="7">
        <v>1247.81</v>
      </c>
      <c r="O856" s="7">
        <f t="shared" si="93"/>
        <v>2495.62</v>
      </c>
      <c r="P856" s="4">
        <v>0</v>
      </c>
      <c r="Q856" s="7">
        <f t="shared" si="94"/>
        <v>0</v>
      </c>
      <c r="R856" s="7">
        <f t="shared" si="95"/>
        <v>2495.62</v>
      </c>
      <c r="S856" s="7">
        <f t="shared" si="96"/>
        <v>1247.81</v>
      </c>
      <c r="T856" s="6">
        <f t="shared" si="97"/>
        <v>1.3157894736842105E-2</v>
      </c>
      <c r="V856" t="s">
        <v>29</v>
      </c>
    </row>
    <row r="857" spans="1:22">
      <c r="A857" s="3">
        <v>45693</v>
      </c>
      <c r="B857" t="str">
        <f t="shared" si="91"/>
        <v>yyyy-02</v>
      </c>
      <c r="C857">
        <f t="shared" si="92"/>
        <v>6</v>
      </c>
      <c r="D857" t="s">
        <v>53</v>
      </c>
      <c r="E857" t="s">
        <v>56</v>
      </c>
      <c r="F857" t="s">
        <v>57</v>
      </c>
      <c r="G857" t="s">
        <v>36</v>
      </c>
      <c r="H857" t="s">
        <v>37</v>
      </c>
      <c r="I857" s="5">
        <v>207</v>
      </c>
      <c r="J857" s="5">
        <v>145</v>
      </c>
      <c r="K857" s="5">
        <v>6</v>
      </c>
      <c r="L857" s="5">
        <v>3</v>
      </c>
      <c r="M857" s="5">
        <v>3</v>
      </c>
      <c r="N857" s="7">
        <v>727.93</v>
      </c>
      <c r="O857" s="7">
        <f t="shared" si="93"/>
        <v>2183.79</v>
      </c>
      <c r="P857" s="4">
        <v>0.03</v>
      </c>
      <c r="Q857" s="7">
        <f t="shared" si="94"/>
        <v>65.5137</v>
      </c>
      <c r="R857" s="7">
        <f t="shared" si="95"/>
        <v>2118.2763</v>
      </c>
      <c r="S857" s="7">
        <f t="shared" si="96"/>
        <v>706.09209999999996</v>
      </c>
      <c r="T857" s="6">
        <f t="shared" si="97"/>
        <v>1.4492753623188406E-2</v>
      </c>
      <c r="V857" t="s">
        <v>29</v>
      </c>
    </row>
    <row r="858" spans="1:22">
      <c r="A858" s="3">
        <v>45693</v>
      </c>
      <c r="B858" t="str">
        <f t="shared" si="91"/>
        <v>yyyy-02</v>
      </c>
      <c r="C858">
        <f t="shared" si="92"/>
        <v>6</v>
      </c>
      <c r="D858" t="s">
        <v>53</v>
      </c>
      <c r="E858" t="s">
        <v>56</v>
      </c>
      <c r="F858" t="s">
        <v>58</v>
      </c>
      <c r="G858" t="s">
        <v>31</v>
      </c>
      <c r="H858" t="s">
        <v>32</v>
      </c>
      <c r="I858" s="5">
        <v>253</v>
      </c>
      <c r="J858" s="5">
        <v>158</v>
      </c>
      <c r="K858" s="5">
        <v>8</v>
      </c>
      <c r="L858" s="5">
        <v>3</v>
      </c>
      <c r="M858" s="5">
        <v>3</v>
      </c>
      <c r="N858" s="7">
        <v>908.51</v>
      </c>
      <c r="O858" s="7">
        <f t="shared" si="93"/>
        <v>2725.5299999999997</v>
      </c>
      <c r="P858" s="4">
        <v>0</v>
      </c>
      <c r="Q858" s="7">
        <f t="shared" si="94"/>
        <v>0</v>
      </c>
      <c r="R858" s="7">
        <f t="shared" si="95"/>
        <v>2725.5299999999997</v>
      </c>
      <c r="S858" s="7">
        <f t="shared" si="96"/>
        <v>908.50999999999988</v>
      </c>
      <c r="T858" s="6">
        <f t="shared" si="97"/>
        <v>1.1857707509881422E-2</v>
      </c>
      <c r="V858" t="s">
        <v>29</v>
      </c>
    </row>
    <row r="859" spans="1:22">
      <c r="A859" s="3">
        <v>45693</v>
      </c>
      <c r="B859" t="str">
        <f t="shared" si="91"/>
        <v>yyyy-02</v>
      </c>
      <c r="C859">
        <f t="shared" si="92"/>
        <v>6</v>
      </c>
      <c r="D859" t="s">
        <v>53</v>
      </c>
      <c r="E859" t="s">
        <v>59</v>
      </c>
      <c r="F859" t="s">
        <v>60</v>
      </c>
      <c r="G859" t="s">
        <v>27</v>
      </c>
      <c r="H859" t="s">
        <v>48</v>
      </c>
      <c r="I859" s="5">
        <v>127</v>
      </c>
      <c r="J859" s="5">
        <v>100</v>
      </c>
      <c r="K859" s="5">
        <v>8</v>
      </c>
      <c r="L859" s="5">
        <v>1</v>
      </c>
      <c r="M859" s="5">
        <v>1</v>
      </c>
      <c r="N859" s="7">
        <v>686.54</v>
      </c>
      <c r="O859" s="7">
        <f t="shared" si="93"/>
        <v>686.54</v>
      </c>
      <c r="P859" s="4">
        <v>0</v>
      </c>
      <c r="Q859" s="7">
        <f t="shared" si="94"/>
        <v>0</v>
      </c>
      <c r="R859" s="7">
        <f t="shared" si="95"/>
        <v>686.54</v>
      </c>
      <c r="S859" s="7">
        <f t="shared" si="96"/>
        <v>686.54</v>
      </c>
      <c r="T859" s="6">
        <f t="shared" si="97"/>
        <v>7.874015748031496E-3</v>
      </c>
      <c r="V859" t="s">
        <v>29</v>
      </c>
    </row>
    <row r="860" spans="1:22">
      <c r="A860" s="3">
        <v>45693</v>
      </c>
      <c r="B860" t="str">
        <f t="shared" si="91"/>
        <v>yyyy-02</v>
      </c>
      <c r="C860">
        <f t="shared" si="92"/>
        <v>6</v>
      </c>
      <c r="D860" t="s">
        <v>53</v>
      </c>
      <c r="E860" t="s">
        <v>61</v>
      </c>
      <c r="F860" t="s">
        <v>62</v>
      </c>
      <c r="G860" t="s">
        <v>36</v>
      </c>
      <c r="H860" t="s">
        <v>37</v>
      </c>
      <c r="I860" s="5">
        <v>198</v>
      </c>
      <c r="J860" s="5">
        <v>162</v>
      </c>
      <c r="K860" s="5">
        <v>18</v>
      </c>
      <c r="L860" s="5">
        <v>3</v>
      </c>
      <c r="M860" s="5">
        <v>3</v>
      </c>
      <c r="N860" s="7">
        <v>481</v>
      </c>
      <c r="O860" s="7">
        <f t="shared" si="93"/>
        <v>1443</v>
      </c>
      <c r="P860" s="4">
        <v>0</v>
      </c>
      <c r="Q860" s="7">
        <f t="shared" si="94"/>
        <v>0</v>
      </c>
      <c r="R860" s="7">
        <f t="shared" si="95"/>
        <v>1443</v>
      </c>
      <c r="S860" s="7">
        <f t="shared" si="96"/>
        <v>481</v>
      </c>
      <c r="T860" s="6">
        <f t="shared" si="97"/>
        <v>1.5151515151515152E-2</v>
      </c>
      <c r="V860" t="s">
        <v>29</v>
      </c>
    </row>
    <row r="861" spans="1:22">
      <c r="A861" s="3">
        <v>45693</v>
      </c>
      <c r="B861" t="str">
        <f t="shared" si="91"/>
        <v>yyyy-02</v>
      </c>
      <c r="C861">
        <f t="shared" si="92"/>
        <v>6</v>
      </c>
      <c r="D861" t="s">
        <v>53</v>
      </c>
      <c r="E861" t="s">
        <v>64</v>
      </c>
      <c r="F861" t="s">
        <v>65</v>
      </c>
      <c r="G861" t="s">
        <v>31</v>
      </c>
      <c r="H861" t="s">
        <v>32</v>
      </c>
      <c r="I861" s="5">
        <v>243</v>
      </c>
      <c r="J861" s="5">
        <v>154</v>
      </c>
      <c r="K861" s="5">
        <v>15</v>
      </c>
      <c r="L861" s="5">
        <v>3</v>
      </c>
      <c r="M861" s="5">
        <v>3</v>
      </c>
      <c r="N861" s="7">
        <v>769.25</v>
      </c>
      <c r="O861" s="7">
        <f t="shared" si="93"/>
        <v>2307.75</v>
      </c>
      <c r="P861" s="4">
        <v>0</v>
      </c>
      <c r="Q861" s="7">
        <f t="shared" si="94"/>
        <v>0</v>
      </c>
      <c r="R861" s="7">
        <f t="shared" si="95"/>
        <v>2307.75</v>
      </c>
      <c r="S861" s="7">
        <f t="shared" si="96"/>
        <v>769.25</v>
      </c>
      <c r="T861" s="6">
        <f t="shared" si="97"/>
        <v>1.2345679012345678E-2</v>
      </c>
      <c r="V861" t="s">
        <v>29</v>
      </c>
    </row>
    <row r="862" spans="1:22">
      <c r="A862" s="3">
        <v>45693</v>
      </c>
      <c r="B862" t="str">
        <f t="shared" si="91"/>
        <v>yyyy-02</v>
      </c>
      <c r="C862">
        <f t="shared" si="92"/>
        <v>6</v>
      </c>
      <c r="D862" t="s">
        <v>66</v>
      </c>
      <c r="E862" t="s">
        <v>67</v>
      </c>
      <c r="F862" t="s">
        <v>68</v>
      </c>
      <c r="G862" t="s">
        <v>27</v>
      </c>
      <c r="H862" t="s">
        <v>28</v>
      </c>
      <c r="I862" s="5">
        <v>387</v>
      </c>
      <c r="J862" s="5">
        <v>265</v>
      </c>
      <c r="K862" s="5">
        <v>30</v>
      </c>
      <c r="L862" s="5">
        <v>10</v>
      </c>
      <c r="M862" s="5">
        <v>10</v>
      </c>
      <c r="N862" s="7">
        <v>704.41</v>
      </c>
      <c r="O862" s="7">
        <f t="shared" si="93"/>
        <v>7044.0999999999995</v>
      </c>
      <c r="P862" s="4">
        <v>7.0000000000000007E-2</v>
      </c>
      <c r="Q862" s="7">
        <f t="shared" si="94"/>
        <v>493.08699999999999</v>
      </c>
      <c r="R862" s="7">
        <f t="shared" si="95"/>
        <v>6551.012999999999</v>
      </c>
      <c r="S862" s="7">
        <f t="shared" si="96"/>
        <v>655.10129999999992</v>
      </c>
      <c r="T862" s="6">
        <f t="shared" si="97"/>
        <v>2.5839793281653745E-2</v>
      </c>
      <c r="U862" t="s">
        <v>83</v>
      </c>
      <c r="V862" t="s">
        <v>29</v>
      </c>
    </row>
    <row r="863" spans="1:22">
      <c r="A863" s="3">
        <v>45693</v>
      </c>
      <c r="B863" t="str">
        <f t="shared" si="91"/>
        <v>yyyy-02</v>
      </c>
      <c r="C863">
        <f t="shared" si="92"/>
        <v>6</v>
      </c>
      <c r="D863" t="s">
        <v>66</v>
      </c>
      <c r="E863" t="s">
        <v>67</v>
      </c>
      <c r="F863" t="s">
        <v>69</v>
      </c>
      <c r="G863" t="s">
        <v>27</v>
      </c>
      <c r="H863" t="s">
        <v>48</v>
      </c>
      <c r="I863" s="5">
        <v>348</v>
      </c>
      <c r="J863" s="5">
        <v>203</v>
      </c>
      <c r="K863" s="5">
        <v>20</v>
      </c>
      <c r="L863" s="5">
        <v>6</v>
      </c>
      <c r="M863" s="5">
        <v>6</v>
      </c>
      <c r="N863" s="7">
        <v>384.59</v>
      </c>
      <c r="O863" s="7">
        <f t="shared" si="93"/>
        <v>2307.54</v>
      </c>
      <c r="P863" s="4">
        <v>7.0000000000000007E-2</v>
      </c>
      <c r="Q863" s="7">
        <f t="shared" si="94"/>
        <v>161.52780000000001</v>
      </c>
      <c r="R863" s="7">
        <f t="shared" si="95"/>
        <v>2146.0122000000001</v>
      </c>
      <c r="S863" s="7">
        <f t="shared" si="96"/>
        <v>357.6687</v>
      </c>
      <c r="T863" s="6">
        <f t="shared" si="97"/>
        <v>1.7241379310344827E-2</v>
      </c>
      <c r="U863" t="s">
        <v>83</v>
      </c>
      <c r="V863" t="s">
        <v>29</v>
      </c>
    </row>
    <row r="864" spans="1:22">
      <c r="A864" s="3">
        <v>45693</v>
      </c>
      <c r="B864" t="str">
        <f t="shared" si="91"/>
        <v>yyyy-02</v>
      </c>
      <c r="C864">
        <f t="shared" si="92"/>
        <v>6</v>
      </c>
      <c r="D864" t="s">
        <v>66</v>
      </c>
      <c r="E864" t="s">
        <v>67</v>
      </c>
      <c r="F864" t="s">
        <v>70</v>
      </c>
      <c r="G864" t="s">
        <v>27</v>
      </c>
      <c r="H864" t="s">
        <v>28</v>
      </c>
      <c r="I864" s="5">
        <v>320</v>
      </c>
      <c r="J864" s="5">
        <v>230</v>
      </c>
      <c r="K864" s="5">
        <v>24</v>
      </c>
      <c r="L864" s="5">
        <v>7</v>
      </c>
      <c r="M864" s="5">
        <v>7</v>
      </c>
      <c r="N864" s="7">
        <v>341.78</v>
      </c>
      <c r="O864" s="7">
        <f t="shared" si="93"/>
        <v>2392.46</v>
      </c>
      <c r="P864" s="4">
        <v>7.0000000000000007E-2</v>
      </c>
      <c r="Q864" s="7">
        <f t="shared" si="94"/>
        <v>167.47220000000002</v>
      </c>
      <c r="R864" s="7">
        <f t="shared" si="95"/>
        <v>2224.9877999999999</v>
      </c>
      <c r="S864" s="7">
        <f t="shared" si="96"/>
        <v>317.85539999999997</v>
      </c>
      <c r="T864" s="6">
        <f t="shared" si="97"/>
        <v>2.1874999999999999E-2</v>
      </c>
      <c r="U864" t="s">
        <v>83</v>
      </c>
      <c r="V864" t="s">
        <v>29</v>
      </c>
    </row>
    <row r="865" spans="1:22">
      <c r="A865" s="3">
        <v>45693</v>
      </c>
      <c r="B865" t="str">
        <f t="shared" si="91"/>
        <v>yyyy-02</v>
      </c>
      <c r="C865">
        <f t="shared" si="92"/>
        <v>6</v>
      </c>
      <c r="D865" t="s">
        <v>66</v>
      </c>
      <c r="E865" t="s">
        <v>71</v>
      </c>
      <c r="F865" t="s">
        <v>72</v>
      </c>
      <c r="G865" t="s">
        <v>36</v>
      </c>
      <c r="H865" t="s">
        <v>37</v>
      </c>
      <c r="I865" s="5">
        <v>388</v>
      </c>
      <c r="J865" s="5">
        <v>271</v>
      </c>
      <c r="K865" s="5">
        <v>35</v>
      </c>
      <c r="L865" s="5">
        <v>8</v>
      </c>
      <c r="M865" s="5">
        <v>9</v>
      </c>
      <c r="N865" s="7">
        <v>130.77000000000001</v>
      </c>
      <c r="O865" s="7">
        <f t="shared" si="93"/>
        <v>1176.93</v>
      </c>
      <c r="P865" s="4">
        <v>0.05</v>
      </c>
      <c r="Q865" s="7">
        <f t="shared" si="94"/>
        <v>58.846500000000006</v>
      </c>
      <c r="R865" s="7">
        <f t="shared" si="95"/>
        <v>1118.0835</v>
      </c>
      <c r="S865" s="7">
        <f t="shared" si="96"/>
        <v>139.76043749999999</v>
      </c>
      <c r="T865" s="6">
        <f t="shared" si="97"/>
        <v>2.0618556701030927E-2</v>
      </c>
      <c r="V865" t="s">
        <v>29</v>
      </c>
    </row>
    <row r="866" spans="1:22">
      <c r="A866" s="3">
        <v>45693</v>
      </c>
      <c r="B866" t="str">
        <f t="shared" si="91"/>
        <v>yyyy-02</v>
      </c>
      <c r="C866">
        <f t="shared" si="92"/>
        <v>6</v>
      </c>
      <c r="D866" t="s">
        <v>66</v>
      </c>
      <c r="E866" t="s">
        <v>73</v>
      </c>
      <c r="F866" t="s">
        <v>74</v>
      </c>
      <c r="G866" t="s">
        <v>36</v>
      </c>
      <c r="H866" t="s">
        <v>37</v>
      </c>
      <c r="I866" s="5">
        <v>206</v>
      </c>
      <c r="J866" s="5">
        <v>126</v>
      </c>
      <c r="K866" s="5">
        <v>19</v>
      </c>
      <c r="L866" s="5">
        <v>5</v>
      </c>
      <c r="M866" s="5">
        <v>5</v>
      </c>
      <c r="N866" s="7">
        <v>1177.95</v>
      </c>
      <c r="O866" s="7">
        <f t="shared" si="93"/>
        <v>5889.75</v>
      </c>
      <c r="P866" s="4">
        <v>0</v>
      </c>
      <c r="Q866" s="7">
        <f t="shared" si="94"/>
        <v>0</v>
      </c>
      <c r="R866" s="7">
        <f t="shared" si="95"/>
        <v>5889.75</v>
      </c>
      <c r="S866" s="7">
        <f t="shared" si="96"/>
        <v>1177.95</v>
      </c>
      <c r="T866" s="6">
        <f t="shared" si="97"/>
        <v>2.4271844660194174E-2</v>
      </c>
      <c r="V866" t="s">
        <v>29</v>
      </c>
    </row>
    <row r="867" spans="1:22">
      <c r="A867" s="3">
        <v>45693</v>
      </c>
      <c r="B867" t="str">
        <f t="shared" si="91"/>
        <v>yyyy-02</v>
      </c>
      <c r="C867">
        <f t="shared" si="92"/>
        <v>6</v>
      </c>
      <c r="D867" t="s">
        <v>66</v>
      </c>
      <c r="E867" t="s">
        <v>71</v>
      </c>
      <c r="F867" t="s">
        <v>75</v>
      </c>
      <c r="G867" t="s">
        <v>27</v>
      </c>
      <c r="H867" t="s">
        <v>28</v>
      </c>
      <c r="I867" s="5">
        <v>289</v>
      </c>
      <c r="J867" s="5">
        <v>170</v>
      </c>
      <c r="K867" s="5">
        <v>14</v>
      </c>
      <c r="L867" s="5">
        <v>4</v>
      </c>
      <c r="M867" s="5">
        <v>5</v>
      </c>
      <c r="N867" s="7">
        <v>38.450000000000003</v>
      </c>
      <c r="O867" s="7">
        <f t="shared" si="93"/>
        <v>192.25</v>
      </c>
      <c r="P867" s="4">
        <v>0</v>
      </c>
      <c r="Q867" s="7">
        <f t="shared" si="94"/>
        <v>0</v>
      </c>
      <c r="R867" s="7">
        <f t="shared" si="95"/>
        <v>192.25</v>
      </c>
      <c r="S867" s="7">
        <f t="shared" si="96"/>
        <v>48.0625</v>
      </c>
      <c r="T867" s="6">
        <f t="shared" si="97"/>
        <v>1.384083044982699E-2</v>
      </c>
      <c r="V867" t="s">
        <v>29</v>
      </c>
    </row>
    <row r="868" spans="1:22">
      <c r="A868" s="3">
        <v>45693</v>
      </c>
      <c r="B868" t="str">
        <f t="shared" si="91"/>
        <v>yyyy-02</v>
      </c>
      <c r="C868">
        <f t="shared" si="92"/>
        <v>6</v>
      </c>
      <c r="D868" t="s">
        <v>24</v>
      </c>
      <c r="E868" t="s">
        <v>76</v>
      </c>
      <c r="F868" t="s">
        <v>77</v>
      </c>
      <c r="G868" t="s">
        <v>36</v>
      </c>
      <c r="H868" t="s">
        <v>37</v>
      </c>
      <c r="I868" s="5">
        <v>670</v>
      </c>
      <c r="J868" s="5">
        <v>427</v>
      </c>
      <c r="K868" s="5">
        <v>39</v>
      </c>
      <c r="L868" s="5">
        <v>11</v>
      </c>
      <c r="M868" s="5">
        <v>13</v>
      </c>
      <c r="N868" s="7">
        <v>192.02</v>
      </c>
      <c r="O868" s="7">
        <f t="shared" si="93"/>
        <v>2496.2600000000002</v>
      </c>
      <c r="P868" s="4">
        <v>0</v>
      </c>
      <c r="Q868" s="7">
        <f t="shared" si="94"/>
        <v>0</v>
      </c>
      <c r="R868" s="7">
        <f t="shared" si="95"/>
        <v>2496.2600000000002</v>
      </c>
      <c r="S868" s="7">
        <f t="shared" si="96"/>
        <v>226.93272727272731</v>
      </c>
      <c r="T868" s="6">
        <f t="shared" si="97"/>
        <v>1.6417910447761194E-2</v>
      </c>
      <c r="V868" t="s">
        <v>29</v>
      </c>
    </row>
    <row r="869" spans="1:22">
      <c r="A869" s="3">
        <v>45694</v>
      </c>
      <c r="B869" t="str">
        <f t="shared" si="91"/>
        <v>yyyy-02</v>
      </c>
      <c r="C869">
        <f t="shared" si="92"/>
        <v>6</v>
      </c>
      <c r="D869" t="s">
        <v>24</v>
      </c>
      <c r="E869" t="s">
        <v>25</v>
      </c>
      <c r="F869" t="s">
        <v>26</v>
      </c>
      <c r="G869" t="s">
        <v>27</v>
      </c>
      <c r="H869" t="s">
        <v>48</v>
      </c>
      <c r="I869" s="5">
        <v>1228</v>
      </c>
      <c r="J869" s="5">
        <v>725</v>
      </c>
      <c r="K869" s="5">
        <v>62</v>
      </c>
      <c r="L869" s="5">
        <v>20</v>
      </c>
      <c r="M869" s="5">
        <v>20</v>
      </c>
      <c r="N869" s="7">
        <v>979.05</v>
      </c>
      <c r="O869" s="7">
        <f t="shared" si="93"/>
        <v>19581</v>
      </c>
      <c r="P869" s="4">
        <v>0.03</v>
      </c>
      <c r="Q869" s="7">
        <f t="shared" si="94"/>
        <v>587.42999999999995</v>
      </c>
      <c r="R869" s="7">
        <f t="shared" si="95"/>
        <v>18993.57</v>
      </c>
      <c r="S869" s="7">
        <f t="shared" si="96"/>
        <v>949.67849999999999</v>
      </c>
      <c r="T869" s="6">
        <f t="shared" si="97"/>
        <v>1.6286644951140065E-2</v>
      </c>
      <c r="V869" t="s">
        <v>29</v>
      </c>
    </row>
    <row r="870" spans="1:22">
      <c r="A870" s="3">
        <v>45694</v>
      </c>
      <c r="B870" t="str">
        <f t="shared" si="91"/>
        <v>yyyy-02</v>
      </c>
      <c r="C870">
        <f t="shared" si="92"/>
        <v>6</v>
      </c>
      <c r="D870" t="s">
        <v>24</v>
      </c>
      <c r="E870" t="s">
        <v>25</v>
      </c>
      <c r="F870" t="s">
        <v>30</v>
      </c>
      <c r="G870" t="s">
        <v>27</v>
      </c>
      <c r="H870" t="s">
        <v>45</v>
      </c>
      <c r="I870" s="5">
        <v>1359</v>
      </c>
      <c r="J870" s="5">
        <v>1050</v>
      </c>
      <c r="K870" s="5">
        <v>101</v>
      </c>
      <c r="L870" s="5">
        <v>31</v>
      </c>
      <c r="M870" s="5">
        <v>31</v>
      </c>
      <c r="N870" s="7">
        <v>406.93</v>
      </c>
      <c r="O870" s="7">
        <f t="shared" si="93"/>
        <v>12614.83</v>
      </c>
      <c r="P870" s="4">
        <v>0</v>
      </c>
      <c r="Q870" s="7">
        <f t="shared" si="94"/>
        <v>0</v>
      </c>
      <c r="R870" s="7">
        <f t="shared" si="95"/>
        <v>12614.83</v>
      </c>
      <c r="S870" s="7">
        <f t="shared" si="96"/>
        <v>406.93</v>
      </c>
      <c r="T870" s="6">
        <f t="shared" si="97"/>
        <v>2.2810890360559236E-2</v>
      </c>
      <c r="V870" t="s">
        <v>29</v>
      </c>
    </row>
    <row r="871" spans="1:22">
      <c r="A871" s="3">
        <v>45694</v>
      </c>
      <c r="B871" t="str">
        <f t="shared" si="91"/>
        <v>yyyy-02</v>
      </c>
      <c r="C871">
        <f t="shared" si="92"/>
        <v>6</v>
      </c>
      <c r="D871" t="s">
        <v>24</v>
      </c>
      <c r="E871" t="s">
        <v>25</v>
      </c>
      <c r="F871" t="s">
        <v>33</v>
      </c>
      <c r="G871" t="s">
        <v>27</v>
      </c>
      <c r="H871" t="s">
        <v>63</v>
      </c>
      <c r="I871" s="5">
        <v>1032</v>
      </c>
      <c r="J871" s="5">
        <v>632</v>
      </c>
      <c r="K871" s="5">
        <v>109</v>
      </c>
      <c r="L871" s="5">
        <v>25</v>
      </c>
      <c r="M871" s="5">
        <v>25</v>
      </c>
      <c r="N871" s="7">
        <v>1770.84</v>
      </c>
      <c r="O871" s="7">
        <f t="shared" si="93"/>
        <v>44271</v>
      </c>
      <c r="P871" s="4">
        <v>0.05</v>
      </c>
      <c r="Q871" s="7">
        <f t="shared" si="94"/>
        <v>2213.5500000000002</v>
      </c>
      <c r="R871" s="7">
        <f t="shared" si="95"/>
        <v>42057.45</v>
      </c>
      <c r="S871" s="7">
        <f t="shared" si="96"/>
        <v>1682.2979999999998</v>
      </c>
      <c r="T871" s="6">
        <f t="shared" si="97"/>
        <v>2.4224806201550389E-2</v>
      </c>
      <c r="V871" t="s">
        <v>29</v>
      </c>
    </row>
    <row r="872" spans="1:22">
      <c r="A872" s="3">
        <v>45694</v>
      </c>
      <c r="B872" t="str">
        <f t="shared" si="91"/>
        <v>yyyy-02</v>
      </c>
      <c r="C872">
        <f t="shared" si="92"/>
        <v>6</v>
      </c>
      <c r="D872" t="s">
        <v>24</v>
      </c>
      <c r="E872" t="s">
        <v>34</v>
      </c>
      <c r="F872" t="s">
        <v>35</v>
      </c>
      <c r="G872" t="s">
        <v>27</v>
      </c>
      <c r="H872" t="s">
        <v>28</v>
      </c>
      <c r="I872" s="5">
        <v>515</v>
      </c>
      <c r="J872" s="5">
        <v>425</v>
      </c>
      <c r="K872" s="5">
        <v>12</v>
      </c>
      <c r="L872" s="5">
        <v>0</v>
      </c>
      <c r="M872" s="5">
        <v>0</v>
      </c>
      <c r="N872" s="7">
        <v>902.06</v>
      </c>
      <c r="O872" s="7">
        <f t="shared" si="93"/>
        <v>0</v>
      </c>
      <c r="P872" s="4">
        <v>0.05</v>
      </c>
      <c r="Q872" s="7">
        <f t="shared" si="94"/>
        <v>0</v>
      </c>
      <c r="R872" s="7">
        <f t="shared" si="95"/>
        <v>0</v>
      </c>
      <c r="S872" s="7">
        <f t="shared" si="96"/>
        <v>0</v>
      </c>
      <c r="T872" s="6">
        <f t="shared" si="97"/>
        <v>0</v>
      </c>
      <c r="V872" t="s">
        <v>81</v>
      </c>
    </row>
    <row r="873" spans="1:22">
      <c r="A873" s="3">
        <v>45694</v>
      </c>
      <c r="B873" t="str">
        <f t="shared" si="91"/>
        <v>yyyy-02</v>
      </c>
      <c r="C873">
        <f t="shared" si="92"/>
        <v>6</v>
      </c>
      <c r="D873" t="s">
        <v>24</v>
      </c>
      <c r="E873" t="s">
        <v>38</v>
      </c>
      <c r="F873" t="s">
        <v>39</v>
      </c>
      <c r="G873" t="s">
        <v>31</v>
      </c>
      <c r="H873" t="s">
        <v>32</v>
      </c>
      <c r="I873" s="5">
        <v>755</v>
      </c>
      <c r="J873" s="5">
        <v>502</v>
      </c>
      <c r="K873" s="5">
        <v>66</v>
      </c>
      <c r="L873" s="5">
        <v>22</v>
      </c>
      <c r="M873" s="5">
        <v>22</v>
      </c>
      <c r="N873" s="7">
        <v>332.54</v>
      </c>
      <c r="O873" s="7">
        <f t="shared" si="93"/>
        <v>7315.88</v>
      </c>
      <c r="P873" s="4">
        <v>0.09</v>
      </c>
      <c r="Q873" s="7">
        <f t="shared" si="94"/>
        <v>658.42920000000004</v>
      </c>
      <c r="R873" s="7">
        <f t="shared" si="95"/>
        <v>6657.4508000000005</v>
      </c>
      <c r="S873" s="7">
        <f t="shared" si="96"/>
        <v>302.6114</v>
      </c>
      <c r="T873" s="6">
        <f t="shared" si="97"/>
        <v>2.9139072847682121E-2</v>
      </c>
      <c r="U873" t="s">
        <v>84</v>
      </c>
      <c r="V873" t="s">
        <v>29</v>
      </c>
    </row>
    <row r="874" spans="1:22">
      <c r="A874" s="3">
        <v>45694</v>
      </c>
      <c r="B874" t="str">
        <f t="shared" si="91"/>
        <v>yyyy-02</v>
      </c>
      <c r="C874">
        <f t="shared" si="92"/>
        <v>6</v>
      </c>
      <c r="D874" t="s">
        <v>24</v>
      </c>
      <c r="E874" t="s">
        <v>40</v>
      </c>
      <c r="F874" t="s">
        <v>41</v>
      </c>
      <c r="G874" t="s">
        <v>36</v>
      </c>
      <c r="H874" t="s">
        <v>37</v>
      </c>
      <c r="I874" s="5">
        <v>654</v>
      </c>
      <c r="J874" s="5">
        <v>429</v>
      </c>
      <c r="K874" s="5">
        <v>33</v>
      </c>
      <c r="L874" s="5">
        <v>16</v>
      </c>
      <c r="M874" s="5">
        <v>21</v>
      </c>
      <c r="N874" s="7">
        <v>175.12</v>
      </c>
      <c r="O874" s="7">
        <f t="shared" si="93"/>
        <v>3677.52</v>
      </c>
      <c r="P874" s="4">
        <v>0.05</v>
      </c>
      <c r="Q874" s="7">
        <f t="shared" si="94"/>
        <v>183.876</v>
      </c>
      <c r="R874" s="7">
        <f t="shared" si="95"/>
        <v>3493.6439999999998</v>
      </c>
      <c r="S874" s="7">
        <f t="shared" si="96"/>
        <v>218.35274999999999</v>
      </c>
      <c r="T874" s="6">
        <f t="shared" si="97"/>
        <v>2.4464831804281346E-2</v>
      </c>
      <c r="V874" t="s">
        <v>29</v>
      </c>
    </row>
    <row r="875" spans="1:22">
      <c r="A875" s="3">
        <v>45694</v>
      </c>
      <c r="B875" t="str">
        <f t="shared" si="91"/>
        <v>yyyy-02</v>
      </c>
      <c r="C875">
        <f t="shared" si="92"/>
        <v>6</v>
      </c>
      <c r="D875" t="s">
        <v>42</v>
      </c>
      <c r="E875" t="s">
        <v>43</v>
      </c>
      <c r="F875" t="s">
        <v>44</v>
      </c>
      <c r="G875" t="s">
        <v>27</v>
      </c>
      <c r="H875" t="s">
        <v>45</v>
      </c>
      <c r="I875" s="5">
        <v>445</v>
      </c>
      <c r="J875" s="5">
        <v>289</v>
      </c>
      <c r="K875" s="5">
        <v>30</v>
      </c>
      <c r="L875" s="5">
        <v>7</v>
      </c>
      <c r="M875" s="5">
        <v>7</v>
      </c>
      <c r="N875" s="7">
        <v>1288.94</v>
      </c>
      <c r="O875" s="7">
        <f t="shared" si="93"/>
        <v>9022.58</v>
      </c>
      <c r="P875" s="4">
        <v>0</v>
      </c>
      <c r="Q875" s="7">
        <f t="shared" si="94"/>
        <v>0</v>
      </c>
      <c r="R875" s="7">
        <f t="shared" si="95"/>
        <v>9022.58</v>
      </c>
      <c r="S875" s="7">
        <f t="shared" si="96"/>
        <v>1288.94</v>
      </c>
      <c r="T875" s="6">
        <f t="shared" si="97"/>
        <v>1.5730337078651686E-2</v>
      </c>
      <c r="V875" t="s">
        <v>29</v>
      </c>
    </row>
    <row r="876" spans="1:22">
      <c r="A876" s="3">
        <v>45694</v>
      </c>
      <c r="B876" t="str">
        <f t="shared" si="91"/>
        <v>yyyy-02</v>
      </c>
      <c r="C876">
        <f t="shared" si="92"/>
        <v>6</v>
      </c>
      <c r="D876" t="s">
        <v>42</v>
      </c>
      <c r="E876" t="s">
        <v>43</v>
      </c>
      <c r="F876" t="s">
        <v>46</v>
      </c>
      <c r="G876" t="s">
        <v>36</v>
      </c>
      <c r="H876" t="s">
        <v>37</v>
      </c>
      <c r="I876" s="5">
        <v>445</v>
      </c>
      <c r="J876" s="5">
        <v>235</v>
      </c>
      <c r="K876" s="5">
        <v>28</v>
      </c>
      <c r="L876" s="5">
        <v>5</v>
      </c>
      <c r="M876" s="5">
        <v>5</v>
      </c>
      <c r="N876" s="7">
        <v>2186.0100000000002</v>
      </c>
      <c r="O876" s="7">
        <f t="shared" si="93"/>
        <v>10930.050000000001</v>
      </c>
      <c r="P876" s="4">
        <v>0</v>
      </c>
      <c r="Q876" s="7">
        <f t="shared" si="94"/>
        <v>0</v>
      </c>
      <c r="R876" s="7">
        <f t="shared" si="95"/>
        <v>10930.050000000001</v>
      </c>
      <c r="S876" s="7">
        <f t="shared" si="96"/>
        <v>2186.0100000000002</v>
      </c>
      <c r="T876" s="6">
        <f t="shared" si="97"/>
        <v>1.1235955056179775E-2</v>
      </c>
      <c r="V876" t="s">
        <v>29</v>
      </c>
    </row>
    <row r="877" spans="1:22">
      <c r="A877" s="3">
        <v>45694</v>
      </c>
      <c r="B877" t="str">
        <f t="shared" si="91"/>
        <v>yyyy-02</v>
      </c>
      <c r="C877">
        <f t="shared" si="92"/>
        <v>6</v>
      </c>
      <c r="D877" t="s">
        <v>42</v>
      </c>
      <c r="E877" t="s">
        <v>43</v>
      </c>
      <c r="F877" t="s">
        <v>47</v>
      </c>
      <c r="G877" t="s">
        <v>27</v>
      </c>
      <c r="H877" t="s">
        <v>45</v>
      </c>
      <c r="I877" s="5">
        <v>369</v>
      </c>
      <c r="J877" s="5">
        <v>300</v>
      </c>
      <c r="K877" s="5">
        <v>23</v>
      </c>
      <c r="L877" s="5">
        <v>4</v>
      </c>
      <c r="M877" s="5">
        <v>4</v>
      </c>
      <c r="N877" s="7">
        <v>586.86</v>
      </c>
      <c r="O877" s="7">
        <f t="shared" si="93"/>
        <v>2347.44</v>
      </c>
      <c r="P877" s="4">
        <v>0.03</v>
      </c>
      <c r="Q877" s="7">
        <f t="shared" si="94"/>
        <v>70.423199999999994</v>
      </c>
      <c r="R877" s="7">
        <f t="shared" si="95"/>
        <v>2277.0167999999999</v>
      </c>
      <c r="S877" s="7">
        <f t="shared" si="96"/>
        <v>569.25419999999997</v>
      </c>
      <c r="T877" s="6">
        <f t="shared" si="97"/>
        <v>1.0840108401084011E-2</v>
      </c>
      <c r="V877" t="s">
        <v>29</v>
      </c>
    </row>
    <row r="878" spans="1:22">
      <c r="A878" s="3">
        <v>45694</v>
      </c>
      <c r="B878" t="str">
        <f t="shared" si="91"/>
        <v>yyyy-02</v>
      </c>
      <c r="C878">
        <f t="shared" si="92"/>
        <v>6</v>
      </c>
      <c r="D878" t="s">
        <v>42</v>
      </c>
      <c r="E878" t="s">
        <v>49</v>
      </c>
      <c r="F878" t="s">
        <v>50</v>
      </c>
      <c r="G878" t="s">
        <v>27</v>
      </c>
      <c r="H878" t="s">
        <v>63</v>
      </c>
      <c r="I878" s="5">
        <v>114</v>
      </c>
      <c r="J878" s="5">
        <v>62</v>
      </c>
      <c r="K878" s="5">
        <v>4</v>
      </c>
      <c r="L878" s="5">
        <v>1</v>
      </c>
      <c r="M878" s="5">
        <v>1</v>
      </c>
      <c r="N878" s="7">
        <v>1000.34</v>
      </c>
      <c r="O878" s="7">
        <f t="shared" si="93"/>
        <v>1000.34</v>
      </c>
      <c r="P878" s="4">
        <v>0.05</v>
      </c>
      <c r="Q878" s="7">
        <f t="shared" si="94"/>
        <v>50.017000000000003</v>
      </c>
      <c r="R878" s="7">
        <f t="shared" si="95"/>
        <v>950.32299999999998</v>
      </c>
      <c r="S878" s="7">
        <f t="shared" si="96"/>
        <v>950.32299999999998</v>
      </c>
      <c r="T878" s="6">
        <f t="shared" si="97"/>
        <v>8.771929824561403E-3</v>
      </c>
      <c r="V878" t="s">
        <v>29</v>
      </c>
    </row>
    <row r="879" spans="1:22">
      <c r="A879" s="3">
        <v>45694</v>
      </c>
      <c r="B879" t="str">
        <f t="shared" si="91"/>
        <v>yyyy-02</v>
      </c>
      <c r="C879">
        <f t="shared" si="92"/>
        <v>6</v>
      </c>
      <c r="D879" t="s">
        <v>42</v>
      </c>
      <c r="E879" t="s">
        <v>51</v>
      </c>
      <c r="F879" t="s">
        <v>52</v>
      </c>
      <c r="G879" t="s">
        <v>27</v>
      </c>
      <c r="H879" t="s">
        <v>28</v>
      </c>
      <c r="I879" s="5">
        <v>282</v>
      </c>
      <c r="J879" s="5">
        <v>164</v>
      </c>
      <c r="K879" s="5">
        <v>14</v>
      </c>
      <c r="L879" s="5">
        <v>4</v>
      </c>
      <c r="M879" s="5">
        <v>4</v>
      </c>
      <c r="N879" s="7">
        <v>588.29</v>
      </c>
      <c r="O879" s="7">
        <f t="shared" si="93"/>
        <v>2353.16</v>
      </c>
      <c r="P879" s="4">
        <v>0</v>
      </c>
      <c r="Q879" s="7">
        <f t="shared" si="94"/>
        <v>0</v>
      </c>
      <c r="R879" s="7">
        <f t="shared" si="95"/>
        <v>2353.16</v>
      </c>
      <c r="S879" s="7">
        <f t="shared" si="96"/>
        <v>588.29</v>
      </c>
      <c r="T879" s="6">
        <f t="shared" si="97"/>
        <v>1.4184397163120567E-2</v>
      </c>
      <c r="V879" t="s">
        <v>29</v>
      </c>
    </row>
    <row r="880" spans="1:22">
      <c r="A880" s="3">
        <v>45694</v>
      </c>
      <c r="B880" t="str">
        <f t="shared" si="91"/>
        <v>yyyy-02</v>
      </c>
      <c r="C880">
        <f t="shared" si="92"/>
        <v>6</v>
      </c>
      <c r="D880" t="s">
        <v>53</v>
      </c>
      <c r="E880" t="s">
        <v>54</v>
      </c>
      <c r="F880" t="s">
        <v>55</v>
      </c>
      <c r="G880" t="s">
        <v>31</v>
      </c>
      <c r="H880" t="s">
        <v>32</v>
      </c>
      <c r="I880" s="5">
        <v>184</v>
      </c>
      <c r="J880" s="5">
        <v>119</v>
      </c>
      <c r="K880" s="5">
        <v>10</v>
      </c>
      <c r="L880" s="5">
        <v>2</v>
      </c>
      <c r="M880" s="5">
        <v>2</v>
      </c>
      <c r="N880" s="7">
        <v>1284.31</v>
      </c>
      <c r="O880" s="7">
        <f t="shared" si="93"/>
        <v>2568.62</v>
      </c>
      <c r="P880" s="4">
        <v>0</v>
      </c>
      <c r="Q880" s="7">
        <f t="shared" si="94"/>
        <v>0</v>
      </c>
      <c r="R880" s="7">
        <f t="shared" si="95"/>
        <v>2568.62</v>
      </c>
      <c r="S880" s="7">
        <f t="shared" si="96"/>
        <v>1284.31</v>
      </c>
      <c r="T880" s="6">
        <f t="shared" si="97"/>
        <v>1.0869565217391304E-2</v>
      </c>
      <c r="V880" t="s">
        <v>29</v>
      </c>
    </row>
    <row r="881" spans="1:22">
      <c r="A881" s="3">
        <v>45694</v>
      </c>
      <c r="B881" t="str">
        <f t="shared" si="91"/>
        <v>yyyy-02</v>
      </c>
      <c r="C881">
        <f t="shared" si="92"/>
        <v>6</v>
      </c>
      <c r="D881" t="s">
        <v>53</v>
      </c>
      <c r="E881" t="s">
        <v>56</v>
      </c>
      <c r="F881" t="s">
        <v>57</v>
      </c>
      <c r="G881" t="s">
        <v>31</v>
      </c>
      <c r="H881" t="s">
        <v>32</v>
      </c>
      <c r="I881" s="5">
        <v>241</v>
      </c>
      <c r="J881" s="5">
        <v>178</v>
      </c>
      <c r="K881" s="5">
        <v>20</v>
      </c>
      <c r="L881" s="5">
        <v>3</v>
      </c>
      <c r="M881" s="5">
        <v>3</v>
      </c>
      <c r="N881" s="7">
        <v>745.44</v>
      </c>
      <c r="O881" s="7">
        <f t="shared" si="93"/>
        <v>2236.3200000000002</v>
      </c>
      <c r="P881" s="4">
        <v>0</v>
      </c>
      <c r="Q881" s="7">
        <f t="shared" si="94"/>
        <v>0</v>
      </c>
      <c r="R881" s="7">
        <f t="shared" si="95"/>
        <v>2236.3200000000002</v>
      </c>
      <c r="S881" s="7">
        <f t="shared" si="96"/>
        <v>745.44</v>
      </c>
      <c r="T881" s="6">
        <f t="shared" si="97"/>
        <v>1.2448132780082987E-2</v>
      </c>
      <c r="V881" t="s">
        <v>29</v>
      </c>
    </row>
    <row r="882" spans="1:22">
      <c r="A882" s="3">
        <v>45694</v>
      </c>
      <c r="B882" t="str">
        <f t="shared" si="91"/>
        <v>yyyy-02</v>
      </c>
      <c r="C882">
        <f t="shared" si="92"/>
        <v>6</v>
      </c>
      <c r="D882" t="s">
        <v>53</v>
      </c>
      <c r="E882" t="s">
        <v>56</v>
      </c>
      <c r="F882" t="s">
        <v>58</v>
      </c>
      <c r="G882" t="s">
        <v>27</v>
      </c>
      <c r="H882" t="s">
        <v>28</v>
      </c>
      <c r="I882" s="5">
        <v>224</v>
      </c>
      <c r="J882" s="5">
        <v>130</v>
      </c>
      <c r="K882" s="5">
        <v>14</v>
      </c>
      <c r="L882" s="5">
        <v>3</v>
      </c>
      <c r="M882" s="5">
        <v>3</v>
      </c>
      <c r="N882" s="7">
        <v>895.67</v>
      </c>
      <c r="O882" s="7">
        <f t="shared" si="93"/>
        <v>2687.0099999999998</v>
      </c>
      <c r="P882" s="4">
        <v>0.05</v>
      </c>
      <c r="Q882" s="7">
        <f t="shared" si="94"/>
        <v>134.35049999999998</v>
      </c>
      <c r="R882" s="7">
        <f t="shared" si="95"/>
        <v>2552.6594999999998</v>
      </c>
      <c r="S882" s="7">
        <f t="shared" si="96"/>
        <v>850.88649999999996</v>
      </c>
      <c r="T882" s="6">
        <f t="shared" si="97"/>
        <v>1.3392857142857142E-2</v>
      </c>
      <c r="V882" t="s">
        <v>29</v>
      </c>
    </row>
    <row r="883" spans="1:22">
      <c r="A883" s="3">
        <v>45694</v>
      </c>
      <c r="B883" t="str">
        <f t="shared" si="91"/>
        <v>yyyy-02</v>
      </c>
      <c r="C883">
        <f t="shared" si="92"/>
        <v>6</v>
      </c>
      <c r="D883" t="s">
        <v>53</v>
      </c>
      <c r="E883" t="s">
        <v>59</v>
      </c>
      <c r="F883" t="s">
        <v>60</v>
      </c>
      <c r="G883" t="s">
        <v>31</v>
      </c>
      <c r="H883" t="s">
        <v>32</v>
      </c>
      <c r="I883" s="5">
        <v>190</v>
      </c>
      <c r="J883" s="5">
        <v>132</v>
      </c>
      <c r="K883" s="5">
        <v>15</v>
      </c>
      <c r="L883" s="5">
        <v>2</v>
      </c>
      <c r="M883" s="5">
        <v>2</v>
      </c>
      <c r="N883" s="7">
        <v>690.18</v>
      </c>
      <c r="O883" s="7">
        <f t="shared" si="93"/>
        <v>1380.36</v>
      </c>
      <c r="P883" s="4">
        <v>0</v>
      </c>
      <c r="Q883" s="7">
        <f t="shared" si="94"/>
        <v>0</v>
      </c>
      <c r="R883" s="7">
        <f t="shared" si="95"/>
        <v>1380.36</v>
      </c>
      <c r="S883" s="7">
        <f t="shared" si="96"/>
        <v>690.18</v>
      </c>
      <c r="T883" s="6">
        <f t="shared" si="97"/>
        <v>1.0526315789473684E-2</v>
      </c>
      <c r="V883" t="s">
        <v>29</v>
      </c>
    </row>
    <row r="884" spans="1:22">
      <c r="A884" s="3">
        <v>45694</v>
      </c>
      <c r="B884" t="str">
        <f t="shared" si="91"/>
        <v>yyyy-02</v>
      </c>
      <c r="C884">
        <f t="shared" si="92"/>
        <v>6</v>
      </c>
      <c r="D884" t="s">
        <v>53</v>
      </c>
      <c r="E884" t="s">
        <v>61</v>
      </c>
      <c r="F884" t="s">
        <v>62</v>
      </c>
      <c r="G884" t="s">
        <v>27</v>
      </c>
      <c r="H884" t="s">
        <v>45</v>
      </c>
      <c r="I884" s="5">
        <v>124</v>
      </c>
      <c r="J884" s="5">
        <v>79</v>
      </c>
      <c r="K884" s="5">
        <v>9</v>
      </c>
      <c r="L884" s="5">
        <v>2</v>
      </c>
      <c r="M884" s="5">
        <v>2</v>
      </c>
      <c r="N884" s="7">
        <v>484.42</v>
      </c>
      <c r="O884" s="7">
        <f t="shared" si="93"/>
        <v>968.84</v>
      </c>
      <c r="P884" s="4">
        <v>0.05</v>
      </c>
      <c r="Q884" s="7">
        <f t="shared" si="94"/>
        <v>48.442000000000007</v>
      </c>
      <c r="R884" s="7">
        <f t="shared" si="95"/>
        <v>920.39800000000002</v>
      </c>
      <c r="S884" s="7">
        <f t="shared" si="96"/>
        <v>460.19900000000001</v>
      </c>
      <c r="T884" s="6">
        <f t="shared" si="97"/>
        <v>1.6129032258064516E-2</v>
      </c>
      <c r="V884" t="s">
        <v>29</v>
      </c>
    </row>
    <row r="885" spans="1:22">
      <c r="A885" s="3">
        <v>45694</v>
      </c>
      <c r="B885" t="str">
        <f t="shared" si="91"/>
        <v>yyyy-02</v>
      </c>
      <c r="C885">
        <f t="shared" si="92"/>
        <v>6</v>
      </c>
      <c r="D885" t="s">
        <v>53</v>
      </c>
      <c r="E885" t="s">
        <v>64</v>
      </c>
      <c r="F885" t="s">
        <v>65</v>
      </c>
      <c r="G885" t="s">
        <v>27</v>
      </c>
      <c r="H885" t="s">
        <v>28</v>
      </c>
      <c r="I885" s="5">
        <v>210</v>
      </c>
      <c r="J885" s="5">
        <v>146</v>
      </c>
      <c r="K885" s="5">
        <v>10</v>
      </c>
      <c r="L885" s="5">
        <v>2</v>
      </c>
      <c r="M885" s="5">
        <v>2</v>
      </c>
      <c r="N885" s="7">
        <v>808.77</v>
      </c>
      <c r="O885" s="7">
        <f t="shared" si="93"/>
        <v>1617.54</v>
      </c>
      <c r="P885" s="4">
        <v>0</v>
      </c>
      <c r="Q885" s="7">
        <f t="shared" si="94"/>
        <v>0</v>
      </c>
      <c r="R885" s="7">
        <f t="shared" si="95"/>
        <v>1617.54</v>
      </c>
      <c r="S885" s="7">
        <f t="shared" si="96"/>
        <v>808.77</v>
      </c>
      <c r="T885" s="6">
        <f t="shared" si="97"/>
        <v>9.5238095238095247E-3</v>
      </c>
      <c r="V885" t="s">
        <v>29</v>
      </c>
    </row>
    <row r="886" spans="1:22">
      <c r="A886" s="3">
        <v>45694</v>
      </c>
      <c r="B886" t="str">
        <f t="shared" si="91"/>
        <v>yyyy-02</v>
      </c>
      <c r="C886">
        <f t="shared" si="92"/>
        <v>6</v>
      </c>
      <c r="D886" t="s">
        <v>66</v>
      </c>
      <c r="E886" t="s">
        <v>67</v>
      </c>
      <c r="F886" t="s">
        <v>68</v>
      </c>
      <c r="G886" t="s">
        <v>36</v>
      </c>
      <c r="H886" t="s">
        <v>37</v>
      </c>
      <c r="I886" s="5">
        <v>354</v>
      </c>
      <c r="J886" s="5">
        <v>216</v>
      </c>
      <c r="K886" s="5">
        <v>41</v>
      </c>
      <c r="L886" s="5">
        <v>10</v>
      </c>
      <c r="M886" s="5">
        <v>10</v>
      </c>
      <c r="N886" s="7">
        <v>680.15</v>
      </c>
      <c r="O886" s="7">
        <f t="shared" si="93"/>
        <v>6801.5</v>
      </c>
      <c r="P886" s="4">
        <v>7.0000000000000007E-2</v>
      </c>
      <c r="Q886" s="7">
        <f t="shared" si="94"/>
        <v>476.10500000000002</v>
      </c>
      <c r="R886" s="7">
        <f t="shared" si="95"/>
        <v>6325.3950000000004</v>
      </c>
      <c r="S886" s="7">
        <f t="shared" si="96"/>
        <v>632.53950000000009</v>
      </c>
      <c r="T886" s="6">
        <f t="shared" si="97"/>
        <v>2.8248587570621469E-2</v>
      </c>
      <c r="U886" t="s">
        <v>83</v>
      </c>
      <c r="V886" t="s">
        <v>29</v>
      </c>
    </row>
    <row r="887" spans="1:22">
      <c r="A887" s="3">
        <v>45694</v>
      </c>
      <c r="B887" t="str">
        <f t="shared" si="91"/>
        <v>yyyy-02</v>
      </c>
      <c r="C887">
        <f t="shared" si="92"/>
        <v>6</v>
      </c>
      <c r="D887" t="s">
        <v>66</v>
      </c>
      <c r="E887" t="s">
        <v>67</v>
      </c>
      <c r="F887" t="s">
        <v>69</v>
      </c>
      <c r="G887" t="s">
        <v>27</v>
      </c>
      <c r="H887" t="s">
        <v>28</v>
      </c>
      <c r="I887" s="5">
        <v>182</v>
      </c>
      <c r="J887" s="5">
        <v>98</v>
      </c>
      <c r="K887" s="5">
        <v>13</v>
      </c>
      <c r="L887" s="5">
        <v>3</v>
      </c>
      <c r="M887" s="5">
        <v>3</v>
      </c>
      <c r="N887" s="7">
        <v>393.84</v>
      </c>
      <c r="O887" s="7">
        <f t="shared" si="93"/>
        <v>1181.52</v>
      </c>
      <c r="P887" s="4">
        <v>7.0000000000000007E-2</v>
      </c>
      <c r="Q887" s="7">
        <f t="shared" si="94"/>
        <v>82.706400000000002</v>
      </c>
      <c r="R887" s="7">
        <f t="shared" si="95"/>
        <v>1098.8136</v>
      </c>
      <c r="S887" s="7">
        <f t="shared" si="96"/>
        <v>366.27119999999996</v>
      </c>
      <c r="T887" s="6">
        <f t="shared" si="97"/>
        <v>1.6483516483516484E-2</v>
      </c>
      <c r="U887" t="s">
        <v>83</v>
      </c>
      <c r="V887" t="s">
        <v>29</v>
      </c>
    </row>
    <row r="888" spans="1:22">
      <c r="A888" s="3">
        <v>45694</v>
      </c>
      <c r="B888" t="str">
        <f t="shared" si="91"/>
        <v>yyyy-02</v>
      </c>
      <c r="C888">
        <f t="shared" si="92"/>
        <v>6</v>
      </c>
      <c r="D888" t="s">
        <v>66</v>
      </c>
      <c r="E888" t="s">
        <v>67</v>
      </c>
      <c r="F888" t="s">
        <v>70</v>
      </c>
      <c r="G888" t="s">
        <v>36</v>
      </c>
      <c r="H888" t="s">
        <v>37</v>
      </c>
      <c r="I888" s="5">
        <v>313</v>
      </c>
      <c r="J888" s="5">
        <v>207</v>
      </c>
      <c r="K888" s="5">
        <v>21</v>
      </c>
      <c r="L888" s="5">
        <v>5</v>
      </c>
      <c r="M888" s="5">
        <v>5</v>
      </c>
      <c r="N888" s="7">
        <v>343.02</v>
      </c>
      <c r="O888" s="7">
        <f t="shared" si="93"/>
        <v>1715.1</v>
      </c>
      <c r="P888" s="4">
        <v>7.0000000000000007E-2</v>
      </c>
      <c r="Q888" s="7">
        <f t="shared" si="94"/>
        <v>120.057</v>
      </c>
      <c r="R888" s="7">
        <f t="shared" si="95"/>
        <v>1595.0429999999999</v>
      </c>
      <c r="S888" s="7">
        <f t="shared" si="96"/>
        <v>319.0086</v>
      </c>
      <c r="T888" s="6">
        <f t="shared" si="97"/>
        <v>1.5974440894568689E-2</v>
      </c>
      <c r="U888" t="s">
        <v>83</v>
      </c>
      <c r="V888" t="s">
        <v>29</v>
      </c>
    </row>
    <row r="889" spans="1:22">
      <c r="A889" s="3">
        <v>45694</v>
      </c>
      <c r="B889" t="str">
        <f t="shared" si="91"/>
        <v>yyyy-02</v>
      </c>
      <c r="C889">
        <f t="shared" si="92"/>
        <v>6</v>
      </c>
      <c r="D889" t="s">
        <v>66</v>
      </c>
      <c r="E889" t="s">
        <v>71</v>
      </c>
      <c r="F889" t="s">
        <v>72</v>
      </c>
      <c r="G889" t="s">
        <v>27</v>
      </c>
      <c r="H889" t="s">
        <v>45</v>
      </c>
      <c r="I889" s="5">
        <v>296</v>
      </c>
      <c r="J889" s="5">
        <v>238</v>
      </c>
      <c r="K889" s="5">
        <v>21</v>
      </c>
      <c r="L889" s="5">
        <v>5</v>
      </c>
      <c r="M889" s="5">
        <v>5</v>
      </c>
      <c r="N889" s="7">
        <v>128.08000000000001</v>
      </c>
      <c r="O889" s="7">
        <f t="shared" si="93"/>
        <v>640.40000000000009</v>
      </c>
      <c r="P889" s="4">
        <v>0</v>
      </c>
      <c r="Q889" s="7">
        <f t="shared" si="94"/>
        <v>0</v>
      </c>
      <c r="R889" s="7">
        <f t="shared" si="95"/>
        <v>640.40000000000009</v>
      </c>
      <c r="S889" s="7">
        <f t="shared" si="96"/>
        <v>128.08000000000001</v>
      </c>
      <c r="T889" s="6">
        <f t="shared" si="97"/>
        <v>1.6891891891891893E-2</v>
      </c>
      <c r="V889" t="s">
        <v>29</v>
      </c>
    </row>
    <row r="890" spans="1:22">
      <c r="A890" s="3">
        <v>45694</v>
      </c>
      <c r="B890" t="str">
        <f t="shared" si="91"/>
        <v>yyyy-02</v>
      </c>
      <c r="C890">
        <f t="shared" si="92"/>
        <v>6</v>
      </c>
      <c r="D890" t="s">
        <v>66</v>
      </c>
      <c r="E890" t="s">
        <v>73</v>
      </c>
      <c r="F890" t="s">
        <v>74</v>
      </c>
      <c r="G890" t="s">
        <v>31</v>
      </c>
      <c r="H890" t="s">
        <v>32</v>
      </c>
      <c r="I890" s="5">
        <v>236</v>
      </c>
      <c r="J890" s="5">
        <v>182</v>
      </c>
      <c r="K890" s="5">
        <v>13</v>
      </c>
      <c r="L890" s="5">
        <v>5</v>
      </c>
      <c r="M890" s="5">
        <v>5</v>
      </c>
      <c r="N890" s="7">
        <v>1158.27</v>
      </c>
      <c r="O890" s="7">
        <f t="shared" si="93"/>
        <v>5791.35</v>
      </c>
      <c r="P890" s="4">
        <v>0</v>
      </c>
      <c r="Q890" s="7">
        <f t="shared" si="94"/>
        <v>0</v>
      </c>
      <c r="R890" s="7">
        <f t="shared" si="95"/>
        <v>5791.35</v>
      </c>
      <c r="S890" s="7">
        <f t="shared" si="96"/>
        <v>1158.27</v>
      </c>
      <c r="T890" s="6">
        <f t="shared" si="97"/>
        <v>2.1186440677966101E-2</v>
      </c>
      <c r="V890" t="s">
        <v>29</v>
      </c>
    </row>
    <row r="891" spans="1:22">
      <c r="A891" s="3">
        <v>45694</v>
      </c>
      <c r="B891" t="str">
        <f t="shared" si="91"/>
        <v>yyyy-02</v>
      </c>
      <c r="C891">
        <f t="shared" si="92"/>
        <v>6</v>
      </c>
      <c r="D891" t="s">
        <v>66</v>
      </c>
      <c r="E891" t="s">
        <v>71</v>
      </c>
      <c r="F891" t="s">
        <v>75</v>
      </c>
      <c r="G891" t="s">
        <v>36</v>
      </c>
      <c r="H891" t="s">
        <v>37</v>
      </c>
      <c r="I891" s="5">
        <v>370</v>
      </c>
      <c r="J891" s="5">
        <v>193</v>
      </c>
      <c r="K891" s="5">
        <v>20</v>
      </c>
      <c r="L891" s="5">
        <v>6</v>
      </c>
      <c r="M891" s="5">
        <v>8</v>
      </c>
      <c r="N891" s="7">
        <v>39.53</v>
      </c>
      <c r="O891" s="7">
        <f t="shared" si="93"/>
        <v>316.24</v>
      </c>
      <c r="P891" s="4">
        <v>0.03</v>
      </c>
      <c r="Q891" s="7">
        <f t="shared" si="94"/>
        <v>9.4871999999999996</v>
      </c>
      <c r="R891" s="7">
        <f t="shared" si="95"/>
        <v>306.75280000000004</v>
      </c>
      <c r="S891" s="7">
        <f t="shared" si="96"/>
        <v>51.125466666666675</v>
      </c>
      <c r="T891" s="6">
        <f t="shared" si="97"/>
        <v>1.6216216216216217E-2</v>
      </c>
      <c r="V891" t="s">
        <v>29</v>
      </c>
    </row>
    <row r="892" spans="1:22">
      <c r="A892" s="3">
        <v>45694</v>
      </c>
      <c r="B892" t="str">
        <f t="shared" si="91"/>
        <v>yyyy-02</v>
      </c>
      <c r="C892">
        <f t="shared" si="92"/>
        <v>6</v>
      </c>
      <c r="D892" t="s">
        <v>24</v>
      </c>
      <c r="E892" t="s">
        <v>76</v>
      </c>
      <c r="F892" t="s">
        <v>77</v>
      </c>
      <c r="G892" t="s">
        <v>27</v>
      </c>
      <c r="H892" t="s">
        <v>28</v>
      </c>
      <c r="I892" s="5">
        <v>622</v>
      </c>
      <c r="J892" s="5">
        <v>484</v>
      </c>
      <c r="K892" s="5">
        <v>59</v>
      </c>
      <c r="L892" s="5">
        <v>15</v>
      </c>
      <c r="M892" s="5">
        <v>20</v>
      </c>
      <c r="N892" s="7">
        <v>195.7</v>
      </c>
      <c r="O892" s="7">
        <f t="shared" si="93"/>
        <v>3914</v>
      </c>
      <c r="P892" s="4">
        <v>0</v>
      </c>
      <c r="Q892" s="7">
        <f t="shared" si="94"/>
        <v>0</v>
      </c>
      <c r="R892" s="7">
        <f t="shared" si="95"/>
        <v>3914</v>
      </c>
      <c r="S892" s="7">
        <f t="shared" si="96"/>
        <v>260.93333333333334</v>
      </c>
      <c r="T892" s="6">
        <f t="shared" si="97"/>
        <v>2.4115755627009645E-2</v>
      </c>
      <c r="V892" t="s">
        <v>29</v>
      </c>
    </row>
    <row r="893" spans="1:22">
      <c r="A893" s="3">
        <v>45695</v>
      </c>
      <c r="B893" t="str">
        <f t="shared" si="91"/>
        <v>yyyy-02</v>
      </c>
      <c r="C893">
        <f t="shared" si="92"/>
        <v>6</v>
      </c>
      <c r="D893" t="s">
        <v>24</v>
      </c>
      <c r="E893" t="s">
        <v>25</v>
      </c>
      <c r="F893" t="s">
        <v>26</v>
      </c>
      <c r="G893" t="s">
        <v>36</v>
      </c>
      <c r="H893" t="s">
        <v>37</v>
      </c>
      <c r="I893" s="5">
        <v>1773</v>
      </c>
      <c r="J893" s="5">
        <v>1032</v>
      </c>
      <c r="K893" s="5">
        <v>147</v>
      </c>
      <c r="L893" s="5">
        <v>31</v>
      </c>
      <c r="M893" s="5">
        <v>31</v>
      </c>
      <c r="N893" s="7">
        <v>960</v>
      </c>
      <c r="O893" s="7">
        <f t="shared" si="93"/>
        <v>29760</v>
      </c>
      <c r="P893" s="4">
        <v>0</v>
      </c>
      <c r="Q893" s="7">
        <f t="shared" si="94"/>
        <v>0</v>
      </c>
      <c r="R893" s="7">
        <f t="shared" si="95"/>
        <v>29760</v>
      </c>
      <c r="S893" s="7">
        <f t="shared" si="96"/>
        <v>960</v>
      </c>
      <c r="T893" s="6">
        <f t="shared" si="97"/>
        <v>1.7484489565707841E-2</v>
      </c>
      <c r="V893" t="s">
        <v>29</v>
      </c>
    </row>
    <row r="894" spans="1:22">
      <c r="A894" s="3">
        <v>45695</v>
      </c>
      <c r="B894" t="str">
        <f t="shared" si="91"/>
        <v>yyyy-02</v>
      </c>
      <c r="C894">
        <f t="shared" si="92"/>
        <v>6</v>
      </c>
      <c r="D894" t="s">
        <v>24</v>
      </c>
      <c r="E894" t="s">
        <v>25</v>
      </c>
      <c r="F894" t="s">
        <v>30</v>
      </c>
      <c r="G894" t="s">
        <v>31</v>
      </c>
      <c r="H894" t="s">
        <v>32</v>
      </c>
      <c r="I894" s="5">
        <v>1766</v>
      </c>
      <c r="J894" s="5">
        <v>1023</v>
      </c>
      <c r="K894" s="5">
        <v>113</v>
      </c>
      <c r="L894" s="5">
        <v>39</v>
      </c>
      <c r="M894" s="5">
        <v>39</v>
      </c>
      <c r="N894" s="7">
        <v>402.12</v>
      </c>
      <c r="O894" s="7">
        <f t="shared" si="93"/>
        <v>15682.68</v>
      </c>
      <c r="P894" s="4">
        <v>0</v>
      </c>
      <c r="Q894" s="7">
        <f t="shared" si="94"/>
        <v>0</v>
      </c>
      <c r="R894" s="7">
        <f t="shared" si="95"/>
        <v>15682.68</v>
      </c>
      <c r="S894" s="7">
        <f t="shared" si="96"/>
        <v>402.12</v>
      </c>
      <c r="T894" s="6">
        <f t="shared" si="97"/>
        <v>2.2083805209513023E-2</v>
      </c>
      <c r="V894" t="s">
        <v>29</v>
      </c>
    </row>
    <row r="895" spans="1:22">
      <c r="A895" s="3">
        <v>45695</v>
      </c>
      <c r="B895" t="str">
        <f t="shared" si="91"/>
        <v>yyyy-02</v>
      </c>
      <c r="C895">
        <f t="shared" si="92"/>
        <v>6</v>
      </c>
      <c r="D895" t="s">
        <v>24</v>
      </c>
      <c r="E895" t="s">
        <v>25</v>
      </c>
      <c r="F895" t="s">
        <v>33</v>
      </c>
      <c r="G895" t="s">
        <v>27</v>
      </c>
      <c r="H895" t="s">
        <v>48</v>
      </c>
      <c r="I895" s="5">
        <v>1302</v>
      </c>
      <c r="J895" s="5">
        <v>1006</v>
      </c>
      <c r="K895" s="5">
        <v>93</v>
      </c>
      <c r="L895" s="5">
        <v>24</v>
      </c>
      <c r="M895" s="5">
        <v>24</v>
      </c>
      <c r="N895" s="7">
        <v>1827.89</v>
      </c>
      <c r="O895" s="7">
        <f t="shared" si="93"/>
        <v>43869.36</v>
      </c>
      <c r="P895" s="4">
        <v>0</v>
      </c>
      <c r="Q895" s="7">
        <f t="shared" si="94"/>
        <v>0</v>
      </c>
      <c r="R895" s="7">
        <f t="shared" si="95"/>
        <v>43869.36</v>
      </c>
      <c r="S895" s="7">
        <f t="shared" si="96"/>
        <v>1827.89</v>
      </c>
      <c r="T895" s="6">
        <f t="shared" si="97"/>
        <v>1.8433179723502304E-2</v>
      </c>
      <c r="V895" t="s">
        <v>29</v>
      </c>
    </row>
    <row r="896" spans="1:22">
      <c r="A896" s="3">
        <v>45695</v>
      </c>
      <c r="B896" t="str">
        <f t="shared" si="91"/>
        <v>yyyy-02</v>
      </c>
      <c r="C896">
        <f t="shared" si="92"/>
        <v>6</v>
      </c>
      <c r="D896" t="s">
        <v>24</v>
      </c>
      <c r="E896" t="s">
        <v>34</v>
      </c>
      <c r="F896" t="s">
        <v>35</v>
      </c>
      <c r="G896" t="s">
        <v>36</v>
      </c>
      <c r="H896" t="s">
        <v>37</v>
      </c>
      <c r="I896" s="5">
        <v>1034</v>
      </c>
      <c r="J896" s="5">
        <v>606</v>
      </c>
      <c r="K896" s="5">
        <v>50</v>
      </c>
      <c r="L896" s="5">
        <v>20</v>
      </c>
      <c r="M896" s="5">
        <v>20</v>
      </c>
      <c r="N896" s="7">
        <v>880.1</v>
      </c>
      <c r="O896" s="7">
        <f t="shared" si="93"/>
        <v>17602</v>
      </c>
      <c r="P896" s="4">
        <v>0</v>
      </c>
      <c r="Q896" s="7">
        <f t="shared" si="94"/>
        <v>0</v>
      </c>
      <c r="R896" s="7">
        <f t="shared" si="95"/>
        <v>17602</v>
      </c>
      <c r="S896" s="7">
        <f t="shared" si="96"/>
        <v>880.1</v>
      </c>
      <c r="T896" s="6">
        <f t="shared" si="97"/>
        <v>1.9342359767891684E-2</v>
      </c>
      <c r="V896" t="s">
        <v>29</v>
      </c>
    </row>
    <row r="897" spans="1:22">
      <c r="A897" s="3">
        <v>45695</v>
      </c>
      <c r="B897" t="str">
        <f t="shared" si="91"/>
        <v>yyyy-02</v>
      </c>
      <c r="C897">
        <f t="shared" si="92"/>
        <v>6</v>
      </c>
      <c r="D897" t="s">
        <v>24</v>
      </c>
      <c r="E897" t="s">
        <v>38</v>
      </c>
      <c r="F897" t="s">
        <v>39</v>
      </c>
      <c r="G897" t="s">
        <v>36</v>
      </c>
      <c r="H897" t="s">
        <v>37</v>
      </c>
      <c r="I897" s="5">
        <v>1039</v>
      </c>
      <c r="J897" s="5">
        <v>749</v>
      </c>
      <c r="K897" s="5">
        <v>53</v>
      </c>
      <c r="L897" s="5">
        <v>24</v>
      </c>
      <c r="M897" s="5">
        <v>24</v>
      </c>
      <c r="N897" s="7">
        <v>321.79000000000002</v>
      </c>
      <c r="O897" s="7">
        <f t="shared" si="93"/>
        <v>7722.9600000000009</v>
      </c>
      <c r="P897" s="4">
        <v>0.09</v>
      </c>
      <c r="Q897" s="7">
        <f t="shared" si="94"/>
        <v>695.06640000000004</v>
      </c>
      <c r="R897" s="7">
        <f t="shared" si="95"/>
        <v>7027.8936000000012</v>
      </c>
      <c r="S897" s="7">
        <f t="shared" si="96"/>
        <v>292.82890000000003</v>
      </c>
      <c r="T897" s="6">
        <f t="shared" si="97"/>
        <v>2.3099133782483156E-2</v>
      </c>
      <c r="U897" t="s">
        <v>84</v>
      </c>
      <c r="V897" t="s">
        <v>29</v>
      </c>
    </row>
    <row r="898" spans="1:22">
      <c r="A898" s="3">
        <v>45695</v>
      </c>
      <c r="B898" t="str">
        <f t="shared" si="91"/>
        <v>yyyy-02</v>
      </c>
      <c r="C898">
        <f t="shared" si="92"/>
        <v>6</v>
      </c>
      <c r="D898" t="s">
        <v>24</v>
      </c>
      <c r="E898" t="s">
        <v>40</v>
      </c>
      <c r="F898" t="s">
        <v>41</v>
      </c>
      <c r="G898" t="s">
        <v>27</v>
      </c>
      <c r="H898" t="s">
        <v>28</v>
      </c>
      <c r="I898" s="5">
        <v>737</v>
      </c>
      <c r="J898" s="5">
        <v>564</v>
      </c>
      <c r="K898" s="5">
        <v>70</v>
      </c>
      <c r="L898" s="5">
        <v>19</v>
      </c>
      <c r="M898" s="5">
        <v>20</v>
      </c>
      <c r="N898" s="7">
        <v>175.32</v>
      </c>
      <c r="O898" s="7">
        <f t="shared" si="93"/>
        <v>3506.3999999999996</v>
      </c>
      <c r="P898" s="4">
        <v>0</v>
      </c>
      <c r="Q898" s="7">
        <f t="shared" si="94"/>
        <v>0</v>
      </c>
      <c r="R898" s="7">
        <f t="shared" si="95"/>
        <v>3506.3999999999996</v>
      </c>
      <c r="S898" s="7">
        <f t="shared" si="96"/>
        <v>184.54736842105262</v>
      </c>
      <c r="T898" s="6">
        <f t="shared" si="97"/>
        <v>2.5780189959294438E-2</v>
      </c>
      <c r="V898" t="s">
        <v>29</v>
      </c>
    </row>
    <row r="899" spans="1:22">
      <c r="A899" s="3">
        <v>45695</v>
      </c>
      <c r="B899" t="str">
        <f t="shared" si="91"/>
        <v>yyyy-02</v>
      </c>
      <c r="C899">
        <f t="shared" si="92"/>
        <v>6</v>
      </c>
      <c r="D899" t="s">
        <v>42</v>
      </c>
      <c r="E899" t="s">
        <v>43</v>
      </c>
      <c r="F899" t="s">
        <v>44</v>
      </c>
      <c r="G899" t="s">
        <v>27</v>
      </c>
      <c r="H899" t="s">
        <v>28</v>
      </c>
      <c r="I899" s="5">
        <v>565</v>
      </c>
      <c r="J899" s="5">
        <v>351</v>
      </c>
      <c r="K899" s="5">
        <v>42</v>
      </c>
      <c r="L899" s="5">
        <v>9</v>
      </c>
      <c r="M899" s="5">
        <v>9</v>
      </c>
      <c r="N899" s="7">
        <v>1313.41</v>
      </c>
      <c r="O899" s="7">
        <f t="shared" si="93"/>
        <v>11820.69</v>
      </c>
      <c r="P899" s="4">
        <v>0</v>
      </c>
      <c r="Q899" s="7">
        <f t="shared" si="94"/>
        <v>0</v>
      </c>
      <c r="R899" s="7">
        <f t="shared" si="95"/>
        <v>11820.69</v>
      </c>
      <c r="S899" s="7">
        <f t="shared" si="96"/>
        <v>1313.41</v>
      </c>
      <c r="T899" s="6">
        <f t="shared" si="97"/>
        <v>1.5929203539823009E-2</v>
      </c>
      <c r="V899" t="s">
        <v>29</v>
      </c>
    </row>
    <row r="900" spans="1:22">
      <c r="A900" s="3">
        <v>45695</v>
      </c>
      <c r="B900" t="str">
        <f t="shared" si="91"/>
        <v>yyyy-02</v>
      </c>
      <c r="C900">
        <f t="shared" si="92"/>
        <v>6</v>
      </c>
      <c r="D900" t="s">
        <v>42</v>
      </c>
      <c r="E900" t="s">
        <v>43</v>
      </c>
      <c r="F900" t="s">
        <v>46</v>
      </c>
      <c r="G900" t="s">
        <v>27</v>
      </c>
      <c r="H900" t="s">
        <v>28</v>
      </c>
      <c r="I900" s="5">
        <v>442</v>
      </c>
      <c r="J900" s="5">
        <v>354</v>
      </c>
      <c r="K900" s="5">
        <v>35</v>
      </c>
      <c r="L900" s="5">
        <v>5</v>
      </c>
      <c r="M900" s="5">
        <v>5</v>
      </c>
      <c r="N900" s="7">
        <v>2177.46</v>
      </c>
      <c r="O900" s="7">
        <f t="shared" si="93"/>
        <v>10887.3</v>
      </c>
      <c r="P900" s="4">
        <v>0</v>
      </c>
      <c r="Q900" s="7">
        <f t="shared" si="94"/>
        <v>0</v>
      </c>
      <c r="R900" s="7">
        <f t="shared" si="95"/>
        <v>10887.3</v>
      </c>
      <c r="S900" s="7">
        <f t="shared" si="96"/>
        <v>2177.46</v>
      </c>
      <c r="T900" s="6">
        <f t="shared" si="97"/>
        <v>1.1312217194570135E-2</v>
      </c>
      <c r="V900" t="s">
        <v>78</v>
      </c>
    </row>
    <row r="901" spans="1:22">
      <c r="A901" s="3">
        <v>45695</v>
      </c>
      <c r="B901" t="str">
        <f t="shared" ref="B901:B964" si="98">TEXT(A901,"yyyy-mm")</f>
        <v>yyyy-02</v>
      </c>
      <c r="C901">
        <f t="shared" ref="C901:C964" si="99">WEEKNUM(A901,2)</f>
        <v>6</v>
      </c>
      <c r="D901" t="s">
        <v>42</v>
      </c>
      <c r="E901" t="s">
        <v>43</v>
      </c>
      <c r="F901" t="s">
        <v>47</v>
      </c>
      <c r="G901" t="s">
        <v>27</v>
      </c>
      <c r="H901" t="s">
        <v>45</v>
      </c>
      <c r="I901" s="5">
        <v>317</v>
      </c>
      <c r="J901" s="5">
        <v>195</v>
      </c>
      <c r="K901" s="5">
        <v>21</v>
      </c>
      <c r="L901" s="5">
        <v>5</v>
      </c>
      <c r="M901" s="5">
        <v>5</v>
      </c>
      <c r="N901" s="7">
        <v>577.19000000000005</v>
      </c>
      <c r="O901" s="7">
        <f t="shared" ref="O901:O964" si="100">M901*N901</f>
        <v>2885.9500000000003</v>
      </c>
      <c r="P901" s="4">
        <v>0</v>
      </c>
      <c r="Q901" s="7">
        <f t="shared" ref="Q901:Q964" si="101">O901*P901</f>
        <v>0</v>
      </c>
      <c r="R901" s="7">
        <f t="shared" ref="R901:R964" si="102">O901-Q901</f>
        <v>2885.9500000000003</v>
      </c>
      <c r="S901" s="7">
        <f t="shared" ref="S901:S964" si="103">IFERROR(R901/L901,0)</f>
        <v>577.19000000000005</v>
      </c>
      <c r="T901" s="6">
        <f t="shared" ref="T901:T964" si="104">IFERROR(L901/I901,0)</f>
        <v>1.5772870662460567E-2</v>
      </c>
      <c r="V901" t="s">
        <v>29</v>
      </c>
    </row>
    <row r="902" spans="1:22">
      <c r="A902" s="3">
        <v>45695</v>
      </c>
      <c r="B902" t="str">
        <f t="shared" si="98"/>
        <v>yyyy-02</v>
      </c>
      <c r="C902">
        <f t="shared" si="99"/>
        <v>6</v>
      </c>
      <c r="D902" t="s">
        <v>42</v>
      </c>
      <c r="E902" t="s">
        <v>49</v>
      </c>
      <c r="F902" t="s">
        <v>50</v>
      </c>
      <c r="G902" t="s">
        <v>36</v>
      </c>
      <c r="H902" t="s">
        <v>37</v>
      </c>
      <c r="I902" s="5">
        <v>126</v>
      </c>
      <c r="J902" s="5">
        <v>80</v>
      </c>
      <c r="K902" s="5">
        <v>8</v>
      </c>
      <c r="L902" s="5">
        <v>2</v>
      </c>
      <c r="M902" s="5">
        <v>2</v>
      </c>
      <c r="N902" s="7">
        <v>1018.29</v>
      </c>
      <c r="O902" s="7">
        <f t="shared" si="100"/>
        <v>2036.58</v>
      </c>
      <c r="P902" s="4">
        <v>0</v>
      </c>
      <c r="Q902" s="7">
        <f t="shared" si="101"/>
        <v>0</v>
      </c>
      <c r="R902" s="7">
        <f t="shared" si="102"/>
        <v>2036.58</v>
      </c>
      <c r="S902" s="7">
        <f t="shared" si="103"/>
        <v>1018.29</v>
      </c>
      <c r="T902" s="6">
        <f t="shared" si="104"/>
        <v>1.5873015873015872E-2</v>
      </c>
      <c r="V902" t="s">
        <v>29</v>
      </c>
    </row>
    <row r="903" spans="1:22">
      <c r="A903" s="3">
        <v>45695</v>
      </c>
      <c r="B903" t="str">
        <f t="shared" si="98"/>
        <v>yyyy-02</v>
      </c>
      <c r="C903">
        <f t="shared" si="99"/>
        <v>6</v>
      </c>
      <c r="D903" t="s">
        <v>42</v>
      </c>
      <c r="E903" t="s">
        <v>51</v>
      </c>
      <c r="F903" t="s">
        <v>52</v>
      </c>
      <c r="G903" t="s">
        <v>36</v>
      </c>
      <c r="H903" t="s">
        <v>37</v>
      </c>
      <c r="I903" s="5">
        <v>245</v>
      </c>
      <c r="J903" s="5">
        <v>130</v>
      </c>
      <c r="K903" s="5">
        <v>14</v>
      </c>
      <c r="L903" s="5">
        <v>4</v>
      </c>
      <c r="M903" s="5">
        <v>4</v>
      </c>
      <c r="N903" s="7">
        <v>602.01</v>
      </c>
      <c r="O903" s="7">
        <f t="shared" si="100"/>
        <v>2408.04</v>
      </c>
      <c r="P903" s="4">
        <v>0</v>
      </c>
      <c r="Q903" s="7">
        <f t="shared" si="101"/>
        <v>0</v>
      </c>
      <c r="R903" s="7">
        <f t="shared" si="102"/>
        <v>2408.04</v>
      </c>
      <c r="S903" s="7">
        <f t="shared" si="103"/>
        <v>602.01</v>
      </c>
      <c r="T903" s="6">
        <f t="shared" si="104"/>
        <v>1.6326530612244899E-2</v>
      </c>
      <c r="V903" t="s">
        <v>29</v>
      </c>
    </row>
    <row r="904" spans="1:22">
      <c r="A904" s="3">
        <v>45695</v>
      </c>
      <c r="B904" t="str">
        <f t="shared" si="98"/>
        <v>yyyy-02</v>
      </c>
      <c r="C904">
        <f t="shared" si="99"/>
        <v>6</v>
      </c>
      <c r="D904" t="s">
        <v>53</v>
      </c>
      <c r="E904" t="s">
        <v>54</v>
      </c>
      <c r="F904" t="s">
        <v>55</v>
      </c>
      <c r="G904" t="s">
        <v>31</v>
      </c>
      <c r="H904" t="s">
        <v>32</v>
      </c>
      <c r="I904" s="5">
        <v>248</v>
      </c>
      <c r="J904" s="5">
        <v>147</v>
      </c>
      <c r="K904" s="5">
        <v>14</v>
      </c>
      <c r="L904" s="5">
        <v>3</v>
      </c>
      <c r="M904" s="5">
        <v>3</v>
      </c>
      <c r="N904" s="7">
        <v>1266.4000000000001</v>
      </c>
      <c r="O904" s="7">
        <f t="shared" si="100"/>
        <v>3799.2000000000003</v>
      </c>
      <c r="P904" s="4">
        <v>0.05</v>
      </c>
      <c r="Q904" s="7">
        <f t="shared" si="101"/>
        <v>189.96000000000004</v>
      </c>
      <c r="R904" s="7">
        <f t="shared" si="102"/>
        <v>3609.2400000000002</v>
      </c>
      <c r="S904" s="7">
        <f t="shared" si="103"/>
        <v>1203.0800000000002</v>
      </c>
      <c r="T904" s="6">
        <f t="shared" si="104"/>
        <v>1.2096774193548387E-2</v>
      </c>
      <c r="V904" t="s">
        <v>29</v>
      </c>
    </row>
    <row r="905" spans="1:22">
      <c r="A905" s="3">
        <v>45695</v>
      </c>
      <c r="B905" t="str">
        <f t="shared" si="98"/>
        <v>yyyy-02</v>
      </c>
      <c r="C905">
        <f t="shared" si="99"/>
        <v>6</v>
      </c>
      <c r="D905" t="s">
        <v>53</v>
      </c>
      <c r="E905" t="s">
        <v>56</v>
      </c>
      <c r="F905" t="s">
        <v>57</v>
      </c>
      <c r="G905" t="s">
        <v>27</v>
      </c>
      <c r="H905" t="s">
        <v>45</v>
      </c>
      <c r="I905" s="5">
        <v>198</v>
      </c>
      <c r="J905" s="5">
        <v>114</v>
      </c>
      <c r="K905" s="5">
        <v>9</v>
      </c>
      <c r="L905" s="5">
        <v>2</v>
      </c>
      <c r="M905" s="5">
        <v>2</v>
      </c>
      <c r="N905" s="7">
        <v>761.9</v>
      </c>
      <c r="O905" s="7">
        <f t="shared" si="100"/>
        <v>1523.8</v>
      </c>
      <c r="P905" s="4">
        <v>0.05</v>
      </c>
      <c r="Q905" s="7">
        <f t="shared" si="101"/>
        <v>76.19</v>
      </c>
      <c r="R905" s="7">
        <f t="shared" si="102"/>
        <v>1447.61</v>
      </c>
      <c r="S905" s="7">
        <f t="shared" si="103"/>
        <v>723.80499999999995</v>
      </c>
      <c r="T905" s="6">
        <f t="shared" si="104"/>
        <v>1.0101010101010102E-2</v>
      </c>
      <c r="V905" t="s">
        <v>29</v>
      </c>
    </row>
    <row r="906" spans="1:22">
      <c r="A906" s="3">
        <v>45695</v>
      </c>
      <c r="B906" t="str">
        <f t="shared" si="98"/>
        <v>yyyy-02</v>
      </c>
      <c r="C906">
        <f t="shared" si="99"/>
        <v>6</v>
      </c>
      <c r="D906" t="s">
        <v>53</v>
      </c>
      <c r="E906" t="s">
        <v>56</v>
      </c>
      <c r="F906" t="s">
        <v>58</v>
      </c>
      <c r="G906" t="s">
        <v>31</v>
      </c>
      <c r="H906" t="s">
        <v>32</v>
      </c>
      <c r="I906" s="5">
        <v>201</v>
      </c>
      <c r="J906" s="5">
        <v>112</v>
      </c>
      <c r="K906" s="5">
        <v>12</v>
      </c>
      <c r="L906" s="5">
        <v>2</v>
      </c>
      <c r="M906" s="5">
        <v>2</v>
      </c>
      <c r="N906" s="7">
        <v>874.06</v>
      </c>
      <c r="O906" s="7">
        <f t="shared" si="100"/>
        <v>1748.12</v>
      </c>
      <c r="P906" s="4">
        <v>0</v>
      </c>
      <c r="Q906" s="7">
        <f t="shared" si="101"/>
        <v>0</v>
      </c>
      <c r="R906" s="7">
        <f t="shared" si="102"/>
        <v>1748.12</v>
      </c>
      <c r="S906" s="7">
        <f t="shared" si="103"/>
        <v>874.06</v>
      </c>
      <c r="T906" s="6">
        <f t="shared" si="104"/>
        <v>9.9502487562189053E-3</v>
      </c>
      <c r="V906" t="s">
        <v>29</v>
      </c>
    </row>
    <row r="907" spans="1:22">
      <c r="A907" s="3">
        <v>45695</v>
      </c>
      <c r="B907" t="str">
        <f t="shared" si="98"/>
        <v>yyyy-02</v>
      </c>
      <c r="C907">
        <f t="shared" si="99"/>
        <v>6</v>
      </c>
      <c r="D907" t="s">
        <v>53</v>
      </c>
      <c r="E907" t="s">
        <v>59</v>
      </c>
      <c r="F907" t="s">
        <v>60</v>
      </c>
      <c r="G907" t="s">
        <v>27</v>
      </c>
      <c r="H907" t="s">
        <v>28</v>
      </c>
      <c r="I907" s="5">
        <v>129</v>
      </c>
      <c r="J907" s="5">
        <v>76</v>
      </c>
      <c r="K907" s="5">
        <v>5</v>
      </c>
      <c r="L907" s="5">
        <v>1</v>
      </c>
      <c r="M907" s="5">
        <v>1</v>
      </c>
      <c r="N907" s="7">
        <v>689.84</v>
      </c>
      <c r="O907" s="7">
        <f t="shared" si="100"/>
        <v>689.84</v>
      </c>
      <c r="P907" s="4">
        <v>0</v>
      </c>
      <c r="Q907" s="7">
        <f t="shared" si="101"/>
        <v>0</v>
      </c>
      <c r="R907" s="7">
        <f t="shared" si="102"/>
        <v>689.84</v>
      </c>
      <c r="S907" s="7">
        <f t="shared" si="103"/>
        <v>689.84</v>
      </c>
      <c r="T907" s="6">
        <f t="shared" si="104"/>
        <v>7.7519379844961239E-3</v>
      </c>
      <c r="V907" t="s">
        <v>29</v>
      </c>
    </row>
    <row r="908" spans="1:22">
      <c r="A908" s="3">
        <v>45695</v>
      </c>
      <c r="B908" t="str">
        <f t="shared" si="98"/>
        <v>yyyy-02</v>
      </c>
      <c r="C908">
        <f t="shared" si="99"/>
        <v>6</v>
      </c>
      <c r="D908" t="s">
        <v>53</v>
      </c>
      <c r="E908" t="s">
        <v>61</v>
      </c>
      <c r="F908" t="s">
        <v>62</v>
      </c>
      <c r="G908" t="s">
        <v>27</v>
      </c>
      <c r="H908" t="s">
        <v>28</v>
      </c>
      <c r="I908" s="5">
        <v>190</v>
      </c>
      <c r="J908" s="5">
        <v>127</v>
      </c>
      <c r="K908" s="5">
        <v>9</v>
      </c>
      <c r="L908" s="5">
        <v>3</v>
      </c>
      <c r="M908" s="5">
        <v>3</v>
      </c>
      <c r="N908" s="7">
        <v>493.13</v>
      </c>
      <c r="O908" s="7">
        <f t="shared" si="100"/>
        <v>1479.3899999999999</v>
      </c>
      <c r="P908" s="4">
        <v>0</v>
      </c>
      <c r="Q908" s="7">
        <f t="shared" si="101"/>
        <v>0</v>
      </c>
      <c r="R908" s="7">
        <f t="shared" si="102"/>
        <v>1479.3899999999999</v>
      </c>
      <c r="S908" s="7">
        <f t="shared" si="103"/>
        <v>493.12999999999994</v>
      </c>
      <c r="T908" s="6">
        <f t="shared" si="104"/>
        <v>1.5789473684210527E-2</v>
      </c>
      <c r="V908" t="s">
        <v>29</v>
      </c>
    </row>
    <row r="909" spans="1:22">
      <c r="A909" s="3">
        <v>45695</v>
      </c>
      <c r="B909" t="str">
        <f t="shared" si="98"/>
        <v>yyyy-02</v>
      </c>
      <c r="C909">
        <f t="shared" si="99"/>
        <v>6</v>
      </c>
      <c r="D909" t="s">
        <v>53</v>
      </c>
      <c r="E909" t="s">
        <v>64</v>
      </c>
      <c r="F909" t="s">
        <v>65</v>
      </c>
      <c r="G909" t="s">
        <v>36</v>
      </c>
      <c r="H909" t="s">
        <v>37</v>
      </c>
      <c r="I909" s="5">
        <v>216</v>
      </c>
      <c r="J909" s="5">
        <v>165</v>
      </c>
      <c r="K909" s="5">
        <v>18</v>
      </c>
      <c r="L909" s="5">
        <v>2</v>
      </c>
      <c r="M909" s="5">
        <v>2</v>
      </c>
      <c r="N909" s="7">
        <v>803.42</v>
      </c>
      <c r="O909" s="7">
        <f t="shared" si="100"/>
        <v>1606.84</v>
      </c>
      <c r="P909" s="4">
        <v>0.03</v>
      </c>
      <c r="Q909" s="7">
        <f t="shared" si="101"/>
        <v>48.205199999999998</v>
      </c>
      <c r="R909" s="7">
        <f t="shared" si="102"/>
        <v>1558.6347999999998</v>
      </c>
      <c r="S909" s="7">
        <f t="shared" si="103"/>
        <v>779.31739999999991</v>
      </c>
      <c r="T909" s="6">
        <f t="shared" si="104"/>
        <v>9.2592592592592587E-3</v>
      </c>
      <c r="V909" t="s">
        <v>29</v>
      </c>
    </row>
    <row r="910" spans="1:22">
      <c r="A910" s="3">
        <v>45695</v>
      </c>
      <c r="B910" t="str">
        <f t="shared" si="98"/>
        <v>yyyy-02</v>
      </c>
      <c r="C910">
        <f t="shared" si="99"/>
        <v>6</v>
      </c>
      <c r="D910" t="s">
        <v>66</v>
      </c>
      <c r="E910" t="s">
        <v>67</v>
      </c>
      <c r="F910" t="s">
        <v>68</v>
      </c>
      <c r="G910" t="s">
        <v>27</v>
      </c>
      <c r="H910" t="s">
        <v>63</v>
      </c>
      <c r="I910" s="5">
        <v>176</v>
      </c>
      <c r="J910" s="5">
        <v>99</v>
      </c>
      <c r="K910" s="5">
        <v>11</v>
      </c>
      <c r="L910" s="5">
        <v>4</v>
      </c>
      <c r="M910" s="5">
        <v>4</v>
      </c>
      <c r="N910" s="7">
        <v>690.06</v>
      </c>
      <c r="O910" s="7">
        <f t="shared" si="100"/>
        <v>2760.24</v>
      </c>
      <c r="P910" s="4">
        <v>7.0000000000000007E-2</v>
      </c>
      <c r="Q910" s="7">
        <f t="shared" si="101"/>
        <v>193.21680000000001</v>
      </c>
      <c r="R910" s="7">
        <f t="shared" si="102"/>
        <v>2567.0231999999996</v>
      </c>
      <c r="S910" s="7">
        <f t="shared" si="103"/>
        <v>641.75579999999991</v>
      </c>
      <c r="T910" s="6">
        <f t="shared" si="104"/>
        <v>2.2727272727272728E-2</v>
      </c>
      <c r="U910" t="s">
        <v>83</v>
      </c>
      <c r="V910" t="s">
        <v>29</v>
      </c>
    </row>
    <row r="911" spans="1:22">
      <c r="A911" s="3">
        <v>45695</v>
      </c>
      <c r="B911" t="str">
        <f t="shared" si="98"/>
        <v>yyyy-02</v>
      </c>
      <c r="C911">
        <f t="shared" si="99"/>
        <v>6</v>
      </c>
      <c r="D911" t="s">
        <v>66</v>
      </c>
      <c r="E911" t="s">
        <v>67</v>
      </c>
      <c r="F911" t="s">
        <v>69</v>
      </c>
      <c r="G911" t="s">
        <v>36</v>
      </c>
      <c r="H911" t="s">
        <v>37</v>
      </c>
      <c r="I911" s="5">
        <v>400</v>
      </c>
      <c r="J911" s="5">
        <v>266</v>
      </c>
      <c r="K911" s="5">
        <v>18</v>
      </c>
      <c r="L911" s="5">
        <v>7</v>
      </c>
      <c r="M911" s="5">
        <v>7</v>
      </c>
      <c r="N911" s="7">
        <v>395.03</v>
      </c>
      <c r="O911" s="7">
        <f t="shared" si="100"/>
        <v>2765.21</v>
      </c>
      <c r="P911" s="4">
        <v>7.0000000000000007E-2</v>
      </c>
      <c r="Q911" s="7">
        <f t="shared" si="101"/>
        <v>193.56470000000002</v>
      </c>
      <c r="R911" s="7">
        <f t="shared" si="102"/>
        <v>2571.6453000000001</v>
      </c>
      <c r="S911" s="7">
        <f t="shared" si="103"/>
        <v>367.37790000000001</v>
      </c>
      <c r="T911" s="6">
        <f t="shared" si="104"/>
        <v>1.7500000000000002E-2</v>
      </c>
      <c r="U911" t="s">
        <v>83</v>
      </c>
      <c r="V911" t="s">
        <v>29</v>
      </c>
    </row>
    <row r="912" spans="1:22">
      <c r="A912" s="3">
        <v>45695</v>
      </c>
      <c r="B912" t="str">
        <f t="shared" si="98"/>
        <v>yyyy-02</v>
      </c>
      <c r="C912">
        <f t="shared" si="99"/>
        <v>6</v>
      </c>
      <c r="D912" t="s">
        <v>66</v>
      </c>
      <c r="E912" t="s">
        <v>67</v>
      </c>
      <c r="F912" t="s">
        <v>70</v>
      </c>
      <c r="G912" t="s">
        <v>27</v>
      </c>
      <c r="H912" t="s">
        <v>45</v>
      </c>
      <c r="I912" s="5">
        <v>319</v>
      </c>
      <c r="J912" s="5">
        <v>257</v>
      </c>
      <c r="K912" s="5">
        <v>44</v>
      </c>
      <c r="L912" s="5">
        <v>9</v>
      </c>
      <c r="M912" s="5">
        <v>9</v>
      </c>
      <c r="N912" s="7">
        <v>345.29</v>
      </c>
      <c r="O912" s="7">
        <f t="shared" si="100"/>
        <v>3107.61</v>
      </c>
      <c r="P912" s="4">
        <v>7.0000000000000007E-2</v>
      </c>
      <c r="Q912" s="7">
        <f t="shared" si="101"/>
        <v>217.53270000000003</v>
      </c>
      <c r="R912" s="7">
        <f t="shared" si="102"/>
        <v>2890.0772999999999</v>
      </c>
      <c r="S912" s="7">
        <f t="shared" si="103"/>
        <v>321.11969999999997</v>
      </c>
      <c r="T912" s="6">
        <f t="shared" si="104"/>
        <v>2.8213166144200628E-2</v>
      </c>
      <c r="U912" t="s">
        <v>83</v>
      </c>
      <c r="V912" t="s">
        <v>29</v>
      </c>
    </row>
    <row r="913" spans="1:22">
      <c r="A913" s="3">
        <v>45695</v>
      </c>
      <c r="B913" t="str">
        <f t="shared" si="98"/>
        <v>yyyy-02</v>
      </c>
      <c r="C913">
        <f t="shared" si="99"/>
        <v>6</v>
      </c>
      <c r="D913" t="s">
        <v>66</v>
      </c>
      <c r="E913" t="s">
        <v>71</v>
      </c>
      <c r="F913" t="s">
        <v>72</v>
      </c>
      <c r="G913" t="s">
        <v>27</v>
      </c>
      <c r="H913" t="s">
        <v>28</v>
      </c>
      <c r="I913" s="5">
        <v>412</v>
      </c>
      <c r="J913" s="5">
        <v>230</v>
      </c>
      <c r="K913" s="5">
        <v>23</v>
      </c>
      <c r="L913" s="5">
        <v>7</v>
      </c>
      <c r="M913" s="5">
        <v>9</v>
      </c>
      <c r="N913" s="7">
        <v>129.81</v>
      </c>
      <c r="O913" s="7">
        <f t="shared" si="100"/>
        <v>1168.29</v>
      </c>
      <c r="P913" s="4">
        <v>0.03</v>
      </c>
      <c r="Q913" s="7">
        <f t="shared" si="101"/>
        <v>35.048699999999997</v>
      </c>
      <c r="R913" s="7">
        <f t="shared" si="102"/>
        <v>1133.2412999999999</v>
      </c>
      <c r="S913" s="7">
        <f t="shared" si="103"/>
        <v>161.89161428571427</v>
      </c>
      <c r="T913" s="6">
        <f t="shared" si="104"/>
        <v>1.6990291262135922E-2</v>
      </c>
      <c r="V913" t="s">
        <v>78</v>
      </c>
    </row>
    <row r="914" spans="1:22">
      <c r="A914" s="3">
        <v>45695</v>
      </c>
      <c r="B914" t="str">
        <f t="shared" si="98"/>
        <v>yyyy-02</v>
      </c>
      <c r="C914">
        <f t="shared" si="99"/>
        <v>6</v>
      </c>
      <c r="D914" t="s">
        <v>66</v>
      </c>
      <c r="E914" t="s">
        <v>73</v>
      </c>
      <c r="F914" t="s">
        <v>74</v>
      </c>
      <c r="G914" t="s">
        <v>27</v>
      </c>
      <c r="H914" t="s">
        <v>45</v>
      </c>
      <c r="I914" s="5">
        <v>123</v>
      </c>
      <c r="J914" s="5">
        <v>82</v>
      </c>
      <c r="K914" s="5">
        <v>8</v>
      </c>
      <c r="L914" s="5">
        <v>2</v>
      </c>
      <c r="M914" s="5">
        <v>2</v>
      </c>
      <c r="N914" s="7">
        <v>1217.69</v>
      </c>
      <c r="O914" s="7">
        <f t="shared" si="100"/>
        <v>2435.38</v>
      </c>
      <c r="P914" s="4">
        <v>0</v>
      </c>
      <c r="Q914" s="7">
        <f t="shared" si="101"/>
        <v>0</v>
      </c>
      <c r="R914" s="7">
        <f t="shared" si="102"/>
        <v>2435.38</v>
      </c>
      <c r="S914" s="7">
        <f t="shared" si="103"/>
        <v>1217.69</v>
      </c>
      <c r="T914" s="6">
        <f t="shared" si="104"/>
        <v>1.6260162601626018E-2</v>
      </c>
      <c r="V914" t="s">
        <v>29</v>
      </c>
    </row>
    <row r="915" spans="1:22">
      <c r="A915" s="3">
        <v>45695</v>
      </c>
      <c r="B915" t="str">
        <f t="shared" si="98"/>
        <v>yyyy-02</v>
      </c>
      <c r="C915">
        <f t="shared" si="99"/>
        <v>6</v>
      </c>
      <c r="D915" t="s">
        <v>66</v>
      </c>
      <c r="E915" t="s">
        <v>71</v>
      </c>
      <c r="F915" t="s">
        <v>75</v>
      </c>
      <c r="G915" t="s">
        <v>27</v>
      </c>
      <c r="H915" t="s">
        <v>45</v>
      </c>
      <c r="I915" s="5">
        <v>310</v>
      </c>
      <c r="J915" s="5">
        <v>229</v>
      </c>
      <c r="K915" s="5">
        <v>16</v>
      </c>
      <c r="L915" s="5">
        <v>4</v>
      </c>
      <c r="M915" s="5">
        <v>5</v>
      </c>
      <c r="N915" s="7">
        <v>39.65</v>
      </c>
      <c r="O915" s="7">
        <f t="shared" si="100"/>
        <v>198.25</v>
      </c>
      <c r="P915" s="4">
        <v>0</v>
      </c>
      <c r="Q915" s="7">
        <f t="shared" si="101"/>
        <v>0</v>
      </c>
      <c r="R915" s="7">
        <f t="shared" si="102"/>
        <v>198.25</v>
      </c>
      <c r="S915" s="7">
        <f t="shared" si="103"/>
        <v>49.5625</v>
      </c>
      <c r="T915" s="6">
        <f t="shared" si="104"/>
        <v>1.2903225806451613E-2</v>
      </c>
      <c r="V915" t="s">
        <v>29</v>
      </c>
    </row>
    <row r="916" spans="1:22">
      <c r="A916" s="3">
        <v>45695</v>
      </c>
      <c r="B916" t="str">
        <f t="shared" si="98"/>
        <v>yyyy-02</v>
      </c>
      <c r="C916">
        <f t="shared" si="99"/>
        <v>6</v>
      </c>
      <c r="D916" t="s">
        <v>24</v>
      </c>
      <c r="E916" t="s">
        <v>76</v>
      </c>
      <c r="F916" t="s">
        <v>77</v>
      </c>
      <c r="G916" t="s">
        <v>31</v>
      </c>
      <c r="H916" t="s">
        <v>32</v>
      </c>
      <c r="I916" s="5">
        <v>578</v>
      </c>
      <c r="J916" s="5">
        <v>471</v>
      </c>
      <c r="K916" s="5">
        <v>48</v>
      </c>
      <c r="L916" s="5">
        <v>14</v>
      </c>
      <c r="M916" s="5">
        <v>17</v>
      </c>
      <c r="N916" s="7">
        <v>201.99</v>
      </c>
      <c r="O916" s="7">
        <f t="shared" si="100"/>
        <v>3433.83</v>
      </c>
      <c r="P916" s="4">
        <v>0</v>
      </c>
      <c r="Q916" s="7">
        <f t="shared" si="101"/>
        <v>0</v>
      </c>
      <c r="R916" s="7">
        <f t="shared" si="102"/>
        <v>3433.83</v>
      </c>
      <c r="S916" s="7">
        <f t="shared" si="103"/>
        <v>245.27357142857142</v>
      </c>
      <c r="T916" s="6">
        <f t="shared" si="104"/>
        <v>2.4221453287197232E-2</v>
      </c>
      <c r="V916" t="s">
        <v>29</v>
      </c>
    </row>
    <row r="917" spans="1:22">
      <c r="A917" s="3">
        <v>45696</v>
      </c>
      <c r="B917" t="str">
        <f t="shared" si="98"/>
        <v>yyyy-02</v>
      </c>
      <c r="C917">
        <f t="shared" si="99"/>
        <v>6</v>
      </c>
      <c r="D917" t="s">
        <v>24</v>
      </c>
      <c r="E917" t="s">
        <v>25</v>
      </c>
      <c r="F917" t="s">
        <v>26</v>
      </c>
      <c r="G917" t="s">
        <v>36</v>
      </c>
      <c r="H917" t="s">
        <v>37</v>
      </c>
      <c r="I917" s="5">
        <v>2245</v>
      </c>
      <c r="J917" s="5">
        <v>1777</v>
      </c>
      <c r="K917" s="5">
        <v>169</v>
      </c>
      <c r="L917" s="5">
        <v>38</v>
      </c>
      <c r="M917" s="5">
        <v>38</v>
      </c>
      <c r="N917" s="7">
        <v>989.05</v>
      </c>
      <c r="O917" s="7">
        <f t="shared" si="100"/>
        <v>37583.9</v>
      </c>
      <c r="P917" s="4">
        <v>0.03</v>
      </c>
      <c r="Q917" s="7">
        <f t="shared" si="101"/>
        <v>1127.5170000000001</v>
      </c>
      <c r="R917" s="7">
        <f t="shared" si="102"/>
        <v>36456.383000000002</v>
      </c>
      <c r="S917" s="7">
        <f t="shared" si="103"/>
        <v>959.37850000000003</v>
      </c>
      <c r="T917" s="6">
        <f t="shared" si="104"/>
        <v>1.6926503340757237E-2</v>
      </c>
      <c r="V917" t="s">
        <v>29</v>
      </c>
    </row>
    <row r="918" spans="1:22">
      <c r="A918" s="3">
        <v>45696</v>
      </c>
      <c r="B918" t="str">
        <f t="shared" si="98"/>
        <v>yyyy-02</v>
      </c>
      <c r="C918">
        <f t="shared" si="99"/>
        <v>6</v>
      </c>
      <c r="D918" t="s">
        <v>24</v>
      </c>
      <c r="E918" t="s">
        <v>25</v>
      </c>
      <c r="F918" t="s">
        <v>30</v>
      </c>
      <c r="G918" t="s">
        <v>27</v>
      </c>
      <c r="H918" t="s">
        <v>28</v>
      </c>
      <c r="I918" s="5">
        <v>1845</v>
      </c>
      <c r="J918" s="5">
        <v>1379</v>
      </c>
      <c r="K918" s="5">
        <v>205</v>
      </c>
      <c r="L918" s="5">
        <v>43</v>
      </c>
      <c r="M918" s="5">
        <v>43</v>
      </c>
      <c r="N918" s="7">
        <v>385.66</v>
      </c>
      <c r="O918" s="7">
        <f t="shared" si="100"/>
        <v>16583.38</v>
      </c>
      <c r="P918" s="4">
        <v>0</v>
      </c>
      <c r="Q918" s="7">
        <f t="shared" si="101"/>
        <v>0</v>
      </c>
      <c r="R918" s="7">
        <f t="shared" si="102"/>
        <v>16583.38</v>
      </c>
      <c r="S918" s="7">
        <f t="shared" si="103"/>
        <v>385.66</v>
      </c>
      <c r="T918" s="6">
        <f t="shared" si="104"/>
        <v>2.3306233062330622E-2</v>
      </c>
      <c r="V918" t="s">
        <v>29</v>
      </c>
    </row>
    <row r="919" spans="1:22">
      <c r="A919" s="3">
        <v>45696</v>
      </c>
      <c r="B919" t="str">
        <f t="shared" si="98"/>
        <v>yyyy-02</v>
      </c>
      <c r="C919">
        <f t="shared" si="99"/>
        <v>6</v>
      </c>
      <c r="D919" t="s">
        <v>24</v>
      </c>
      <c r="E919" t="s">
        <v>25</v>
      </c>
      <c r="F919" t="s">
        <v>33</v>
      </c>
      <c r="G919" t="s">
        <v>27</v>
      </c>
      <c r="H919" t="s">
        <v>28</v>
      </c>
      <c r="I919" s="5">
        <v>1572</v>
      </c>
      <c r="J919" s="5">
        <v>1182</v>
      </c>
      <c r="K919" s="5">
        <v>73</v>
      </c>
      <c r="L919" s="5">
        <v>36</v>
      </c>
      <c r="M919" s="5">
        <v>36</v>
      </c>
      <c r="N919" s="7">
        <v>1780.12</v>
      </c>
      <c r="O919" s="7">
        <f t="shared" si="100"/>
        <v>64084.319999999992</v>
      </c>
      <c r="P919" s="4">
        <v>0</v>
      </c>
      <c r="Q919" s="7">
        <f t="shared" si="101"/>
        <v>0</v>
      </c>
      <c r="R919" s="7">
        <f t="shared" si="102"/>
        <v>64084.319999999992</v>
      </c>
      <c r="S919" s="7">
        <f t="shared" si="103"/>
        <v>1780.12</v>
      </c>
      <c r="T919" s="6">
        <f t="shared" si="104"/>
        <v>2.2900763358778626E-2</v>
      </c>
      <c r="V919" t="s">
        <v>29</v>
      </c>
    </row>
    <row r="920" spans="1:22">
      <c r="A920" s="3">
        <v>45696</v>
      </c>
      <c r="B920" t="str">
        <f t="shared" si="98"/>
        <v>yyyy-02</v>
      </c>
      <c r="C920">
        <f t="shared" si="99"/>
        <v>6</v>
      </c>
      <c r="D920" t="s">
        <v>24</v>
      </c>
      <c r="E920" t="s">
        <v>34</v>
      </c>
      <c r="F920" t="s">
        <v>35</v>
      </c>
      <c r="G920" t="s">
        <v>31</v>
      </c>
      <c r="H920" t="s">
        <v>32</v>
      </c>
      <c r="I920" s="5">
        <v>1322</v>
      </c>
      <c r="J920" s="5">
        <v>858</v>
      </c>
      <c r="K920" s="5">
        <v>79</v>
      </c>
      <c r="L920" s="5">
        <v>24</v>
      </c>
      <c r="M920" s="5">
        <v>24</v>
      </c>
      <c r="N920" s="7">
        <v>873.09</v>
      </c>
      <c r="O920" s="7">
        <f t="shared" si="100"/>
        <v>20954.16</v>
      </c>
      <c r="P920" s="4">
        <v>0.05</v>
      </c>
      <c r="Q920" s="7">
        <f t="shared" si="101"/>
        <v>1047.7080000000001</v>
      </c>
      <c r="R920" s="7">
        <f t="shared" si="102"/>
        <v>19906.452000000001</v>
      </c>
      <c r="S920" s="7">
        <f t="shared" si="103"/>
        <v>829.43550000000005</v>
      </c>
      <c r="T920" s="6">
        <f t="shared" si="104"/>
        <v>1.8154311649016642E-2</v>
      </c>
      <c r="V920" t="s">
        <v>29</v>
      </c>
    </row>
    <row r="921" spans="1:22">
      <c r="A921" s="3">
        <v>45696</v>
      </c>
      <c r="B921" t="str">
        <f t="shared" si="98"/>
        <v>yyyy-02</v>
      </c>
      <c r="C921">
        <f t="shared" si="99"/>
        <v>6</v>
      </c>
      <c r="D921" t="s">
        <v>24</v>
      </c>
      <c r="E921" t="s">
        <v>38</v>
      </c>
      <c r="F921" t="s">
        <v>39</v>
      </c>
      <c r="G921" t="s">
        <v>31</v>
      </c>
      <c r="H921" t="s">
        <v>32</v>
      </c>
      <c r="I921" s="5">
        <v>937</v>
      </c>
      <c r="J921" s="5">
        <v>651</v>
      </c>
      <c r="K921" s="5">
        <v>65</v>
      </c>
      <c r="L921" s="5">
        <v>20</v>
      </c>
      <c r="M921" s="5">
        <v>20</v>
      </c>
      <c r="N921" s="7">
        <v>331.81</v>
      </c>
      <c r="O921" s="7">
        <f t="shared" si="100"/>
        <v>6636.2</v>
      </c>
      <c r="P921" s="4">
        <v>0.09</v>
      </c>
      <c r="Q921" s="7">
        <f t="shared" si="101"/>
        <v>597.25799999999992</v>
      </c>
      <c r="R921" s="7">
        <f t="shared" si="102"/>
        <v>6038.942</v>
      </c>
      <c r="S921" s="7">
        <f t="shared" si="103"/>
        <v>301.94709999999998</v>
      </c>
      <c r="T921" s="6">
        <f t="shared" si="104"/>
        <v>2.1344717182497332E-2</v>
      </c>
      <c r="U921" t="s">
        <v>84</v>
      </c>
      <c r="V921" t="s">
        <v>29</v>
      </c>
    </row>
    <row r="922" spans="1:22">
      <c r="A922" s="3">
        <v>45696</v>
      </c>
      <c r="B922" t="str">
        <f t="shared" si="98"/>
        <v>yyyy-02</v>
      </c>
      <c r="C922">
        <f t="shared" si="99"/>
        <v>6</v>
      </c>
      <c r="D922" t="s">
        <v>24</v>
      </c>
      <c r="E922" t="s">
        <v>40</v>
      </c>
      <c r="F922" t="s">
        <v>41</v>
      </c>
      <c r="G922" t="s">
        <v>31</v>
      </c>
      <c r="H922" t="s">
        <v>32</v>
      </c>
      <c r="I922" s="5">
        <v>883</v>
      </c>
      <c r="J922" s="5">
        <v>709</v>
      </c>
      <c r="K922" s="5">
        <v>55</v>
      </c>
      <c r="L922" s="5">
        <v>14</v>
      </c>
      <c r="M922" s="5">
        <v>15</v>
      </c>
      <c r="N922" s="7">
        <v>173.18</v>
      </c>
      <c r="O922" s="7">
        <f t="shared" si="100"/>
        <v>2597.7000000000003</v>
      </c>
      <c r="P922" s="4">
        <v>0</v>
      </c>
      <c r="Q922" s="7">
        <f t="shared" si="101"/>
        <v>0</v>
      </c>
      <c r="R922" s="7">
        <f t="shared" si="102"/>
        <v>2597.7000000000003</v>
      </c>
      <c r="S922" s="7">
        <f t="shared" si="103"/>
        <v>185.55</v>
      </c>
      <c r="T922" s="6">
        <f t="shared" si="104"/>
        <v>1.5855039637599093E-2</v>
      </c>
      <c r="V922" t="s">
        <v>29</v>
      </c>
    </row>
    <row r="923" spans="1:22">
      <c r="A923" s="3">
        <v>45696</v>
      </c>
      <c r="B923" t="str">
        <f t="shared" si="98"/>
        <v>yyyy-02</v>
      </c>
      <c r="C923">
        <f t="shared" si="99"/>
        <v>6</v>
      </c>
      <c r="D923" t="s">
        <v>42</v>
      </c>
      <c r="E923" t="s">
        <v>43</v>
      </c>
      <c r="F923" t="s">
        <v>44</v>
      </c>
      <c r="G923" t="s">
        <v>31</v>
      </c>
      <c r="H923" t="s">
        <v>32</v>
      </c>
      <c r="I923" s="5">
        <v>478</v>
      </c>
      <c r="J923" s="5">
        <v>263</v>
      </c>
      <c r="K923" s="5">
        <v>21</v>
      </c>
      <c r="L923" s="5">
        <v>5</v>
      </c>
      <c r="M923" s="5">
        <v>5</v>
      </c>
      <c r="N923" s="7">
        <v>1292.44</v>
      </c>
      <c r="O923" s="7">
        <f t="shared" si="100"/>
        <v>6462.2000000000007</v>
      </c>
      <c r="P923" s="4">
        <v>0</v>
      </c>
      <c r="Q923" s="7">
        <f t="shared" si="101"/>
        <v>0</v>
      </c>
      <c r="R923" s="7">
        <f t="shared" si="102"/>
        <v>6462.2000000000007</v>
      </c>
      <c r="S923" s="7">
        <f t="shared" si="103"/>
        <v>1292.44</v>
      </c>
      <c r="T923" s="6">
        <f t="shared" si="104"/>
        <v>1.0460251046025104E-2</v>
      </c>
      <c r="V923" t="s">
        <v>29</v>
      </c>
    </row>
    <row r="924" spans="1:22">
      <c r="A924" s="3">
        <v>45696</v>
      </c>
      <c r="B924" t="str">
        <f t="shared" si="98"/>
        <v>yyyy-02</v>
      </c>
      <c r="C924">
        <f t="shared" si="99"/>
        <v>6</v>
      </c>
      <c r="D924" t="s">
        <v>42</v>
      </c>
      <c r="E924" t="s">
        <v>43</v>
      </c>
      <c r="F924" t="s">
        <v>46</v>
      </c>
      <c r="G924" t="s">
        <v>27</v>
      </c>
      <c r="H924" t="s">
        <v>63</v>
      </c>
      <c r="I924" s="5">
        <v>380</v>
      </c>
      <c r="J924" s="5">
        <v>290</v>
      </c>
      <c r="K924" s="5">
        <v>34</v>
      </c>
      <c r="L924" s="5">
        <v>5</v>
      </c>
      <c r="M924" s="5">
        <v>5</v>
      </c>
      <c r="N924" s="7">
        <v>2146.11</v>
      </c>
      <c r="O924" s="7">
        <f t="shared" si="100"/>
        <v>10730.550000000001</v>
      </c>
      <c r="P924" s="4">
        <v>0</v>
      </c>
      <c r="Q924" s="7">
        <f t="shared" si="101"/>
        <v>0</v>
      </c>
      <c r="R924" s="7">
        <f t="shared" si="102"/>
        <v>10730.550000000001</v>
      </c>
      <c r="S924" s="7">
        <f t="shared" si="103"/>
        <v>2146.11</v>
      </c>
      <c r="T924" s="6">
        <f t="shared" si="104"/>
        <v>1.3157894736842105E-2</v>
      </c>
      <c r="V924" t="s">
        <v>29</v>
      </c>
    </row>
    <row r="925" spans="1:22">
      <c r="A925" s="3">
        <v>45696</v>
      </c>
      <c r="B925" t="str">
        <f t="shared" si="98"/>
        <v>yyyy-02</v>
      </c>
      <c r="C925">
        <f t="shared" si="99"/>
        <v>6</v>
      </c>
      <c r="D925" t="s">
        <v>42</v>
      </c>
      <c r="E925" t="s">
        <v>43</v>
      </c>
      <c r="F925" t="s">
        <v>47</v>
      </c>
      <c r="G925" t="s">
        <v>27</v>
      </c>
      <c r="H925" t="s">
        <v>28</v>
      </c>
      <c r="I925" s="5">
        <v>455</v>
      </c>
      <c r="J925" s="5">
        <v>284</v>
      </c>
      <c r="K925" s="5">
        <v>20</v>
      </c>
      <c r="L925" s="5">
        <v>6</v>
      </c>
      <c r="M925" s="5">
        <v>6</v>
      </c>
      <c r="N925" s="7">
        <v>589.36</v>
      </c>
      <c r="O925" s="7">
        <f t="shared" si="100"/>
        <v>3536.16</v>
      </c>
      <c r="P925" s="4">
        <v>0</v>
      </c>
      <c r="Q925" s="7">
        <f t="shared" si="101"/>
        <v>0</v>
      </c>
      <c r="R925" s="7">
        <f t="shared" si="102"/>
        <v>3536.16</v>
      </c>
      <c r="S925" s="7">
        <f t="shared" si="103"/>
        <v>589.36</v>
      </c>
      <c r="T925" s="6">
        <f t="shared" si="104"/>
        <v>1.3186813186813187E-2</v>
      </c>
      <c r="V925" t="s">
        <v>29</v>
      </c>
    </row>
    <row r="926" spans="1:22">
      <c r="A926" s="3">
        <v>45696</v>
      </c>
      <c r="B926" t="str">
        <f t="shared" si="98"/>
        <v>yyyy-02</v>
      </c>
      <c r="C926">
        <f t="shared" si="99"/>
        <v>6</v>
      </c>
      <c r="D926" t="s">
        <v>42</v>
      </c>
      <c r="E926" t="s">
        <v>49</v>
      </c>
      <c r="F926" t="s">
        <v>50</v>
      </c>
      <c r="G926" t="s">
        <v>27</v>
      </c>
      <c r="H926" t="s">
        <v>28</v>
      </c>
      <c r="I926" s="5">
        <v>196</v>
      </c>
      <c r="J926" s="5">
        <v>150</v>
      </c>
      <c r="K926" s="5">
        <v>11</v>
      </c>
      <c r="L926" s="5">
        <v>2</v>
      </c>
      <c r="M926" s="5">
        <v>2</v>
      </c>
      <c r="N926" s="7">
        <v>1009.12</v>
      </c>
      <c r="O926" s="7">
        <f t="shared" si="100"/>
        <v>2018.24</v>
      </c>
      <c r="P926" s="4">
        <v>0</v>
      </c>
      <c r="Q926" s="7">
        <f t="shared" si="101"/>
        <v>0</v>
      </c>
      <c r="R926" s="7">
        <f t="shared" si="102"/>
        <v>2018.24</v>
      </c>
      <c r="S926" s="7">
        <f t="shared" si="103"/>
        <v>1009.12</v>
      </c>
      <c r="T926" s="6">
        <f t="shared" si="104"/>
        <v>1.020408163265306E-2</v>
      </c>
      <c r="V926" t="s">
        <v>29</v>
      </c>
    </row>
    <row r="927" spans="1:22">
      <c r="A927" s="3">
        <v>45696</v>
      </c>
      <c r="B927" t="str">
        <f t="shared" si="98"/>
        <v>yyyy-02</v>
      </c>
      <c r="C927">
        <f t="shared" si="99"/>
        <v>6</v>
      </c>
      <c r="D927" t="s">
        <v>42</v>
      </c>
      <c r="E927" t="s">
        <v>51</v>
      </c>
      <c r="F927" t="s">
        <v>52</v>
      </c>
      <c r="G927" t="s">
        <v>27</v>
      </c>
      <c r="H927" t="s">
        <v>63</v>
      </c>
      <c r="I927" s="5">
        <v>217</v>
      </c>
      <c r="J927" s="5">
        <v>159</v>
      </c>
      <c r="K927" s="5">
        <v>14</v>
      </c>
      <c r="L927" s="5">
        <v>4</v>
      </c>
      <c r="M927" s="5">
        <v>4</v>
      </c>
      <c r="N927" s="7">
        <v>598.72</v>
      </c>
      <c r="O927" s="7">
        <f t="shared" si="100"/>
        <v>2394.88</v>
      </c>
      <c r="P927" s="4">
        <v>0</v>
      </c>
      <c r="Q927" s="7">
        <f t="shared" si="101"/>
        <v>0</v>
      </c>
      <c r="R927" s="7">
        <f t="shared" si="102"/>
        <v>2394.88</v>
      </c>
      <c r="S927" s="7">
        <f t="shared" si="103"/>
        <v>598.72</v>
      </c>
      <c r="T927" s="6">
        <f t="shared" si="104"/>
        <v>1.8433179723502304E-2</v>
      </c>
      <c r="V927" t="s">
        <v>29</v>
      </c>
    </row>
    <row r="928" spans="1:22">
      <c r="A928" s="3">
        <v>45696</v>
      </c>
      <c r="B928" t="str">
        <f t="shared" si="98"/>
        <v>yyyy-02</v>
      </c>
      <c r="C928">
        <f t="shared" si="99"/>
        <v>6</v>
      </c>
      <c r="D928" t="s">
        <v>53</v>
      </c>
      <c r="E928" t="s">
        <v>54</v>
      </c>
      <c r="F928" t="s">
        <v>55</v>
      </c>
      <c r="G928" t="s">
        <v>36</v>
      </c>
      <c r="H928" t="s">
        <v>37</v>
      </c>
      <c r="I928" s="5">
        <v>188</v>
      </c>
      <c r="J928" s="5">
        <v>97</v>
      </c>
      <c r="K928" s="5">
        <v>10</v>
      </c>
      <c r="L928" s="5">
        <v>2</v>
      </c>
      <c r="M928" s="5">
        <v>2</v>
      </c>
      <c r="N928" s="7">
        <v>1296.44</v>
      </c>
      <c r="O928" s="7">
        <f t="shared" si="100"/>
        <v>2592.88</v>
      </c>
      <c r="P928" s="4">
        <v>0</v>
      </c>
      <c r="Q928" s="7">
        <f t="shared" si="101"/>
        <v>0</v>
      </c>
      <c r="R928" s="7">
        <f t="shared" si="102"/>
        <v>2592.88</v>
      </c>
      <c r="S928" s="7">
        <f t="shared" si="103"/>
        <v>1296.44</v>
      </c>
      <c r="T928" s="6">
        <f t="shared" si="104"/>
        <v>1.0638297872340425E-2</v>
      </c>
      <c r="V928" t="s">
        <v>29</v>
      </c>
    </row>
    <row r="929" spans="1:22">
      <c r="A929" s="3">
        <v>45696</v>
      </c>
      <c r="B929" t="str">
        <f t="shared" si="98"/>
        <v>yyyy-02</v>
      </c>
      <c r="C929">
        <f t="shared" si="99"/>
        <v>6</v>
      </c>
      <c r="D929" t="s">
        <v>53</v>
      </c>
      <c r="E929" t="s">
        <v>56</v>
      </c>
      <c r="F929" t="s">
        <v>57</v>
      </c>
      <c r="G929" t="s">
        <v>27</v>
      </c>
      <c r="H929" t="s">
        <v>48</v>
      </c>
      <c r="I929" s="5">
        <v>137</v>
      </c>
      <c r="J929" s="5">
        <v>88</v>
      </c>
      <c r="K929" s="5">
        <v>7</v>
      </c>
      <c r="L929" s="5">
        <v>2</v>
      </c>
      <c r="M929" s="5">
        <v>2</v>
      </c>
      <c r="N929" s="7">
        <v>760.9</v>
      </c>
      <c r="O929" s="7">
        <f t="shared" si="100"/>
        <v>1521.8</v>
      </c>
      <c r="P929" s="4">
        <v>0.05</v>
      </c>
      <c r="Q929" s="7">
        <f t="shared" si="101"/>
        <v>76.09</v>
      </c>
      <c r="R929" s="7">
        <f t="shared" si="102"/>
        <v>1445.71</v>
      </c>
      <c r="S929" s="7">
        <f t="shared" si="103"/>
        <v>722.85500000000002</v>
      </c>
      <c r="T929" s="6">
        <f t="shared" si="104"/>
        <v>1.4598540145985401E-2</v>
      </c>
      <c r="V929" t="s">
        <v>29</v>
      </c>
    </row>
    <row r="930" spans="1:22">
      <c r="A930" s="3">
        <v>45696</v>
      </c>
      <c r="B930" t="str">
        <f t="shared" si="98"/>
        <v>yyyy-02</v>
      </c>
      <c r="C930">
        <f t="shared" si="99"/>
        <v>6</v>
      </c>
      <c r="D930" t="s">
        <v>53</v>
      </c>
      <c r="E930" t="s">
        <v>56</v>
      </c>
      <c r="F930" t="s">
        <v>58</v>
      </c>
      <c r="G930" t="s">
        <v>27</v>
      </c>
      <c r="H930" t="s">
        <v>63</v>
      </c>
      <c r="I930" s="5">
        <v>166</v>
      </c>
      <c r="J930" s="5">
        <v>132</v>
      </c>
      <c r="K930" s="5">
        <v>7</v>
      </c>
      <c r="L930" s="5">
        <v>2</v>
      </c>
      <c r="M930" s="5">
        <v>2</v>
      </c>
      <c r="N930" s="7">
        <v>870.76</v>
      </c>
      <c r="O930" s="7">
        <f t="shared" si="100"/>
        <v>1741.52</v>
      </c>
      <c r="P930" s="4">
        <v>0.05</v>
      </c>
      <c r="Q930" s="7">
        <f t="shared" si="101"/>
        <v>87.076000000000008</v>
      </c>
      <c r="R930" s="7">
        <f t="shared" si="102"/>
        <v>1654.444</v>
      </c>
      <c r="S930" s="7">
        <f t="shared" si="103"/>
        <v>827.22199999999998</v>
      </c>
      <c r="T930" s="6">
        <f t="shared" si="104"/>
        <v>1.2048192771084338E-2</v>
      </c>
      <c r="V930" t="s">
        <v>29</v>
      </c>
    </row>
    <row r="931" spans="1:22">
      <c r="A931" s="3">
        <v>45696</v>
      </c>
      <c r="B931" t="str">
        <f t="shared" si="98"/>
        <v>yyyy-02</v>
      </c>
      <c r="C931">
        <f t="shared" si="99"/>
        <v>6</v>
      </c>
      <c r="D931" t="s">
        <v>53</v>
      </c>
      <c r="E931" t="s">
        <v>59</v>
      </c>
      <c r="F931" t="s">
        <v>60</v>
      </c>
      <c r="G931" t="s">
        <v>27</v>
      </c>
      <c r="H931" t="s">
        <v>28</v>
      </c>
      <c r="I931" s="5">
        <v>158</v>
      </c>
      <c r="J931" s="5">
        <v>106</v>
      </c>
      <c r="K931" s="5">
        <v>13</v>
      </c>
      <c r="L931" s="5">
        <v>1</v>
      </c>
      <c r="M931" s="5">
        <v>1</v>
      </c>
      <c r="N931" s="7">
        <v>712.44</v>
      </c>
      <c r="O931" s="7">
        <f t="shared" si="100"/>
        <v>712.44</v>
      </c>
      <c r="P931" s="4">
        <v>0.03</v>
      </c>
      <c r="Q931" s="7">
        <f t="shared" si="101"/>
        <v>21.373200000000001</v>
      </c>
      <c r="R931" s="7">
        <f t="shared" si="102"/>
        <v>691.06680000000006</v>
      </c>
      <c r="S931" s="7">
        <f t="shared" si="103"/>
        <v>691.06680000000006</v>
      </c>
      <c r="T931" s="6">
        <f t="shared" si="104"/>
        <v>6.3291139240506328E-3</v>
      </c>
      <c r="V931" t="s">
        <v>29</v>
      </c>
    </row>
    <row r="932" spans="1:22">
      <c r="A932" s="3">
        <v>45696</v>
      </c>
      <c r="B932" t="str">
        <f t="shared" si="98"/>
        <v>yyyy-02</v>
      </c>
      <c r="C932">
        <f t="shared" si="99"/>
        <v>6</v>
      </c>
      <c r="D932" t="s">
        <v>53</v>
      </c>
      <c r="E932" t="s">
        <v>61</v>
      </c>
      <c r="F932" t="s">
        <v>62</v>
      </c>
      <c r="G932" t="s">
        <v>36</v>
      </c>
      <c r="H932" t="s">
        <v>37</v>
      </c>
      <c r="I932" s="5">
        <v>183</v>
      </c>
      <c r="J932" s="5">
        <v>122</v>
      </c>
      <c r="K932" s="5">
        <v>7</v>
      </c>
      <c r="L932" s="5">
        <v>2</v>
      </c>
      <c r="M932" s="5">
        <v>2</v>
      </c>
      <c r="N932" s="7">
        <v>507.31</v>
      </c>
      <c r="O932" s="7">
        <f t="shared" si="100"/>
        <v>1014.62</v>
      </c>
      <c r="P932" s="4">
        <v>0</v>
      </c>
      <c r="Q932" s="7">
        <f t="shared" si="101"/>
        <v>0</v>
      </c>
      <c r="R932" s="7">
        <f t="shared" si="102"/>
        <v>1014.62</v>
      </c>
      <c r="S932" s="7">
        <f t="shared" si="103"/>
        <v>507.31</v>
      </c>
      <c r="T932" s="6">
        <f t="shared" si="104"/>
        <v>1.092896174863388E-2</v>
      </c>
      <c r="V932" t="s">
        <v>29</v>
      </c>
    </row>
    <row r="933" spans="1:22">
      <c r="A933" s="3">
        <v>45696</v>
      </c>
      <c r="B933" t="str">
        <f t="shared" si="98"/>
        <v>yyyy-02</v>
      </c>
      <c r="C933">
        <f t="shared" si="99"/>
        <v>6</v>
      </c>
      <c r="D933" t="s">
        <v>53</v>
      </c>
      <c r="E933" t="s">
        <v>64</v>
      </c>
      <c r="F933" t="s">
        <v>65</v>
      </c>
      <c r="G933" t="s">
        <v>27</v>
      </c>
      <c r="H933" t="s">
        <v>45</v>
      </c>
      <c r="I933" s="5">
        <v>193</v>
      </c>
      <c r="J933" s="5">
        <v>155</v>
      </c>
      <c r="K933" s="5">
        <v>13</v>
      </c>
      <c r="L933" s="5">
        <v>3</v>
      </c>
      <c r="M933" s="5">
        <v>3</v>
      </c>
      <c r="N933" s="7">
        <v>779.39</v>
      </c>
      <c r="O933" s="7">
        <f t="shared" si="100"/>
        <v>2338.17</v>
      </c>
      <c r="P933" s="4">
        <v>0</v>
      </c>
      <c r="Q933" s="7">
        <f t="shared" si="101"/>
        <v>0</v>
      </c>
      <c r="R933" s="7">
        <f t="shared" si="102"/>
        <v>2338.17</v>
      </c>
      <c r="S933" s="7">
        <f t="shared" si="103"/>
        <v>779.39</v>
      </c>
      <c r="T933" s="6">
        <f t="shared" si="104"/>
        <v>1.5544041450777202E-2</v>
      </c>
      <c r="V933" t="s">
        <v>29</v>
      </c>
    </row>
    <row r="934" spans="1:22">
      <c r="A934" s="3">
        <v>45696</v>
      </c>
      <c r="B934" t="str">
        <f t="shared" si="98"/>
        <v>yyyy-02</v>
      </c>
      <c r="C934">
        <f t="shared" si="99"/>
        <v>6</v>
      </c>
      <c r="D934" t="s">
        <v>66</v>
      </c>
      <c r="E934" t="s">
        <v>67</v>
      </c>
      <c r="F934" t="s">
        <v>68</v>
      </c>
      <c r="G934" t="s">
        <v>36</v>
      </c>
      <c r="H934" t="s">
        <v>37</v>
      </c>
      <c r="I934" s="5">
        <v>382</v>
      </c>
      <c r="J934" s="5">
        <v>213</v>
      </c>
      <c r="K934" s="5">
        <v>25</v>
      </c>
      <c r="L934" s="5">
        <v>7</v>
      </c>
      <c r="M934" s="5">
        <v>7</v>
      </c>
      <c r="N934" s="7">
        <v>674.83</v>
      </c>
      <c r="O934" s="7">
        <f t="shared" si="100"/>
        <v>4723.8100000000004</v>
      </c>
      <c r="P934" s="4">
        <v>7.0000000000000007E-2</v>
      </c>
      <c r="Q934" s="7">
        <f t="shared" si="101"/>
        <v>330.66670000000005</v>
      </c>
      <c r="R934" s="7">
        <f t="shared" si="102"/>
        <v>4393.1433000000006</v>
      </c>
      <c r="S934" s="7">
        <f t="shared" si="103"/>
        <v>627.59190000000012</v>
      </c>
      <c r="T934" s="6">
        <f t="shared" si="104"/>
        <v>1.832460732984293E-2</v>
      </c>
      <c r="U934" t="s">
        <v>83</v>
      </c>
      <c r="V934" t="s">
        <v>29</v>
      </c>
    </row>
    <row r="935" spans="1:22">
      <c r="A935" s="3">
        <v>45696</v>
      </c>
      <c r="B935" t="str">
        <f t="shared" si="98"/>
        <v>yyyy-02</v>
      </c>
      <c r="C935">
        <f t="shared" si="99"/>
        <v>6</v>
      </c>
      <c r="D935" t="s">
        <v>66</v>
      </c>
      <c r="E935" t="s">
        <v>67</v>
      </c>
      <c r="F935" t="s">
        <v>69</v>
      </c>
      <c r="G935" t="s">
        <v>27</v>
      </c>
      <c r="H935" t="s">
        <v>45</v>
      </c>
      <c r="I935" s="5">
        <v>426</v>
      </c>
      <c r="J935" s="5">
        <v>300</v>
      </c>
      <c r="K935" s="5">
        <v>31</v>
      </c>
      <c r="L935" s="5">
        <v>10</v>
      </c>
      <c r="M935" s="5">
        <v>10</v>
      </c>
      <c r="N935" s="7">
        <v>400.66</v>
      </c>
      <c r="O935" s="7">
        <f t="shared" si="100"/>
        <v>4006.6000000000004</v>
      </c>
      <c r="P935" s="4">
        <v>7.0000000000000007E-2</v>
      </c>
      <c r="Q935" s="7">
        <f t="shared" si="101"/>
        <v>280.46200000000005</v>
      </c>
      <c r="R935" s="7">
        <f t="shared" si="102"/>
        <v>3726.1380000000004</v>
      </c>
      <c r="S935" s="7">
        <f t="shared" si="103"/>
        <v>372.61380000000003</v>
      </c>
      <c r="T935" s="6">
        <f t="shared" si="104"/>
        <v>2.3474178403755867E-2</v>
      </c>
      <c r="U935" t="s">
        <v>83</v>
      </c>
      <c r="V935" t="s">
        <v>29</v>
      </c>
    </row>
    <row r="936" spans="1:22">
      <c r="A936" s="3">
        <v>45696</v>
      </c>
      <c r="B936" t="str">
        <f t="shared" si="98"/>
        <v>yyyy-02</v>
      </c>
      <c r="C936">
        <f t="shared" si="99"/>
        <v>6</v>
      </c>
      <c r="D936" t="s">
        <v>66</v>
      </c>
      <c r="E936" t="s">
        <v>67</v>
      </c>
      <c r="F936" t="s">
        <v>70</v>
      </c>
      <c r="G936" t="s">
        <v>36</v>
      </c>
      <c r="H936" t="s">
        <v>37</v>
      </c>
      <c r="I936" s="5">
        <v>373</v>
      </c>
      <c r="J936" s="5">
        <v>258</v>
      </c>
      <c r="K936" s="5">
        <v>44</v>
      </c>
      <c r="L936" s="5">
        <v>10</v>
      </c>
      <c r="M936" s="5">
        <v>10</v>
      </c>
      <c r="N936" s="7">
        <v>337.46</v>
      </c>
      <c r="O936" s="7">
        <f t="shared" si="100"/>
        <v>3374.6</v>
      </c>
      <c r="P936" s="4">
        <v>7.0000000000000007E-2</v>
      </c>
      <c r="Q936" s="7">
        <f t="shared" si="101"/>
        <v>236.22200000000001</v>
      </c>
      <c r="R936" s="7">
        <f t="shared" si="102"/>
        <v>3138.3779999999997</v>
      </c>
      <c r="S936" s="7">
        <f t="shared" si="103"/>
        <v>313.83779999999996</v>
      </c>
      <c r="T936" s="6">
        <f t="shared" si="104"/>
        <v>2.6809651474530832E-2</v>
      </c>
      <c r="U936" t="s">
        <v>83</v>
      </c>
      <c r="V936" t="s">
        <v>29</v>
      </c>
    </row>
    <row r="937" spans="1:22">
      <c r="A937" s="3">
        <v>45696</v>
      </c>
      <c r="B937" t="str">
        <f t="shared" si="98"/>
        <v>yyyy-02</v>
      </c>
      <c r="C937">
        <f t="shared" si="99"/>
        <v>6</v>
      </c>
      <c r="D937" t="s">
        <v>66</v>
      </c>
      <c r="E937" t="s">
        <v>71</v>
      </c>
      <c r="F937" t="s">
        <v>72</v>
      </c>
      <c r="G937" t="s">
        <v>31</v>
      </c>
      <c r="H937" t="s">
        <v>32</v>
      </c>
      <c r="I937" s="5">
        <v>373</v>
      </c>
      <c r="J937" s="5">
        <v>302</v>
      </c>
      <c r="K937" s="5">
        <v>20</v>
      </c>
      <c r="L937" s="5">
        <v>7</v>
      </c>
      <c r="M937" s="5">
        <v>8</v>
      </c>
      <c r="N937" s="7">
        <v>129.54</v>
      </c>
      <c r="O937" s="7">
        <f t="shared" si="100"/>
        <v>1036.32</v>
      </c>
      <c r="P937" s="4">
        <v>0</v>
      </c>
      <c r="Q937" s="7">
        <f t="shared" si="101"/>
        <v>0</v>
      </c>
      <c r="R937" s="7">
        <f t="shared" si="102"/>
        <v>1036.32</v>
      </c>
      <c r="S937" s="7">
        <f t="shared" si="103"/>
        <v>148.04571428571427</v>
      </c>
      <c r="T937" s="6">
        <f t="shared" si="104"/>
        <v>1.876675603217158E-2</v>
      </c>
      <c r="V937" t="s">
        <v>29</v>
      </c>
    </row>
    <row r="938" spans="1:22">
      <c r="A938" s="3">
        <v>45696</v>
      </c>
      <c r="B938" t="str">
        <f t="shared" si="98"/>
        <v>yyyy-02</v>
      </c>
      <c r="C938">
        <f t="shared" si="99"/>
        <v>6</v>
      </c>
      <c r="D938" t="s">
        <v>66</v>
      </c>
      <c r="E938" t="s">
        <v>73</v>
      </c>
      <c r="F938" t="s">
        <v>74</v>
      </c>
      <c r="G938" t="s">
        <v>36</v>
      </c>
      <c r="H938" t="s">
        <v>37</v>
      </c>
      <c r="I938" s="5">
        <v>229</v>
      </c>
      <c r="J938" s="5">
        <v>179</v>
      </c>
      <c r="K938" s="5">
        <v>15</v>
      </c>
      <c r="L938" s="5">
        <v>5</v>
      </c>
      <c r="M938" s="5">
        <v>5</v>
      </c>
      <c r="N938" s="7">
        <v>1199.9100000000001</v>
      </c>
      <c r="O938" s="7">
        <f t="shared" si="100"/>
        <v>5999.55</v>
      </c>
      <c r="P938" s="4">
        <v>0.03</v>
      </c>
      <c r="Q938" s="7">
        <f t="shared" si="101"/>
        <v>179.98650000000001</v>
      </c>
      <c r="R938" s="7">
        <f t="shared" si="102"/>
        <v>5819.5635000000002</v>
      </c>
      <c r="S938" s="7">
        <f t="shared" si="103"/>
        <v>1163.9127000000001</v>
      </c>
      <c r="T938" s="6">
        <f t="shared" si="104"/>
        <v>2.1834061135371178E-2</v>
      </c>
      <c r="V938" t="s">
        <v>29</v>
      </c>
    </row>
    <row r="939" spans="1:22">
      <c r="A939" s="3">
        <v>45696</v>
      </c>
      <c r="B939" t="str">
        <f t="shared" si="98"/>
        <v>yyyy-02</v>
      </c>
      <c r="C939">
        <f t="shared" si="99"/>
        <v>6</v>
      </c>
      <c r="D939" t="s">
        <v>66</v>
      </c>
      <c r="E939" t="s">
        <v>71</v>
      </c>
      <c r="F939" t="s">
        <v>75</v>
      </c>
      <c r="G939" t="s">
        <v>27</v>
      </c>
      <c r="H939" t="s">
        <v>45</v>
      </c>
      <c r="I939" s="5">
        <v>290</v>
      </c>
      <c r="J939" s="5">
        <v>151</v>
      </c>
      <c r="K939" s="5">
        <v>18</v>
      </c>
      <c r="L939" s="5">
        <v>6</v>
      </c>
      <c r="M939" s="5">
        <v>7</v>
      </c>
      <c r="N939" s="7">
        <v>37.950000000000003</v>
      </c>
      <c r="O939" s="7">
        <f t="shared" si="100"/>
        <v>265.65000000000003</v>
      </c>
      <c r="P939" s="4">
        <v>0.03</v>
      </c>
      <c r="Q939" s="7">
        <f t="shared" si="101"/>
        <v>7.9695000000000009</v>
      </c>
      <c r="R939" s="7">
        <f t="shared" si="102"/>
        <v>257.68050000000005</v>
      </c>
      <c r="S939" s="7">
        <f t="shared" si="103"/>
        <v>42.946750000000009</v>
      </c>
      <c r="T939" s="6">
        <f t="shared" si="104"/>
        <v>2.0689655172413793E-2</v>
      </c>
      <c r="V939" t="s">
        <v>29</v>
      </c>
    </row>
    <row r="940" spans="1:22">
      <c r="A940" s="3">
        <v>45696</v>
      </c>
      <c r="B940" t="str">
        <f t="shared" si="98"/>
        <v>yyyy-02</v>
      </c>
      <c r="C940">
        <f t="shared" si="99"/>
        <v>6</v>
      </c>
      <c r="D940" t="s">
        <v>24</v>
      </c>
      <c r="E940" t="s">
        <v>76</v>
      </c>
      <c r="F940" t="s">
        <v>77</v>
      </c>
      <c r="G940" t="s">
        <v>27</v>
      </c>
      <c r="H940" t="s">
        <v>45</v>
      </c>
      <c r="I940" s="5">
        <v>507</v>
      </c>
      <c r="J940" s="5">
        <v>286</v>
      </c>
      <c r="K940" s="5">
        <v>48</v>
      </c>
      <c r="L940" s="5">
        <v>11</v>
      </c>
      <c r="M940" s="5">
        <v>14</v>
      </c>
      <c r="N940" s="7">
        <v>194.73</v>
      </c>
      <c r="O940" s="7">
        <f t="shared" si="100"/>
        <v>2726.22</v>
      </c>
      <c r="P940" s="4">
        <v>0</v>
      </c>
      <c r="Q940" s="7">
        <f t="shared" si="101"/>
        <v>0</v>
      </c>
      <c r="R940" s="7">
        <f t="shared" si="102"/>
        <v>2726.22</v>
      </c>
      <c r="S940" s="7">
        <f t="shared" si="103"/>
        <v>247.83818181818179</v>
      </c>
      <c r="T940" s="6">
        <f t="shared" si="104"/>
        <v>2.1696252465483234E-2</v>
      </c>
      <c r="V940" t="s">
        <v>29</v>
      </c>
    </row>
    <row r="941" spans="1:22">
      <c r="A941" s="3">
        <v>45697</v>
      </c>
      <c r="B941" t="str">
        <f t="shared" si="98"/>
        <v>yyyy-02</v>
      </c>
      <c r="C941">
        <f t="shared" si="99"/>
        <v>6</v>
      </c>
      <c r="D941" t="s">
        <v>24</v>
      </c>
      <c r="E941" t="s">
        <v>25</v>
      </c>
      <c r="F941" t="s">
        <v>26</v>
      </c>
      <c r="G941" t="s">
        <v>27</v>
      </c>
      <c r="H941" t="s">
        <v>63</v>
      </c>
      <c r="I941" s="5">
        <v>1265</v>
      </c>
      <c r="J941" s="5">
        <v>905</v>
      </c>
      <c r="K941" s="5">
        <v>106</v>
      </c>
      <c r="L941" s="5">
        <v>22</v>
      </c>
      <c r="M941" s="5">
        <v>22</v>
      </c>
      <c r="N941" s="7">
        <v>962.57</v>
      </c>
      <c r="O941" s="7">
        <f t="shared" si="100"/>
        <v>21176.54</v>
      </c>
      <c r="P941" s="4">
        <v>0</v>
      </c>
      <c r="Q941" s="7">
        <f t="shared" si="101"/>
        <v>0</v>
      </c>
      <c r="R941" s="7">
        <f t="shared" si="102"/>
        <v>21176.54</v>
      </c>
      <c r="S941" s="7">
        <f t="shared" si="103"/>
        <v>962.57</v>
      </c>
      <c r="T941" s="6">
        <f t="shared" si="104"/>
        <v>1.7391304347826087E-2</v>
      </c>
      <c r="V941" t="s">
        <v>29</v>
      </c>
    </row>
    <row r="942" spans="1:22">
      <c r="A942" s="3">
        <v>45697</v>
      </c>
      <c r="B942" t="str">
        <f t="shared" si="98"/>
        <v>yyyy-02</v>
      </c>
      <c r="C942">
        <f t="shared" si="99"/>
        <v>6</v>
      </c>
      <c r="D942" t="s">
        <v>24</v>
      </c>
      <c r="E942" t="s">
        <v>25</v>
      </c>
      <c r="F942" t="s">
        <v>30</v>
      </c>
      <c r="G942" t="s">
        <v>27</v>
      </c>
      <c r="H942" t="s">
        <v>45</v>
      </c>
      <c r="I942" s="5">
        <v>1209</v>
      </c>
      <c r="J942" s="5">
        <v>707</v>
      </c>
      <c r="K942" s="5">
        <v>124</v>
      </c>
      <c r="L942" s="5">
        <v>28</v>
      </c>
      <c r="M942" s="5">
        <v>28</v>
      </c>
      <c r="N942" s="7">
        <v>384.3</v>
      </c>
      <c r="O942" s="7">
        <f t="shared" si="100"/>
        <v>10760.4</v>
      </c>
      <c r="P942" s="4">
        <v>0</v>
      </c>
      <c r="Q942" s="7">
        <f t="shared" si="101"/>
        <v>0</v>
      </c>
      <c r="R942" s="7">
        <f t="shared" si="102"/>
        <v>10760.4</v>
      </c>
      <c r="S942" s="7">
        <f t="shared" si="103"/>
        <v>384.3</v>
      </c>
      <c r="T942" s="6">
        <f t="shared" si="104"/>
        <v>2.3159636062861869E-2</v>
      </c>
      <c r="V942" t="s">
        <v>29</v>
      </c>
    </row>
    <row r="943" spans="1:22">
      <c r="A943" s="3">
        <v>45697</v>
      </c>
      <c r="B943" t="str">
        <f t="shared" si="98"/>
        <v>yyyy-02</v>
      </c>
      <c r="C943">
        <f t="shared" si="99"/>
        <v>6</v>
      </c>
      <c r="D943" t="s">
        <v>24</v>
      </c>
      <c r="E943" t="s">
        <v>25</v>
      </c>
      <c r="F943" t="s">
        <v>33</v>
      </c>
      <c r="G943" t="s">
        <v>27</v>
      </c>
      <c r="H943" t="s">
        <v>48</v>
      </c>
      <c r="I943" s="5">
        <v>1221</v>
      </c>
      <c r="J943" s="5">
        <v>943</v>
      </c>
      <c r="K943" s="5">
        <v>77</v>
      </c>
      <c r="L943" s="5">
        <v>31</v>
      </c>
      <c r="M943" s="5">
        <v>31</v>
      </c>
      <c r="N943" s="7">
        <v>1769.38</v>
      </c>
      <c r="O943" s="7">
        <f t="shared" si="100"/>
        <v>54850.780000000006</v>
      </c>
      <c r="P943" s="4">
        <v>0</v>
      </c>
      <c r="Q943" s="7">
        <f t="shared" si="101"/>
        <v>0</v>
      </c>
      <c r="R943" s="7">
        <f t="shared" si="102"/>
        <v>54850.780000000006</v>
      </c>
      <c r="S943" s="7">
        <f t="shared" si="103"/>
        <v>1769.38</v>
      </c>
      <c r="T943" s="6">
        <f t="shared" si="104"/>
        <v>2.5389025389025387E-2</v>
      </c>
      <c r="V943" t="s">
        <v>29</v>
      </c>
    </row>
    <row r="944" spans="1:22">
      <c r="A944" s="3">
        <v>45697</v>
      </c>
      <c r="B944" t="str">
        <f t="shared" si="98"/>
        <v>yyyy-02</v>
      </c>
      <c r="C944">
        <f t="shared" si="99"/>
        <v>6</v>
      </c>
      <c r="D944" t="s">
        <v>24</v>
      </c>
      <c r="E944" t="s">
        <v>34</v>
      </c>
      <c r="F944" t="s">
        <v>35</v>
      </c>
      <c r="G944" t="s">
        <v>36</v>
      </c>
      <c r="H944" t="s">
        <v>37</v>
      </c>
      <c r="I944" s="5">
        <v>966</v>
      </c>
      <c r="J944" s="5">
        <v>729</v>
      </c>
      <c r="K944" s="5">
        <v>68</v>
      </c>
      <c r="L944" s="5">
        <v>19</v>
      </c>
      <c r="M944" s="5">
        <v>19</v>
      </c>
      <c r="N944" s="7">
        <v>900.6</v>
      </c>
      <c r="O944" s="7">
        <f t="shared" si="100"/>
        <v>17111.400000000001</v>
      </c>
      <c r="P944" s="4">
        <v>0</v>
      </c>
      <c r="Q944" s="7">
        <f t="shared" si="101"/>
        <v>0</v>
      </c>
      <c r="R944" s="7">
        <f t="shared" si="102"/>
        <v>17111.400000000001</v>
      </c>
      <c r="S944" s="7">
        <f t="shared" si="103"/>
        <v>900.6</v>
      </c>
      <c r="T944" s="6">
        <f t="shared" si="104"/>
        <v>1.9668737060041408E-2</v>
      </c>
      <c r="V944" t="s">
        <v>29</v>
      </c>
    </row>
    <row r="945" spans="1:22">
      <c r="A945" s="3">
        <v>45697</v>
      </c>
      <c r="B945" t="str">
        <f t="shared" si="98"/>
        <v>yyyy-02</v>
      </c>
      <c r="C945">
        <f t="shared" si="99"/>
        <v>6</v>
      </c>
      <c r="D945" t="s">
        <v>24</v>
      </c>
      <c r="E945" t="s">
        <v>38</v>
      </c>
      <c r="F945" t="s">
        <v>39</v>
      </c>
      <c r="G945" t="s">
        <v>31</v>
      </c>
      <c r="H945" t="s">
        <v>32</v>
      </c>
      <c r="I945" s="5">
        <v>947</v>
      </c>
      <c r="J945" s="5">
        <v>713</v>
      </c>
      <c r="K945" s="5">
        <v>110</v>
      </c>
      <c r="L945" s="5">
        <v>25</v>
      </c>
      <c r="M945" s="5">
        <v>25</v>
      </c>
      <c r="N945" s="7">
        <v>329.85</v>
      </c>
      <c r="O945" s="7">
        <f t="shared" si="100"/>
        <v>8246.25</v>
      </c>
      <c r="P945" s="4">
        <v>0.09</v>
      </c>
      <c r="Q945" s="7">
        <f t="shared" si="101"/>
        <v>742.16250000000002</v>
      </c>
      <c r="R945" s="7">
        <f t="shared" si="102"/>
        <v>7504.0874999999996</v>
      </c>
      <c r="S945" s="7">
        <f t="shared" si="103"/>
        <v>300.1635</v>
      </c>
      <c r="T945" s="6">
        <f t="shared" si="104"/>
        <v>2.6399155227032733E-2</v>
      </c>
      <c r="U945" t="s">
        <v>84</v>
      </c>
      <c r="V945" t="s">
        <v>29</v>
      </c>
    </row>
    <row r="946" spans="1:22">
      <c r="A946" s="3">
        <v>45697</v>
      </c>
      <c r="B946" t="str">
        <f t="shared" si="98"/>
        <v>yyyy-02</v>
      </c>
      <c r="C946">
        <f t="shared" si="99"/>
        <v>6</v>
      </c>
      <c r="D946" t="s">
        <v>24</v>
      </c>
      <c r="E946" t="s">
        <v>40</v>
      </c>
      <c r="F946" t="s">
        <v>41</v>
      </c>
      <c r="G946" t="s">
        <v>36</v>
      </c>
      <c r="H946" t="s">
        <v>37</v>
      </c>
      <c r="I946" s="5">
        <v>853</v>
      </c>
      <c r="J946" s="5">
        <v>560</v>
      </c>
      <c r="K946" s="5">
        <v>80</v>
      </c>
      <c r="L946" s="5">
        <v>17</v>
      </c>
      <c r="M946" s="5">
        <v>22</v>
      </c>
      <c r="N946" s="7">
        <v>173.94</v>
      </c>
      <c r="O946" s="7">
        <f t="shared" si="100"/>
        <v>3826.68</v>
      </c>
      <c r="P946" s="4">
        <v>0</v>
      </c>
      <c r="Q946" s="7">
        <f t="shared" si="101"/>
        <v>0</v>
      </c>
      <c r="R946" s="7">
        <f t="shared" si="102"/>
        <v>3826.68</v>
      </c>
      <c r="S946" s="7">
        <f t="shared" si="103"/>
        <v>225.09882352941176</v>
      </c>
      <c r="T946" s="6">
        <f t="shared" si="104"/>
        <v>1.992966002344666E-2</v>
      </c>
      <c r="V946" t="s">
        <v>29</v>
      </c>
    </row>
    <row r="947" spans="1:22">
      <c r="A947" s="3">
        <v>45697</v>
      </c>
      <c r="B947" t="str">
        <f t="shared" si="98"/>
        <v>yyyy-02</v>
      </c>
      <c r="C947">
        <f t="shared" si="99"/>
        <v>6</v>
      </c>
      <c r="D947" t="s">
        <v>42</v>
      </c>
      <c r="E947" t="s">
        <v>43</v>
      </c>
      <c r="F947" t="s">
        <v>44</v>
      </c>
      <c r="G947" t="s">
        <v>27</v>
      </c>
      <c r="H947" t="s">
        <v>28</v>
      </c>
      <c r="I947" s="5">
        <v>412</v>
      </c>
      <c r="J947" s="5">
        <v>340</v>
      </c>
      <c r="K947" s="5">
        <v>25</v>
      </c>
      <c r="L947" s="5">
        <v>5</v>
      </c>
      <c r="M947" s="5">
        <v>5</v>
      </c>
      <c r="N947" s="7">
        <v>1312.64</v>
      </c>
      <c r="O947" s="7">
        <f t="shared" si="100"/>
        <v>6563.2000000000007</v>
      </c>
      <c r="P947" s="4">
        <v>0</v>
      </c>
      <c r="Q947" s="7">
        <f t="shared" si="101"/>
        <v>0</v>
      </c>
      <c r="R947" s="7">
        <f t="shared" si="102"/>
        <v>6563.2000000000007</v>
      </c>
      <c r="S947" s="7">
        <f t="shared" si="103"/>
        <v>1312.64</v>
      </c>
      <c r="T947" s="6">
        <f t="shared" si="104"/>
        <v>1.2135922330097087E-2</v>
      </c>
      <c r="V947" t="s">
        <v>29</v>
      </c>
    </row>
    <row r="948" spans="1:22">
      <c r="A948" s="3">
        <v>45697</v>
      </c>
      <c r="B948" t="str">
        <f t="shared" si="98"/>
        <v>yyyy-02</v>
      </c>
      <c r="C948">
        <f t="shared" si="99"/>
        <v>6</v>
      </c>
      <c r="D948" t="s">
        <v>42</v>
      </c>
      <c r="E948" t="s">
        <v>43</v>
      </c>
      <c r="F948" t="s">
        <v>46</v>
      </c>
      <c r="G948" t="s">
        <v>27</v>
      </c>
      <c r="H948" t="s">
        <v>63</v>
      </c>
      <c r="I948" s="5">
        <v>330</v>
      </c>
      <c r="J948" s="5">
        <v>220</v>
      </c>
      <c r="K948" s="5">
        <v>18</v>
      </c>
      <c r="L948" s="5">
        <v>6</v>
      </c>
      <c r="M948" s="5">
        <v>6</v>
      </c>
      <c r="N948" s="7">
        <v>2155.6999999999998</v>
      </c>
      <c r="O948" s="7">
        <f t="shared" si="100"/>
        <v>12934.199999999999</v>
      </c>
      <c r="P948" s="4">
        <v>0</v>
      </c>
      <c r="Q948" s="7">
        <f t="shared" si="101"/>
        <v>0</v>
      </c>
      <c r="R948" s="7">
        <f t="shared" si="102"/>
        <v>12934.199999999999</v>
      </c>
      <c r="S948" s="7">
        <f t="shared" si="103"/>
        <v>2155.6999999999998</v>
      </c>
      <c r="T948" s="6">
        <f t="shared" si="104"/>
        <v>1.8181818181818181E-2</v>
      </c>
      <c r="V948" t="s">
        <v>29</v>
      </c>
    </row>
    <row r="949" spans="1:22">
      <c r="A949" s="3">
        <v>45697</v>
      </c>
      <c r="B949" t="str">
        <f t="shared" si="98"/>
        <v>yyyy-02</v>
      </c>
      <c r="C949">
        <f t="shared" si="99"/>
        <v>6</v>
      </c>
      <c r="D949" t="s">
        <v>42</v>
      </c>
      <c r="E949" t="s">
        <v>43</v>
      </c>
      <c r="F949" t="s">
        <v>47</v>
      </c>
      <c r="G949" t="s">
        <v>36</v>
      </c>
      <c r="H949" t="s">
        <v>37</v>
      </c>
      <c r="I949" s="5">
        <v>546</v>
      </c>
      <c r="J949" s="5">
        <v>324</v>
      </c>
      <c r="K949" s="5">
        <v>38</v>
      </c>
      <c r="L949" s="5">
        <v>8</v>
      </c>
      <c r="M949" s="5">
        <v>8</v>
      </c>
      <c r="N949" s="7">
        <v>598.5</v>
      </c>
      <c r="O949" s="7">
        <f t="shared" si="100"/>
        <v>4788</v>
      </c>
      <c r="P949" s="4">
        <v>0</v>
      </c>
      <c r="Q949" s="7">
        <f t="shared" si="101"/>
        <v>0</v>
      </c>
      <c r="R949" s="7">
        <f t="shared" si="102"/>
        <v>4788</v>
      </c>
      <c r="S949" s="7">
        <f t="shared" si="103"/>
        <v>598.5</v>
      </c>
      <c r="T949" s="6">
        <f t="shared" si="104"/>
        <v>1.4652014652014652E-2</v>
      </c>
      <c r="V949" t="s">
        <v>29</v>
      </c>
    </row>
    <row r="950" spans="1:22">
      <c r="A950" s="3">
        <v>45697</v>
      </c>
      <c r="B950" t="str">
        <f t="shared" si="98"/>
        <v>yyyy-02</v>
      </c>
      <c r="C950">
        <f t="shared" si="99"/>
        <v>6</v>
      </c>
      <c r="D950" t="s">
        <v>42</v>
      </c>
      <c r="E950" t="s">
        <v>49</v>
      </c>
      <c r="F950" t="s">
        <v>50</v>
      </c>
      <c r="G950" t="s">
        <v>36</v>
      </c>
      <c r="H950" t="s">
        <v>37</v>
      </c>
      <c r="I950" s="5">
        <v>183</v>
      </c>
      <c r="J950" s="5">
        <v>133</v>
      </c>
      <c r="K950" s="5">
        <v>14</v>
      </c>
      <c r="L950" s="5">
        <v>2</v>
      </c>
      <c r="M950" s="5">
        <v>2</v>
      </c>
      <c r="N950" s="7">
        <v>981.94</v>
      </c>
      <c r="O950" s="7">
        <f t="shared" si="100"/>
        <v>1963.88</v>
      </c>
      <c r="P950" s="4">
        <v>0.05</v>
      </c>
      <c r="Q950" s="7">
        <f t="shared" si="101"/>
        <v>98.194000000000017</v>
      </c>
      <c r="R950" s="7">
        <f t="shared" si="102"/>
        <v>1865.6860000000001</v>
      </c>
      <c r="S950" s="7">
        <f t="shared" si="103"/>
        <v>932.84300000000007</v>
      </c>
      <c r="T950" s="6">
        <f t="shared" si="104"/>
        <v>1.092896174863388E-2</v>
      </c>
      <c r="V950" t="s">
        <v>29</v>
      </c>
    </row>
    <row r="951" spans="1:22">
      <c r="A951" s="3">
        <v>45697</v>
      </c>
      <c r="B951" t="str">
        <f t="shared" si="98"/>
        <v>yyyy-02</v>
      </c>
      <c r="C951">
        <f t="shared" si="99"/>
        <v>6</v>
      </c>
      <c r="D951" t="s">
        <v>42</v>
      </c>
      <c r="E951" t="s">
        <v>51</v>
      </c>
      <c r="F951" t="s">
        <v>52</v>
      </c>
      <c r="G951" t="s">
        <v>27</v>
      </c>
      <c r="H951" t="s">
        <v>28</v>
      </c>
      <c r="I951" s="5">
        <v>294</v>
      </c>
      <c r="J951" s="5">
        <v>197</v>
      </c>
      <c r="K951" s="5">
        <v>18</v>
      </c>
      <c r="L951" s="5">
        <v>5</v>
      </c>
      <c r="M951" s="5">
        <v>5</v>
      </c>
      <c r="N951" s="7">
        <v>595.63</v>
      </c>
      <c r="O951" s="7">
        <f t="shared" si="100"/>
        <v>2978.15</v>
      </c>
      <c r="P951" s="4">
        <v>0</v>
      </c>
      <c r="Q951" s="7">
        <f t="shared" si="101"/>
        <v>0</v>
      </c>
      <c r="R951" s="7">
        <f t="shared" si="102"/>
        <v>2978.15</v>
      </c>
      <c r="S951" s="7">
        <f t="shared" si="103"/>
        <v>595.63</v>
      </c>
      <c r="T951" s="6">
        <f t="shared" si="104"/>
        <v>1.7006802721088437E-2</v>
      </c>
      <c r="V951" t="s">
        <v>29</v>
      </c>
    </row>
    <row r="952" spans="1:22">
      <c r="A952" s="3">
        <v>45697</v>
      </c>
      <c r="B952" t="str">
        <f t="shared" si="98"/>
        <v>yyyy-02</v>
      </c>
      <c r="C952">
        <f t="shared" si="99"/>
        <v>6</v>
      </c>
      <c r="D952" t="s">
        <v>53</v>
      </c>
      <c r="E952" t="s">
        <v>54</v>
      </c>
      <c r="F952" t="s">
        <v>55</v>
      </c>
      <c r="G952" t="s">
        <v>27</v>
      </c>
      <c r="H952" t="s">
        <v>28</v>
      </c>
      <c r="I952" s="5">
        <v>196</v>
      </c>
      <c r="J952" s="5">
        <v>107</v>
      </c>
      <c r="K952" s="5">
        <v>13</v>
      </c>
      <c r="L952" s="5">
        <v>2</v>
      </c>
      <c r="M952" s="5">
        <v>2</v>
      </c>
      <c r="N952" s="7">
        <v>1301.81</v>
      </c>
      <c r="O952" s="7">
        <f t="shared" si="100"/>
        <v>2603.62</v>
      </c>
      <c r="P952" s="4">
        <v>0</v>
      </c>
      <c r="Q952" s="7">
        <f t="shared" si="101"/>
        <v>0</v>
      </c>
      <c r="R952" s="7">
        <f t="shared" si="102"/>
        <v>2603.62</v>
      </c>
      <c r="S952" s="7">
        <f t="shared" si="103"/>
        <v>1301.81</v>
      </c>
      <c r="T952" s="6">
        <f t="shared" si="104"/>
        <v>1.020408163265306E-2</v>
      </c>
      <c r="V952" t="s">
        <v>29</v>
      </c>
    </row>
    <row r="953" spans="1:22">
      <c r="A953" s="3">
        <v>45697</v>
      </c>
      <c r="B953" t="str">
        <f t="shared" si="98"/>
        <v>yyyy-02</v>
      </c>
      <c r="C953">
        <f t="shared" si="99"/>
        <v>6</v>
      </c>
      <c r="D953" t="s">
        <v>53</v>
      </c>
      <c r="E953" t="s">
        <v>56</v>
      </c>
      <c r="F953" t="s">
        <v>57</v>
      </c>
      <c r="G953" t="s">
        <v>36</v>
      </c>
      <c r="H953" t="s">
        <v>37</v>
      </c>
      <c r="I953" s="5">
        <v>310</v>
      </c>
      <c r="J953" s="5">
        <v>237</v>
      </c>
      <c r="K953" s="5">
        <v>13</v>
      </c>
      <c r="L953" s="5">
        <v>3</v>
      </c>
      <c r="M953" s="5">
        <v>3</v>
      </c>
      <c r="N953" s="7">
        <v>744.03</v>
      </c>
      <c r="O953" s="7">
        <f t="shared" si="100"/>
        <v>2232.09</v>
      </c>
      <c r="P953" s="4">
        <v>0</v>
      </c>
      <c r="Q953" s="7">
        <f t="shared" si="101"/>
        <v>0</v>
      </c>
      <c r="R953" s="7">
        <f t="shared" si="102"/>
        <v>2232.09</v>
      </c>
      <c r="S953" s="7">
        <f t="shared" si="103"/>
        <v>744.03000000000009</v>
      </c>
      <c r="T953" s="6">
        <f t="shared" si="104"/>
        <v>9.6774193548387101E-3</v>
      </c>
      <c r="V953" t="s">
        <v>29</v>
      </c>
    </row>
    <row r="954" spans="1:22">
      <c r="A954" s="3">
        <v>45697</v>
      </c>
      <c r="B954" t="str">
        <f t="shared" si="98"/>
        <v>yyyy-02</v>
      </c>
      <c r="C954">
        <f t="shared" si="99"/>
        <v>6</v>
      </c>
      <c r="D954" t="s">
        <v>53</v>
      </c>
      <c r="E954" t="s">
        <v>56</v>
      </c>
      <c r="F954" t="s">
        <v>58</v>
      </c>
      <c r="G954" t="s">
        <v>27</v>
      </c>
      <c r="H954" t="s">
        <v>28</v>
      </c>
      <c r="I954" s="5">
        <v>245</v>
      </c>
      <c r="J954" s="5">
        <v>166</v>
      </c>
      <c r="K954" s="5">
        <v>17</v>
      </c>
      <c r="L954" s="5">
        <v>3</v>
      </c>
      <c r="M954" s="5">
        <v>3</v>
      </c>
      <c r="N954" s="7">
        <v>869.73</v>
      </c>
      <c r="O954" s="7">
        <f t="shared" si="100"/>
        <v>2609.19</v>
      </c>
      <c r="P954" s="4">
        <v>0.03</v>
      </c>
      <c r="Q954" s="7">
        <f t="shared" si="101"/>
        <v>78.275700000000001</v>
      </c>
      <c r="R954" s="7">
        <f t="shared" si="102"/>
        <v>2530.9142999999999</v>
      </c>
      <c r="S954" s="7">
        <f t="shared" si="103"/>
        <v>843.63810000000001</v>
      </c>
      <c r="T954" s="6">
        <f t="shared" si="104"/>
        <v>1.2244897959183673E-2</v>
      </c>
      <c r="V954" t="s">
        <v>29</v>
      </c>
    </row>
    <row r="955" spans="1:22">
      <c r="A955" s="3">
        <v>45697</v>
      </c>
      <c r="B955" t="str">
        <f t="shared" si="98"/>
        <v>yyyy-02</v>
      </c>
      <c r="C955">
        <f t="shared" si="99"/>
        <v>6</v>
      </c>
      <c r="D955" t="s">
        <v>53</v>
      </c>
      <c r="E955" t="s">
        <v>59</v>
      </c>
      <c r="F955" t="s">
        <v>60</v>
      </c>
      <c r="G955" t="s">
        <v>27</v>
      </c>
      <c r="H955" t="s">
        <v>45</v>
      </c>
      <c r="I955" s="5">
        <v>156</v>
      </c>
      <c r="J955" s="5">
        <v>89</v>
      </c>
      <c r="K955" s="5">
        <v>9</v>
      </c>
      <c r="L955" s="5">
        <v>2</v>
      </c>
      <c r="M955" s="5">
        <v>2</v>
      </c>
      <c r="N955" s="7">
        <v>676.44</v>
      </c>
      <c r="O955" s="7">
        <f t="shared" si="100"/>
        <v>1352.88</v>
      </c>
      <c r="P955" s="4">
        <v>0.05</v>
      </c>
      <c r="Q955" s="7">
        <f t="shared" si="101"/>
        <v>67.644000000000005</v>
      </c>
      <c r="R955" s="7">
        <f t="shared" si="102"/>
        <v>1285.2360000000001</v>
      </c>
      <c r="S955" s="7">
        <f t="shared" si="103"/>
        <v>642.61800000000005</v>
      </c>
      <c r="T955" s="6">
        <f t="shared" si="104"/>
        <v>1.282051282051282E-2</v>
      </c>
      <c r="V955" t="s">
        <v>29</v>
      </c>
    </row>
    <row r="956" spans="1:22">
      <c r="A956" s="3">
        <v>45697</v>
      </c>
      <c r="B956" t="str">
        <f t="shared" si="98"/>
        <v>yyyy-02</v>
      </c>
      <c r="C956">
        <f t="shared" si="99"/>
        <v>6</v>
      </c>
      <c r="D956" t="s">
        <v>53</v>
      </c>
      <c r="E956" t="s">
        <v>61</v>
      </c>
      <c r="F956" t="s">
        <v>62</v>
      </c>
      <c r="G956" t="s">
        <v>31</v>
      </c>
      <c r="H956" t="s">
        <v>32</v>
      </c>
      <c r="I956" s="5">
        <v>245</v>
      </c>
      <c r="J956" s="5">
        <v>146</v>
      </c>
      <c r="K956" s="5">
        <v>7</v>
      </c>
      <c r="L956" s="5">
        <v>3</v>
      </c>
      <c r="M956" s="5">
        <v>3</v>
      </c>
      <c r="N956" s="7">
        <v>487.98</v>
      </c>
      <c r="O956" s="7">
        <f t="shared" si="100"/>
        <v>1463.94</v>
      </c>
      <c r="P956" s="4">
        <v>0</v>
      </c>
      <c r="Q956" s="7">
        <f t="shared" si="101"/>
        <v>0</v>
      </c>
      <c r="R956" s="7">
        <f t="shared" si="102"/>
        <v>1463.94</v>
      </c>
      <c r="S956" s="7">
        <f t="shared" si="103"/>
        <v>487.98</v>
      </c>
      <c r="T956" s="6">
        <f t="shared" si="104"/>
        <v>1.2244897959183673E-2</v>
      </c>
      <c r="V956" t="s">
        <v>29</v>
      </c>
    </row>
    <row r="957" spans="1:22">
      <c r="A957" s="3">
        <v>45697</v>
      </c>
      <c r="B957" t="str">
        <f t="shared" si="98"/>
        <v>yyyy-02</v>
      </c>
      <c r="C957">
        <f t="shared" si="99"/>
        <v>6</v>
      </c>
      <c r="D957" t="s">
        <v>53</v>
      </c>
      <c r="E957" t="s">
        <v>64</v>
      </c>
      <c r="F957" t="s">
        <v>65</v>
      </c>
      <c r="G957" t="s">
        <v>27</v>
      </c>
      <c r="H957" t="s">
        <v>63</v>
      </c>
      <c r="I957" s="5">
        <v>155</v>
      </c>
      <c r="J957" s="5">
        <v>95</v>
      </c>
      <c r="K957" s="5">
        <v>10</v>
      </c>
      <c r="L957" s="5">
        <v>2</v>
      </c>
      <c r="M957" s="5">
        <v>2</v>
      </c>
      <c r="N957" s="7">
        <v>798.64</v>
      </c>
      <c r="O957" s="7">
        <f t="shared" si="100"/>
        <v>1597.28</v>
      </c>
      <c r="P957" s="4">
        <v>0</v>
      </c>
      <c r="Q957" s="7">
        <f t="shared" si="101"/>
        <v>0</v>
      </c>
      <c r="R957" s="7">
        <f t="shared" si="102"/>
        <v>1597.28</v>
      </c>
      <c r="S957" s="7">
        <f t="shared" si="103"/>
        <v>798.64</v>
      </c>
      <c r="T957" s="6">
        <f t="shared" si="104"/>
        <v>1.2903225806451613E-2</v>
      </c>
      <c r="V957" t="s">
        <v>29</v>
      </c>
    </row>
    <row r="958" spans="1:22">
      <c r="A958" s="3">
        <v>45697</v>
      </c>
      <c r="B958" t="str">
        <f t="shared" si="98"/>
        <v>yyyy-02</v>
      </c>
      <c r="C958">
        <f t="shared" si="99"/>
        <v>6</v>
      </c>
      <c r="D958" t="s">
        <v>66</v>
      </c>
      <c r="E958" t="s">
        <v>67</v>
      </c>
      <c r="F958" t="s">
        <v>68</v>
      </c>
      <c r="G958" t="s">
        <v>36</v>
      </c>
      <c r="H958" t="s">
        <v>37</v>
      </c>
      <c r="I958" s="5">
        <v>418</v>
      </c>
      <c r="J958" s="5">
        <v>307</v>
      </c>
      <c r="K958" s="5">
        <v>50</v>
      </c>
      <c r="L958" s="5">
        <v>10</v>
      </c>
      <c r="M958" s="5">
        <v>10</v>
      </c>
      <c r="N958" s="7">
        <v>693.61</v>
      </c>
      <c r="O958" s="7">
        <f t="shared" si="100"/>
        <v>6936.1</v>
      </c>
      <c r="P958" s="4">
        <v>7.0000000000000007E-2</v>
      </c>
      <c r="Q958" s="7">
        <f t="shared" si="101"/>
        <v>485.52700000000004</v>
      </c>
      <c r="R958" s="7">
        <f t="shared" si="102"/>
        <v>6450.5730000000003</v>
      </c>
      <c r="S958" s="7">
        <f t="shared" si="103"/>
        <v>645.05730000000005</v>
      </c>
      <c r="T958" s="6">
        <f t="shared" si="104"/>
        <v>2.3923444976076555E-2</v>
      </c>
      <c r="U958" t="s">
        <v>83</v>
      </c>
      <c r="V958" t="s">
        <v>29</v>
      </c>
    </row>
    <row r="959" spans="1:22">
      <c r="A959" s="3">
        <v>45697</v>
      </c>
      <c r="B959" t="str">
        <f t="shared" si="98"/>
        <v>yyyy-02</v>
      </c>
      <c r="C959">
        <f t="shared" si="99"/>
        <v>6</v>
      </c>
      <c r="D959" t="s">
        <v>66</v>
      </c>
      <c r="E959" t="s">
        <v>67</v>
      </c>
      <c r="F959" t="s">
        <v>69</v>
      </c>
      <c r="G959" t="s">
        <v>31</v>
      </c>
      <c r="H959" t="s">
        <v>32</v>
      </c>
      <c r="I959" s="5">
        <v>476</v>
      </c>
      <c r="J959" s="5">
        <v>275</v>
      </c>
      <c r="K959" s="5">
        <v>45</v>
      </c>
      <c r="L959" s="5">
        <v>10</v>
      </c>
      <c r="M959" s="5">
        <v>10</v>
      </c>
      <c r="N959" s="7">
        <v>397.46</v>
      </c>
      <c r="O959" s="7">
        <f t="shared" si="100"/>
        <v>3974.6</v>
      </c>
      <c r="P959" s="4">
        <v>7.0000000000000007E-2</v>
      </c>
      <c r="Q959" s="7">
        <f t="shared" si="101"/>
        <v>278.22200000000004</v>
      </c>
      <c r="R959" s="7">
        <f t="shared" si="102"/>
        <v>3696.3779999999997</v>
      </c>
      <c r="S959" s="7">
        <f t="shared" si="103"/>
        <v>369.63779999999997</v>
      </c>
      <c r="T959" s="6">
        <f t="shared" si="104"/>
        <v>2.100840336134454E-2</v>
      </c>
      <c r="U959" t="s">
        <v>83</v>
      </c>
      <c r="V959" t="s">
        <v>29</v>
      </c>
    </row>
    <row r="960" spans="1:22">
      <c r="A960" s="3">
        <v>45697</v>
      </c>
      <c r="B960" t="str">
        <f t="shared" si="98"/>
        <v>yyyy-02</v>
      </c>
      <c r="C960">
        <f t="shared" si="99"/>
        <v>6</v>
      </c>
      <c r="D960" t="s">
        <v>66</v>
      </c>
      <c r="E960" t="s">
        <v>67</v>
      </c>
      <c r="F960" t="s">
        <v>70</v>
      </c>
      <c r="G960" t="s">
        <v>31</v>
      </c>
      <c r="H960" t="s">
        <v>32</v>
      </c>
      <c r="I960" s="5">
        <v>409</v>
      </c>
      <c r="J960" s="5">
        <v>228</v>
      </c>
      <c r="K960" s="5">
        <v>22</v>
      </c>
      <c r="L960" s="5">
        <v>10</v>
      </c>
      <c r="M960" s="5">
        <v>10</v>
      </c>
      <c r="N960" s="7">
        <v>343.03</v>
      </c>
      <c r="O960" s="7">
        <f t="shared" si="100"/>
        <v>3430.2999999999997</v>
      </c>
      <c r="P960" s="4">
        <v>7.0000000000000007E-2</v>
      </c>
      <c r="Q960" s="7">
        <f t="shared" si="101"/>
        <v>240.12100000000001</v>
      </c>
      <c r="R960" s="7">
        <f t="shared" si="102"/>
        <v>3190.1789999999996</v>
      </c>
      <c r="S960" s="7">
        <f t="shared" si="103"/>
        <v>319.01789999999994</v>
      </c>
      <c r="T960" s="6">
        <f t="shared" si="104"/>
        <v>2.4449877750611249E-2</v>
      </c>
      <c r="U960" t="s">
        <v>83</v>
      </c>
      <c r="V960" t="s">
        <v>29</v>
      </c>
    </row>
    <row r="961" spans="1:22">
      <c r="A961" s="3">
        <v>45697</v>
      </c>
      <c r="B961" t="str">
        <f t="shared" si="98"/>
        <v>yyyy-02</v>
      </c>
      <c r="C961">
        <f t="shared" si="99"/>
        <v>6</v>
      </c>
      <c r="D961" t="s">
        <v>66</v>
      </c>
      <c r="E961" t="s">
        <v>71</v>
      </c>
      <c r="F961" t="s">
        <v>72</v>
      </c>
      <c r="G961" t="s">
        <v>27</v>
      </c>
      <c r="H961" t="s">
        <v>48</v>
      </c>
      <c r="I961" s="5">
        <v>323</v>
      </c>
      <c r="J961" s="5">
        <v>262</v>
      </c>
      <c r="K961" s="5">
        <v>24</v>
      </c>
      <c r="L961" s="5">
        <v>5</v>
      </c>
      <c r="M961" s="5">
        <v>6</v>
      </c>
      <c r="N961" s="7">
        <v>128.74</v>
      </c>
      <c r="O961" s="7">
        <f t="shared" si="100"/>
        <v>772.44</v>
      </c>
      <c r="P961" s="4">
        <v>0</v>
      </c>
      <c r="Q961" s="7">
        <f t="shared" si="101"/>
        <v>0</v>
      </c>
      <c r="R961" s="7">
        <f t="shared" si="102"/>
        <v>772.44</v>
      </c>
      <c r="S961" s="7">
        <f t="shared" si="103"/>
        <v>154.488</v>
      </c>
      <c r="T961" s="6">
        <f t="shared" si="104"/>
        <v>1.5479876160990712E-2</v>
      </c>
      <c r="V961" t="s">
        <v>29</v>
      </c>
    </row>
    <row r="962" spans="1:22">
      <c r="A962" s="3">
        <v>45697</v>
      </c>
      <c r="B962" t="str">
        <f t="shared" si="98"/>
        <v>yyyy-02</v>
      </c>
      <c r="C962">
        <f t="shared" si="99"/>
        <v>6</v>
      </c>
      <c r="D962" t="s">
        <v>66</v>
      </c>
      <c r="E962" t="s">
        <v>73</v>
      </c>
      <c r="F962" t="s">
        <v>74</v>
      </c>
      <c r="G962" t="s">
        <v>27</v>
      </c>
      <c r="H962" t="s">
        <v>28</v>
      </c>
      <c r="I962" s="5">
        <v>204</v>
      </c>
      <c r="J962" s="5">
        <v>147</v>
      </c>
      <c r="K962" s="5">
        <v>15</v>
      </c>
      <c r="L962" s="5">
        <v>4</v>
      </c>
      <c r="M962" s="5">
        <v>4</v>
      </c>
      <c r="N962" s="7">
        <v>1162.08</v>
      </c>
      <c r="O962" s="7">
        <f t="shared" si="100"/>
        <v>4648.32</v>
      </c>
      <c r="P962" s="4">
        <v>0.05</v>
      </c>
      <c r="Q962" s="7">
        <f t="shared" si="101"/>
        <v>232.416</v>
      </c>
      <c r="R962" s="7">
        <f t="shared" si="102"/>
        <v>4415.9039999999995</v>
      </c>
      <c r="S962" s="7">
        <f t="shared" si="103"/>
        <v>1103.9759999999999</v>
      </c>
      <c r="T962" s="6">
        <f t="shared" si="104"/>
        <v>1.9607843137254902E-2</v>
      </c>
      <c r="V962" t="s">
        <v>29</v>
      </c>
    </row>
    <row r="963" spans="1:22">
      <c r="A963" s="3">
        <v>45697</v>
      </c>
      <c r="B963" t="str">
        <f t="shared" si="98"/>
        <v>yyyy-02</v>
      </c>
      <c r="C963">
        <f t="shared" si="99"/>
        <v>6</v>
      </c>
      <c r="D963" t="s">
        <v>66</v>
      </c>
      <c r="E963" t="s">
        <v>71</v>
      </c>
      <c r="F963" t="s">
        <v>75</v>
      </c>
      <c r="G963" t="s">
        <v>27</v>
      </c>
      <c r="H963" t="s">
        <v>63</v>
      </c>
      <c r="I963" s="5">
        <v>271</v>
      </c>
      <c r="J963" s="5">
        <v>163</v>
      </c>
      <c r="K963" s="5">
        <v>20</v>
      </c>
      <c r="L963" s="5">
        <v>5</v>
      </c>
      <c r="M963" s="5">
        <v>6</v>
      </c>
      <c r="N963" s="7">
        <v>37.65</v>
      </c>
      <c r="O963" s="7">
        <f t="shared" si="100"/>
        <v>225.89999999999998</v>
      </c>
      <c r="P963" s="4">
        <v>0</v>
      </c>
      <c r="Q963" s="7">
        <f t="shared" si="101"/>
        <v>0</v>
      </c>
      <c r="R963" s="7">
        <f t="shared" si="102"/>
        <v>225.89999999999998</v>
      </c>
      <c r="S963" s="7">
        <f t="shared" si="103"/>
        <v>45.179999999999993</v>
      </c>
      <c r="T963" s="6">
        <f t="shared" si="104"/>
        <v>1.8450184501845018E-2</v>
      </c>
      <c r="V963" t="s">
        <v>29</v>
      </c>
    </row>
    <row r="964" spans="1:22">
      <c r="A964" s="3">
        <v>45697</v>
      </c>
      <c r="B964" t="str">
        <f t="shared" si="98"/>
        <v>yyyy-02</v>
      </c>
      <c r="C964">
        <f t="shared" si="99"/>
        <v>6</v>
      </c>
      <c r="D964" t="s">
        <v>24</v>
      </c>
      <c r="E964" t="s">
        <v>76</v>
      </c>
      <c r="F964" t="s">
        <v>77</v>
      </c>
      <c r="G964" t="s">
        <v>27</v>
      </c>
      <c r="H964" t="s">
        <v>48</v>
      </c>
      <c r="I964" s="5">
        <v>444</v>
      </c>
      <c r="J964" s="5">
        <v>340</v>
      </c>
      <c r="K964" s="5">
        <v>40</v>
      </c>
      <c r="L964" s="5">
        <v>8</v>
      </c>
      <c r="M964" s="5">
        <v>9</v>
      </c>
      <c r="N964" s="7">
        <v>202.4</v>
      </c>
      <c r="O964" s="7">
        <f t="shared" si="100"/>
        <v>1821.6000000000001</v>
      </c>
      <c r="P964" s="4">
        <v>0</v>
      </c>
      <c r="Q964" s="7">
        <f t="shared" si="101"/>
        <v>0</v>
      </c>
      <c r="R964" s="7">
        <f t="shared" si="102"/>
        <v>1821.6000000000001</v>
      </c>
      <c r="S964" s="7">
        <f t="shared" si="103"/>
        <v>227.70000000000002</v>
      </c>
      <c r="T964" s="6">
        <f t="shared" si="104"/>
        <v>1.8018018018018018E-2</v>
      </c>
      <c r="V964" t="s">
        <v>29</v>
      </c>
    </row>
    <row r="965" spans="1:22">
      <c r="A965" s="3">
        <v>45698</v>
      </c>
      <c r="B965" t="str">
        <f t="shared" ref="B965:B1028" si="105">TEXT(A965,"yyyy-mm")</f>
        <v>yyyy-02</v>
      </c>
      <c r="C965">
        <f t="shared" ref="C965:C1028" si="106">WEEKNUM(A965,2)</f>
        <v>7</v>
      </c>
      <c r="D965" t="s">
        <v>24</v>
      </c>
      <c r="E965" t="s">
        <v>25</v>
      </c>
      <c r="F965" t="s">
        <v>26</v>
      </c>
      <c r="G965" t="s">
        <v>27</v>
      </c>
      <c r="H965" t="s">
        <v>45</v>
      </c>
      <c r="I965" s="5">
        <v>1263</v>
      </c>
      <c r="J965" s="5">
        <v>978</v>
      </c>
      <c r="K965" s="5">
        <v>94</v>
      </c>
      <c r="L965" s="5">
        <v>26</v>
      </c>
      <c r="M965" s="5">
        <v>26</v>
      </c>
      <c r="N965" s="7">
        <v>1010.91</v>
      </c>
      <c r="O965" s="7">
        <f t="shared" ref="O965:O1028" si="107">M965*N965</f>
        <v>26283.66</v>
      </c>
      <c r="P965" s="4">
        <v>0</v>
      </c>
      <c r="Q965" s="7">
        <f t="shared" ref="Q965:Q1028" si="108">O965*P965</f>
        <v>0</v>
      </c>
      <c r="R965" s="7">
        <f t="shared" ref="R965:R1028" si="109">O965-Q965</f>
        <v>26283.66</v>
      </c>
      <c r="S965" s="7">
        <f t="shared" ref="S965:S1028" si="110">IFERROR(R965/L965,0)</f>
        <v>1010.91</v>
      </c>
      <c r="T965" s="6">
        <f t="shared" ref="T965:T1028" si="111">IFERROR(L965/I965,0)</f>
        <v>2.0585906571654791E-2</v>
      </c>
      <c r="V965" t="s">
        <v>29</v>
      </c>
    </row>
    <row r="966" spans="1:22">
      <c r="A966" s="3">
        <v>45698</v>
      </c>
      <c r="B966" t="str">
        <f t="shared" si="105"/>
        <v>yyyy-02</v>
      </c>
      <c r="C966">
        <f t="shared" si="106"/>
        <v>7</v>
      </c>
      <c r="D966" t="s">
        <v>24</v>
      </c>
      <c r="E966" t="s">
        <v>25</v>
      </c>
      <c r="F966" t="s">
        <v>30</v>
      </c>
      <c r="G966" t="s">
        <v>27</v>
      </c>
      <c r="H966" t="s">
        <v>28</v>
      </c>
      <c r="I966" s="5">
        <v>1240</v>
      </c>
      <c r="J966" s="5">
        <v>663</v>
      </c>
      <c r="K966" s="5">
        <v>98</v>
      </c>
      <c r="L966" s="5">
        <v>23</v>
      </c>
      <c r="M966" s="5">
        <v>23</v>
      </c>
      <c r="N966" s="7">
        <v>402.34</v>
      </c>
      <c r="O966" s="7">
        <f t="shared" si="107"/>
        <v>9253.82</v>
      </c>
      <c r="P966" s="4">
        <v>0.03</v>
      </c>
      <c r="Q966" s="7">
        <f t="shared" si="108"/>
        <v>277.6146</v>
      </c>
      <c r="R966" s="7">
        <f t="shared" si="109"/>
        <v>8976.2053999999989</v>
      </c>
      <c r="S966" s="7">
        <f t="shared" si="110"/>
        <v>390.26979999999998</v>
      </c>
      <c r="T966" s="6">
        <f t="shared" si="111"/>
        <v>1.8548387096774192E-2</v>
      </c>
      <c r="V966" t="s">
        <v>29</v>
      </c>
    </row>
    <row r="967" spans="1:22">
      <c r="A967" s="3">
        <v>45698</v>
      </c>
      <c r="B967" t="str">
        <f t="shared" si="105"/>
        <v>yyyy-02</v>
      </c>
      <c r="C967">
        <f t="shared" si="106"/>
        <v>7</v>
      </c>
      <c r="D967" t="s">
        <v>24</v>
      </c>
      <c r="E967" t="s">
        <v>25</v>
      </c>
      <c r="F967" t="s">
        <v>33</v>
      </c>
      <c r="G967" t="s">
        <v>27</v>
      </c>
      <c r="H967" t="s">
        <v>45</v>
      </c>
      <c r="I967" s="5">
        <v>1430</v>
      </c>
      <c r="J967" s="5">
        <v>1006</v>
      </c>
      <c r="K967" s="5">
        <v>106</v>
      </c>
      <c r="L967" s="5">
        <v>26</v>
      </c>
      <c r="M967" s="5">
        <v>26</v>
      </c>
      <c r="N967" s="7">
        <v>1798.02</v>
      </c>
      <c r="O967" s="7">
        <f t="shared" si="107"/>
        <v>46748.52</v>
      </c>
      <c r="P967" s="4">
        <v>0.03</v>
      </c>
      <c r="Q967" s="7">
        <f t="shared" si="108"/>
        <v>1402.4555999999998</v>
      </c>
      <c r="R967" s="7">
        <f t="shared" si="109"/>
        <v>45346.064399999996</v>
      </c>
      <c r="S967" s="7">
        <f t="shared" si="110"/>
        <v>1744.0793999999999</v>
      </c>
      <c r="T967" s="6">
        <f t="shared" si="111"/>
        <v>1.8181818181818181E-2</v>
      </c>
      <c r="V967" t="s">
        <v>29</v>
      </c>
    </row>
    <row r="968" spans="1:22">
      <c r="A968" s="3">
        <v>45698</v>
      </c>
      <c r="B968" t="str">
        <f t="shared" si="105"/>
        <v>yyyy-02</v>
      </c>
      <c r="C968">
        <f t="shared" si="106"/>
        <v>7</v>
      </c>
      <c r="D968" t="s">
        <v>24</v>
      </c>
      <c r="E968" t="s">
        <v>34</v>
      </c>
      <c r="F968" t="s">
        <v>35</v>
      </c>
      <c r="G968" t="s">
        <v>31</v>
      </c>
      <c r="H968" t="s">
        <v>32</v>
      </c>
      <c r="I968" s="5">
        <v>961</v>
      </c>
      <c r="J968" s="5">
        <v>515</v>
      </c>
      <c r="K968" s="5">
        <v>108</v>
      </c>
      <c r="L968" s="5">
        <v>22</v>
      </c>
      <c r="M968" s="5">
        <v>22</v>
      </c>
      <c r="N968" s="7">
        <v>876.48</v>
      </c>
      <c r="O968" s="7">
        <f t="shared" si="107"/>
        <v>19282.560000000001</v>
      </c>
      <c r="P968" s="4">
        <v>0.03</v>
      </c>
      <c r="Q968" s="7">
        <f t="shared" si="108"/>
        <v>578.47680000000003</v>
      </c>
      <c r="R968" s="7">
        <f t="shared" si="109"/>
        <v>18704.083200000001</v>
      </c>
      <c r="S968" s="7">
        <f t="shared" si="110"/>
        <v>850.18560000000002</v>
      </c>
      <c r="T968" s="6">
        <f t="shared" si="111"/>
        <v>2.2892819979188347E-2</v>
      </c>
      <c r="V968" t="s">
        <v>29</v>
      </c>
    </row>
    <row r="969" spans="1:22">
      <c r="A969" s="3">
        <v>45698</v>
      </c>
      <c r="B969" t="str">
        <f t="shared" si="105"/>
        <v>yyyy-02</v>
      </c>
      <c r="C969">
        <f t="shared" si="106"/>
        <v>7</v>
      </c>
      <c r="D969" t="s">
        <v>24</v>
      </c>
      <c r="E969" t="s">
        <v>38</v>
      </c>
      <c r="F969" t="s">
        <v>39</v>
      </c>
      <c r="G969" t="s">
        <v>27</v>
      </c>
      <c r="H969" t="s">
        <v>28</v>
      </c>
      <c r="I969" s="5">
        <v>893</v>
      </c>
      <c r="J969" s="5">
        <v>685</v>
      </c>
      <c r="K969" s="5">
        <v>62</v>
      </c>
      <c r="L969" s="5">
        <v>22</v>
      </c>
      <c r="M969" s="5">
        <v>22</v>
      </c>
      <c r="N969" s="7">
        <v>334.43</v>
      </c>
      <c r="O969" s="7">
        <f t="shared" si="107"/>
        <v>7357.46</v>
      </c>
      <c r="P969" s="4">
        <v>0.09</v>
      </c>
      <c r="Q969" s="7">
        <f t="shared" si="108"/>
        <v>662.17139999999995</v>
      </c>
      <c r="R969" s="7">
        <f t="shared" si="109"/>
        <v>6695.2885999999999</v>
      </c>
      <c r="S969" s="7">
        <f t="shared" si="110"/>
        <v>304.3313</v>
      </c>
      <c r="T969" s="6">
        <f t="shared" si="111"/>
        <v>2.463605823068309E-2</v>
      </c>
      <c r="U969" t="s">
        <v>84</v>
      </c>
      <c r="V969" t="s">
        <v>29</v>
      </c>
    </row>
    <row r="970" spans="1:22">
      <c r="A970" s="3">
        <v>45698</v>
      </c>
      <c r="B970" t="str">
        <f t="shared" si="105"/>
        <v>yyyy-02</v>
      </c>
      <c r="C970">
        <f t="shared" si="106"/>
        <v>7</v>
      </c>
      <c r="D970" t="s">
        <v>24</v>
      </c>
      <c r="E970" t="s">
        <v>40</v>
      </c>
      <c r="F970" t="s">
        <v>41</v>
      </c>
      <c r="G970" t="s">
        <v>27</v>
      </c>
      <c r="H970" t="s">
        <v>48</v>
      </c>
      <c r="I970" s="5">
        <v>725</v>
      </c>
      <c r="J970" s="5">
        <v>569</v>
      </c>
      <c r="K970" s="5">
        <v>58</v>
      </c>
      <c r="L970" s="5">
        <v>18</v>
      </c>
      <c r="M970" s="5">
        <v>19</v>
      </c>
      <c r="N970" s="7">
        <v>172.69</v>
      </c>
      <c r="O970" s="7">
        <f t="shared" si="107"/>
        <v>3281.11</v>
      </c>
      <c r="P970" s="4">
        <v>0</v>
      </c>
      <c r="Q970" s="7">
        <f t="shared" si="108"/>
        <v>0</v>
      </c>
      <c r="R970" s="7">
        <f t="shared" si="109"/>
        <v>3281.11</v>
      </c>
      <c r="S970" s="7">
        <f t="shared" si="110"/>
        <v>182.2838888888889</v>
      </c>
      <c r="T970" s="6">
        <f t="shared" si="111"/>
        <v>2.4827586206896551E-2</v>
      </c>
      <c r="V970" t="s">
        <v>29</v>
      </c>
    </row>
    <row r="971" spans="1:22">
      <c r="A971" s="3">
        <v>45698</v>
      </c>
      <c r="B971" t="str">
        <f t="shared" si="105"/>
        <v>yyyy-02</v>
      </c>
      <c r="C971">
        <f t="shared" si="106"/>
        <v>7</v>
      </c>
      <c r="D971" t="s">
        <v>42</v>
      </c>
      <c r="E971" t="s">
        <v>43</v>
      </c>
      <c r="F971" t="s">
        <v>44</v>
      </c>
      <c r="G971" t="s">
        <v>27</v>
      </c>
      <c r="H971" t="s">
        <v>45</v>
      </c>
      <c r="I971" s="5">
        <v>513</v>
      </c>
      <c r="J971" s="5">
        <v>354</v>
      </c>
      <c r="K971" s="5">
        <v>41</v>
      </c>
      <c r="L971" s="5">
        <v>7</v>
      </c>
      <c r="M971" s="5">
        <v>7</v>
      </c>
      <c r="N971" s="7">
        <v>1280.0899999999999</v>
      </c>
      <c r="O971" s="7">
        <f t="shared" si="107"/>
        <v>8960.6299999999992</v>
      </c>
      <c r="P971" s="4">
        <v>0</v>
      </c>
      <c r="Q971" s="7">
        <f t="shared" si="108"/>
        <v>0</v>
      </c>
      <c r="R971" s="7">
        <f t="shared" si="109"/>
        <v>8960.6299999999992</v>
      </c>
      <c r="S971" s="7">
        <f t="shared" si="110"/>
        <v>1280.0899999999999</v>
      </c>
      <c r="T971" s="6">
        <f t="shared" si="111"/>
        <v>1.364522417153996E-2</v>
      </c>
      <c r="V971" t="s">
        <v>29</v>
      </c>
    </row>
    <row r="972" spans="1:22">
      <c r="A972" s="3">
        <v>45698</v>
      </c>
      <c r="B972" t="str">
        <f t="shared" si="105"/>
        <v>yyyy-02</v>
      </c>
      <c r="C972">
        <f t="shared" si="106"/>
        <v>7</v>
      </c>
      <c r="D972" t="s">
        <v>42</v>
      </c>
      <c r="E972" t="s">
        <v>43</v>
      </c>
      <c r="F972" t="s">
        <v>46</v>
      </c>
      <c r="G972" t="s">
        <v>27</v>
      </c>
      <c r="H972" t="s">
        <v>28</v>
      </c>
      <c r="I972" s="5">
        <v>501</v>
      </c>
      <c r="J972" s="5">
        <v>337</v>
      </c>
      <c r="K972" s="5">
        <v>32</v>
      </c>
      <c r="L972" s="5">
        <v>8</v>
      </c>
      <c r="M972" s="5">
        <v>8</v>
      </c>
      <c r="N972" s="7">
        <v>2127.4899999999998</v>
      </c>
      <c r="O972" s="7">
        <f t="shared" si="107"/>
        <v>17019.919999999998</v>
      </c>
      <c r="P972" s="4">
        <v>0.05</v>
      </c>
      <c r="Q972" s="7">
        <f t="shared" si="108"/>
        <v>850.99599999999998</v>
      </c>
      <c r="R972" s="7">
        <f t="shared" si="109"/>
        <v>16168.923999999999</v>
      </c>
      <c r="S972" s="7">
        <f t="shared" si="110"/>
        <v>2021.1154999999999</v>
      </c>
      <c r="T972" s="6">
        <f t="shared" si="111"/>
        <v>1.5968063872255488E-2</v>
      </c>
      <c r="V972" t="s">
        <v>29</v>
      </c>
    </row>
    <row r="973" spans="1:22">
      <c r="A973" s="3">
        <v>45698</v>
      </c>
      <c r="B973" t="str">
        <f t="shared" si="105"/>
        <v>yyyy-02</v>
      </c>
      <c r="C973">
        <f t="shared" si="106"/>
        <v>7</v>
      </c>
      <c r="D973" t="s">
        <v>42</v>
      </c>
      <c r="E973" t="s">
        <v>43</v>
      </c>
      <c r="F973" t="s">
        <v>47</v>
      </c>
      <c r="G973" t="s">
        <v>31</v>
      </c>
      <c r="H973" t="s">
        <v>32</v>
      </c>
      <c r="I973" s="5">
        <v>545</v>
      </c>
      <c r="J973" s="5">
        <v>402</v>
      </c>
      <c r="K973" s="5">
        <v>40</v>
      </c>
      <c r="L973" s="5">
        <v>9</v>
      </c>
      <c r="M973" s="5">
        <v>9</v>
      </c>
      <c r="N973" s="7">
        <v>609.21</v>
      </c>
      <c r="O973" s="7">
        <f t="shared" si="107"/>
        <v>5482.89</v>
      </c>
      <c r="P973" s="4">
        <v>0</v>
      </c>
      <c r="Q973" s="7">
        <f t="shared" si="108"/>
        <v>0</v>
      </c>
      <c r="R973" s="7">
        <f t="shared" si="109"/>
        <v>5482.89</v>
      </c>
      <c r="S973" s="7">
        <f t="shared" si="110"/>
        <v>609.21</v>
      </c>
      <c r="T973" s="6">
        <f t="shared" si="111"/>
        <v>1.6513761467889909E-2</v>
      </c>
      <c r="V973" t="s">
        <v>29</v>
      </c>
    </row>
    <row r="974" spans="1:22">
      <c r="A974" s="3">
        <v>45698</v>
      </c>
      <c r="B974" t="str">
        <f t="shared" si="105"/>
        <v>yyyy-02</v>
      </c>
      <c r="C974">
        <f t="shared" si="106"/>
        <v>7</v>
      </c>
      <c r="D974" t="s">
        <v>42</v>
      </c>
      <c r="E974" t="s">
        <v>49</v>
      </c>
      <c r="F974" t="s">
        <v>50</v>
      </c>
      <c r="G974" t="s">
        <v>27</v>
      </c>
      <c r="H974" t="s">
        <v>48</v>
      </c>
      <c r="I974" s="5">
        <v>87</v>
      </c>
      <c r="J974" s="5">
        <v>46</v>
      </c>
      <c r="K974" s="5">
        <v>5</v>
      </c>
      <c r="L974" s="5">
        <v>1</v>
      </c>
      <c r="M974" s="5">
        <v>1</v>
      </c>
      <c r="N974" s="7">
        <v>1004.82</v>
      </c>
      <c r="O974" s="7">
        <f t="shared" si="107"/>
        <v>1004.82</v>
      </c>
      <c r="P974" s="4">
        <v>0.03</v>
      </c>
      <c r="Q974" s="7">
        <f t="shared" si="108"/>
        <v>30.144600000000001</v>
      </c>
      <c r="R974" s="7">
        <f t="shared" si="109"/>
        <v>974.67540000000008</v>
      </c>
      <c r="S974" s="7">
        <f t="shared" si="110"/>
        <v>974.67540000000008</v>
      </c>
      <c r="T974" s="6">
        <f t="shared" si="111"/>
        <v>1.1494252873563218E-2</v>
      </c>
      <c r="V974" t="s">
        <v>29</v>
      </c>
    </row>
    <row r="975" spans="1:22">
      <c r="A975" s="3">
        <v>45698</v>
      </c>
      <c r="B975" t="str">
        <f t="shared" si="105"/>
        <v>yyyy-02</v>
      </c>
      <c r="C975">
        <f t="shared" si="106"/>
        <v>7</v>
      </c>
      <c r="D975" t="s">
        <v>42</v>
      </c>
      <c r="E975" t="s">
        <v>51</v>
      </c>
      <c r="F975" t="s">
        <v>52</v>
      </c>
      <c r="G975" t="s">
        <v>27</v>
      </c>
      <c r="H975" t="s">
        <v>48</v>
      </c>
      <c r="I975" s="5">
        <v>185</v>
      </c>
      <c r="J975" s="5">
        <v>116</v>
      </c>
      <c r="K975" s="5">
        <v>7</v>
      </c>
      <c r="L975" s="5">
        <v>2</v>
      </c>
      <c r="M975" s="5">
        <v>2</v>
      </c>
      <c r="N975" s="7">
        <v>609.89</v>
      </c>
      <c r="O975" s="7">
        <f t="shared" si="107"/>
        <v>1219.78</v>
      </c>
      <c r="P975" s="4">
        <v>0.11</v>
      </c>
      <c r="Q975" s="7">
        <f t="shared" si="108"/>
        <v>134.17580000000001</v>
      </c>
      <c r="R975" s="7">
        <f t="shared" si="109"/>
        <v>1085.6042</v>
      </c>
      <c r="S975" s="7">
        <f t="shared" si="110"/>
        <v>542.8021</v>
      </c>
      <c r="T975" s="6">
        <f t="shared" si="111"/>
        <v>1.0810810810810811E-2</v>
      </c>
      <c r="U975" t="s">
        <v>85</v>
      </c>
      <c r="V975" t="s">
        <v>29</v>
      </c>
    </row>
    <row r="976" spans="1:22">
      <c r="A976" s="3">
        <v>45698</v>
      </c>
      <c r="B976" t="str">
        <f t="shared" si="105"/>
        <v>yyyy-02</v>
      </c>
      <c r="C976">
        <f t="shared" si="106"/>
        <v>7</v>
      </c>
      <c r="D976" t="s">
        <v>53</v>
      </c>
      <c r="E976" t="s">
        <v>54</v>
      </c>
      <c r="F976" t="s">
        <v>55</v>
      </c>
      <c r="G976" t="s">
        <v>36</v>
      </c>
      <c r="H976" t="s">
        <v>37</v>
      </c>
      <c r="I976" s="5">
        <v>195</v>
      </c>
      <c r="J976" s="5">
        <v>133</v>
      </c>
      <c r="K976" s="5">
        <v>9</v>
      </c>
      <c r="L976" s="5">
        <v>3</v>
      </c>
      <c r="M976" s="5">
        <v>3</v>
      </c>
      <c r="N976" s="7">
        <v>1269.92</v>
      </c>
      <c r="O976" s="7">
        <f t="shared" si="107"/>
        <v>3809.76</v>
      </c>
      <c r="P976" s="4">
        <v>0.05</v>
      </c>
      <c r="Q976" s="7">
        <f t="shared" si="108"/>
        <v>190.48800000000003</v>
      </c>
      <c r="R976" s="7">
        <f t="shared" si="109"/>
        <v>3619.2720000000004</v>
      </c>
      <c r="S976" s="7">
        <f t="shared" si="110"/>
        <v>1206.4240000000002</v>
      </c>
      <c r="T976" s="6">
        <f t="shared" si="111"/>
        <v>1.5384615384615385E-2</v>
      </c>
      <c r="V976" t="s">
        <v>29</v>
      </c>
    </row>
    <row r="977" spans="1:22">
      <c r="A977" s="3">
        <v>45698</v>
      </c>
      <c r="B977" t="str">
        <f t="shared" si="105"/>
        <v>yyyy-02</v>
      </c>
      <c r="C977">
        <f t="shared" si="106"/>
        <v>7</v>
      </c>
      <c r="D977" t="s">
        <v>53</v>
      </c>
      <c r="E977" t="s">
        <v>56</v>
      </c>
      <c r="F977" t="s">
        <v>57</v>
      </c>
      <c r="G977" t="s">
        <v>31</v>
      </c>
      <c r="H977" t="s">
        <v>32</v>
      </c>
      <c r="I977" s="5">
        <v>169</v>
      </c>
      <c r="J977" s="5">
        <v>136</v>
      </c>
      <c r="K977" s="5">
        <v>15</v>
      </c>
      <c r="L977" s="5">
        <v>2</v>
      </c>
      <c r="M977" s="5">
        <v>2</v>
      </c>
      <c r="N977" s="7">
        <v>761.08</v>
      </c>
      <c r="O977" s="7">
        <f t="shared" si="107"/>
        <v>1522.16</v>
      </c>
      <c r="P977" s="4">
        <v>0.05</v>
      </c>
      <c r="Q977" s="7">
        <f t="shared" si="108"/>
        <v>76.108000000000004</v>
      </c>
      <c r="R977" s="7">
        <f t="shared" si="109"/>
        <v>1446.0520000000001</v>
      </c>
      <c r="S977" s="7">
        <f t="shared" si="110"/>
        <v>723.02600000000007</v>
      </c>
      <c r="T977" s="6">
        <f t="shared" si="111"/>
        <v>1.1834319526627219E-2</v>
      </c>
      <c r="V977" t="s">
        <v>29</v>
      </c>
    </row>
    <row r="978" spans="1:22">
      <c r="A978" s="3">
        <v>45698</v>
      </c>
      <c r="B978" t="str">
        <f t="shared" si="105"/>
        <v>yyyy-02</v>
      </c>
      <c r="C978">
        <f t="shared" si="106"/>
        <v>7</v>
      </c>
      <c r="D978" t="s">
        <v>53</v>
      </c>
      <c r="E978" t="s">
        <v>56</v>
      </c>
      <c r="F978" t="s">
        <v>58</v>
      </c>
      <c r="G978" t="s">
        <v>27</v>
      </c>
      <c r="H978" t="s">
        <v>48</v>
      </c>
      <c r="I978" s="5">
        <v>183</v>
      </c>
      <c r="J978" s="5">
        <v>95</v>
      </c>
      <c r="K978" s="5">
        <v>6</v>
      </c>
      <c r="L978" s="5">
        <v>2</v>
      </c>
      <c r="M978" s="5">
        <v>2</v>
      </c>
      <c r="N978" s="7">
        <v>881.9</v>
      </c>
      <c r="O978" s="7">
        <f t="shared" si="107"/>
        <v>1763.8</v>
      </c>
      <c r="P978" s="4">
        <v>0</v>
      </c>
      <c r="Q978" s="7">
        <f t="shared" si="108"/>
        <v>0</v>
      </c>
      <c r="R978" s="7">
        <f t="shared" si="109"/>
        <v>1763.8</v>
      </c>
      <c r="S978" s="7">
        <f t="shared" si="110"/>
        <v>881.9</v>
      </c>
      <c r="T978" s="6">
        <f t="shared" si="111"/>
        <v>1.092896174863388E-2</v>
      </c>
      <c r="V978" t="s">
        <v>78</v>
      </c>
    </row>
    <row r="979" spans="1:22">
      <c r="A979" s="3">
        <v>45698</v>
      </c>
      <c r="B979" t="str">
        <f t="shared" si="105"/>
        <v>yyyy-02</v>
      </c>
      <c r="C979">
        <f t="shared" si="106"/>
        <v>7</v>
      </c>
      <c r="D979" t="s">
        <v>53</v>
      </c>
      <c r="E979" t="s">
        <v>59</v>
      </c>
      <c r="F979" t="s">
        <v>60</v>
      </c>
      <c r="G979" t="s">
        <v>27</v>
      </c>
      <c r="H979" t="s">
        <v>45</v>
      </c>
      <c r="I979" s="5">
        <v>147</v>
      </c>
      <c r="J979" s="5">
        <v>80</v>
      </c>
      <c r="K979" s="5">
        <v>5</v>
      </c>
      <c r="L979" s="5">
        <v>2</v>
      </c>
      <c r="M979" s="5">
        <v>2</v>
      </c>
      <c r="N979" s="7">
        <v>691.48</v>
      </c>
      <c r="O979" s="7">
        <f t="shared" si="107"/>
        <v>1382.96</v>
      </c>
      <c r="P979" s="4">
        <v>0</v>
      </c>
      <c r="Q979" s="7">
        <f t="shared" si="108"/>
        <v>0</v>
      </c>
      <c r="R979" s="7">
        <f t="shared" si="109"/>
        <v>1382.96</v>
      </c>
      <c r="S979" s="7">
        <f t="shared" si="110"/>
        <v>691.48</v>
      </c>
      <c r="T979" s="6">
        <f t="shared" si="111"/>
        <v>1.3605442176870748E-2</v>
      </c>
      <c r="V979" t="s">
        <v>29</v>
      </c>
    </row>
    <row r="980" spans="1:22">
      <c r="A980" s="3">
        <v>45698</v>
      </c>
      <c r="B980" t="str">
        <f t="shared" si="105"/>
        <v>yyyy-02</v>
      </c>
      <c r="C980">
        <f t="shared" si="106"/>
        <v>7</v>
      </c>
      <c r="D980" t="s">
        <v>53</v>
      </c>
      <c r="E980" t="s">
        <v>61</v>
      </c>
      <c r="F980" t="s">
        <v>62</v>
      </c>
      <c r="G980" t="s">
        <v>31</v>
      </c>
      <c r="H980" t="s">
        <v>32</v>
      </c>
      <c r="I980" s="5">
        <v>204</v>
      </c>
      <c r="J980" s="5">
        <v>135</v>
      </c>
      <c r="K980" s="5">
        <v>15</v>
      </c>
      <c r="L980" s="5">
        <v>2</v>
      </c>
      <c r="M980" s="5">
        <v>2</v>
      </c>
      <c r="N980" s="7">
        <v>495.1</v>
      </c>
      <c r="O980" s="7">
        <f t="shared" si="107"/>
        <v>990.2</v>
      </c>
      <c r="P980" s="4">
        <v>0.05</v>
      </c>
      <c r="Q980" s="7">
        <f t="shared" si="108"/>
        <v>49.510000000000005</v>
      </c>
      <c r="R980" s="7">
        <f t="shared" si="109"/>
        <v>940.69</v>
      </c>
      <c r="S980" s="7">
        <f t="shared" si="110"/>
        <v>470.34500000000003</v>
      </c>
      <c r="T980" s="6">
        <f t="shared" si="111"/>
        <v>9.8039215686274508E-3</v>
      </c>
      <c r="V980" t="s">
        <v>29</v>
      </c>
    </row>
    <row r="981" spans="1:22">
      <c r="A981" s="3">
        <v>45698</v>
      </c>
      <c r="B981" t="str">
        <f t="shared" si="105"/>
        <v>yyyy-02</v>
      </c>
      <c r="C981">
        <f t="shared" si="106"/>
        <v>7</v>
      </c>
      <c r="D981" t="s">
        <v>53</v>
      </c>
      <c r="E981" t="s">
        <v>64</v>
      </c>
      <c r="F981" t="s">
        <v>65</v>
      </c>
      <c r="G981" t="s">
        <v>36</v>
      </c>
      <c r="H981" t="s">
        <v>37</v>
      </c>
      <c r="I981" s="5">
        <v>196</v>
      </c>
      <c r="J981" s="5">
        <v>147</v>
      </c>
      <c r="K981" s="5">
        <v>14</v>
      </c>
      <c r="L981" s="5">
        <v>2</v>
      </c>
      <c r="M981" s="5">
        <v>2</v>
      </c>
      <c r="N981" s="7">
        <v>772.35</v>
      </c>
      <c r="O981" s="7">
        <f t="shared" si="107"/>
        <v>1544.7</v>
      </c>
      <c r="P981" s="4">
        <v>0</v>
      </c>
      <c r="Q981" s="7">
        <f t="shared" si="108"/>
        <v>0</v>
      </c>
      <c r="R981" s="7">
        <f t="shared" si="109"/>
        <v>1544.7</v>
      </c>
      <c r="S981" s="7">
        <f t="shared" si="110"/>
        <v>772.35</v>
      </c>
      <c r="T981" s="6">
        <f t="shared" si="111"/>
        <v>1.020408163265306E-2</v>
      </c>
      <c r="V981" t="s">
        <v>29</v>
      </c>
    </row>
    <row r="982" spans="1:22">
      <c r="A982" s="3">
        <v>45698</v>
      </c>
      <c r="B982" t="str">
        <f t="shared" si="105"/>
        <v>yyyy-02</v>
      </c>
      <c r="C982">
        <f t="shared" si="106"/>
        <v>7</v>
      </c>
      <c r="D982" t="s">
        <v>66</v>
      </c>
      <c r="E982" t="s">
        <v>67</v>
      </c>
      <c r="F982" t="s">
        <v>68</v>
      </c>
      <c r="G982" t="s">
        <v>36</v>
      </c>
      <c r="H982" t="s">
        <v>37</v>
      </c>
      <c r="I982" s="5">
        <v>385</v>
      </c>
      <c r="J982" s="5">
        <v>288</v>
      </c>
      <c r="K982" s="5">
        <v>22</v>
      </c>
      <c r="L982" s="5">
        <v>9</v>
      </c>
      <c r="M982" s="5">
        <v>9</v>
      </c>
      <c r="N982" s="7">
        <v>691.14</v>
      </c>
      <c r="O982" s="7">
        <f t="shared" si="107"/>
        <v>6220.26</v>
      </c>
      <c r="P982" s="4">
        <v>0</v>
      </c>
      <c r="Q982" s="7">
        <f t="shared" si="108"/>
        <v>0</v>
      </c>
      <c r="R982" s="7">
        <f t="shared" si="109"/>
        <v>6220.26</v>
      </c>
      <c r="S982" s="7">
        <f t="shared" si="110"/>
        <v>691.14</v>
      </c>
      <c r="T982" s="6">
        <f t="shared" si="111"/>
        <v>2.3376623376623377E-2</v>
      </c>
      <c r="V982" t="s">
        <v>29</v>
      </c>
    </row>
    <row r="983" spans="1:22">
      <c r="A983" s="3">
        <v>45698</v>
      </c>
      <c r="B983" t="str">
        <f t="shared" si="105"/>
        <v>yyyy-02</v>
      </c>
      <c r="C983">
        <f t="shared" si="106"/>
        <v>7</v>
      </c>
      <c r="D983" t="s">
        <v>66</v>
      </c>
      <c r="E983" t="s">
        <v>67</v>
      </c>
      <c r="F983" t="s">
        <v>69</v>
      </c>
      <c r="G983" t="s">
        <v>27</v>
      </c>
      <c r="H983" t="s">
        <v>45</v>
      </c>
      <c r="I983" s="5">
        <v>254</v>
      </c>
      <c r="J983" s="5">
        <v>185</v>
      </c>
      <c r="K983" s="5">
        <v>19</v>
      </c>
      <c r="L983" s="5">
        <v>4</v>
      </c>
      <c r="M983" s="5">
        <v>4</v>
      </c>
      <c r="N983" s="7">
        <v>392.61</v>
      </c>
      <c r="O983" s="7">
        <f t="shared" si="107"/>
        <v>1570.44</v>
      </c>
      <c r="P983" s="4">
        <v>0</v>
      </c>
      <c r="Q983" s="7">
        <f t="shared" si="108"/>
        <v>0</v>
      </c>
      <c r="R983" s="7">
        <f t="shared" si="109"/>
        <v>1570.44</v>
      </c>
      <c r="S983" s="7">
        <f t="shared" si="110"/>
        <v>392.61</v>
      </c>
      <c r="T983" s="6">
        <f t="shared" si="111"/>
        <v>1.5748031496062992E-2</v>
      </c>
      <c r="V983" t="s">
        <v>29</v>
      </c>
    </row>
    <row r="984" spans="1:22">
      <c r="A984" s="3">
        <v>45698</v>
      </c>
      <c r="B984" t="str">
        <f t="shared" si="105"/>
        <v>yyyy-02</v>
      </c>
      <c r="C984">
        <f t="shared" si="106"/>
        <v>7</v>
      </c>
      <c r="D984" t="s">
        <v>66</v>
      </c>
      <c r="E984" t="s">
        <v>67</v>
      </c>
      <c r="F984" t="s">
        <v>70</v>
      </c>
      <c r="G984" t="s">
        <v>27</v>
      </c>
      <c r="H984" t="s">
        <v>45</v>
      </c>
      <c r="I984" s="5">
        <v>312</v>
      </c>
      <c r="J984" s="5">
        <v>199</v>
      </c>
      <c r="K984" s="5">
        <v>12</v>
      </c>
      <c r="L984" s="5">
        <v>5</v>
      </c>
      <c r="M984" s="5">
        <v>5</v>
      </c>
      <c r="N984" s="7">
        <v>338.3</v>
      </c>
      <c r="O984" s="7">
        <f t="shared" si="107"/>
        <v>1691.5</v>
      </c>
      <c r="P984" s="4">
        <v>0.05</v>
      </c>
      <c r="Q984" s="7">
        <f t="shared" si="108"/>
        <v>84.575000000000003</v>
      </c>
      <c r="R984" s="7">
        <f t="shared" si="109"/>
        <v>1606.925</v>
      </c>
      <c r="S984" s="7">
        <f t="shared" si="110"/>
        <v>321.38499999999999</v>
      </c>
      <c r="T984" s="6">
        <f t="shared" si="111"/>
        <v>1.6025641025641024E-2</v>
      </c>
      <c r="V984" t="s">
        <v>29</v>
      </c>
    </row>
    <row r="985" spans="1:22">
      <c r="A985" s="3">
        <v>45698</v>
      </c>
      <c r="B985" t="str">
        <f t="shared" si="105"/>
        <v>yyyy-02</v>
      </c>
      <c r="C985">
        <f t="shared" si="106"/>
        <v>7</v>
      </c>
      <c r="D985" t="s">
        <v>66</v>
      </c>
      <c r="E985" t="s">
        <v>71</v>
      </c>
      <c r="F985" t="s">
        <v>72</v>
      </c>
      <c r="G985" t="s">
        <v>27</v>
      </c>
      <c r="H985" t="s">
        <v>28</v>
      </c>
      <c r="I985" s="5">
        <v>286</v>
      </c>
      <c r="J985" s="5">
        <v>235</v>
      </c>
      <c r="K985" s="5">
        <v>20</v>
      </c>
      <c r="L985" s="5">
        <v>6</v>
      </c>
      <c r="M985" s="5">
        <v>7</v>
      </c>
      <c r="N985" s="7">
        <v>129.72999999999999</v>
      </c>
      <c r="O985" s="7">
        <f t="shared" si="107"/>
        <v>908.1099999999999</v>
      </c>
      <c r="P985" s="4">
        <v>0.05</v>
      </c>
      <c r="Q985" s="7">
        <f t="shared" si="108"/>
        <v>45.405499999999996</v>
      </c>
      <c r="R985" s="7">
        <f t="shared" si="109"/>
        <v>862.70449999999994</v>
      </c>
      <c r="S985" s="7">
        <f t="shared" si="110"/>
        <v>143.78408333333331</v>
      </c>
      <c r="T985" s="6">
        <f t="shared" si="111"/>
        <v>2.097902097902098E-2</v>
      </c>
      <c r="V985" t="s">
        <v>29</v>
      </c>
    </row>
    <row r="986" spans="1:22">
      <c r="A986" s="3">
        <v>45698</v>
      </c>
      <c r="B986" t="str">
        <f t="shared" si="105"/>
        <v>yyyy-02</v>
      </c>
      <c r="C986">
        <f t="shared" si="106"/>
        <v>7</v>
      </c>
      <c r="D986" t="s">
        <v>66</v>
      </c>
      <c r="E986" t="s">
        <v>73</v>
      </c>
      <c r="F986" t="s">
        <v>74</v>
      </c>
      <c r="G986" t="s">
        <v>31</v>
      </c>
      <c r="H986" t="s">
        <v>32</v>
      </c>
      <c r="I986" s="5">
        <v>206</v>
      </c>
      <c r="J986" s="5">
        <v>119</v>
      </c>
      <c r="K986" s="5">
        <v>7</v>
      </c>
      <c r="L986" s="5">
        <v>3</v>
      </c>
      <c r="M986" s="5">
        <v>3</v>
      </c>
      <c r="N986" s="7">
        <v>1201.47</v>
      </c>
      <c r="O986" s="7">
        <f t="shared" si="107"/>
        <v>3604.41</v>
      </c>
      <c r="P986" s="4">
        <v>0</v>
      </c>
      <c r="Q986" s="7">
        <f t="shared" si="108"/>
        <v>0</v>
      </c>
      <c r="R986" s="7">
        <f t="shared" si="109"/>
        <v>3604.41</v>
      </c>
      <c r="S986" s="7">
        <f t="shared" si="110"/>
        <v>1201.47</v>
      </c>
      <c r="T986" s="6">
        <f t="shared" si="111"/>
        <v>1.4563106796116505E-2</v>
      </c>
      <c r="V986" t="s">
        <v>29</v>
      </c>
    </row>
    <row r="987" spans="1:22">
      <c r="A987" s="3">
        <v>45698</v>
      </c>
      <c r="B987" t="str">
        <f t="shared" si="105"/>
        <v>yyyy-02</v>
      </c>
      <c r="C987">
        <f t="shared" si="106"/>
        <v>7</v>
      </c>
      <c r="D987" t="s">
        <v>66</v>
      </c>
      <c r="E987" t="s">
        <v>71</v>
      </c>
      <c r="F987" t="s">
        <v>75</v>
      </c>
      <c r="G987" t="s">
        <v>27</v>
      </c>
      <c r="H987" t="s">
        <v>45</v>
      </c>
      <c r="I987" s="5">
        <v>255</v>
      </c>
      <c r="J987" s="5">
        <v>188</v>
      </c>
      <c r="K987" s="5">
        <v>22</v>
      </c>
      <c r="L987" s="5">
        <v>5</v>
      </c>
      <c r="M987" s="5">
        <v>6</v>
      </c>
      <c r="N987" s="7">
        <v>38.92</v>
      </c>
      <c r="O987" s="7">
        <f t="shared" si="107"/>
        <v>233.52</v>
      </c>
      <c r="P987" s="4">
        <v>0</v>
      </c>
      <c r="Q987" s="7">
        <f t="shared" si="108"/>
        <v>0</v>
      </c>
      <c r="R987" s="7">
        <f t="shared" si="109"/>
        <v>233.52</v>
      </c>
      <c r="S987" s="7">
        <f t="shared" si="110"/>
        <v>46.704000000000001</v>
      </c>
      <c r="T987" s="6">
        <f t="shared" si="111"/>
        <v>1.9607843137254902E-2</v>
      </c>
      <c r="V987" t="s">
        <v>29</v>
      </c>
    </row>
    <row r="988" spans="1:22">
      <c r="A988" s="3">
        <v>45698</v>
      </c>
      <c r="B988" t="str">
        <f t="shared" si="105"/>
        <v>yyyy-02</v>
      </c>
      <c r="C988">
        <f t="shared" si="106"/>
        <v>7</v>
      </c>
      <c r="D988" t="s">
        <v>24</v>
      </c>
      <c r="E988" t="s">
        <v>76</v>
      </c>
      <c r="F988" t="s">
        <v>77</v>
      </c>
      <c r="G988" t="s">
        <v>31</v>
      </c>
      <c r="H988" t="s">
        <v>32</v>
      </c>
      <c r="I988" s="5">
        <v>457</v>
      </c>
      <c r="J988" s="5">
        <v>276</v>
      </c>
      <c r="K988" s="5">
        <v>20</v>
      </c>
      <c r="L988" s="5">
        <v>8</v>
      </c>
      <c r="M988" s="5">
        <v>9</v>
      </c>
      <c r="N988" s="7">
        <v>201.36</v>
      </c>
      <c r="O988" s="7">
        <f t="shared" si="107"/>
        <v>1812.2400000000002</v>
      </c>
      <c r="P988" s="4">
        <v>0</v>
      </c>
      <c r="Q988" s="7">
        <f t="shared" si="108"/>
        <v>0</v>
      </c>
      <c r="R988" s="7">
        <f t="shared" si="109"/>
        <v>1812.2400000000002</v>
      </c>
      <c r="S988" s="7">
        <f t="shared" si="110"/>
        <v>226.53000000000003</v>
      </c>
      <c r="T988" s="6">
        <f t="shared" si="111"/>
        <v>1.7505470459518599E-2</v>
      </c>
      <c r="V988" t="s">
        <v>29</v>
      </c>
    </row>
    <row r="989" spans="1:22">
      <c r="A989" s="3">
        <v>45699</v>
      </c>
      <c r="B989" t="str">
        <f t="shared" si="105"/>
        <v>yyyy-02</v>
      </c>
      <c r="C989">
        <f t="shared" si="106"/>
        <v>7</v>
      </c>
      <c r="D989" t="s">
        <v>24</v>
      </c>
      <c r="E989" t="s">
        <v>25</v>
      </c>
      <c r="F989" t="s">
        <v>26</v>
      </c>
      <c r="G989" t="s">
        <v>36</v>
      </c>
      <c r="H989" t="s">
        <v>37</v>
      </c>
      <c r="I989" s="5">
        <v>1443</v>
      </c>
      <c r="J989" s="5">
        <v>900</v>
      </c>
      <c r="K989" s="5">
        <v>102</v>
      </c>
      <c r="L989" s="5">
        <v>29</v>
      </c>
      <c r="M989" s="5">
        <v>29</v>
      </c>
      <c r="N989" s="7">
        <v>977.28</v>
      </c>
      <c r="O989" s="7">
        <f t="shared" si="107"/>
        <v>28341.119999999999</v>
      </c>
      <c r="P989" s="4">
        <v>0.03</v>
      </c>
      <c r="Q989" s="7">
        <f t="shared" si="108"/>
        <v>850.23359999999991</v>
      </c>
      <c r="R989" s="7">
        <f t="shared" si="109"/>
        <v>27490.886399999999</v>
      </c>
      <c r="S989" s="7">
        <f t="shared" si="110"/>
        <v>947.96159999999998</v>
      </c>
      <c r="T989" s="6">
        <f t="shared" si="111"/>
        <v>2.0097020097020097E-2</v>
      </c>
      <c r="V989" t="s">
        <v>29</v>
      </c>
    </row>
    <row r="990" spans="1:22">
      <c r="A990" s="3">
        <v>45699</v>
      </c>
      <c r="B990" t="str">
        <f t="shared" si="105"/>
        <v>yyyy-02</v>
      </c>
      <c r="C990">
        <f t="shared" si="106"/>
        <v>7</v>
      </c>
      <c r="D990" t="s">
        <v>24</v>
      </c>
      <c r="E990" t="s">
        <v>25</v>
      </c>
      <c r="F990" t="s">
        <v>30</v>
      </c>
      <c r="G990" t="s">
        <v>36</v>
      </c>
      <c r="H990" t="s">
        <v>37</v>
      </c>
      <c r="I990" s="5">
        <v>1430</v>
      </c>
      <c r="J990" s="5">
        <v>1059</v>
      </c>
      <c r="K990" s="5">
        <v>117</v>
      </c>
      <c r="L990" s="5">
        <v>25</v>
      </c>
      <c r="M990" s="5">
        <v>25</v>
      </c>
      <c r="N990" s="7">
        <v>383.05</v>
      </c>
      <c r="O990" s="7">
        <f t="shared" si="107"/>
        <v>9576.25</v>
      </c>
      <c r="P990" s="4">
        <v>0</v>
      </c>
      <c r="Q990" s="7">
        <f t="shared" si="108"/>
        <v>0</v>
      </c>
      <c r="R990" s="7">
        <f t="shared" si="109"/>
        <v>9576.25</v>
      </c>
      <c r="S990" s="7">
        <f t="shared" si="110"/>
        <v>383.05</v>
      </c>
      <c r="T990" s="6">
        <f t="shared" si="111"/>
        <v>1.7482517482517484E-2</v>
      </c>
      <c r="V990" t="s">
        <v>29</v>
      </c>
    </row>
    <row r="991" spans="1:22">
      <c r="A991" s="3">
        <v>45699</v>
      </c>
      <c r="B991" t="str">
        <f t="shared" si="105"/>
        <v>yyyy-02</v>
      </c>
      <c r="C991">
        <f t="shared" si="106"/>
        <v>7</v>
      </c>
      <c r="D991" t="s">
        <v>24</v>
      </c>
      <c r="E991" t="s">
        <v>25</v>
      </c>
      <c r="F991" t="s">
        <v>33</v>
      </c>
      <c r="G991" t="s">
        <v>27</v>
      </c>
      <c r="H991" t="s">
        <v>45</v>
      </c>
      <c r="I991" s="5">
        <v>870</v>
      </c>
      <c r="J991" s="5">
        <v>479</v>
      </c>
      <c r="K991" s="5">
        <v>73</v>
      </c>
      <c r="L991" s="5">
        <v>15</v>
      </c>
      <c r="M991" s="5">
        <v>15</v>
      </c>
      <c r="N991" s="7">
        <v>1759.89</v>
      </c>
      <c r="O991" s="7">
        <f t="shared" si="107"/>
        <v>26398.350000000002</v>
      </c>
      <c r="P991" s="4">
        <v>0</v>
      </c>
      <c r="Q991" s="7">
        <f t="shared" si="108"/>
        <v>0</v>
      </c>
      <c r="R991" s="7">
        <f t="shared" si="109"/>
        <v>26398.350000000002</v>
      </c>
      <c r="S991" s="7">
        <f t="shared" si="110"/>
        <v>1759.89</v>
      </c>
      <c r="T991" s="6">
        <f t="shared" si="111"/>
        <v>1.7241379310344827E-2</v>
      </c>
      <c r="V991" t="s">
        <v>29</v>
      </c>
    </row>
    <row r="992" spans="1:22">
      <c r="A992" s="3">
        <v>45699</v>
      </c>
      <c r="B992" t="str">
        <f t="shared" si="105"/>
        <v>yyyy-02</v>
      </c>
      <c r="C992">
        <f t="shared" si="106"/>
        <v>7</v>
      </c>
      <c r="D992" t="s">
        <v>24</v>
      </c>
      <c r="E992" t="s">
        <v>34</v>
      </c>
      <c r="F992" t="s">
        <v>35</v>
      </c>
      <c r="G992" t="s">
        <v>31</v>
      </c>
      <c r="H992" t="s">
        <v>32</v>
      </c>
      <c r="I992" s="5">
        <v>1133</v>
      </c>
      <c r="J992" s="5">
        <v>859</v>
      </c>
      <c r="K992" s="5">
        <v>90</v>
      </c>
      <c r="L992" s="5">
        <v>19</v>
      </c>
      <c r="M992" s="5">
        <v>19</v>
      </c>
      <c r="N992" s="7">
        <v>903.11</v>
      </c>
      <c r="O992" s="7">
        <f t="shared" si="107"/>
        <v>17159.09</v>
      </c>
      <c r="P992" s="4">
        <v>0</v>
      </c>
      <c r="Q992" s="7">
        <f t="shared" si="108"/>
        <v>0</v>
      </c>
      <c r="R992" s="7">
        <f t="shared" si="109"/>
        <v>17159.09</v>
      </c>
      <c r="S992" s="7">
        <f t="shared" si="110"/>
        <v>903.11</v>
      </c>
      <c r="T992" s="6">
        <f t="shared" si="111"/>
        <v>1.6769638128861428E-2</v>
      </c>
      <c r="V992" t="s">
        <v>29</v>
      </c>
    </row>
    <row r="993" spans="1:22">
      <c r="A993" s="3">
        <v>45699</v>
      </c>
      <c r="B993" t="str">
        <f t="shared" si="105"/>
        <v>yyyy-02</v>
      </c>
      <c r="C993">
        <f t="shared" si="106"/>
        <v>7</v>
      </c>
      <c r="D993" t="s">
        <v>24</v>
      </c>
      <c r="E993" t="s">
        <v>38</v>
      </c>
      <c r="F993" t="s">
        <v>39</v>
      </c>
      <c r="G993" t="s">
        <v>27</v>
      </c>
      <c r="H993" t="s">
        <v>28</v>
      </c>
      <c r="I993" s="5">
        <v>764</v>
      </c>
      <c r="J993" s="5">
        <v>535</v>
      </c>
      <c r="K993" s="5">
        <v>48</v>
      </c>
      <c r="L993" s="5">
        <v>15</v>
      </c>
      <c r="M993" s="5">
        <v>15</v>
      </c>
      <c r="N993" s="7">
        <v>327.72</v>
      </c>
      <c r="O993" s="7">
        <f t="shared" si="107"/>
        <v>4915.8</v>
      </c>
      <c r="P993" s="4">
        <v>0.09</v>
      </c>
      <c r="Q993" s="7">
        <f t="shared" si="108"/>
        <v>442.42200000000003</v>
      </c>
      <c r="R993" s="7">
        <f t="shared" si="109"/>
        <v>4473.3780000000006</v>
      </c>
      <c r="S993" s="7">
        <f t="shared" si="110"/>
        <v>298.22520000000003</v>
      </c>
      <c r="T993" s="6">
        <f t="shared" si="111"/>
        <v>1.9633507853403141E-2</v>
      </c>
      <c r="U993" t="s">
        <v>84</v>
      </c>
      <c r="V993" t="s">
        <v>29</v>
      </c>
    </row>
    <row r="994" spans="1:22">
      <c r="A994" s="3">
        <v>45699</v>
      </c>
      <c r="B994" t="str">
        <f t="shared" si="105"/>
        <v>yyyy-02</v>
      </c>
      <c r="C994">
        <f t="shared" si="106"/>
        <v>7</v>
      </c>
      <c r="D994" t="s">
        <v>24</v>
      </c>
      <c r="E994" t="s">
        <v>40</v>
      </c>
      <c r="F994" t="s">
        <v>41</v>
      </c>
      <c r="G994" t="s">
        <v>31</v>
      </c>
      <c r="H994" t="s">
        <v>32</v>
      </c>
      <c r="I994" s="5">
        <v>884</v>
      </c>
      <c r="J994" s="5">
        <v>512</v>
      </c>
      <c r="K994" s="5">
        <v>59</v>
      </c>
      <c r="L994" s="5">
        <v>18</v>
      </c>
      <c r="M994" s="5">
        <v>22</v>
      </c>
      <c r="N994" s="7">
        <v>175.08</v>
      </c>
      <c r="O994" s="7">
        <f t="shared" si="107"/>
        <v>3851.76</v>
      </c>
      <c r="P994" s="4">
        <v>0.05</v>
      </c>
      <c r="Q994" s="7">
        <f t="shared" si="108"/>
        <v>192.58800000000002</v>
      </c>
      <c r="R994" s="7">
        <f t="shared" si="109"/>
        <v>3659.172</v>
      </c>
      <c r="S994" s="7">
        <f t="shared" si="110"/>
        <v>203.28733333333332</v>
      </c>
      <c r="T994" s="6">
        <f t="shared" si="111"/>
        <v>2.0361990950226245E-2</v>
      </c>
      <c r="V994" t="s">
        <v>29</v>
      </c>
    </row>
    <row r="995" spans="1:22">
      <c r="A995" s="3">
        <v>45699</v>
      </c>
      <c r="B995" t="str">
        <f t="shared" si="105"/>
        <v>yyyy-02</v>
      </c>
      <c r="C995">
        <f t="shared" si="106"/>
        <v>7</v>
      </c>
      <c r="D995" t="s">
        <v>42</v>
      </c>
      <c r="E995" t="s">
        <v>43</v>
      </c>
      <c r="F995" t="s">
        <v>44</v>
      </c>
      <c r="G995" t="s">
        <v>36</v>
      </c>
      <c r="H995" t="s">
        <v>37</v>
      </c>
      <c r="I995" s="5">
        <v>527</v>
      </c>
      <c r="J995" s="5">
        <v>342</v>
      </c>
      <c r="K995" s="5">
        <v>37</v>
      </c>
      <c r="L995" s="5">
        <v>8</v>
      </c>
      <c r="M995" s="5">
        <v>8</v>
      </c>
      <c r="N995" s="7">
        <v>1312.98</v>
      </c>
      <c r="O995" s="7">
        <f t="shared" si="107"/>
        <v>10503.84</v>
      </c>
      <c r="P995" s="4">
        <v>0</v>
      </c>
      <c r="Q995" s="7">
        <f t="shared" si="108"/>
        <v>0</v>
      </c>
      <c r="R995" s="7">
        <f t="shared" si="109"/>
        <v>10503.84</v>
      </c>
      <c r="S995" s="7">
        <f t="shared" si="110"/>
        <v>1312.98</v>
      </c>
      <c r="T995" s="6">
        <f t="shared" si="111"/>
        <v>1.5180265654648957E-2</v>
      </c>
      <c r="V995" t="s">
        <v>29</v>
      </c>
    </row>
    <row r="996" spans="1:22">
      <c r="A996" s="3">
        <v>45699</v>
      </c>
      <c r="B996" t="str">
        <f t="shared" si="105"/>
        <v>yyyy-02</v>
      </c>
      <c r="C996">
        <f t="shared" si="106"/>
        <v>7</v>
      </c>
      <c r="D996" t="s">
        <v>42</v>
      </c>
      <c r="E996" t="s">
        <v>43</v>
      </c>
      <c r="F996" t="s">
        <v>46</v>
      </c>
      <c r="G996" t="s">
        <v>27</v>
      </c>
      <c r="H996" t="s">
        <v>28</v>
      </c>
      <c r="I996" s="5">
        <v>490</v>
      </c>
      <c r="J996" s="5">
        <v>322</v>
      </c>
      <c r="K996" s="5">
        <v>38</v>
      </c>
      <c r="L996" s="5">
        <v>8</v>
      </c>
      <c r="M996" s="5">
        <v>8</v>
      </c>
      <c r="N996" s="7">
        <v>2166.3200000000002</v>
      </c>
      <c r="O996" s="7">
        <f t="shared" si="107"/>
        <v>17330.560000000001</v>
      </c>
      <c r="P996" s="4">
        <v>0</v>
      </c>
      <c r="Q996" s="7">
        <f t="shared" si="108"/>
        <v>0</v>
      </c>
      <c r="R996" s="7">
        <f t="shared" si="109"/>
        <v>17330.560000000001</v>
      </c>
      <c r="S996" s="7">
        <f t="shared" si="110"/>
        <v>2166.3200000000002</v>
      </c>
      <c r="T996" s="6">
        <f t="shared" si="111"/>
        <v>1.6326530612244899E-2</v>
      </c>
      <c r="V996" t="s">
        <v>29</v>
      </c>
    </row>
    <row r="997" spans="1:22">
      <c r="A997" s="3">
        <v>45699</v>
      </c>
      <c r="B997" t="str">
        <f t="shared" si="105"/>
        <v>yyyy-02</v>
      </c>
      <c r="C997">
        <f t="shared" si="106"/>
        <v>7</v>
      </c>
      <c r="D997" t="s">
        <v>42</v>
      </c>
      <c r="E997" t="s">
        <v>43</v>
      </c>
      <c r="F997" t="s">
        <v>47</v>
      </c>
      <c r="G997" t="s">
        <v>27</v>
      </c>
      <c r="H997" t="s">
        <v>63</v>
      </c>
      <c r="I997" s="5">
        <v>348</v>
      </c>
      <c r="J997" s="5">
        <v>285</v>
      </c>
      <c r="K997" s="5">
        <v>19</v>
      </c>
      <c r="L997" s="5">
        <v>4</v>
      </c>
      <c r="M997" s="5">
        <v>4</v>
      </c>
      <c r="N997" s="7">
        <v>609.99</v>
      </c>
      <c r="O997" s="7">
        <f t="shared" si="107"/>
        <v>2439.96</v>
      </c>
      <c r="P997" s="4">
        <v>0.03</v>
      </c>
      <c r="Q997" s="7">
        <f t="shared" si="108"/>
        <v>73.198799999999991</v>
      </c>
      <c r="R997" s="7">
        <f t="shared" si="109"/>
        <v>2366.7611999999999</v>
      </c>
      <c r="S997" s="7">
        <f t="shared" si="110"/>
        <v>591.69029999999998</v>
      </c>
      <c r="T997" s="6">
        <f t="shared" si="111"/>
        <v>1.1494252873563218E-2</v>
      </c>
      <c r="V997" t="s">
        <v>29</v>
      </c>
    </row>
    <row r="998" spans="1:22">
      <c r="A998" s="3">
        <v>45699</v>
      </c>
      <c r="B998" t="str">
        <f t="shared" si="105"/>
        <v>yyyy-02</v>
      </c>
      <c r="C998">
        <f t="shared" si="106"/>
        <v>7</v>
      </c>
      <c r="D998" t="s">
        <v>42</v>
      </c>
      <c r="E998" t="s">
        <v>49</v>
      </c>
      <c r="F998" t="s">
        <v>50</v>
      </c>
      <c r="G998" t="s">
        <v>31</v>
      </c>
      <c r="H998" t="s">
        <v>32</v>
      </c>
      <c r="I998" s="5">
        <v>192</v>
      </c>
      <c r="J998" s="5">
        <v>131</v>
      </c>
      <c r="K998" s="5">
        <v>10</v>
      </c>
      <c r="L998" s="5">
        <v>3</v>
      </c>
      <c r="M998" s="5">
        <v>3</v>
      </c>
      <c r="N998" s="7">
        <v>989.57</v>
      </c>
      <c r="O998" s="7">
        <f t="shared" si="107"/>
        <v>2968.71</v>
      </c>
      <c r="P998" s="4">
        <v>0</v>
      </c>
      <c r="Q998" s="7">
        <f t="shared" si="108"/>
        <v>0</v>
      </c>
      <c r="R998" s="7">
        <f t="shared" si="109"/>
        <v>2968.71</v>
      </c>
      <c r="S998" s="7">
        <f t="shared" si="110"/>
        <v>989.57</v>
      </c>
      <c r="T998" s="6">
        <f t="shared" si="111"/>
        <v>1.5625E-2</v>
      </c>
      <c r="V998" t="s">
        <v>29</v>
      </c>
    </row>
    <row r="999" spans="1:22">
      <c r="A999" s="3">
        <v>45699</v>
      </c>
      <c r="B999" t="str">
        <f t="shared" si="105"/>
        <v>yyyy-02</v>
      </c>
      <c r="C999">
        <f t="shared" si="106"/>
        <v>7</v>
      </c>
      <c r="D999" t="s">
        <v>42</v>
      </c>
      <c r="E999" t="s">
        <v>51</v>
      </c>
      <c r="F999" t="s">
        <v>52</v>
      </c>
      <c r="G999" t="s">
        <v>27</v>
      </c>
      <c r="H999" t="s">
        <v>28</v>
      </c>
      <c r="I999" s="5">
        <v>231</v>
      </c>
      <c r="J999" s="5">
        <v>120</v>
      </c>
      <c r="K999" s="5">
        <v>15</v>
      </c>
      <c r="L999" s="5">
        <v>4</v>
      </c>
      <c r="M999" s="5">
        <v>4</v>
      </c>
      <c r="N999" s="7">
        <v>608.41</v>
      </c>
      <c r="O999" s="7">
        <f t="shared" si="107"/>
        <v>2433.64</v>
      </c>
      <c r="P999" s="4">
        <v>0.11</v>
      </c>
      <c r="Q999" s="7">
        <f t="shared" si="108"/>
        <v>267.7004</v>
      </c>
      <c r="R999" s="7">
        <f t="shared" si="109"/>
        <v>2165.9395999999997</v>
      </c>
      <c r="S999" s="7">
        <f t="shared" si="110"/>
        <v>541.48489999999993</v>
      </c>
      <c r="T999" s="6">
        <f t="shared" si="111"/>
        <v>1.7316017316017316E-2</v>
      </c>
      <c r="U999" t="s">
        <v>85</v>
      </c>
      <c r="V999" t="s">
        <v>29</v>
      </c>
    </row>
    <row r="1000" spans="1:22">
      <c r="A1000" s="3">
        <v>45699</v>
      </c>
      <c r="B1000" t="str">
        <f t="shared" si="105"/>
        <v>yyyy-02</v>
      </c>
      <c r="C1000">
        <f t="shared" si="106"/>
        <v>7</v>
      </c>
      <c r="D1000" t="s">
        <v>53</v>
      </c>
      <c r="E1000" t="s">
        <v>54</v>
      </c>
      <c r="F1000" t="s">
        <v>55</v>
      </c>
      <c r="G1000" t="s">
        <v>27</v>
      </c>
      <c r="H1000" t="s">
        <v>28</v>
      </c>
      <c r="I1000" s="5">
        <v>157</v>
      </c>
      <c r="J1000" s="5">
        <v>107</v>
      </c>
      <c r="K1000" s="5">
        <v>10</v>
      </c>
      <c r="L1000" s="5">
        <v>2</v>
      </c>
      <c r="M1000" s="5">
        <v>2</v>
      </c>
      <c r="N1000" s="7">
        <v>1290.07</v>
      </c>
      <c r="O1000" s="7">
        <f t="shared" si="107"/>
        <v>2580.14</v>
      </c>
      <c r="P1000" s="4">
        <v>0.03</v>
      </c>
      <c r="Q1000" s="7">
        <f t="shared" si="108"/>
        <v>77.404199999999989</v>
      </c>
      <c r="R1000" s="7">
        <f t="shared" si="109"/>
        <v>2502.7357999999999</v>
      </c>
      <c r="S1000" s="7">
        <f t="shared" si="110"/>
        <v>1251.3679</v>
      </c>
      <c r="T1000" s="6">
        <f t="shared" si="111"/>
        <v>1.2738853503184714E-2</v>
      </c>
      <c r="V1000" t="s">
        <v>29</v>
      </c>
    </row>
    <row r="1001" spans="1:22">
      <c r="A1001" s="3">
        <v>45699</v>
      </c>
      <c r="B1001" t="str">
        <f t="shared" si="105"/>
        <v>yyyy-02</v>
      </c>
      <c r="C1001">
        <f t="shared" si="106"/>
        <v>7</v>
      </c>
      <c r="D1001" t="s">
        <v>53</v>
      </c>
      <c r="E1001" t="s">
        <v>56</v>
      </c>
      <c r="F1001" t="s">
        <v>57</v>
      </c>
      <c r="G1001" t="s">
        <v>31</v>
      </c>
      <c r="H1001" t="s">
        <v>32</v>
      </c>
      <c r="I1001" s="5">
        <v>218</v>
      </c>
      <c r="J1001" s="5">
        <v>177</v>
      </c>
      <c r="K1001" s="5">
        <v>19</v>
      </c>
      <c r="L1001" s="5">
        <v>2</v>
      </c>
      <c r="M1001" s="5">
        <v>2</v>
      </c>
      <c r="N1001" s="7">
        <v>721.36</v>
      </c>
      <c r="O1001" s="7">
        <f t="shared" si="107"/>
        <v>1442.72</v>
      </c>
      <c r="P1001" s="4">
        <v>0</v>
      </c>
      <c r="Q1001" s="7">
        <f t="shared" si="108"/>
        <v>0</v>
      </c>
      <c r="R1001" s="7">
        <f t="shared" si="109"/>
        <v>1442.72</v>
      </c>
      <c r="S1001" s="7">
        <f t="shared" si="110"/>
        <v>721.36</v>
      </c>
      <c r="T1001" s="6">
        <f t="shared" si="111"/>
        <v>9.1743119266055051E-3</v>
      </c>
      <c r="V1001" t="s">
        <v>29</v>
      </c>
    </row>
    <row r="1002" spans="1:22">
      <c r="A1002" s="3">
        <v>45699</v>
      </c>
      <c r="B1002" t="str">
        <f t="shared" si="105"/>
        <v>yyyy-02</v>
      </c>
      <c r="C1002">
        <f t="shared" si="106"/>
        <v>7</v>
      </c>
      <c r="D1002" t="s">
        <v>53</v>
      </c>
      <c r="E1002" t="s">
        <v>56</v>
      </c>
      <c r="F1002" t="s">
        <v>58</v>
      </c>
      <c r="G1002" t="s">
        <v>27</v>
      </c>
      <c r="H1002" t="s">
        <v>63</v>
      </c>
      <c r="I1002" s="5">
        <v>167</v>
      </c>
      <c r="J1002" s="5">
        <v>86</v>
      </c>
      <c r="K1002" s="5">
        <v>8</v>
      </c>
      <c r="L1002" s="5">
        <v>2</v>
      </c>
      <c r="M1002" s="5">
        <v>2</v>
      </c>
      <c r="N1002" s="7">
        <v>867.53</v>
      </c>
      <c r="O1002" s="7">
        <f t="shared" si="107"/>
        <v>1735.06</v>
      </c>
      <c r="P1002" s="4">
        <v>0</v>
      </c>
      <c r="Q1002" s="7">
        <f t="shared" si="108"/>
        <v>0</v>
      </c>
      <c r="R1002" s="7">
        <f t="shared" si="109"/>
        <v>1735.06</v>
      </c>
      <c r="S1002" s="7">
        <f t="shared" si="110"/>
        <v>867.53</v>
      </c>
      <c r="T1002" s="6">
        <f t="shared" si="111"/>
        <v>1.1976047904191617E-2</v>
      </c>
      <c r="V1002" t="s">
        <v>29</v>
      </c>
    </row>
    <row r="1003" spans="1:22">
      <c r="A1003" s="3">
        <v>45699</v>
      </c>
      <c r="B1003" t="str">
        <f t="shared" si="105"/>
        <v>yyyy-02</v>
      </c>
      <c r="C1003">
        <f t="shared" si="106"/>
        <v>7</v>
      </c>
      <c r="D1003" t="s">
        <v>53</v>
      </c>
      <c r="E1003" t="s">
        <v>59</v>
      </c>
      <c r="F1003" t="s">
        <v>60</v>
      </c>
      <c r="G1003" t="s">
        <v>27</v>
      </c>
      <c r="H1003" t="s">
        <v>45</v>
      </c>
      <c r="I1003" s="5">
        <v>156</v>
      </c>
      <c r="J1003" s="5">
        <v>95</v>
      </c>
      <c r="K1003" s="5">
        <v>8</v>
      </c>
      <c r="L1003" s="5">
        <v>2</v>
      </c>
      <c r="M1003" s="5">
        <v>2</v>
      </c>
      <c r="N1003" s="7">
        <v>685.95</v>
      </c>
      <c r="O1003" s="7">
        <f t="shared" si="107"/>
        <v>1371.9</v>
      </c>
      <c r="P1003" s="4">
        <v>0.03</v>
      </c>
      <c r="Q1003" s="7">
        <f t="shared" si="108"/>
        <v>41.157000000000004</v>
      </c>
      <c r="R1003" s="7">
        <f t="shared" si="109"/>
        <v>1330.7430000000002</v>
      </c>
      <c r="S1003" s="7">
        <f t="shared" si="110"/>
        <v>665.37150000000008</v>
      </c>
      <c r="T1003" s="6">
        <f t="shared" si="111"/>
        <v>1.282051282051282E-2</v>
      </c>
      <c r="V1003" t="s">
        <v>29</v>
      </c>
    </row>
    <row r="1004" spans="1:22">
      <c r="A1004" s="3">
        <v>45699</v>
      </c>
      <c r="B1004" t="str">
        <f t="shared" si="105"/>
        <v>yyyy-02</v>
      </c>
      <c r="C1004">
        <f t="shared" si="106"/>
        <v>7</v>
      </c>
      <c r="D1004" t="s">
        <v>53</v>
      </c>
      <c r="E1004" t="s">
        <v>61</v>
      </c>
      <c r="F1004" t="s">
        <v>62</v>
      </c>
      <c r="G1004" t="s">
        <v>27</v>
      </c>
      <c r="H1004" t="s">
        <v>45</v>
      </c>
      <c r="I1004" s="5">
        <v>174</v>
      </c>
      <c r="J1004" s="5">
        <v>142</v>
      </c>
      <c r="K1004" s="5">
        <v>15</v>
      </c>
      <c r="L1004" s="5">
        <v>2</v>
      </c>
      <c r="M1004" s="5">
        <v>2</v>
      </c>
      <c r="N1004" s="7">
        <v>502.41</v>
      </c>
      <c r="O1004" s="7">
        <f t="shared" si="107"/>
        <v>1004.82</v>
      </c>
      <c r="P1004" s="4">
        <v>0</v>
      </c>
      <c r="Q1004" s="7">
        <f t="shared" si="108"/>
        <v>0</v>
      </c>
      <c r="R1004" s="7">
        <f t="shared" si="109"/>
        <v>1004.82</v>
      </c>
      <c r="S1004" s="7">
        <f t="shared" si="110"/>
        <v>502.41</v>
      </c>
      <c r="T1004" s="6">
        <f t="shared" si="111"/>
        <v>1.1494252873563218E-2</v>
      </c>
      <c r="V1004" t="s">
        <v>29</v>
      </c>
    </row>
    <row r="1005" spans="1:22">
      <c r="A1005" s="3">
        <v>45699</v>
      </c>
      <c r="B1005" t="str">
        <f t="shared" si="105"/>
        <v>yyyy-02</v>
      </c>
      <c r="C1005">
        <f t="shared" si="106"/>
        <v>7</v>
      </c>
      <c r="D1005" t="s">
        <v>53</v>
      </c>
      <c r="E1005" t="s">
        <v>64</v>
      </c>
      <c r="F1005" t="s">
        <v>65</v>
      </c>
      <c r="G1005" t="s">
        <v>31</v>
      </c>
      <c r="H1005" t="s">
        <v>32</v>
      </c>
      <c r="I1005" s="5">
        <v>256</v>
      </c>
      <c r="J1005" s="5">
        <v>182</v>
      </c>
      <c r="K1005" s="5">
        <v>14</v>
      </c>
      <c r="L1005" s="5">
        <v>3</v>
      </c>
      <c r="M1005" s="5">
        <v>3</v>
      </c>
      <c r="N1005" s="7">
        <v>782.59</v>
      </c>
      <c r="O1005" s="7">
        <f t="shared" si="107"/>
        <v>2347.77</v>
      </c>
      <c r="P1005" s="4">
        <v>0.05</v>
      </c>
      <c r="Q1005" s="7">
        <f t="shared" si="108"/>
        <v>117.38850000000001</v>
      </c>
      <c r="R1005" s="7">
        <f t="shared" si="109"/>
        <v>2230.3815</v>
      </c>
      <c r="S1005" s="7">
        <f t="shared" si="110"/>
        <v>743.46050000000002</v>
      </c>
      <c r="T1005" s="6">
        <f t="shared" si="111"/>
        <v>1.171875E-2</v>
      </c>
      <c r="V1005" t="s">
        <v>29</v>
      </c>
    </row>
    <row r="1006" spans="1:22">
      <c r="A1006" s="3">
        <v>45699</v>
      </c>
      <c r="B1006" t="str">
        <f t="shared" si="105"/>
        <v>yyyy-02</v>
      </c>
      <c r="C1006">
        <f t="shared" si="106"/>
        <v>7</v>
      </c>
      <c r="D1006" t="s">
        <v>66</v>
      </c>
      <c r="E1006" t="s">
        <v>67</v>
      </c>
      <c r="F1006" t="s">
        <v>68</v>
      </c>
      <c r="G1006" t="s">
        <v>31</v>
      </c>
      <c r="H1006" t="s">
        <v>32</v>
      </c>
      <c r="I1006" s="5">
        <v>390</v>
      </c>
      <c r="J1006" s="5">
        <v>293</v>
      </c>
      <c r="K1006" s="5">
        <v>29</v>
      </c>
      <c r="L1006" s="5">
        <v>6</v>
      </c>
      <c r="M1006" s="5">
        <v>6</v>
      </c>
      <c r="N1006" s="7">
        <v>686.5</v>
      </c>
      <c r="O1006" s="7">
        <f t="shared" si="107"/>
        <v>4119</v>
      </c>
      <c r="P1006" s="4">
        <v>0.05</v>
      </c>
      <c r="Q1006" s="7">
        <f t="shared" si="108"/>
        <v>205.95000000000002</v>
      </c>
      <c r="R1006" s="7">
        <f t="shared" si="109"/>
        <v>3913.05</v>
      </c>
      <c r="S1006" s="7">
        <f t="shared" si="110"/>
        <v>652.17500000000007</v>
      </c>
      <c r="T1006" s="6">
        <f t="shared" si="111"/>
        <v>1.5384615384615385E-2</v>
      </c>
      <c r="V1006" t="s">
        <v>29</v>
      </c>
    </row>
    <row r="1007" spans="1:22">
      <c r="A1007" s="3">
        <v>45699</v>
      </c>
      <c r="B1007" t="str">
        <f t="shared" si="105"/>
        <v>yyyy-02</v>
      </c>
      <c r="C1007">
        <f t="shared" si="106"/>
        <v>7</v>
      </c>
      <c r="D1007" t="s">
        <v>66</v>
      </c>
      <c r="E1007" t="s">
        <v>67</v>
      </c>
      <c r="F1007" t="s">
        <v>69</v>
      </c>
      <c r="G1007" t="s">
        <v>27</v>
      </c>
      <c r="H1007" t="s">
        <v>48</v>
      </c>
      <c r="I1007" s="5">
        <v>195</v>
      </c>
      <c r="J1007" s="5">
        <v>112</v>
      </c>
      <c r="K1007" s="5">
        <v>19</v>
      </c>
      <c r="L1007" s="5">
        <v>4</v>
      </c>
      <c r="M1007" s="5">
        <v>4</v>
      </c>
      <c r="N1007" s="7">
        <v>389.79</v>
      </c>
      <c r="O1007" s="7">
        <f t="shared" si="107"/>
        <v>1559.16</v>
      </c>
      <c r="P1007" s="4">
        <v>0</v>
      </c>
      <c r="Q1007" s="7">
        <f t="shared" si="108"/>
        <v>0</v>
      </c>
      <c r="R1007" s="7">
        <f t="shared" si="109"/>
        <v>1559.16</v>
      </c>
      <c r="S1007" s="7">
        <f t="shared" si="110"/>
        <v>389.79</v>
      </c>
      <c r="T1007" s="6">
        <f t="shared" si="111"/>
        <v>2.0512820512820513E-2</v>
      </c>
      <c r="V1007" t="s">
        <v>29</v>
      </c>
    </row>
    <row r="1008" spans="1:22">
      <c r="A1008" s="3">
        <v>45699</v>
      </c>
      <c r="B1008" t="str">
        <f t="shared" si="105"/>
        <v>yyyy-02</v>
      </c>
      <c r="C1008">
        <f t="shared" si="106"/>
        <v>7</v>
      </c>
      <c r="D1008" t="s">
        <v>66</v>
      </c>
      <c r="E1008" t="s">
        <v>67</v>
      </c>
      <c r="F1008" t="s">
        <v>70</v>
      </c>
      <c r="G1008" t="s">
        <v>36</v>
      </c>
      <c r="H1008" t="s">
        <v>37</v>
      </c>
      <c r="I1008" s="5">
        <v>399</v>
      </c>
      <c r="J1008" s="5">
        <v>292</v>
      </c>
      <c r="K1008" s="5">
        <v>22</v>
      </c>
      <c r="L1008" s="5">
        <v>6</v>
      </c>
      <c r="M1008" s="5">
        <v>6</v>
      </c>
      <c r="N1008" s="7">
        <v>344.57</v>
      </c>
      <c r="O1008" s="7">
        <f t="shared" si="107"/>
        <v>2067.42</v>
      </c>
      <c r="P1008" s="4">
        <v>0</v>
      </c>
      <c r="Q1008" s="7">
        <f t="shared" si="108"/>
        <v>0</v>
      </c>
      <c r="R1008" s="7">
        <f t="shared" si="109"/>
        <v>2067.42</v>
      </c>
      <c r="S1008" s="7">
        <f t="shared" si="110"/>
        <v>344.57</v>
      </c>
      <c r="T1008" s="6">
        <f t="shared" si="111"/>
        <v>1.5037593984962405E-2</v>
      </c>
      <c r="V1008" t="s">
        <v>29</v>
      </c>
    </row>
    <row r="1009" spans="1:22">
      <c r="A1009" s="3">
        <v>45699</v>
      </c>
      <c r="B1009" t="str">
        <f t="shared" si="105"/>
        <v>yyyy-02</v>
      </c>
      <c r="C1009">
        <f t="shared" si="106"/>
        <v>7</v>
      </c>
      <c r="D1009" t="s">
        <v>66</v>
      </c>
      <c r="E1009" t="s">
        <v>71</v>
      </c>
      <c r="F1009" t="s">
        <v>72</v>
      </c>
      <c r="G1009" t="s">
        <v>27</v>
      </c>
      <c r="H1009" t="s">
        <v>28</v>
      </c>
      <c r="I1009" s="5">
        <v>232</v>
      </c>
      <c r="J1009" s="5">
        <v>178</v>
      </c>
      <c r="K1009" s="5">
        <v>16</v>
      </c>
      <c r="L1009" s="5">
        <v>5</v>
      </c>
      <c r="M1009" s="5">
        <v>6</v>
      </c>
      <c r="N1009" s="7">
        <v>129.75</v>
      </c>
      <c r="O1009" s="7">
        <f t="shared" si="107"/>
        <v>778.5</v>
      </c>
      <c r="P1009" s="4">
        <v>0</v>
      </c>
      <c r="Q1009" s="7">
        <f t="shared" si="108"/>
        <v>0</v>
      </c>
      <c r="R1009" s="7">
        <f t="shared" si="109"/>
        <v>778.5</v>
      </c>
      <c r="S1009" s="7">
        <f t="shared" si="110"/>
        <v>155.69999999999999</v>
      </c>
      <c r="T1009" s="6">
        <f t="shared" si="111"/>
        <v>2.1551724137931036E-2</v>
      </c>
      <c r="V1009" t="s">
        <v>29</v>
      </c>
    </row>
    <row r="1010" spans="1:22">
      <c r="A1010" s="3">
        <v>45699</v>
      </c>
      <c r="B1010" t="str">
        <f t="shared" si="105"/>
        <v>yyyy-02</v>
      </c>
      <c r="C1010">
        <f t="shared" si="106"/>
        <v>7</v>
      </c>
      <c r="D1010" t="s">
        <v>66</v>
      </c>
      <c r="E1010" t="s">
        <v>73</v>
      </c>
      <c r="F1010" t="s">
        <v>74</v>
      </c>
      <c r="G1010" t="s">
        <v>27</v>
      </c>
      <c r="H1010" t="s">
        <v>28</v>
      </c>
      <c r="I1010" s="5">
        <v>189</v>
      </c>
      <c r="J1010" s="5">
        <v>143</v>
      </c>
      <c r="K1010" s="5">
        <v>14</v>
      </c>
      <c r="L1010" s="5">
        <v>3</v>
      </c>
      <c r="M1010" s="5">
        <v>3</v>
      </c>
      <c r="N1010" s="7">
        <v>1208.05</v>
      </c>
      <c r="O1010" s="7">
        <f t="shared" si="107"/>
        <v>3624.1499999999996</v>
      </c>
      <c r="P1010" s="4">
        <v>0</v>
      </c>
      <c r="Q1010" s="7">
        <f t="shared" si="108"/>
        <v>0</v>
      </c>
      <c r="R1010" s="7">
        <f t="shared" si="109"/>
        <v>3624.1499999999996</v>
      </c>
      <c r="S1010" s="7">
        <f t="shared" si="110"/>
        <v>1208.05</v>
      </c>
      <c r="T1010" s="6">
        <f t="shared" si="111"/>
        <v>1.5873015873015872E-2</v>
      </c>
      <c r="V1010" t="s">
        <v>29</v>
      </c>
    </row>
    <row r="1011" spans="1:22">
      <c r="A1011" s="3">
        <v>45699</v>
      </c>
      <c r="B1011" t="str">
        <f t="shared" si="105"/>
        <v>yyyy-02</v>
      </c>
      <c r="C1011">
        <f t="shared" si="106"/>
        <v>7</v>
      </c>
      <c r="D1011" t="s">
        <v>66</v>
      </c>
      <c r="E1011" t="s">
        <v>71</v>
      </c>
      <c r="F1011" t="s">
        <v>75</v>
      </c>
      <c r="G1011" t="s">
        <v>31</v>
      </c>
      <c r="H1011" t="s">
        <v>32</v>
      </c>
      <c r="I1011" s="5">
        <v>407</v>
      </c>
      <c r="J1011" s="5">
        <v>222</v>
      </c>
      <c r="K1011" s="5">
        <v>26</v>
      </c>
      <c r="L1011" s="5">
        <v>6</v>
      </c>
      <c r="M1011" s="5">
        <v>8</v>
      </c>
      <c r="N1011" s="7">
        <v>38.159999999999997</v>
      </c>
      <c r="O1011" s="7">
        <f t="shared" si="107"/>
        <v>305.27999999999997</v>
      </c>
      <c r="P1011" s="4">
        <v>0</v>
      </c>
      <c r="Q1011" s="7">
        <f t="shared" si="108"/>
        <v>0</v>
      </c>
      <c r="R1011" s="7">
        <f t="shared" si="109"/>
        <v>305.27999999999997</v>
      </c>
      <c r="S1011" s="7">
        <f t="shared" si="110"/>
        <v>50.879999999999995</v>
      </c>
      <c r="T1011" s="6">
        <f t="shared" si="111"/>
        <v>1.4742014742014743E-2</v>
      </c>
      <c r="V1011" t="s">
        <v>29</v>
      </c>
    </row>
    <row r="1012" spans="1:22">
      <c r="A1012" s="3">
        <v>45699</v>
      </c>
      <c r="B1012" t="str">
        <f t="shared" si="105"/>
        <v>yyyy-02</v>
      </c>
      <c r="C1012">
        <f t="shared" si="106"/>
        <v>7</v>
      </c>
      <c r="D1012" t="s">
        <v>24</v>
      </c>
      <c r="E1012" t="s">
        <v>76</v>
      </c>
      <c r="F1012" t="s">
        <v>77</v>
      </c>
      <c r="G1012" t="s">
        <v>36</v>
      </c>
      <c r="H1012" t="s">
        <v>37</v>
      </c>
      <c r="I1012" s="5">
        <v>418</v>
      </c>
      <c r="J1012" s="5">
        <v>307</v>
      </c>
      <c r="K1012" s="5">
        <v>33</v>
      </c>
      <c r="L1012" s="5">
        <v>7</v>
      </c>
      <c r="M1012" s="5">
        <v>8</v>
      </c>
      <c r="N1012" s="7">
        <v>194.58</v>
      </c>
      <c r="O1012" s="7">
        <f t="shared" si="107"/>
        <v>1556.64</v>
      </c>
      <c r="P1012" s="4">
        <v>0</v>
      </c>
      <c r="Q1012" s="7">
        <f t="shared" si="108"/>
        <v>0</v>
      </c>
      <c r="R1012" s="7">
        <f t="shared" si="109"/>
        <v>1556.64</v>
      </c>
      <c r="S1012" s="7">
        <f t="shared" si="110"/>
        <v>222.37714285714287</v>
      </c>
      <c r="T1012" s="6">
        <f t="shared" si="111"/>
        <v>1.6746411483253589E-2</v>
      </c>
      <c r="V1012" t="s">
        <v>78</v>
      </c>
    </row>
    <row r="1013" spans="1:22">
      <c r="A1013" s="3">
        <v>45700</v>
      </c>
      <c r="B1013" t="str">
        <f t="shared" si="105"/>
        <v>yyyy-02</v>
      </c>
      <c r="C1013">
        <f t="shared" si="106"/>
        <v>7</v>
      </c>
      <c r="D1013" t="s">
        <v>24</v>
      </c>
      <c r="E1013" t="s">
        <v>25</v>
      </c>
      <c r="F1013" t="s">
        <v>26</v>
      </c>
      <c r="G1013" t="s">
        <v>27</v>
      </c>
      <c r="H1013" t="s">
        <v>28</v>
      </c>
      <c r="I1013" s="5">
        <v>1461</v>
      </c>
      <c r="J1013" s="5">
        <v>953</v>
      </c>
      <c r="K1013" s="5">
        <v>95</v>
      </c>
      <c r="L1013" s="5">
        <v>24</v>
      </c>
      <c r="M1013" s="5">
        <v>24</v>
      </c>
      <c r="N1013" s="7">
        <v>1011.73</v>
      </c>
      <c r="O1013" s="7">
        <f t="shared" si="107"/>
        <v>24281.52</v>
      </c>
      <c r="P1013" s="4">
        <v>0</v>
      </c>
      <c r="Q1013" s="7">
        <f t="shared" si="108"/>
        <v>0</v>
      </c>
      <c r="R1013" s="7">
        <f t="shared" si="109"/>
        <v>24281.52</v>
      </c>
      <c r="S1013" s="7">
        <f t="shared" si="110"/>
        <v>1011.73</v>
      </c>
      <c r="T1013" s="6">
        <f t="shared" si="111"/>
        <v>1.6427104722792608E-2</v>
      </c>
      <c r="V1013" t="s">
        <v>29</v>
      </c>
    </row>
    <row r="1014" spans="1:22">
      <c r="A1014" s="3">
        <v>45700</v>
      </c>
      <c r="B1014" t="str">
        <f t="shared" si="105"/>
        <v>yyyy-02</v>
      </c>
      <c r="C1014">
        <f t="shared" si="106"/>
        <v>7</v>
      </c>
      <c r="D1014" t="s">
        <v>24</v>
      </c>
      <c r="E1014" t="s">
        <v>25</v>
      </c>
      <c r="F1014" t="s">
        <v>30</v>
      </c>
      <c r="G1014" t="s">
        <v>36</v>
      </c>
      <c r="H1014" t="s">
        <v>37</v>
      </c>
      <c r="I1014" s="5">
        <v>1529</v>
      </c>
      <c r="J1014" s="5">
        <v>848</v>
      </c>
      <c r="K1014" s="5">
        <v>61</v>
      </c>
      <c r="L1014" s="5">
        <v>26</v>
      </c>
      <c r="M1014" s="5">
        <v>26</v>
      </c>
      <c r="N1014" s="7">
        <v>405.92</v>
      </c>
      <c r="O1014" s="7">
        <f t="shared" si="107"/>
        <v>10553.92</v>
      </c>
      <c r="P1014" s="4">
        <v>0.05</v>
      </c>
      <c r="Q1014" s="7">
        <f t="shared" si="108"/>
        <v>527.69600000000003</v>
      </c>
      <c r="R1014" s="7">
        <f t="shared" si="109"/>
        <v>10026.224</v>
      </c>
      <c r="S1014" s="7">
        <f t="shared" si="110"/>
        <v>385.62400000000002</v>
      </c>
      <c r="T1014" s="6">
        <f t="shared" si="111"/>
        <v>1.7004578155657292E-2</v>
      </c>
      <c r="V1014" t="s">
        <v>29</v>
      </c>
    </row>
    <row r="1015" spans="1:22">
      <c r="A1015" s="3">
        <v>45700</v>
      </c>
      <c r="B1015" t="str">
        <f t="shared" si="105"/>
        <v>yyyy-02</v>
      </c>
      <c r="C1015">
        <f t="shared" si="106"/>
        <v>7</v>
      </c>
      <c r="D1015" t="s">
        <v>24</v>
      </c>
      <c r="E1015" t="s">
        <v>25</v>
      </c>
      <c r="F1015" t="s">
        <v>33</v>
      </c>
      <c r="G1015" t="s">
        <v>36</v>
      </c>
      <c r="H1015" t="s">
        <v>37</v>
      </c>
      <c r="I1015" s="5">
        <v>1217</v>
      </c>
      <c r="J1015" s="5">
        <v>664</v>
      </c>
      <c r="K1015" s="5">
        <v>49</v>
      </c>
      <c r="L1015" s="5">
        <v>19</v>
      </c>
      <c r="M1015" s="5">
        <v>19</v>
      </c>
      <c r="N1015" s="7">
        <v>1763.18</v>
      </c>
      <c r="O1015" s="7">
        <f t="shared" si="107"/>
        <v>33500.42</v>
      </c>
      <c r="P1015" s="4">
        <v>0.03</v>
      </c>
      <c r="Q1015" s="7">
        <f t="shared" si="108"/>
        <v>1005.0125999999999</v>
      </c>
      <c r="R1015" s="7">
        <f t="shared" si="109"/>
        <v>32495.4074</v>
      </c>
      <c r="S1015" s="7">
        <f t="shared" si="110"/>
        <v>1710.2846</v>
      </c>
      <c r="T1015" s="6">
        <f t="shared" si="111"/>
        <v>1.5612161051766639E-2</v>
      </c>
      <c r="V1015" t="s">
        <v>29</v>
      </c>
    </row>
    <row r="1016" spans="1:22">
      <c r="A1016" s="3">
        <v>45700</v>
      </c>
      <c r="B1016" t="str">
        <f t="shared" si="105"/>
        <v>yyyy-02</v>
      </c>
      <c r="C1016">
        <f t="shared" si="106"/>
        <v>7</v>
      </c>
      <c r="D1016" t="s">
        <v>24</v>
      </c>
      <c r="E1016" t="s">
        <v>34</v>
      </c>
      <c r="F1016" t="s">
        <v>35</v>
      </c>
      <c r="G1016" t="s">
        <v>31</v>
      </c>
      <c r="H1016" t="s">
        <v>32</v>
      </c>
      <c r="I1016" s="5">
        <v>1352</v>
      </c>
      <c r="J1016" s="5">
        <v>982</v>
      </c>
      <c r="K1016" s="5">
        <v>111</v>
      </c>
      <c r="L1016" s="5">
        <v>25</v>
      </c>
      <c r="M1016" s="5">
        <v>25</v>
      </c>
      <c r="N1016" s="7">
        <v>868.65</v>
      </c>
      <c r="O1016" s="7">
        <f t="shared" si="107"/>
        <v>21716.25</v>
      </c>
      <c r="P1016" s="4">
        <v>0</v>
      </c>
      <c r="Q1016" s="7">
        <f t="shared" si="108"/>
        <v>0</v>
      </c>
      <c r="R1016" s="7">
        <f t="shared" si="109"/>
        <v>21716.25</v>
      </c>
      <c r="S1016" s="7">
        <f t="shared" si="110"/>
        <v>868.65</v>
      </c>
      <c r="T1016" s="6">
        <f t="shared" si="111"/>
        <v>1.849112426035503E-2</v>
      </c>
      <c r="V1016" t="s">
        <v>29</v>
      </c>
    </row>
    <row r="1017" spans="1:22">
      <c r="A1017" s="3">
        <v>45700</v>
      </c>
      <c r="B1017" t="str">
        <f t="shared" si="105"/>
        <v>yyyy-02</v>
      </c>
      <c r="C1017">
        <f t="shared" si="106"/>
        <v>7</v>
      </c>
      <c r="D1017" t="s">
        <v>24</v>
      </c>
      <c r="E1017" t="s">
        <v>38</v>
      </c>
      <c r="F1017" t="s">
        <v>39</v>
      </c>
      <c r="G1017" t="s">
        <v>27</v>
      </c>
      <c r="H1017" t="s">
        <v>48</v>
      </c>
      <c r="I1017" s="5">
        <v>739</v>
      </c>
      <c r="J1017" s="5">
        <v>547</v>
      </c>
      <c r="K1017" s="5">
        <v>63</v>
      </c>
      <c r="L1017" s="5">
        <v>14</v>
      </c>
      <c r="M1017" s="5">
        <v>14</v>
      </c>
      <c r="N1017" s="7">
        <v>318.77</v>
      </c>
      <c r="O1017" s="7">
        <f t="shared" si="107"/>
        <v>4462.78</v>
      </c>
      <c r="P1017" s="4">
        <v>0.09</v>
      </c>
      <c r="Q1017" s="7">
        <f t="shared" si="108"/>
        <v>401.65019999999998</v>
      </c>
      <c r="R1017" s="7">
        <f t="shared" si="109"/>
        <v>4061.1297999999997</v>
      </c>
      <c r="S1017" s="7">
        <f t="shared" si="110"/>
        <v>290.08069999999998</v>
      </c>
      <c r="T1017" s="6">
        <f t="shared" si="111"/>
        <v>1.8944519621109608E-2</v>
      </c>
      <c r="U1017" t="s">
        <v>84</v>
      </c>
      <c r="V1017" t="s">
        <v>29</v>
      </c>
    </row>
    <row r="1018" spans="1:22">
      <c r="A1018" s="3">
        <v>45700</v>
      </c>
      <c r="B1018" t="str">
        <f t="shared" si="105"/>
        <v>yyyy-02</v>
      </c>
      <c r="C1018">
        <f t="shared" si="106"/>
        <v>7</v>
      </c>
      <c r="D1018" t="s">
        <v>24</v>
      </c>
      <c r="E1018" t="s">
        <v>40</v>
      </c>
      <c r="F1018" t="s">
        <v>41</v>
      </c>
      <c r="G1018" t="s">
        <v>27</v>
      </c>
      <c r="H1018" t="s">
        <v>28</v>
      </c>
      <c r="I1018" s="5">
        <v>589</v>
      </c>
      <c r="J1018" s="5">
        <v>387</v>
      </c>
      <c r="K1018" s="5">
        <v>69</v>
      </c>
      <c r="L1018" s="5">
        <v>14</v>
      </c>
      <c r="M1018" s="5">
        <v>15</v>
      </c>
      <c r="N1018" s="7">
        <v>176.43</v>
      </c>
      <c r="O1018" s="7">
        <f t="shared" si="107"/>
        <v>2646.4500000000003</v>
      </c>
      <c r="P1018" s="4">
        <v>0</v>
      </c>
      <c r="Q1018" s="7">
        <f t="shared" si="108"/>
        <v>0</v>
      </c>
      <c r="R1018" s="7">
        <f t="shared" si="109"/>
        <v>2646.4500000000003</v>
      </c>
      <c r="S1018" s="7">
        <f t="shared" si="110"/>
        <v>189.03214285714287</v>
      </c>
      <c r="T1018" s="6">
        <f t="shared" si="111"/>
        <v>2.3769100169779286E-2</v>
      </c>
      <c r="V1018" t="s">
        <v>29</v>
      </c>
    </row>
    <row r="1019" spans="1:22">
      <c r="A1019" s="3">
        <v>45700</v>
      </c>
      <c r="B1019" t="str">
        <f t="shared" si="105"/>
        <v>yyyy-02</v>
      </c>
      <c r="C1019">
        <f t="shared" si="106"/>
        <v>7</v>
      </c>
      <c r="D1019" t="s">
        <v>42</v>
      </c>
      <c r="E1019" t="s">
        <v>43</v>
      </c>
      <c r="F1019" t="s">
        <v>44</v>
      </c>
      <c r="G1019" t="s">
        <v>27</v>
      </c>
      <c r="H1019" t="s">
        <v>45</v>
      </c>
      <c r="I1019" s="5">
        <v>456</v>
      </c>
      <c r="J1019" s="5">
        <v>291</v>
      </c>
      <c r="K1019" s="5">
        <v>28</v>
      </c>
      <c r="L1019" s="5">
        <v>6</v>
      </c>
      <c r="M1019" s="5">
        <v>6</v>
      </c>
      <c r="N1019" s="7">
        <v>1279.3</v>
      </c>
      <c r="O1019" s="7">
        <f t="shared" si="107"/>
        <v>7675.7999999999993</v>
      </c>
      <c r="P1019" s="4">
        <v>0</v>
      </c>
      <c r="Q1019" s="7">
        <f t="shared" si="108"/>
        <v>0</v>
      </c>
      <c r="R1019" s="7">
        <f t="shared" si="109"/>
        <v>7675.7999999999993</v>
      </c>
      <c r="S1019" s="7">
        <f t="shared" si="110"/>
        <v>1279.3</v>
      </c>
      <c r="T1019" s="6">
        <f t="shared" si="111"/>
        <v>1.3157894736842105E-2</v>
      </c>
      <c r="V1019" t="s">
        <v>29</v>
      </c>
    </row>
    <row r="1020" spans="1:22">
      <c r="A1020" s="3">
        <v>45700</v>
      </c>
      <c r="B1020" t="str">
        <f t="shared" si="105"/>
        <v>yyyy-02</v>
      </c>
      <c r="C1020">
        <f t="shared" si="106"/>
        <v>7</v>
      </c>
      <c r="D1020" t="s">
        <v>42</v>
      </c>
      <c r="E1020" t="s">
        <v>43</v>
      </c>
      <c r="F1020" t="s">
        <v>46</v>
      </c>
      <c r="G1020" t="s">
        <v>27</v>
      </c>
      <c r="H1020" t="s">
        <v>45</v>
      </c>
      <c r="I1020" s="5">
        <v>415</v>
      </c>
      <c r="J1020" s="5">
        <v>337</v>
      </c>
      <c r="K1020" s="5">
        <v>28</v>
      </c>
      <c r="L1020" s="5">
        <v>7</v>
      </c>
      <c r="M1020" s="5">
        <v>7</v>
      </c>
      <c r="N1020" s="7">
        <v>2182.12</v>
      </c>
      <c r="O1020" s="7">
        <f t="shared" si="107"/>
        <v>15274.84</v>
      </c>
      <c r="P1020" s="4">
        <v>0</v>
      </c>
      <c r="Q1020" s="7">
        <f t="shared" si="108"/>
        <v>0</v>
      </c>
      <c r="R1020" s="7">
        <f t="shared" si="109"/>
        <v>15274.84</v>
      </c>
      <c r="S1020" s="7">
        <f t="shared" si="110"/>
        <v>2182.12</v>
      </c>
      <c r="T1020" s="6">
        <f t="shared" si="111"/>
        <v>1.6867469879518072E-2</v>
      </c>
      <c r="V1020" t="s">
        <v>29</v>
      </c>
    </row>
    <row r="1021" spans="1:22">
      <c r="A1021" s="3">
        <v>45700</v>
      </c>
      <c r="B1021" t="str">
        <f t="shared" si="105"/>
        <v>yyyy-02</v>
      </c>
      <c r="C1021">
        <f t="shared" si="106"/>
        <v>7</v>
      </c>
      <c r="D1021" t="s">
        <v>42</v>
      </c>
      <c r="E1021" t="s">
        <v>43</v>
      </c>
      <c r="F1021" t="s">
        <v>47</v>
      </c>
      <c r="G1021" t="s">
        <v>27</v>
      </c>
      <c r="H1021" t="s">
        <v>28</v>
      </c>
      <c r="I1021" s="5">
        <v>392</v>
      </c>
      <c r="J1021" s="5">
        <v>255</v>
      </c>
      <c r="K1021" s="5">
        <v>25</v>
      </c>
      <c r="L1021" s="5">
        <v>6</v>
      </c>
      <c r="M1021" s="5">
        <v>6</v>
      </c>
      <c r="N1021" s="7">
        <v>600.30999999999995</v>
      </c>
      <c r="O1021" s="7">
        <f t="shared" si="107"/>
        <v>3601.8599999999997</v>
      </c>
      <c r="P1021" s="4">
        <v>0.03</v>
      </c>
      <c r="Q1021" s="7">
        <f t="shared" si="108"/>
        <v>108.05579999999999</v>
      </c>
      <c r="R1021" s="7">
        <f t="shared" si="109"/>
        <v>3493.8041999999996</v>
      </c>
      <c r="S1021" s="7">
        <f t="shared" si="110"/>
        <v>582.30069999999989</v>
      </c>
      <c r="T1021" s="6">
        <f t="shared" si="111"/>
        <v>1.5306122448979591E-2</v>
      </c>
      <c r="V1021" t="s">
        <v>29</v>
      </c>
    </row>
    <row r="1022" spans="1:22">
      <c r="A1022" s="3">
        <v>45700</v>
      </c>
      <c r="B1022" t="str">
        <f t="shared" si="105"/>
        <v>yyyy-02</v>
      </c>
      <c r="C1022">
        <f t="shared" si="106"/>
        <v>7</v>
      </c>
      <c r="D1022" t="s">
        <v>42</v>
      </c>
      <c r="E1022" t="s">
        <v>49</v>
      </c>
      <c r="F1022" t="s">
        <v>50</v>
      </c>
      <c r="G1022" t="s">
        <v>31</v>
      </c>
      <c r="H1022" t="s">
        <v>32</v>
      </c>
      <c r="I1022" s="5">
        <v>197</v>
      </c>
      <c r="J1022" s="5">
        <v>154</v>
      </c>
      <c r="K1022" s="5">
        <v>10</v>
      </c>
      <c r="L1022" s="5">
        <v>3</v>
      </c>
      <c r="M1022" s="5">
        <v>3</v>
      </c>
      <c r="N1022" s="7">
        <v>965.64</v>
      </c>
      <c r="O1022" s="7">
        <f t="shared" si="107"/>
        <v>2896.92</v>
      </c>
      <c r="P1022" s="4">
        <v>0</v>
      </c>
      <c r="Q1022" s="7">
        <f t="shared" si="108"/>
        <v>0</v>
      </c>
      <c r="R1022" s="7">
        <f t="shared" si="109"/>
        <v>2896.92</v>
      </c>
      <c r="S1022" s="7">
        <f t="shared" si="110"/>
        <v>965.64</v>
      </c>
      <c r="T1022" s="6">
        <f t="shared" si="111"/>
        <v>1.5228426395939087E-2</v>
      </c>
      <c r="V1022" t="s">
        <v>29</v>
      </c>
    </row>
    <row r="1023" spans="1:22">
      <c r="A1023" s="3">
        <v>45700</v>
      </c>
      <c r="B1023" t="str">
        <f t="shared" si="105"/>
        <v>yyyy-02</v>
      </c>
      <c r="C1023">
        <f t="shared" si="106"/>
        <v>7</v>
      </c>
      <c r="D1023" t="s">
        <v>42</v>
      </c>
      <c r="E1023" t="s">
        <v>51</v>
      </c>
      <c r="F1023" t="s">
        <v>52</v>
      </c>
      <c r="G1023" t="s">
        <v>27</v>
      </c>
      <c r="H1023" t="s">
        <v>48</v>
      </c>
      <c r="I1023" s="5">
        <v>226</v>
      </c>
      <c r="J1023" s="5">
        <v>127</v>
      </c>
      <c r="K1023" s="5">
        <v>18</v>
      </c>
      <c r="L1023" s="5">
        <v>4</v>
      </c>
      <c r="M1023" s="5">
        <v>4</v>
      </c>
      <c r="N1023" s="7">
        <v>608.51</v>
      </c>
      <c r="O1023" s="7">
        <f t="shared" si="107"/>
        <v>2434.04</v>
      </c>
      <c r="P1023" s="4">
        <v>0.11</v>
      </c>
      <c r="Q1023" s="7">
        <f t="shared" si="108"/>
        <v>267.74439999999998</v>
      </c>
      <c r="R1023" s="7">
        <f t="shared" si="109"/>
        <v>2166.2955999999999</v>
      </c>
      <c r="S1023" s="7">
        <f t="shared" si="110"/>
        <v>541.57389999999998</v>
      </c>
      <c r="T1023" s="6">
        <f t="shared" si="111"/>
        <v>1.7699115044247787E-2</v>
      </c>
      <c r="U1023" t="s">
        <v>85</v>
      </c>
      <c r="V1023" t="s">
        <v>29</v>
      </c>
    </row>
    <row r="1024" spans="1:22">
      <c r="A1024" s="3">
        <v>45700</v>
      </c>
      <c r="B1024" t="str">
        <f t="shared" si="105"/>
        <v>yyyy-02</v>
      </c>
      <c r="C1024">
        <f t="shared" si="106"/>
        <v>7</v>
      </c>
      <c r="D1024" t="s">
        <v>53</v>
      </c>
      <c r="E1024" t="s">
        <v>54</v>
      </c>
      <c r="F1024" t="s">
        <v>55</v>
      </c>
      <c r="G1024" t="s">
        <v>36</v>
      </c>
      <c r="H1024" t="s">
        <v>37</v>
      </c>
      <c r="I1024" s="5">
        <v>145</v>
      </c>
      <c r="J1024" s="5">
        <v>77</v>
      </c>
      <c r="K1024" s="5">
        <v>7</v>
      </c>
      <c r="L1024" s="5">
        <v>1</v>
      </c>
      <c r="M1024" s="5">
        <v>1</v>
      </c>
      <c r="N1024" s="7">
        <v>1276.46</v>
      </c>
      <c r="O1024" s="7">
        <f t="shared" si="107"/>
        <v>1276.46</v>
      </c>
      <c r="P1024" s="4">
        <v>0</v>
      </c>
      <c r="Q1024" s="7">
        <f t="shared" si="108"/>
        <v>0</v>
      </c>
      <c r="R1024" s="7">
        <f t="shared" si="109"/>
        <v>1276.46</v>
      </c>
      <c r="S1024" s="7">
        <f t="shared" si="110"/>
        <v>1276.46</v>
      </c>
      <c r="T1024" s="6">
        <f t="shared" si="111"/>
        <v>6.8965517241379309E-3</v>
      </c>
      <c r="V1024" t="s">
        <v>29</v>
      </c>
    </row>
    <row r="1025" spans="1:22">
      <c r="A1025" s="3">
        <v>45700</v>
      </c>
      <c r="B1025" t="str">
        <f t="shared" si="105"/>
        <v>yyyy-02</v>
      </c>
      <c r="C1025">
        <f t="shared" si="106"/>
        <v>7</v>
      </c>
      <c r="D1025" t="s">
        <v>53</v>
      </c>
      <c r="E1025" t="s">
        <v>56</v>
      </c>
      <c r="F1025" t="s">
        <v>57</v>
      </c>
      <c r="G1025" t="s">
        <v>31</v>
      </c>
      <c r="H1025" t="s">
        <v>32</v>
      </c>
      <c r="I1025" s="5">
        <v>216</v>
      </c>
      <c r="J1025" s="5">
        <v>117</v>
      </c>
      <c r="K1025" s="5">
        <v>14</v>
      </c>
      <c r="L1025" s="5">
        <v>3</v>
      </c>
      <c r="M1025" s="5">
        <v>3</v>
      </c>
      <c r="N1025" s="7">
        <v>735.45</v>
      </c>
      <c r="O1025" s="7">
        <f t="shared" si="107"/>
        <v>2206.3500000000004</v>
      </c>
      <c r="P1025" s="4">
        <v>0</v>
      </c>
      <c r="Q1025" s="7">
        <f t="shared" si="108"/>
        <v>0</v>
      </c>
      <c r="R1025" s="7">
        <f t="shared" si="109"/>
        <v>2206.3500000000004</v>
      </c>
      <c r="S1025" s="7">
        <f t="shared" si="110"/>
        <v>735.45000000000016</v>
      </c>
      <c r="T1025" s="6">
        <f t="shared" si="111"/>
        <v>1.3888888888888888E-2</v>
      </c>
      <c r="V1025" t="s">
        <v>29</v>
      </c>
    </row>
    <row r="1026" spans="1:22">
      <c r="A1026" s="3">
        <v>45700</v>
      </c>
      <c r="B1026" t="str">
        <f t="shared" si="105"/>
        <v>yyyy-02</v>
      </c>
      <c r="C1026">
        <f t="shared" si="106"/>
        <v>7</v>
      </c>
      <c r="D1026" t="s">
        <v>53</v>
      </c>
      <c r="E1026" t="s">
        <v>56</v>
      </c>
      <c r="F1026" t="s">
        <v>58</v>
      </c>
      <c r="G1026" t="s">
        <v>31</v>
      </c>
      <c r="H1026" t="s">
        <v>32</v>
      </c>
      <c r="I1026" s="5">
        <v>116</v>
      </c>
      <c r="J1026" s="5">
        <v>75</v>
      </c>
      <c r="K1026" s="5">
        <v>2</v>
      </c>
      <c r="L1026" s="5">
        <v>0</v>
      </c>
      <c r="M1026" s="5">
        <v>0</v>
      </c>
      <c r="N1026" s="7">
        <v>891.49</v>
      </c>
      <c r="O1026" s="7">
        <f t="shared" si="107"/>
        <v>0</v>
      </c>
      <c r="P1026" s="4">
        <v>0</v>
      </c>
      <c r="Q1026" s="7">
        <f t="shared" si="108"/>
        <v>0</v>
      </c>
      <c r="R1026" s="7">
        <f t="shared" si="109"/>
        <v>0</v>
      </c>
      <c r="S1026" s="7">
        <f t="shared" si="110"/>
        <v>0</v>
      </c>
      <c r="T1026" s="6">
        <f t="shared" si="111"/>
        <v>0</v>
      </c>
      <c r="V1026" t="s">
        <v>81</v>
      </c>
    </row>
    <row r="1027" spans="1:22">
      <c r="A1027" s="3">
        <v>45700</v>
      </c>
      <c r="B1027" t="str">
        <f t="shared" si="105"/>
        <v>yyyy-02</v>
      </c>
      <c r="C1027">
        <f t="shared" si="106"/>
        <v>7</v>
      </c>
      <c r="D1027" t="s">
        <v>53</v>
      </c>
      <c r="E1027" t="s">
        <v>59</v>
      </c>
      <c r="F1027" t="s">
        <v>60</v>
      </c>
      <c r="G1027" t="s">
        <v>27</v>
      </c>
      <c r="H1027" t="s">
        <v>63</v>
      </c>
      <c r="I1027" s="5">
        <v>87</v>
      </c>
      <c r="J1027" s="5">
        <v>63</v>
      </c>
      <c r="K1027" s="5">
        <v>7</v>
      </c>
      <c r="L1027" s="5">
        <v>1</v>
      </c>
      <c r="M1027" s="5">
        <v>1</v>
      </c>
      <c r="N1027" s="7">
        <v>672.39</v>
      </c>
      <c r="O1027" s="7">
        <f t="shared" si="107"/>
        <v>672.39</v>
      </c>
      <c r="P1027" s="4">
        <v>0</v>
      </c>
      <c r="Q1027" s="7">
        <f t="shared" si="108"/>
        <v>0</v>
      </c>
      <c r="R1027" s="7">
        <f t="shared" si="109"/>
        <v>672.39</v>
      </c>
      <c r="S1027" s="7">
        <f t="shared" si="110"/>
        <v>672.39</v>
      </c>
      <c r="T1027" s="6">
        <f t="shared" si="111"/>
        <v>1.1494252873563218E-2</v>
      </c>
      <c r="V1027" t="s">
        <v>29</v>
      </c>
    </row>
    <row r="1028" spans="1:22">
      <c r="A1028" s="3">
        <v>45700</v>
      </c>
      <c r="B1028" t="str">
        <f t="shared" si="105"/>
        <v>yyyy-02</v>
      </c>
      <c r="C1028">
        <f t="shared" si="106"/>
        <v>7</v>
      </c>
      <c r="D1028" t="s">
        <v>53</v>
      </c>
      <c r="E1028" t="s">
        <v>61</v>
      </c>
      <c r="F1028" t="s">
        <v>62</v>
      </c>
      <c r="G1028" t="s">
        <v>27</v>
      </c>
      <c r="H1028" t="s">
        <v>45</v>
      </c>
      <c r="I1028" s="5">
        <v>172</v>
      </c>
      <c r="J1028" s="5">
        <v>110</v>
      </c>
      <c r="K1028" s="5">
        <v>10</v>
      </c>
      <c r="L1028" s="5">
        <v>2</v>
      </c>
      <c r="M1028" s="5">
        <v>2</v>
      </c>
      <c r="N1028" s="7">
        <v>500.34</v>
      </c>
      <c r="O1028" s="7">
        <f t="shared" si="107"/>
        <v>1000.68</v>
      </c>
      <c r="P1028" s="4">
        <v>0.03</v>
      </c>
      <c r="Q1028" s="7">
        <f t="shared" si="108"/>
        <v>30.020399999999999</v>
      </c>
      <c r="R1028" s="7">
        <f t="shared" si="109"/>
        <v>970.65959999999995</v>
      </c>
      <c r="S1028" s="7">
        <f t="shared" si="110"/>
        <v>485.32979999999998</v>
      </c>
      <c r="T1028" s="6">
        <f t="shared" si="111"/>
        <v>1.1627906976744186E-2</v>
      </c>
      <c r="V1028" t="s">
        <v>29</v>
      </c>
    </row>
    <row r="1029" spans="1:22">
      <c r="A1029" s="3">
        <v>45700</v>
      </c>
      <c r="B1029" t="str">
        <f t="shared" ref="B1029:B1092" si="112">TEXT(A1029,"yyyy-mm")</f>
        <v>yyyy-02</v>
      </c>
      <c r="C1029">
        <f t="shared" ref="C1029:C1092" si="113">WEEKNUM(A1029,2)</f>
        <v>7</v>
      </c>
      <c r="D1029" t="s">
        <v>53</v>
      </c>
      <c r="E1029" t="s">
        <v>64</v>
      </c>
      <c r="F1029" t="s">
        <v>65</v>
      </c>
      <c r="G1029" t="s">
        <v>36</v>
      </c>
      <c r="H1029" t="s">
        <v>37</v>
      </c>
      <c r="I1029" s="5">
        <v>204</v>
      </c>
      <c r="J1029" s="5">
        <v>115</v>
      </c>
      <c r="K1029" s="5">
        <v>14</v>
      </c>
      <c r="L1029" s="5">
        <v>3</v>
      </c>
      <c r="M1029" s="5">
        <v>3</v>
      </c>
      <c r="N1029" s="7">
        <v>773.04</v>
      </c>
      <c r="O1029" s="7">
        <f t="shared" ref="O1029:O1092" si="114">M1029*N1029</f>
        <v>2319.12</v>
      </c>
      <c r="P1029" s="4">
        <v>0.03</v>
      </c>
      <c r="Q1029" s="7">
        <f t="shared" ref="Q1029:Q1092" si="115">O1029*P1029</f>
        <v>69.573599999999999</v>
      </c>
      <c r="R1029" s="7">
        <f t="shared" ref="R1029:R1092" si="116">O1029-Q1029</f>
        <v>2249.5463999999997</v>
      </c>
      <c r="S1029" s="7">
        <f t="shared" ref="S1029:S1092" si="117">IFERROR(R1029/L1029,0)</f>
        <v>749.84879999999987</v>
      </c>
      <c r="T1029" s="6">
        <f t="shared" ref="T1029:T1092" si="118">IFERROR(L1029/I1029,0)</f>
        <v>1.4705882352941176E-2</v>
      </c>
      <c r="V1029" t="s">
        <v>29</v>
      </c>
    </row>
    <row r="1030" spans="1:22">
      <c r="A1030" s="3">
        <v>45700</v>
      </c>
      <c r="B1030" t="str">
        <f t="shared" si="112"/>
        <v>yyyy-02</v>
      </c>
      <c r="C1030">
        <f t="shared" si="113"/>
        <v>7</v>
      </c>
      <c r="D1030" t="s">
        <v>66</v>
      </c>
      <c r="E1030" t="s">
        <v>67</v>
      </c>
      <c r="F1030" t="s">
        <v>68</v>
      </c>
      <c r="G1030" t="s">
        <v>31</v>
      </c>
      <c r="H1030" t="s">
        <v>32</v>
      </c>
      <c r="I1030" s="5">
        <v>344</v>
      </c>
      <c r="J1030" s="5">
        <v>220</v>
      </c>
      <c r="K1030" s="5">
        <v>30</v>
      </c>
      <c r="L1030" s="5">
        <v>6</v>
      </c>
      <c r="M1030" s="5">
        <v>6</v>
      </c>
      <c r="N1030" s="7">
        <v>674.28</v>
      </c>
      <c r="O1030" s="7">
        <f t="shared" si="114"/>
        <v>4045.68</v>
      </c>
      <c r="P1030" s="4">
        <v>0.03</v>
      </c>
      <c r="Q1030" s="7">
        <f t="shared" si="115"/>
        <v>121.37039999999999</v>
      </c>
      <c r="R1030" s="7">
        <f t="shared" si="116"/>
        <v>3924.3096</v>
      </c>
      <c r="S1030" s="7">
        <f t="shared" si="117"/>
        <v>654.05160000000001</v>
      </c>
      <c r="T1030" s="6">
        <f t="shared" si="118"/>
        <v>1.7441860465116279E-2</v>
      </c>
      <c r="V1030" t="s">
        <v>78</v>
      </c>
    </row>
    <row r="1031" spans="1:22">
      <c r="A1031" s="3">
        <v>45700</v>
      </c>
      <c r="B1031" t="str">
        <f t="shared" si="112"/>
        <v>yyyy-02</v>
      </c>
      <c r="C1031">
        <f t="shared" si="113"/>
        <v>7</v>
      </c>
      <c r="D1031" t="s">
        <v>66</v>
      </c>
      <c r="E1031" t="s">
        <v>67</v>
      </c>
      <c r="F1031" t="s">
        <v>69</v>
      </c>
      <c r="G1031" t="s">
        <v>27</v>
      </c>
      <c r="H1031" t="s">
        <v>45</v>
      </c>
      <c r="I1031" s="5">
        <v>254</v>
      </c>
      <c r="J1031" s="5">
        <v>145</v>
      </c>
      <c r="K1031" s="5">
        <v>20</v>
      </c>
      <c r="L1031" s="5">
        <v>5</v>
      </c>
      <c r="M1031" s="5">
        <v>5</v>
      </c>
      <c r="N1031" s="7">
        <v>385.64</v>
      </c>
      <c r="O1031" s="7">
        <f t="shared" si="114"/>
        <v>1928.1999999999998</v>
      </c>
      <c r="P1031" s="4">
        <v>0</v>
      </c>
      <c r="Q1031" s="7">
        <f t="shared" si="115"/>
        <v>0</v>
      </c>
      <c r="R1031" s="7">
        <f t="shared" si="116"/>
        <v>1928.1999999999998</v>
      </c>
      <c r="S1031" s="7">
        <f t="shared" si="117"/>
        <v>385.64</v>
      </c>
      <c r="T1031" s="6">
        <f t="shared" si="118"/>
        <v>1.968503937007874E-2</v>
      </c>
      <c r="V1031" t="s">
        <v>29</v>
      </c>
    </row>
    <row r="1032" spans="1:22">
      <c r="A1032" s="3">
        <v>45700</v>
      </c>
      <c r="B1032" t="str">
        <f t="shared" si="112"/>
        <v>yyyy-02</v>
      </c>
      <c r="C1032">
        <f t="shared" si="113"/>
        <v>7</v>
      </c>
      <c r="D1032" t="s">
        <v>66</v>
      </c>
      <c r="E1032" t="s">
        <v>67</v>
      </c>
      <c r="F1032" t="s">
        <v>70</v>
      </c>
      <c r="G1032" t="s">
        <v>31</v>
      </c>
      <c r="H1032" t="s">
        <v>32</v>
      </c>
      <c r="I1032" s="5">
        <v>317</v>
      </c>
      <c r="J1032" s="5">
        <v>197</v>
      </c>
      <c r="K1032" s="5">
        <v>12</v>
      </c>
      <c r="L1032" s="5">
        <v>5</v>
      </c>
      <c r="M1032" s="5">
        <v>5</v>
      </c>
      <c r="N1032" s="7">
        <v>339.48</v>
      </c>
      <c r="O1032" s="7">
        <f t="shared" si="114"/>
        <v>1697.4</v>
      </c>
      <c r="P1032" s="4">
        <v>0.03</v>
      </c>
      <c r="Q1032" s="7">
        <f t="shared" si="115"/>
        <v>50.922000000000004</v>
      </c>
      <c r="R1032" s="7">
        <f t="shared" si="116"/>
        <v>1646.4780000000001</v>
      </c>
      <c r="S1032" s="7">
        <f t="shared" si="117"/>
        <v>329.29560000000004</v>
      </c>
      <c r="T1032" s="6">
        <f t="shared" si="118"/>
        <v>1.5772870662460567E-2</v>
      </c>
      <c r="V1032" t="s">
        <v>29</v>
      </c>
    </row>
    <row r="1033" spans="1:22">
      <c r="A1033" s="3">
        <v>45700</v>
      </c>
      <c r="B1033" t="str">
        <f t="shared" si="112"/>
        <v>yyyy-02</v>
      </c>
      <c r="C1033">
        <f t="shared" si="113"/>
        <v>7</v>
      </c>
      <c r="D1033" t="s">
        <v>66</v>
      </c>
      <c r="E1033" t="s">
        <v>71</v>
      </c>
      <c r="F1033" t="s">
        <v>72</v>
      </c>
      <c r="G1033" t="s">
        <v>31</v>
      </c>
      <c r="H1033" t="s">
        <v>32</v>
      </c>
      <c r="I1033" s="5">
        <v>400</v>
      </c>
      <c r="J1033" s="5">
        <v>237</v>
      </c>
      <c r="K1033" s="5">
        <v>22</v>
      </c>
      <c r="L1033" s="5">
        <v>6</v>
      </c>
      <c r="M1033" s="5">
        <v>8</v>
      </c>
      <c r="N1033" s="7">
        <v>127.58</v>
      </c>
      <c r="O1033" s="7">
        <f t="shared" si="114"/>
        <v>1020.64</v>
      </c>
      <c r="P1033" s="4">
        <v>0</v>
      </c>
      <c r="Q1033" s="7">
        <f t="shared" si="115"/>
        <v>0</v>
      </c>
      <c r="R1033" s="7">
        <f t="shared" si="116"/>
        <v>1020.64</v>
      </c>
      <c r="S1033" s="7">
        <f t="shared" si="117"/>
        <v>170.10666666666665</v>
      </c>
      <c r="T1033" s="6">
        <f t="shared" si="118"/>
        <v>1.4999999999999999E-2</v>
      </c>
      <c r="V1033" t="s">
        <v>29</v>
      </c>
    </row>
    <row r="1034" spans="1:22">
      <c r="A1034" s="3">
        <v>45700</v>
      </c>
      <c r="B1034" t="str">
        <f t="shared" si="112"/>
        <v>yyyy-02</v>
      </c>
      <c r="C1034">
        <f t="shared" si="113"/>
        <v>7</v>
      </c>
      <c r="D1034" t="s">
        <v>66</v>
      </c>
      <c r="E1034" t="s">
        <v>73</v>
      </c>
      <c r="F1034" t="s">
        <v>74</v>
      </c>
      <c r="G1034" t="s">
        <v>31</v>
      </c>
      <c r="H1034" t="s">
        <v>32</v>
      </c>
      <c r="I1034" s="5">
        <v>312</v>
      </c>
      <c r="J1034" s="5">
        <v>163</v>
      </c>
      <c r="K1034" s="5">
        <v>14</v>
      </c>
      <c r="L1034" s="5">
        <v>5</v>
      </c>
      <c r="M1034" s="5">
        <v>5</v>
      </c>
      <c r="N1034" s="7">
        <v>1165.06</v>
      </c>
      <c r="O1034" s="7">
        <f t="shared" si="114"/>
        <v>5825.2999999999993</v>
      </c>
      <c r="P1034" s="4">
        <v>0</v>
      </c>
      <c r="Q1034" s="7">
        <f t="shared" si="115"/>
        <v>0</v>
      </c>
      <c r="R1034" s="7">
        <f t="shared" si="116"/>
        <v>5825.2999999999993</v>
      </c>
      <c r="S1034" s="7">
        <f t="shared" si="117"/>
        <v>1165.06</v>
      </c>
      <c r="T1034" s="6">
        <f t="shared" si="118"/>
        <v>1.6025641025641024E-2</v>
      </c>
      <c r="V1034" t="s">
        <v>29</v>
      </c>
    </row>
    <row r="1035" spans="1:22">
      <c r="A1035" s="3">
        <v>45700</v>
      </c>
      <c r="B1035" t="str">
        <f t="shared" si="112"/>
        <v>yyyy-02</v>
      </c>
      <c r="C1035">
        <f t="shared" si="113"/>
        <v>7</v>
      </c>
      <c r="D1035" t="s">
        <v>66</v>
      </c>
      <c r="E1035" t="s">
        <v>71</v>
      </c>
      <c r="F1035" t="s">
        <v>75</v>
      </c>
      <c r="G1035" t="s">
        <v>27</v>
      </c>
      <c r="H1035" t="s">
        <v>45</v>
      </c>
      <c r="I1035" s="5">
        <v>318</v>
      </c>
      <c r="J1035" s="5">
        <v>198</v>
      </c>
      <c r="K1035" s="5">
        <v>25</v>
      </c>
      <c r="L1035" s="5">
        <v>7</v>
      </c>
      <c r="M1035" s="5">
        <v>9</v>
      </c>
      <c r="N1035" s="7">
        <v>37.5</v>
      </c>
      <c r="O1035" s="7">
        <f t="shared" si="114"/>
        <v>337.5</v>
      </c>
      <c r="P1035" s="4">
        <v>0.05</v>
      </c>
      <c r="Q1035" s="7">
        <f t="shared" si="115"/>
        <v>16.875</v>
      </c>
      <c r="R1035" s="7">
        <f t="shared" si="116"/>
        <v>320.625</v>
      </c>
      <c r="S1035" s="7">
        <f t="shared" si="117"/>
        <v>45.803571428571431</v>
      </c>
      <c r="T1035" s="6">
        <f t="shared" si="118"/>
        <v>2.20125786163522E-2</v>
      </c>
      <c r="V1035" t="s">
        <v>29</v>
      </c>
    </row>
    <row r="1036" spans="1:22">
      <c r="A1036" s="3">
        <v>45700</v>
      </c>
      <c r="B1036" t="str">
        <f t="shared" si="112"/>
        <v>yyyy-02</v>
      </c>
      <c r="C1036">
        <f t="shared" si="113"/>
        <v>7</v>
      </c>
      <c r="D1036" t="s">
        <v>24</v>
      </c>
      <c r="E1036" t="s">
        <v>76</v>
      </c>
      <c r="F1036" t="s">
        <v>77</v>
      </c>
      <c r="G1036" t="s">
        <v>27</v>
      </c>
      <c r="H1036" t="s">
        <v>45</v>
      </c>
      <c r="I1036" s="5">
        <v>548</v>
      </c>
      <c r="J1036" s="5">
        <v>429</v>
      </c>
      <c r="K1036" s="5">
        <v>33</v>
      </c>
      <c r="L1036" s="5">
        <v>10</v>
      </c>
      <c r="M1036" s="5">
        <v>13</v>
      </c>
      <c r="N1036" s="7">
        <v>192.15</v>
      </c>
      <c r="O1036" s="7">
        <f t="shared" si="114"/>
        <v>2497.9500000000003</v>
      </c>
      <c r="P1036" s="4">
        <v>0</v>
      </c>
      <c r="Q1036" s="7">
        <f t="shared" si="115"/>
        <v>0</v>
      </c>
      <c r="R1036" s="7">
        <f t="shared" si="116"/>
        <v>2497.9500000000003</v>
      </c>
      <c r="S1036" s="7">
        <f t="shared" si="117"/>
        <v>249.79500000000002</v>
      </c>
      <c r="T1036" s="6">
        <f t="shared" si="118"/>
        <v>1.824817518248175E-2</v>
      </c>
      <c r="V1036" t="s">
        <v>29</v>
      </c>
    </row>
    <row r="1037" spans="1:22">
      <c r="A1037" s="3">
        <v>45701</v>
      </c>
      <c r="B1037" t="str">
        <f t="shared" si="112"/>
        <v>yyyy-02</v>
      </c>
      <c r="C1037">
        <f t="shared" si="113"/>
        <v>7</v>
      </c>
      <c r="D1037" t="s">
        <v>24</v>
      </c>
      <c r="E1037" t="s">
        <v>25</v>
      </c>
      <c r="F1037" t="s">
        <v>26</v>
      </c>
      <c r="G1037" t="s">
        <v>27</v>
      </c>
      <c r="H1037" t="s">
        <v>45</v>
      </c>
      <c r="I1037" s="5">
        <v>1099</v>
      </c>
      <c r="J1037" s="5">
        <v>626</v>
      </c>
      <c r="K1037" s="5">
        <v>99</v>
      </c>
      <c r="L1037" s="5">
        <v>28</v>
      </c>
      <c r="M1037" s="5">
        <v>28</v>
      </c>
      <c r="N1037" s="7">
        <v>998.08</v>
      </c>
      <c r="O1037" s="7">
        <f t="shared" si="114"/>
        <v>27946.240000000002</v>
      </c>
      <c r="P1037" s="4">
        <v>0</v>
      </c>
      <c r="Q1037" s="7">
        <f t="shared" si="115"/>
        <v>0</v>
      </c>
      <c r="R1037" s="7">
        <f t="shared" si="116"/>
        <v>27946.240000000002</v>
      </c>
      <c r="S1037" s="7">
        <f t="shared" si="117"/>
        <v>998.08</v>
      </c>
      <c r="T1037" s="6">
        <f t="shared" si="118"/>
        <v>2.5477707006369428E-2</v>
      </c>
      <c r="V1037" t="s">
        <v>29</v>
      </c>
    </row>
    <row r="1038" spans="1:22">
      <c r="A1038" s="3">
        <v>45701</v>
      </c>
      <c r="B1038" t="str">
        <f t="shared" si="112"/>
        <v>yyyy-02</v>
      </c>
      <c r="C1038">
        <f t="shared" si="113"/>
        <v>7</v>
      </c>
      <c r="D1038" t="s">
        <v>24</v>
      </c>
      <c r="E1038" t="s">
        <v>25</v>
      </c>
      <c r="F1038" t="s">
        <v>30</v>
      </c>
      <c r="G1038" t="s">
        <v>27</v>
      </c>
      <c r="H1038" t="s">
        <v>63</v>
      </c>
      <c r="I1038" s="5">
        <v>800</v>
      </c>
      <c r="J1038" s="5">
        <v>448</v>
      </c>
      <c r="K1038" s="5">
        <v>58</v>
      </c>
      <c r="L1038" s="5">
        <v>15</v>
      </c>
      <c r="M1038" s="5">
        <v>15</v>
      </c>
      <c r="N1038" s="7">
        <v>384</v>
      </c>
      <c r="O1038" s="7">
        <f t="shared" si="114"/>
        <v>5760</v>
      </c>
      <c r="P1038" s="4">
        <v>0</v>
      </c>
      <c r="Q1038" s="7">
        <f t="shared" si="115"/>
        <v>0</v>
      </c>
      <c r="R1038" s="7">
        <f t="shared" si="116"/>
        <v>5760</v>
      </c>
      <c r="S1038" s="7">
        <f t="shared" si="117"/>
        <v>384</v>
      </c>
      <c r="T1038" s="6">
        <f t="shared" si="118"/>
        <v>1.8749999999999999E-2</v>
      </c>
      <c r="V1038" t="s">
        <v>29</v>
      </c>
    </row>
    <row r="1039" spans="1:22">
      <c r="A1039" s="3">
        <v>45701</v>
      </c>
      <c r="B1039" t="str">
        <f t="shared" si="112"/>
        <v>yyyy-02</v>
      </c>
      <c r="C1039">
        <f t="shared" si="113"/>
        <v>7</v>
      </c>
      <c r="D1039" t="s">
        <v>24</v>
      </c>
      <c r="E1039" t="s">
        <v>25</v>
      </c>
      <c r="F1039" t="s">
        <v>33</v>
      </c>
      <c r="G1039" t="s">
        <v>27</v>
      </c>
      <c r="H1039" t="s">
        <v>45</v>
      </c>
      <c r="I1039" s="5">
        <v>1353</v>
      </c>
      <c r="J1039" s="5">
        <v>735</v>
      </c>
      <c r="K1039" s="5">
        <v>89</v>
      </c>
      <c r="L1039" s="5">
        <v>23</v>
      </c>
      <c r="M1039" s="5">
        <v>23</v>
      </c>
      <c r="N1039" s="7">
        <v>1813.9</v>
      </c>
      <c r="O1039" s="7">
        <f t="shared" si="114"/>
        <v>41719.700000000004</v>
      </c>
      <c r="P1039" s="4">
        <v>0.05</v>
      </c>
      <c r="Q1039" s="7">
        <f t="shared" si="115"/>
        <v>2085.9850000000001</v>
      </c>
      <c r="R1039" s="7">
        <f t="shared" si="116"/>
        <v>39633.715000000004</v>
      </c>
      <c r="S1039" s="7">
        <f t="shared" si="117"/>
        <v>1723.2050000000002</v>
      </c>
      <c r="T1039" s="6">
        <f t="shared" si="118"/>
        <v>1.6999260901699925E-2</v>
      </c>
      <c r="V1039" t="s">
        <v>29</v>
      </c>
    </row>
    <row r="1040" spans="1:22">
      <c r="A1040" s="3">
        <v>45701</v>
      </c>
      <c r="B1040" t="str">
        <f t="shared" si="112"/>
        <v>yyyy-02</v>
      </c>
      <c r="C1040">
        <f t="shared" si="113"/>
        <v>7</v>
      </c>
      <c r="D1040" t="s">
        <v>24</v>
      </c>
      <c r="E1040" t="s">
        <v>34</v>
      </c>
      <c r="F1040" t="s">
        <v>35</v>
      </c>
      <c r="G1040" t="s">
        <v>31</v>
      </c>
      <c r="H1040" t="s">
        <v>32</v>
      </c>
      <c r="I1040" s="5">
        <v>1285</v>
      </c>
      <c r="J1040" s="5">
        <v>1054</v>
      </c>
      <c r="K1040" s="5">
        <v>68</v>
      </c>
      <c r="L1040" s="5">
        <v>30</v>
      </c>
      <c r="M1040" s="5">
        <v>30</v>
      </c>
      <c r="N1040" s="7">
        <v>879.96</v>
      </c>
      <c r="O1040" s="7">
        <f t="shared" si="114"/>
        <v>26398.800000000003</v>
      </c>
      <c r="P1040" s="4">
        <v>0</v>
      </c>
      <c r="Q1040" s="7">
        <f t="shared" si="115"/>
        <v>0</v>
      </c>
      <c r="R1040" s="7">
        <f t="shared" si="116"/>
        <v>26398.800000000003</v>
      </c>
      <c r="S1040" s="7">
        <f t="shared" si="117"/>
        <v>879.96000000000015</v>
      </c>
      <c r="T1040" s="6">
        <f t="shared" si="118"/>
        <v>2.3346303501945526E-2</v>
      </c>
      <c r="V1040" t="s">
        <v>29</v>
      </c>
    </row>
    <row r="1041" spans="1:22">
      <c r="A1041" s="3">
        <v>45701</v>
      </c>
      <c r="B1041" t="str">
        <f t="shared" si="112"/>
        <v>yyyy-02</v>
      </c>
      <c r="C1041">
        <f t="shared" si="113"/>
        <v>7</v>
      </c>
      <c r="D1041" t="s">
        <v>24</v>
      </c>
      <c r="E1041" t="s">
        <v>38</v>
      </c>
      <c r="F1041" t="s">
        <v>39</v>
      </c>
      <c r="G1041" t="s">
        <v>27</v>
      </c>
      <c r="H1041" t="s">
        <v>63</v>
      </c>
      <c r="I1041" s="5">
        <v>526</v>
      </c>
      <c r="J1041" s="5">
        <v>288</v>
      </c>
      <c r="K1041" s="5">
        <v>47</v>
      </c>
      <c r="L1041" s="5">
        <v>11</v>
      </c>
      <c r="M1041" s="5">
        <v>11</v>
      </c>
      <c r="N1041" s="7">
        <v>325.18</v>
      </c>
      <c r="O1041" s="7">
        <f t="shared" si="114"/>
        <v>3576.98</v>
      </c>
      <c r="P1041" s="4">
        <v>0.09</v>
      </c>
      <c r="Q1041" s="7">
        <f t="shared" si="115"/>
        <v>321.9282</v>
      </c>
      <c r="R1041" s="7">
        <f t="shared" si="116"/>
        <v>3255.0518000000002</v>
      </c>
      <c r="S1041" s="7">
        <f t="shared" si="117"/>
        <v>295.91380000000004</v>
      </c>
      <c r="T1041" s="6">
        <f t="shared" si="118"/>
        <v>2.0912547528517109E-2</v>
      </c>
      <c r="U1041" t="s">
        <v>84</v>
      </c>
      <c r="V1041" t="s">
        <v>29</v>
      </c>
    </row>
    <row r="1042" spans="1:22">
      <c r="A1042" s="3">
        <v>45701</v>
      </c>
      <c r="B1042" t="str">
        <f t="shared" si="112"/>
        <v>yyyy-02</v>
      </c>
      <c r="C1042">
        <f t="shared" si="113"/>
        <v>7</v>
      </c>
      <c r="D1042" t="s">
        <v>24</v>
      </c>
      <c r="E1042" t="s">
        <v>40</v>
      </c>
      <c r="F1042" t="s">
        <v>41</v>
      </c>
      <c r="G1042" t="s">
        <v>36</v>
      </c>
      <c r="H1042" t="s">
        <v>37</v>
      </c>
      <c r="I1042" s="5">
        <v>828</v>
      </c>
      <c r="J1042" s="5">
        <v>466</v>
      </c>
      <c r="K1042" s="5">
        <v>52</v>
      </c>
      <c r="L1042" s="5">
        <v>14</v>
      </c>
      <c r="M1042" s="5">
        <v>18</v>
      </c>
      <c r="N1042" s="7">
        <v>176.15</v>
      </c>
      <c r="O1042" s="7">
        <f t="shared" si="114"/>
        <v>3170.7000000000003</v>
      </c>
      <c r="P1042" s="4">
        <v>0</v>
      </c>
      <c r="Q1042" s="7">
        <f t="shared" si="115"/>
        <v>0</v>
      </c>
      <c r="R1042" s="7">
        <f t="shared" si="116"/>
        <v>3170.7000000000003</v>
      </c>
      <c r="S1042" s="7">
        <f t="shared" si="117"/>
        <v>226.47857142857146</v>
      </c>
      <c r="T1042" s="6">
        <f t="shared" si="118"/>
        <v>1.6908212560386472E-2</v>
      </c>
      <c r="V1042" t="s">
        <v>29</v>
      </c>
    </row>
    <row r="1043" spans="1:22">
      <c r="A1043" s="3">
        <v>45701</v>
      </c>
      <c r="B1043" t="str">
        <f t="shared" si="112"/>
        <v>yyyy-02</v>
      </c>
      <c r="C1043">
        <f t="shared" si="113"/>
        <v>7</v>
      </c>
      <c r="D1043" t="s">
        <v>42</v>
      </c>
      <c r="E1043" t="s">
        <v>43</v>
      </c>
      <c r="F1043" t="s">
        <v>44</v>
      </c>
      <c r="G1043" t="s">
        <v>27</v>
      </c>
      <c r="H1043" t="s">
        <v>48</v>
      </c>
      <c r="I1043" s="5">
        <v>290</v>
      </c>
      <c r="J1043" s="5">
        <v>236</v>
      </c>
      <c r="K1043" s="5">
        <v>19</v>
      </c>
      <c r="L1043" s="5">
        <v>4</v>
      </c>
      <c r="M1043" s="5">
        <v>4</v>
      </c>
      <c r="N1043" s="7">
        <v>1267.52</v>
      </c>
      <c r="O1043" s="7">
        <f t="shared" si="114"/>
        <v>5070.08</v>
      </c>
      <c r="P1043" s="4">
        <v>0.05</v>
      </c>
      <c r="Q1043" s="7">
        <f t="shared" si="115"/>
        <v>253.50400000000002</v>
      </c>
      <c r="R1043" s="7">
        <f t="shared" si="116"/>
        <v>4816.576</v>
      </c>
      <c r="S1043" s="7">
        <f t="shared" si="117"/>
        <v>1204.144</v>
      </c>
      <c r="T1043" s="6">
        <f t="shared" si="118"/>
        <v>1.3793103448275862E-2</v>
      </c>
      <c r="V1043" t="s">
        <v>29</v>
      </c>
    </row>
    <row r="1044" spans="1:22">
      <c r="A1044" s="3">
        <v>45701</v>
      </c>
      <c r="B1044" t="str">
        <f t="shared" si="112"/>
        <v>yyyy-02</v>
      </c>
      <c r="C1044">
        <f t="shared" si="113"/>
        <v>7</v>
      </c>
      <c r="D1044" t="s">
        <v>42</v>
      </c>
      <c r="E1044" t="s">
        <v>43</v>
      </c>
      <c r="F1044" t="s">
        <v>46</v>
      </c>
      <c r="G1044" t="s">
        <v>27</v>
      </c>
      <c r="H1044" t="s">
        <v>48</v>
      </c>
      <c r="I1044" s="5">
        <v>437</v>
      </c>
      <c r="J1044" s="5">
        <v>359</v>
      </c>
      <c r="K1044" s="5">
        <v>34</v>
      </c>
      <c r="L1044" s="5">
        <v>4</v>
      </c>
      <c r="M1044" s="5">
        <v>4</v>
      </c>
      <c r="N1044" s="7">
        <v>2185.0300000000002</v>
      </c>
      <c r="O1044" s="7">
        <f t="shared" si="114"/>
        <v>8740.1200000000008</v>
      </c>
      <c r="P1044" s="4">
        <v>0.05</v>
      </c>
      <c r="Q1044" s="7">
        <f t="shared" si="115"/>
        <v>437.00600000000009</v>
      </c>
      <c r="R1044" s="7">
        <f t="shared" si="116"/>
        <v>8303.1140000000014</v>
      </c>
      <c r="S1044" s="7">
        <f t="shared" si="117"/>
        <v>2075.7785000000003</v>
      </c>
      <c r="T1044" s="6">
        <f t="shared" si="118"/>
        <v>9.1533180778032037E-3</v>
      </c>
      <c r="V1044" t="s">
        <v>78</v>
      </c>
    </row>
    <row r="1045" spans="1:22">
      <c r="A1045" s="3">
        <v>45701</v>
      </c>
      <c r="B1045" t="str">
        <f t="shared" si="112"/>
        <v>yyyy-02</v>
      </c>
      <c r="C1045">
        <f t="shared" si="113"/>
        <v>7</v>
      </c>
      <c r="D1045" t="s">
        <v>42</v>
      </c>
      <c r="E1045" t="s">
        <v>43</v>
      </c>
      <c r="F1045" t="s">
        <v>47</v>
      </c>
      <c r="G1045" t="s">
        <v>31</v>
      </c>
      <c r="H1045" t="s">
        <v>32</v>
      </c>
      <c r="I1045" s="5">
        <v>593</v>
      </c>
      <c r="J1045" s="5">
        <v>321</v>
      </c>
      <c r="K1045" s="5">
        <v>27</v>
      </c>
      <c r="L1045" s="5">
        <v>8</v>
      </c>
      <c r="M1045" s="5">
        <v>8</v>
      </c>
      <c r="N1045" s="7">
        <v>591.78</v>
      </c>
      <c r="O1045" s="7">
        <f t="shared" si="114"/>
        <v>4734.24</v>
      </c>
      <c r="P1045" s="4">
        <v>0</v>
      </c>
      <c r="Q1045" s="7">
        <f t="shared" si="115"/>
        <v>0</v>
      </c>
      <c r="R1045" s="7">
        <f t="shared" si="116"/>
        <v>4734.24</v>
      </c>
      <c r="S1045" s="7">
        <f t="shared" si="117"/>
        <v>591.78</v>
      </c>
      <c r="T1045" s="6">
        <f t="shared" si="118"/>
        <v>1.3490725126475547E-2</v>
      </c>
      <c r="V1045" t="s">
        <v>29</v>
      </c>
    </row>
    <row r="1046" spans="1:22">
      <c r="A1046" s="3">
        <v>45701</v>
      </c>
      <c r="B1046" t="str">
        <f t="shared" si="112"/>
        <v>yyyy-02</v>
      </c>
      <c r="C1046">
        <f t="shared" si="113"/>
        <v>7</v>
      </c>
      <c r="D1046" t="s">
        <v>42</v>
      </c>
      <c r="E1046" t="s">
        <v>49</v>
      </c>
      <c r="F1046" t="s">
        <v>50</v>
      </c>
      <c r="G1046" t="s">
        <v>27</v>
      </c>
      <c r="H1046" t="s">
        <v>28</v>
      </c>
      <c r="I1046" s="5">
        <v>165</v>
      </c>
      <c r="J1046" s="5">
        <v>95</v>
      </c>
      <c r="K1046" s="5">
        <v>10</v>
      </c>
      <c r="L1046" s="5">
        <v>2</v>
      </c>
      <c r="M1046" s="5">
        <v>2</v>
      </c>
      <c r="N1046" s="7">
        <v>985</v>
      </c>
      <c r="O1046" s="7">
        <f t="shared" si="114"/>
        <v>1970</v>
      </c>
      <c r="P1046" s="4">
        <v>0</v>
      </c>
      <c r="Q1046" s="7">
        <f t="shared" si="115"/>
        <v>0</v>
      </c>
      <c r="R1046" s="7">
        <f t="shared" si="116"/>
        <v>1970</v>
      </c>
      <c r="S1046" s="7">
        <f t="shared" si="117"/>
        <v>985</v>
      </c>
      <c r="T1046" s="6">
        <f t="shared" si="118"/>
        <v>1.2121212121212121E-2</v>
      </c>
      <c r="V1046" t="s">
        <v>29</v>
      </c>
    </row>
    <row r="1047" spans="1:22">
      <c r="A1047" s="3">
        <v>45701</v>
      </c>
      <c r="B1047" t="str">
        <f t="shared" si="112"/>
        <v>yyyy-02</v>
      </c>
      <c r="C1047">
        <f t="shared" si="113"/>
        <v>7</v>
      </c>
      <c r="D1047" t="s">
        <v>42</v>
      </c>
      <c r="E1047" t="s">
        <v>51</v>
      </c>
      <c r="F1047" t="s">
        <v>52</v>
      </c>
      <c r="G1047" t="s">
        <v>36</v>
      </c>
      <c r="H1047" t="s">
        <v>37</v>
      </c>
      <c r="I1047" s="5">
        <v>244</v>
      </c>
      <c r="J1047" s="5">
        <v>142</v>
      </c>
      <c r="K1047" s="5">
        <v>11</v>
      </c>
      <c r="L1047" s="5">
        <v>4</v>
      </c>
      <c r="M1047" s="5">
        <v>4</v>
      </c>
      <c r="N1047" s="7">
        <v>594.63</v>
      </c>
      <c r="O1047" s="7">
        <f t="shared" si="114"/>
        <v>2378.52</v>
      </c>
      <c r="P1047" s="4">
        <v>0.11</v>
      </c>
      <c r="Q1047" s="7">
        <f t="shared" si="115"/>
        <v>261.63720000000001</v>
      </c>
      <c r="R1047" s="7">
        <f t="shared" si="116"/>
        <v>2116.8827999999999</v>
      </c>
      <c r="S1047" s="7">
        <f t="shared" si="117"/>
        <v>529.22069999999997</v>
      </c>
      <c r="T1047" s="6">
        <f t="shared" si="118"/>
        <v>1.6393442622950821E-2</v>
      </c>
      <c r="U1047" t="s">
        <v>85</v>
      </c>
      <c r="V1047" t="s">
        <v>78</v>
      </c>
    </row>
    <row r="1048" spans="1:22">
      <c r="A1048" s="3">
        <v>45701</v>
      </c>
      <c r="B1048" t="str">
        <f t="shared" si="112"/>
        <v>yyyy-02</v>
      </c>
      <c r="C1048">
        <f t="shared" si="113"/>
        <v>7</v>
      </c>
      <c r="D1048" t="s">
        <v>53</v>
      </c>
      <c r="E1048" t="s">
        <v>54</v>
      </c>
      <c r="F1048" t="s">
        <v>55</v>
      </c>
      <c r="G1048" t="s">
        <v>27</v>
      </c>
      <c r="H1048" t="s">
        <v>63</v>
      </c>
      <c r="I1048" s="5">
        <v>140</v>
      </c>
      <c r="J1048" s="5">
        <v>86</v>
      </c>
      <c r="K1048" s="5">
        <v>6</v>
      </c>
      <c r="L1048" s="5">
        <v>1</v>
      </c>
      <c r="M1048" s="5">
        <v>1</v>
      </c>
      <c r="N1048" s="7">
        <v>1320.03</v>
      </c>
      <c r="O1048" s="7">
        <f t="shared" si="114"/>
        <v>1320.03</v>
      </c>
      <c r="P1048" s="4">
        <v>0</v>
      </c>
      <c r="Q1048" s="7">
        <f t="shared" si="115"/>
        <v>0</v>
      </c>
      <c r="R1048" s="7">
        <f t="shared" si="116"/>
        <v>1320.03</v>
      </c>
      <c r="S1048" s="7">
        <f t="shared" si="117"/>
        <v>1320.03</v>
      </c>
      <c r="T1048" s="6">
        <f t="shared" si="118"/>
        <v>7.1428571428571426E-3</v>
      </c>
      <c r="V1048" t="s">
        <v>29</v>
      </c>
    </row>
    <row r="1049" spans="1:22">
      <c r="A1049" s="3">
        <v>45701</v>
      </c>
      <c r="B1049" t="str">
        <f t="shared" si="112"/>
        <v>yyyy-02</v>
      </c>
      <c r="C1049">
        <f t="shared" si="113"/>
        <v>7</v>
      </c>
      <c r="D1049" t="s">
        <v>53</v>
      </c>
      <c r="E1049" t="s">
        <v>56</v>
      </c>
      <c r="F1049" t="s">
        <v>57</v>
      </c>
      <c r="G1049" t="s">
        <v>36</v>
      </c>
      <c r="H1049" t="s">
        <v>37</v>
      </c>
      <c r="I1049" s="5">
        <v>218</v>
      </c>
      <c r="J1049" s="5">
        <v>114</v>
      </c>
      <c r="K1049" s="5">
        <v>10</v>
      </c>
      <c r="L1049" s="5">
        <v>3</v>
      </c>
      <c r="M1049" s="5">
        <v>3</v>
      </c>
      <c r="N1049" s="7">
        <v>726.95</v>
      </c>
      <c r="O1049" s="7">
        <f t="shared" si="114"/>
        <v>2180.8500000000004</v>
      </c>
      <c r="P1049" s="4">
        <v>0</v>
      </c>
      <c r="Q1049" s="7">
        <f t="shared" si="115"/>
        <v>0</v>
      </c>
      <c r="R1049" s="7">
        <f t="shared" si="116"/>
        <v>2180.8500000000004</v>
      </c>
      <c r="S1049" s="7">
        <f t="shared" si="117"/>
        <v>726.95000000000016</v>
      </c>
      <c r="T1049" s="6">
        <f t="shared" si="118"/>
        <v>1.3761467889908258E-2</v>
      </c>
      <c r="V1049" t="s">
        <v>29</v>
      </c>
    </row>
    <row r="1050" spans="1:22">
      <c r="A1050" s="3">
        <v>45701</v>
      </c>
      <c r="B1050" t="str">
        <f t="shared" si="112"/>
        <v>yyyy-02</v>
      </c>
      <c r="C1050">
        <f t="shared" si="113"/>
        <v>7</v>
      </c>
      <c r="D1050" t="s">
        <v>53</v>
      </c>
      <c r="E1050" t="s">
        <v>56</v>
      </c>
      <c r="F1050" t="s">
        <v>58</v>
      </c>
      <c r="G1050" t="s">
        <v>31</v>
      </c>
      <c r="H1050" t="s">
        <v>32</v>
      </c>
      <c r="I1050" s="5">
        <v>254</v>
      </c>
      <c r="J1050" s="5">
        <v>155</v>
      </c>
      <c r="K1050" s="5">
        <v>14</v>
      </c>
      <c r="L1050" s="5">
        <v>3</v>
      </c>
      <c r="M1050" s="5">
        <v>3</v>
      </c>
      <c r="N1050" s="7">
        <v>899.16</v>
      </c>
      <c r="O1050" s="7">
        <f t="shared" si="114"/>
        <v>2697.48</v>
      </c>
      <c r="P1050" s="4">
        <v>0</v>
      </c>
      <c r="Q1050" s="7">
        <f t="shared" si="115"/>
        <v>0</v>
      </c>
      <c r="R1050" s="7">
        <f t="shared" si="116"/>
        <v>2697.48</v>
      </c>
      <c r="S1050" s="7">
        <f t="shared" si="117"/>
        <v>899.16</v>
      </c>
      <c r="T1050" s="6">
        <f t="shared" si="118"/>
        <v>1.1811023622047244E-2</v>
      </c>
      <c r="V1050" t="s">
        <v>29</v>
      </c>
    </row>
    <row r="1051" spans="1:22">
      <c r="A1051" s="3">
        <v>45701</v>
      </c>
      <c r="B1051" t="str">
        <f t="shared" si="112"/>
        <v>yyyy-02</v>
      </c>
      <c r="C1051">
        <f t="shared" si="113"/>
        <v>7</v>
      </c>
      <c r="D1051" t="s">
        <v>53</v>
      </c>
      <c r="E1051" t="s">
        <v>59</v>
      </c>
      <c r="F1051" t="s">
        <v>60</v>
      </c>
      <c r="G1051" t="s">
        <v>36</v>
      </c>
      <c r="H1051" t="s">
        <v>37</v>
      </c>
      <c r="I1051" s="5">
        <v>173</v>
      </c>
      <c r="J1051" s="5">
        <v>130</v>
      </c>
      <c r="K1051" s="5">
        <v>10</v>
      </c>
      <c r="L1051" s="5">
        <v>2</v>
      </c>
      <c r="M1051" s="5">
        <v>2</v>
      </c>
      <c r="N1051" s="7">
        <v>690.98</v>
      </c>
      <c r="O1051" s="7">
        <f t="shared" si="114"/>
        <v>1381.96</v>
      </c>
      <c r="P1051" s="4">
        <v>0</v>
      </c>
      <c r="Q1051" s="7">
        <f t="shared" si="115"/>
        <v>0</v>
      </c>
      <c r="R1051" s="7">
        <f t="shared" si="116"/>
        <v>1381.96</v>
      </c>
      <c r="S1051" s="7">
        <f t="shared" si="117"/>
        <v>690.98</v>
      </c>
      <c r="T1051" s="6">
        <f t="shared" si="118"/>
        <v>1.1560693641618497E-2</v>
      </c>
      <c r="V1051" t="s">
        <v>29</v>
      </c>
    </row>
    <row r="1052" spans="1:22">
      <c r="A1052" s="3">
        <v>45701</v>
      </c>
      <c r="B1052" t="str">
        <f t="shared" si="112"/>
        <v>yyyy-02</v>
      </c>
      <c r="C1052">
        <f t="shared" si="113"/>
        <v>7</v>
      </c>
      <c r="D1052" t="s">
        <v>53</v>
      </c>
      <c r="E1052" t="s">
        <v>61</v>
      </c>
      <c r="F1052" t="s">
        <v>62</v>
      </c>
      <c r="G1052" t="s">
        <v>27</v>
      </c>
      <c r="H1052" t="s">
        <v>45</v>
      </c>
      <c r="I1052" s="5">
        <v>129</v>
      </c>
      <c r="J1052" s="5">
        <v>84</v>
      </c>
      <c r="K1052" s="5">
        <v>9</v>
      </c>
      <c r="L1052" s="5">
        <v>2</v>
      </c>
      <c r="M1052" s="5">
        <v>2</v>
      </c>
      <c r="N1052" s="7">
        <v>495.83</v>
      </c>
      <c r="O1052" s="7">
        <f t="shared" si="114"/>
        <v>991.66</v>
      </c>
      <c r="P1052" s="4">
        <v>0</v>
      </c>
      <c r="Q1052" s="7">
        <f t="shared" si="115"/>
        <v>0</v>
      </c>
      <c r="R1052" s="7">
        <f t="shared" si="116"/>
        <v>991.66</v>
      </c>
      <c r="S1052" s="7">
        <f t="shared" si="117"/>
        <v>495.83</v>
      </c>
      <c r="T1052" s="6">
        <f t="shared" si="118"/>
        <v>1.5503875968992248E-2</v>
      </c>
      <c r="V1052" t="s">
        <v>29</v>
      </c>
    </row>
    <row r="1053" spans="1:22">
      <c r="A1053" s="3">
        <v>45701</v>
      </c>
      <c r="B1053" t="str">
        <f t="shared" si="112"/>
        <v>yyyy-02</v>
      </c>
      <c r="C1053">
        <f t="shared" si="113"/>
        <v>7</v>
      </c>
      <c r="D1053" t="s">
        <v>53</v>
      </c>
      <c r="E1053" t="s">
        <v>64</v>
      </c>
      <c r="F1053" t="s">
        <v>65</v>
      </c>
      <c r="G1053" t="s">
        <v>27</v>
      </c>
      <c r="H1053" t="s">
        <v>48</v>
      </c>
      <c r="I1053" s="5">
        <v>136</v>
      </c>
      <c r="J1053" s="5">
        <v>84</v>
      </c>
      <c r="K1053" s="5">
        <v>8</v>
      </c>
      <c r="L1053" s="5">
        <v>1</v>
      </c>
      <c r="M1053" s="5">
        <v>1</v>
      </c>
      <c r="N1053" s="7">
        <v>802.36</v>
      </c>
      <c r="O1053" s="7">
        <f t="shared" si="114"/>
        <v>802.36</v>
      </c>
      <c r="P1053" s="4">
        <v>0</v>
      </c>
      <c r="Q1053" s="7">
        <f t="shared" si="115"/>
        <v>0</v>
      </c>
      <c r="R1053" s="7">
        <f t="shared" si="116"/>
        <v>802.36</v>
      </c>
      <c r="S1053" s="7">
        <f t="shared" si="117"/>
        <v>802.36</v>
      </c>
      <c r="T1053" s="6">
        <f t="shared" si="118"/>
        <v>7.3529411764705881E-3</v>
      </c>
      <c r="V1053" t="s">
        <v>78</v>
      </c>
    </row>
    <row r="1054" spans="1:22">
      <c r="A1054" s="3">
        <v>45701</v>
      </c>
      <c r="B1054" t="str">
        <f t="shared" si="112"/>
        <v>yyyy-02</v>
      </c>
      <c r="C1054">
        <f t="shared" si="113"/>
        <v>7</v>
      </c>
      <c r="D1054" t="s">
        <v>66</v>
      </c>
      <c r="E1054" t="s">
        <v>67</v>
      </c>
      <c r="F1054" t="s">
        <v>68</v>
      </c>
      <c r="G1054" t="s">
        <v>36</v>
      </c>
      <c r="H1054" t="s">
        <v>37</v>
      </c>
      <c r="I1054" s="5">
        <v>306</v>
      </c>
      <c r="J1054" s="5">
        <v>247</v>
      </c>
      <c r="K1054" s="5">
        <v>26</v>
      </c>
      <c r="L1054" s="5">
        <v>6</v>
      </c>
      <c r="M1054" s="5">
        <v>6</v>
      </c>
      <c r="N1054" s="7">
        <v>699.31</v>
      </c>
      <c r="O1054" s="7">
        <f t="shared" si="114"/>
        <v>4195.8599999999997</v>
      </c>
      <c r="P1054" s="4">
        <v>0</v>
      </c>
      <c r="Q1054" s="7">
        <f t="shared" si="115"/>
        <v>0</v>
      </c>
      <c r="R1054" s="7">
        <f t="shared" si="116"/>
        <v>4195.8599999999997</v>
      </c>
      <c r="S1054" s="7">
        <f t="shared" si="117"/>
        <v>699.31</v>
      </c>
      <c r="T1054" s="6">
        <f t="shared" si="118"/>
        <v>1.9607843137254902E-2</v>
      </c>
      <c r="V1054" t="s">
        <v>29</v>
      </c>
    </row>
    <row r="1055" spans="1:22">
      <c r="A1055" s="3">
        <v>45701</v>
      </c>
      <c r="B1055" t="str">
        <f t="shared" si="112"/>
        <v>yyyy-02</v>
      </c>
      <c r="C1055">
        <f t="shared" si="113"/>
        <v>7</v>
      </c>
      <c r="D1055" t="s">
        <v>66</v>
      </c>
      <c r="E1055" t="s">
        <v>67</v>
      </c>
      <c r="F1055" t="s">
        <v>69</v>
      </c>
      <c r="G1055" t="s">
        <v>36</v>
      </c>
      <c r="H1055" t="s">
        <v>37</v>
      </c>
      <c r="I1055" s="5">
        <v>107</v>
      </c>
      <c r="J1055" s="5">
        <v>70</v>
      </c>
      <c r="K1055" s="5">
        <v>2</v>
      </c>
      <c r="L1055" s="5">
        <v>0</v>
      </c>
      <c r="M1055" s="5">
        <v>0</v>
      </c>
      <c r="N1055" s="7">
        <v>406.48</v>
      </c>
      <c r="O1055" s="7">
        <f t="shared" si="114"/>
        <v>0</v>
      </c>
      <c r="P1055" s="4">
        <v>0.05</v>
      </c>
      <c r="Q1055" s="7">
        <f t="shared" si="115"/>
        <v>0</v>
      </c>
      <c r="R1055" s="7">
        <f t="shared" si="116"/>
        <v>0</v>
      </c>
      <c r="S1055" s="7">
        <f t="shared" si="117"/>
        <v>0</v>
      </c>
      <c r="T1055" s="6">
        <f t="shared" si="118"/>
        <v>0</v>
      </c>
      <c r="V1055" t="s">
        <v>81</v>
      </c>
    </row>
    <row r="1056" spans="1:22">
      <c r="A1056" s="3">
        <v>45701</v>
      </c>
      <c r="B1056" t="str">
        <f t="shared" si="112"/>
        <v>yyyy-02</v>
      </c>
      <c r="C1056">
        <f t="shared" si="113"/>
        <v>7</v>
      </c>
      <c r="D1056" t="s">
        <v>66</v>
      </c>
      <c r="E1056" t="s">
        <v>67</v>
      </c>
      <c r="F1056" t="s">
        <v>70</v>
      </c>
      <c r="G1056" t="s">
        <v>36</v>
      </c>
      <c r="H1056" t="s">
        <v>37</v>
      </c>
      <c r="I1056" s="5">
        <v>406</v>
      </c>
      <c r="J1056" s="5">
        <v>286</v>
      </c>
      <c r="K1056" s="5">
        <v>16</v>
      </c>
      <c r="L1056" s="5">
        <v>6</v>
      </c>
      <c r="M1056" s="5">
        <v>6</v>
      </c>
      <c r="N1056" s="7">
        <v>349.27</v>
      </c>
      <c r="O1056" s="7">
        <f t="shared" si="114"/>
        <v>2095.62</v>
      </c>
      <c r="P1056" s="4">
        <v>0.03</v>
      </c>
      <c r="Q1056" s="7">
        <f t="shared" si="115"/>
        <v>62.868599999999994</v>
      </c>
      <c r="R1056" s="7">
        <f t="shared" si="116"/>
        <v>2032.7513999999999</v>
      </c>
      <c r="S1056" s="7">
        <f t="shared" si="117"/>
        <v>338.7919</v>
      </c>
      <c r="T1056" s="6">
        <f t="shared" si="118"/>
        <v>1.4778325123152709E-2</v>
      </c>
      <c r="V1056" t="s">
        <v>29</v>
      </c>
    </row>
    <row r="1057" spans="1:22">
      <c r="A1057" s="3">
        <v>45701</v>
      </c>
      <c r="B1057" t="str">
        <f t="shared" si="112"/>
        <v>yyyy-02</v>
      </c>
      <c r="C1057">
        <f t="shared" si="113"/>
        <v>7</v>
      </c>
      <c r="D1057" t="s">
        <v>66</v>
      </c>
      <c r="E1057" t="s">
        <v>71</v>
      </c>
      <c r="F1057" t="s">
        <v>72</v>
      </c>
      <c r="G1057" t="s">
        <v>27</v>
      </c>
      <c r="H1057" t="s">
        <v>63</v>
      </c>
      <c r="I1057" s="5">
        <v>287</v>
      </c>
      <c r="J1057" s="5">
        <v>193</v>
      </c>
      <c r="K1057" s="5">
        <v>25</v>
      </c>
      <c r="L1057" s="5">
        <v>6</v>
      </c>
      <c r="M1057" s="5">
        <v>7</v>
      </c>
      <c r="N1057" s="7">
        <v>127.02</v>
      </c>
      <c r="O1057" s="7">
        <f t="shared" si="114"/>
        <v>889.14</v>
      </c>
      <c r="P1057" s="4">
        <v>0</v>
      </c>
      <c r="Q1057" s="7">
        <f t="shared" si="115"/>
        <v>0</v>
      </c>
      <c r="R1057" s="7">
        <f t="shared" si="116"/>
        <v>889.14</v>
      </c>
      <c r="S1057" s="7">
        <f t="shared" si="117"/>
        <v>148.19</v>
      </c>
      <c r="T1057" s="6">
        <f t="shared" si="118"/>
        <v>2.0905923344947737E-2</v>
      </c>
      <c r="V1057" t="s">
        <v>29</v>
      </c>
    </row>
    <row r="1058" spans="1:22">
      <c r="A1058" s="3">
        <v>45701</v>
      </c>
      <c r="B1058" t="str">
        <f t="shared" si="112"/>
        <v>yyyy-02</v>
      </c>
      <c r="C1058">
        <f t="shared" si="113"/>
        <v>7</v>
      </c>
      <c r="D1058" t="s">
        <v>66</v>
      </c>
      <c r="E1058" t="s">
        <v>73</v>
      </c>
      <c r="F1058" t="s">
        <v>74</v>
      </c>
      <c r="G1058" t="s">
        <v>36</v>
      </c>
      <c r="H1058" t="s">
        <v>37</v>
      </c>
      <c r="I1058" s="5">
        <v>223</v>
      </c>
      <c r="J1058" s="5">
        <v>183</v>
      </c>
      <c r="K1058" s="5">
        <v>19</v>
      </c>
      <c r="L1058" s="5">
        <v>4</v>
      </c>
      <c r="M1058" s="5">
        <v>4</v>
      </c>
      <c r="N1058" s="7">
        <v>1177.8800000000001</v>
      </c>
      <c r="O1058" s="7">
        <f t="shared" si="114"/>
        <v>4711.5200000000004</v>
      </c>
      <c r="P1058" s="4">
        <v>0.03</v>
      </c>
      <c r="Q1058" s="7">
        <f t="shared" si="115"/>
        <v>141.34560000000002</v>
      </c>
      <c r="R1058" s="7">
        <f t="shared" si="116"/>
        <v>4570.1744000000008</v>
      </c>
      <c r="S1058" s="7">
        <f t="shared" si="117"/>
        <v>1142.5436000000002</v>
      </c>
      <c r="T1058" s="6">
        <f t="shared" si="118"/>
        <v>1.7937219730941704E-2</v>
      </c>
      <c r="V1058" t="s">
        <v>29</v>
      </c>
    </row>
    <row r="1059" spans="1:22">
      <c r="A1059" s="3">
        <v>45701</v>
      </c>
      <c r="B1059" t="str">
        <f t="shared" si="112"/>
        <v>yyyy-02</v>
      </c>
      <c r="C1059">
        <f t="shared" si="113"/>
        <v>7</v>
      </c>
      <c r="D1059" t="s">
        <v>66</v>
      </c>
      <c r="E1059" t="s">
        <v>71</v>
      </c>
      <c r="F1059" t="s">
        <v>75</v>
      </c>
      <c r="G1059" t="s">
        <v>27</v>
      </c>
      <c r="H1059" t="s">
        <v>28</v>
      </c>
      <c r="I1059" s="5">
        <v>240</v>
      </c>
      <c r="J1059" s="5">
        <v>176</v>
      </c>
      <c r="K1059" s="5">
        <v>16</v>
      </c>
      <c r="L1059" s="5">
        <v>4</v>
      </c>
      <c r="M1059" s="5">
        <v>5</v>
      </c>
      <c r="N1059" s="7">
        <v>39.450000000000003</v>
      </c>
      <c r="O1059" s="7">
        <f t="shared" si="114"/>
        <v>197.25</v>
      </c>
      <c r="P1059" s="4">
        <v>0</v>
      </c>
      <c r="Q1059" s="7">
        <f t="shared" si="115"/>
        <v>0</v>
      </c>
      <c r="R1059" s="7">
        <f t="shared" si="116"/>
        <v>197.25</v>
      </c>
      <c r="S1059" s="7">
        <f t="shared" si="117"/>
        <v>49.3125</v>
      </c>
      <c r="T1059" s="6">
        <f t="shared" si="118"/>
        <v>1.6666666666666666E-2</v>
      </c>
      <c r="V1059" t="s">
        <v>29</v>
      </c>
    </row>
    <row r="1060" spans="1:22">
      <c r="A1060" s="3">
        <v>45701</v>
      </c>
      <c r="B1060" t="str">
        <f t="shared" si="112"/>
        <v>yyyy-02</v>
      </c>
      <c r="C1060">
        <f t="shared" si="113"/>
        <v>7</v>
      </c>
      <c r="D1060" t="s">
        <v>24</v>
      </c>
      <c r="E1060" t="s">
        <v>76</v>
      </c>
      <c r="F1060" t="s">
        <v>77</v>
      </c>
      <c r="G1060" t="s">
        <v>27</v>
      </c>
      <c r="H1060" t="s">
        <v>63</v>
      </c>
      <c r="I1060" s="5">
        <v>445</v>
      </c>
      <c r="J1060" s="5">
        <v>233</v>
      </c>
      <c r="K1060" s="5">
        <v>25</v>
      </c>
      <c r="L1060" s="5">
        <v>11</v>
      </c>
      <c r="M1060" s="5">
        <v>14</v>
      </c>
      <c r="N1060" s="7">
        <v>197.54</v>
      </c>
      <c r="O1060" s="7">
        <f t="shared" si="114"/>
        <v>2765.56</v>
      </c>
      <c r="P1060" s="4">
        <v>0</v>
      </c>
      <c r="Q1060" s="7">
        <f t="shared" si="115"/>
        <v>0</v>
      </c>
      <c r="R1060" s="7">
        <f t="shared" si="116"/>
        <v>2765.56</v>
      </c>
      <c r="S1060" s="7">
        <f t="shared" si="117"/>
        <v>251.41454545454545</v>
      </c>
      <c r="T1060" s="6">
        <f t="shared" si="118"/>
        <v>2.4719101123595506E-2</v>
      </c>
      <c r="V1060" t="s">
        <v>29</v>
      </c>
    </row>
    <row r="1061" spans="1:22">
      <c r="A1061" s="3">
        <v>45702</v>
      </c>
      <c r="B1061" t="str">
        <f t="shared" si="112"/>
        <v>yyyy-02</v>
      </c>
      <c r="C1061">
        <f t="shared" si="113"/>
        <v>7</v>
      </c>
      <c r="D1061" t="s">
        <v>24</v>
      </c>
      <c r="E1061" t="s">
        <v>25</v>
      </c>
      <c r="F1061" t="s">
        <v>26</v>
      </c>
      <c r="G1061" t="s">
        <v>27</v>
      </c>
      <c r="H1061" t="s">
        <v>28</v>
      </c>
      <c r="I1061" s="5">
        <v>1594</v>
      </c>
      <c r="J1061" s="5">
        <v>1036</v>
      </c>
      <c r="K1061" s="5">
        <v>94</v>
      </c>
      <c r="L1061" s="5">
        <v>28</v>
      </c>
      <c r="M1061" s="5">
        <v>28</v>
      </c>
      <c r="N1061" s="7">
        <v>970.76</v>
      </c>
      <c r="O1061" s="7">
        <f t="shared" si="114"/>
        <v>27181.279999999999</v>
      </c>
      <c r="P1061" s="4">
        <v>0.03</v>
      </c>
      <c r="Q1061" s="7">
        <f t="shared" si="115"/>
        <v>815.43839999999989</v>
      </c>
      <c r="R1061" s="7">
        <f t="shared" si="116"/>
        <v>26365.8416</v>
      </c>
      <c r="S1061" s="7">
        <f t="shared" si="117"/>
        <v>941.63720000000001</v>
      </c>
      <c r="T1061" s="6">
        <f t="shared" si="118"/>
        <v>1.7565872020075281E-2</v>
      </c>
      <c r="V1061" t="s">
        <v>29</v>
      </c>
    </row>
    <row r="1062" spans="1:22">
      <c r="A1062" s="3">
        <v>45702</v>
      </c>
      <c r="B1062" t="str">
        <f t="shared" si="112"/>
        <v>yyyy-02</v>
      </c>
      <c r="C1062">
        <f t="shared" si="113"/>
        <v>7</v>
      </c>
      <c r="D1062" t="s">
        <v>24</v>
      </c>
      <c r="E1062" t="s">
        <v>25</v>
      </c>
      <c r="F1062" t="s">
        <v>30</v>
      </c>
      <c r="G1062" t="s">
        <v>36</v>
      </c>
      <c r="H1062" t="s">
        <v>37</v>
      </c>
      <c r="I1062" s="5">
        <v>1596</v>
      </c>
      <c r="J1062" s="5">
        <v>1222</v>
      </c>
      <c r="K1062" s="5">
        <v>151</v>
      </c>
      <c r="L1062" s="5">
        <v>32</v>
      </c>
      <c r="M1062" s="5">
        <v>32</v>
      </c>
      <c r="N1062" s="7">
        <v>401.82</v>
      </c>
      <c r="O1062" s="7">
        <f t="shared" si="114"/>
        <v>12858.24</v>
      </c>
      <c r="P1062" s="4">
        <v>0</v>
      </c>
      <c r="Q1062" s="7">
        <f t="shared" si="115"/>
        <v>0</v>
      </c>
      <c r="R1062" s="7">
        <f t="shared" si="116"/>
        <v>12858.24</v>
      </c>
      <c r="S1062" s="7">
        <f t="shared" si="117"/>
        <v>401.82</v>
      </c>
      <c r="T1062" s="6">
        <f t="shared" si="118"/>
        <v>2.0050125313283207E-2</v>
      </c>
      <c r="V1062" t="s">
        <v>29</v>
      </c>
    </row>
    <row r="1063" spans="1:22">
      <c r="A1063" s="3">
        <v>45702</v>
      </c>
      <c r="B1063" t="str">
        <f t="shared" si="112"/>
        <v>yyyy-02</v>
      </c>
      <c r="C1063">
        <f t="shared" si="113"/>
        <v>7</v>
      </c>
      <c r="D1063" t="s">
        <v>24</v>
      </c>
      <c r="E1063" t="s">
        <v>25</v>
      </c>
      <c r="F1063" t="s">
        <v>33</v>
      </c>
      <c r="G1063" t="s">
        <v>36</v>
      </c>
      <c r="H1063" t="s">
        <v>37</v>
      </c>
      <c r="I1063" s="5">
        <v>1372</v>
      </c>
      <c r="J1063" s="5">
        <v>993</v>
      </c>
      <c r="K1063" s="5">
        <v>118</v>
      </c>
      <c r="L1063" s="5">
        <v>25</v>
      </c>
      <c r="M1063" s="5">
        <v>25</v>
      </c>
      <c r="N1063" s="7">
        <v>1799.72</v>
      </c>
      <c r="O1063" s="7">
        <f t="shared" si="114"/>
        <v>44993</v>
      </c>
      <c r="P1063" s="4">
        <v>0</v>
      </c>
      <c r="Q1063" s="7">
        <f t="shared" si="115"/>
        <v>0</v>
      </c>
      <c r="R1063" s="7">
        <f t="shared" si="116"/>
        <v>44993</v>
      </c>
      <c r="S1063" s="7">
        <f t="shared" si="117"/>
        <v>1799.72</v>
      </c>
      <c r="T1063" s="6">
        <f t="shared" si="118"/>
        <v>1.8221574344023325E-2</v>
      </c>
      <c r="V1063" t="s">
        <v>29</v>
      </c>
    </row>
    <row r="1064" spans="1:22">
      <c r="A1064" s="3">
        <v>45702</v>
      </c>
      <c r="B1064" t="str">
        <f t="shared" si="112"/>
        <v>yyyy-02</v>
      </c>
      <c r="C1064">
        <f t="shared" si="113"/>
        <v>7</v>
      </c>
      <c r="D1064" t="s">
        <v>24</v>
      </c>
      <c r="E1064" t="s">
        <v>34</v>
      </c>
      <c r="F1064" t="s">
        <v>35</v>
      </c>
      <c r="G1064" t="s">
        <v>31</v>
      </c>
      <c r="H1064" t="s">
        <v>32</v>
      </c>
      <c r="I1064" s="5">
        <v>1065</v>
      </c>
      <c r="J1064" s="5">
        <v>562</v>
      </c>
      <c r="K1064" s="5">
        <v>86</v>
      </c>
      <c r="L1064" s="5">
        <v>19</v>
      </c>
      <c r="M1064" s="5">
        <v>19</v>
      </c>
      <c r="N1064" s="7">
        <v>903.02</v>
      </c>
      <c r="O1064" s="7">
        <f t="shared" si="114"/>
        <v>17157.38</v>
      </c>
      <c r="P1064" s="4">
        <v>0</v>
      </c>
      <c r="Q1064" s="7">
        <f t="shared" si="115"/>
        <v>0</v>
      </c>
      <c r="R1064" s="7">
        <f t="shared" si="116"/>
        <v>17157.38</v>
      </c>
      <c r="S1064" s="7">
        <f t="shared" si="117"/>
        <v>903.0200000000001</v>
      </c>
      <c r="T1064" s="6">
        <f t="shared" si="118"/>
        <v>1.7840375586854459E-2</v>
      </c>
      <c r="V1064" t="s">
        <v>78</v>
      </c>
    </row>
    <row r="1065" spans="1:22">
      <c r="A1065" s="3">
        <v>45702</v>
      </c>
      <c r="B1065" t="str">
        <f t="shared" si="112"/>
        <v>yyyy-02</v>
      </c>
      <c r="C1065">
        <f t="shared" si="113"/>
        <v>7</v>
      </c>
      <c r="D1065" t="s">
        <v>24</v>
      </c>
      <c r="E1065" t="s">
        <v>38</v>
      </c>
      <c r="F1065" t="s">
        <v>39</v>
      </c>
      <c r="G1065" t="s">
        <v>36</v>
      </c>
      <c r="H1065" t="s">
        <v>37</v>
      </c>
      <c r="I1065" s="5">
        <v>711</v>
      </c>
      <c r="J1065" s="5">
        <v>492</v>
      </c>
      <c r="K1065" s="5">
        <v>65</v>
      </c>
      <c r="L1065" s="5">
        <v>17</v>
      </c>
      <c r="M1065" s="5">
        <v>17</v>
      </c>
      <c r="N1065" s="7">
        <v>316.86</v>
      </c>
      <c r="O1065" s="7">
        <f t="shared" si="114"/>
        <v>5386.62</v>
      </c>
      <c r="P1065" s="4">
        <v>0.09</v>
      </c>
      <c r="Q1065" s="7">
        <f t="shared" si="115"/>
        <v>484.79579999999999</v>
      </c>
      <c r="R1065" s="7">
        <f t="shared" si="116"/>
        <v>4901.8242</v>
      </c>
      <c r="S1065" s="7">
        <f t="shared" si="117"/>
        <v>288.3426</v>
      </c>
      <c r="T1065" s="6">
        <f t="shared" si="118"/>
        <v>2.3909985935302389E-2</v>
      </c>
      <c r="U1065" t="s">
        <v>84</v>
      </c>
      <c r="V1065" t="s">
        <v>29</v>
      </c>
    </row>
    <row r="1066" spans="1:22">
      <c r="A1066" s="3">
        <v>45702</v>
      </c>
      <c r="B1066" t="str">
        <f t="shared" si="112"/>
        <v>yyyy-02</v>
      </c>
      <c r="C1066">
        <f t="shared" si="113"/>
        <v>7</v>
      </c>
      <c r="D1066" t="s">
        <v>24</v>
      </c>
      <c r="E1066" t="s">
        <v>40</v>
      </c>
      <c r="F1066" t="s">
        <v>41</v>
      </c>
      <c r="G1066" t="s">
        <v>27</v>
      </c>
      <c r="H1066" t="s">
        <v>63</v>
      </c>
      <c r="I1066" s="5">
        <v>440</v>
      </c>
      <c r="J1066" s="5">
        <v>315</v>
      </c>
      <c r="K1066" s="5">
        <v>35</v>
      </c>
      <c r="L1066" s="5">
        <v>11</v>
      </c>
      <c r="M1066" s="5">
        <v>13</v>
      </c>
      <c r="N1066" s="7">
        <v>176.54</v>
      </c>
      <c r="O1066" s="7">
        <f t="shared" si="114"/>
        <v>2295.02</v>
      </c>
      <c r="P1066" s="4">
        <v>0</v>
      </c>
      <c r="Q1066" s="7">
        <f t="shared" si="115"/>
        <v>0</v>
      </c>
      <c r="R1066" s="7">
        <f t="shared" si="116"/>
        <v>2295.02</v>
      </c>
      <c r="S1066" s="7">
        <f t="shared" si="117"/>
        <v>208.63818181818181</v>
      </c>
      <c r="T1066" s="6">
        <f t="shared" si="118"/>
        <v>2.5000000000000001E-2</v>
      </c>
      <c r="V1066" t="s">
        <v>29</v>
      </c>
    </row>
    <row r="1067" spans="1:22">
      <c r="A1067" s="3">
        <v>45702</v>
      </c>
      <c r="B1067" t="str">
        <f t="shared" si="112"/>
        <v>yyyy-02</v>
      </c>
      <c r="C1067">
        <f t="shared" si="113"/>
        <v>7</v>
      </c>
      <c r="D1067" t="s">
        <v>42</v>
      </c>
      <c r="E1067" t="s">
        <v>43</v>
      </c>
      <c r="F1067" t="s">
        <v>44</v>
      </c>
      <c r="G1067" t="s">
        <v>31</v>
      </c>
      <c r="H1067" t="s">
        <v>32</v>
      </c>
      <c r="I1067" s="5">
        <v>450</v>
      </c>
      <c r="J1067" s="5">
        <v>351</v>
      </c>
      <c r="K1067" s="5">
        <v>30</v>
      </c>
      <c r="L1067" s="5">
        <v>7</v>
      </c>
      <c r="M1067" s="5">
        <v>7</v>
      </c>
      <c r="N1067" s="7">
        <v>1320.98</v>
      </c>
      <c r="O1067" s="7">
        <f t="shared" si="114"/>
        <v>9246.86</v>
      </c>
      <c r="P1067" s="4">
        <v>0</v>
      </c>
      <c r="Q1067" s="7">
        <f t="shared" si="115"/>
        <v>0</v>
      </c>
      <c r="R1067" s="7">
        <f t="shared" si="116"/>
        <v>9246.86</v>
      </c>
      <c r="S1067" s="7">
        <f t="shared" si="117"/>
        <v>1320.98</v>
      </c>
      <c r="T1067" s="6">
        <f t="shared" si="118"/>
        <v>1.5555555555555555E-2</v>
      </c>
      <c r="V1067" t="s">
        <v>29</v>
      </c>
    </row>
    <row r="1068" spans="1:22">
      <c r="A1068" s="3">
        <v>45702</v>
      </c>
      <c r="B1068" t="str">
        <f t="shared" si="112"/>
        <v>yyyy-02</v>
      </c>
      <c r="C1068">
        <f t="shared" si="113"/>
        <v>7</v>
      </c>
      <c r="D1068" t="s">
        <v>42</v>
      </c>
      <c r="E1068" t="s">
        <v>43</v>
      </c>
      <c r="F1068" t="s">
        <v>46</v>
      </c>
      <c r="G1068" t="s">
        <v>31</v>
      </c>
      <c r="H1068" t="s">
        <v>32</v>
      </c>
      <c r="I1068" s="5">
        <v>442</v>
      </c>
      <c r="J1068" s="5">
        <v>231</v>
      </c>
      <c r="K1068" s="5">
        <v>21</v>
      </c>
      <c r="L1068" s="5">
        <v>5</v>
      </c>
      <c r="M1068" s="5">
        <v>5</v>
      </c>
      <c r="N1068" s="7">
        <v>2182.77</v>
      </c>
      <c r="O1068" s="7">
        <f t="shared" si="114"/>
        <v>10913.85</v>
      </c>
      <c r="P1068" s="4">
        <v>0</v>
      </c>
      <c r="Q1068" s="7">
        <f t="shared" si="115"/>
        <v>0</v>
      </c>
      <c r="R1068" s="7">
        <f t="shared" si="116"/>
        <v>10913.85</v>
      </c>
      <c r="S1068" s="7">
        <f t="shared" si="117"/>
        <v>2182.77</v>
      </c>
      <c r="T1068" s="6">
        <f t="shared" si="118"/>
        <v>1.1312217194570135E-2</v>
      </c>
      <c r="V1068" t="s">
        <v>78</v>
      </c>
    </row>
    <row r="1069" spans="1:22">
      <c r="A1069" s="3">
        <v>45702</v>
      </c>
      <c r="B1069" t="str">
        <f t="shared" si="112"/>
        <v>yyyy-02</v>
      </c>
      <c r="C1069">
        <f t="shared" si="113"/>
        <v>7</v>
      </c>
      <c r="D1069" t="s">
        <v>42</v>
      </c>
      <c r="E1069" t="s">
        <v>43</v>
      </c>
      <c r="F1069" t="s">
        <v>47</v>
      </c>
      <c r="G1069" t="s">
        <v>27</v>
      </c>
      <c r="H1069" t="s">
        <v>63</v>
      </c>
      <c r="I1069" s="5">
        <v>327</v>
      </c>
      <c r="J1069" s="5">
        <v>216</v>
      </c>
      <c r="K1069" s="5">
        <v>15</v>
      </c>
      <c r="L1069" s="5">
        <v>5</v>
      </c>
      <c r="M1069" s="5">
        <v>5</v>
      </c>
      <c r="N1069" s="7">
        <v>607.30999999999995</v>
      </c>
      <c r="O1069" s="7">
        <f t="shared" si="114"/>
        <v>3036.5499999999997</v>
      </c>
      <c r="P1069" s="4">
        <v>0.03</v>
      </c>
      <c r="Q1069" s="7">
        <f t="shared" si="115"/>
        <v>91.096499999999992</v>
      </c>
      <c r="R1069" s="7">
        <f t="shared" si="116"/>
        <v>2945.4534999999996</v>
      </c>
      <c r="S1069" s="7">
        <f t="shared" si="117"/>
        <v>589.09069999999997</v>
      </c>
      <c r="T1069" s="6">
        <f t="shared" si="118"/>
        <v>1.5290519877675841E-2</v>
      </c>
      <c r="V1069" t="s">
        <v>29</v>
      </c>
    </row>
    <row r="1070" spans="1:22">
      <c r="A1070" s="3">
        <v>45702</v>
      </c>
      <c r="B1070" t="str">
        <f t="shared" si="112"/>
        <v>yyyy-02</v>
      </c>
      <c r="C1070">
        <f t="shared" si="113"/>
        <v>7</v>
      </c>
      <c r="D1070" t="s">
        <v>42</v>
      </c>
      <c r="E1070" t="s">
        <v>49</v>
      </c>
      <c r="F1070" t="s">
        <v>50</v>
      </c>
      <c r="G1070" t="s">
        <v>36</v>
      </c>
      <c r="H1070" t="s">
        <v>37</v>
      </c>
      <c r="I1070" s="5">
        <v>147</v>
      </c>
      <c r="J1070" s="5">
        <v>109</v>
      </c>
      <c r="K1070" s="5">
        <v>7</v>
      </c>
      <c r="L1070" s="5">
        <v>2</v>
      </c>
      <c r="M1070" s="5">
        <v>2</v>
      </c>
      <c r="N1070" s="7">
        <v>962.14</v>
      </c>
      <c r="O1070" s="7">
        <f t="shared" si="114"/>
        <v>1924.28</v>
      </c>
      <c r="P1070" s="4">
        <v>0.03</v>
      </c>
      <c r="Q1070" s="7">
        <f t="shared" si="115"/>
        <v>57.728399999999993</v>
      </c>
      <c r="R1070" s="7">
        <f t="shared" si="116"/>
        <v>1866.5516</v>
      </c>
      <c r="S1070" s="7">
        <f t="shared" si="117"/>
        <v>933.2758</v>
      </c>
      <c r="T1070" s="6">
        <f t="shared" si="118"/>
        <v>1.3605442176870748E-2</v>
      </c>
      <c r="V1070" t="s">
        <v>29</v>
      </c>
    </row>
    <row r="1071" spans="1:22">
      <c r="A1071" s="3">
        <v>45702</v>
      </c>
      <c r="B1071" t="str">
        <f t="shared" si="112"/>
        <v>yyyy-02</v>
      </c>
      <c r="C1071">
        <f t="shared" si="113"/>
        <v>7</v>
      </c>
      <c r="D1071" t="s">
        <v>42</v>
      </c>
      <c r="E1071" t="s">
        <v>51</v>
      </c>
      <c r="F1071" t="s">
        <v>52</v>
      </c>
      <c r="G1071" t="s">
        <v>31</v>
      </c>
      <c r="H1071" t="s">
        <v>32</v>
      </c>
      <c r="I1071" s="5">
        <v>427</v>
      </c>
      <c r="J1071" s="5">
        <v>336</v>
      </c>
      <c r="K1071" s="5">
        <v>29</v>
      </c>
      <c r="L1071" s="5">
        <v>6</v>
      </c>
      <c r="M1071" s="5">
        <v>6</v>
      </c>
      <c r="N1071" s="7">
        <v>580.14</v>
      </c>
      <c r="O1071" s="7">
        <f t="shared" si="114"/>
        <v>3480.84</v>
      </c>
      <c r="P1071" s="4">
        <v>0.11</v>
      </c>
      <c r="Q1071" s="7">
        <f t="shared" si="115"/>
        <v>382.89240000000001</v>
      </c>
      <c r="R1071" s="7">
        <f t="shared" si="116"/>
        <v>3097.9476</v>
      </c>
      <c r="S1071" s="7">
        <f t="shared" si="117"/>
        <v>516.32460000000003</v>
      </c>
      <c r="T1071" s="6">
        <f t="shared" si="118"/>
        <v>1.405152224824356E-2</v>
      </c>
      <c r="U1071" t="s">
        <v>85</v>
      </c>
      <c r="V1071" t="s">
        <v>29</v>
      </c>
    </row>
    <row r="1072" spans="1:22">
      <c r="A1072" s="3">
        <v>45702</v>
      </c>
      <c r="B1072" t="str">
        <f t="shared" si="112"/>
        <v>yyyy-02</v>
      </c>
      <c r="C1072">
        <f t="shared" si="113"/>
        <v>7</v>
      </c>
      <c r="D1072" t="s">
        <v>53</v>
      </c>
      <c r="E1072" t="s">
        <v>54</v>
      </c>
      <c r="F1072" t="s">
        <v>55</v>
      </c>
      <c r="G1072" t="s">
        <v>36</v>
      </c>
      <c r="H1072" t="s">
        <v>37</v>
      </c>
      <c r="I1072" s="5">
        <v>196</v>
      </c>
      <c r="J1072" s="5">
        <v>131</v>
      </c>
      <c r="K1072" s="5">
        <v>9</v>
      </c>
      <c r="L1072" s="5">
        <v>2</v>
      </c>
      <c r="M1072" s="5">
        <v>2</v>
      </c>
      <c r="N1072" s="7">
        <v>1285.31</v>
      </c>
      <c r="O1072" s="7">
        <f t="shared" si="114"/>
        <v>2570.62</v>
      </c>
      <c r="P1072" s="4">
        <v>0</v>
      </c>
      <c r="Q1072" s="7">
        <f t="shared" si="115"/>
        <v>0</v>
      </c>
      <c r="R1072" s="7">
        <f t="shared" si="116"/>
        <v>2570.62</v>
      </c>
      <c r="S1072" s="7">
        <f t="shared" si="117"/>
        <v>1285.31</v>
      </c>
      <c r="T1072" s="6">
        <f t="shared" si="118"/>
        <v>1.020408163265306E-2</v>
      </c>
      <c r="V1072" t="s">
        <v>29</v>
      </c>
    </row>
    <row r="1073" spans="1:22">
      <c r="A1073" s="3">
        <v>45702</v>
      </c>
      <c r="B1073" t="str">
        <f t="shared" si="112"/>
        <v>yyyy-02</v>
      </c>
      <c r="C1073">
        <f t="shared" si="113"/>
        <v>7</v>
      </c>
      <c r="D1073" t="s">
        <v>53</v>
      </c>
      <c r="E1073" t="s">
        <v>56</v>
      </c>
      <c r="F1073" t="s">
        <v>57</v>
      </c>
      <c r="G1073" t="s">
        <v>31</v>
      </c>
      <c r="H1073" t="s">
        <v>32</v>
      </c>
      <c r="I1073" s="5">
        <v>214</v>
      </c>
      <c r="J1073" s="5">
        <v>139</v>
      </c>
      <c r="K1073" s="5">
        <v>12</v>
      </c>
      <c r="L1073" s="5">
        <v>3</v>
      </c>
      <c r="M1073" s="5">
        <v>3</v>
      </c>
      <c r="N1073" s="7">
        <v>726.28</v>
      </c>
      <c r="O1073" s="7">
        <f t="shared" si="114"/>
        <v>2178.84</v>
      </c>
      <c r="P1073" s="4">
        <v>0</v>
      </c>
      <c r="Q1073" s="7">
        <f t="shared" si="115"/>
        <v>0</v>
      </c>
      <c r="R1073" s="7">
        <f t="shared" si="116"/>
        <v>2178.84</v>
      </c>
      <c r="S1073" s="7">
        <f t="shared" si="117"/>
        <v>726.28000000000009</v>
      </c>
      <c r="T1073" s="6">
        <f t="shared" si="118"/>
        <v>1.4018691588785047E-2</v>
      </c>
      <c r="V1073" t="s">
        <v>29</v>
      </c>
    </row>
    <row r="1074" spans="1:22">
      <c r="A1074" s="3">
        <v>45702</v>
      </c>
      <c r="B1074" t="str">
        <f t="shared" si="112"/>
        <v>yyyy-02</v>
      </c>
      <c r="C1074">
        <f t="shared" si="113"/>
        <v>7</v>
      </c>
      <c r="D1074" t="s">
        <v>53</v>
      </c>
      <c r="E1074" t="s">
        <v>56</v>
      </c>
      <c r="F1074" t="s">
        <v>58</v>
      </c>
      <c r="G1074" t="s">
        <v>36</v>
      </c>
      <c r="H1074" t="s">
        <v>37</v>
      </c>
      <c r="I1074" s="5">
        <v>197</v>
      </c>
      <c r="J1074" s="5">
        <v>140</v>
      </c>
      <c r="K1074" s="5">
        <v>9</v>
      </c>
      <c r="L1074" s="5">
        <v>3</v>
      </c>
      <c r="M1074" s="5">
        <v>3</v>
      </c>
      <c r="N1074" s="7">
        <v>881.75</v>
      </c>
      <c r="O1074" s="7">
        <f t="shared" si="114"/>
        <v>2645.25</v>
      </c>
      <c r="P1074" s="4">
        <v>0</v>
      </c>
      <c r="Q1074" s="7">
        <f t="shared" si="115"/>
        <v>0</v>
      </c>
      <c r="R1074" s="7">
        <f t="shared" si="116"/>
        <v>2645.25</v>
      </c>
      <c r="S1074" s="7">
        <f t="shared" si="117"/>
        <v>881.75</v>
      </c>
      <c r="T1074" s="6">
        <f t="shared" si="118"/>
        <v>1.5228426395939087E-2</v>
      </c>
      <c r="V1074" t="s">
        <v>29</v>
      </c>
    </row>
    <row r="1075" spans="1:22">
      <c r="A1075" s="3">
        <v>45702</v>
      </c>
      <c r="B1075" t="str">
        <f t="shared" si="112"/>
        <v>yyyy-02</v>
      </c>
      <c r="C1075">
        <f t="shared" si="113"/>
        <v>7</v>
      </c>
      <c r="D1075" t="s">
        <v>53</v>
      </c>
      <c r="E1075" t="s">
        <v>59</v>
      </c>
      <c r="F1075" t="s">
        <v>60</v>
      </c>
      <c r="G1075" t="s">
        <v>27</v>
      </c>
      <c r="H1075" t="s">
        <v>63</v>
      </c>
      <c r="I1075" s="5">
        <v>115</v>
      </c>
      <c r="J1075" s="5">
        <v>92</v>
      </c>
      <c r="K1075" s="5">
        <v>4</v>
      </c>
      <c r="L1075" s="5">
        <v>1</v>
      </c>
      <c r="M1075" s="5">
        <v>1</v>
      </c>
      <c r="N1075" s="7">
        <v>692.5</v>
      </c>
      <c r="O1075" s="7">
        <f t="shared" si="114"/>
        <v>692.5</v>
      </c>
      <c r="P1075" s="4">
        <v>0.03</v>
      </c>
      <c r="Q1075" s="7">
        <f t="shared" si="115"/>
        <v>20.774999999999999</v>
      </c>
      <c r="R1075" s="7">
        <f t="shared" si="116"/>
        <v>671.72500000000002</v>
      </c>
      <c r="S1075" s="7">
        <f t="shared" si="117"/>
        <v>671.72500000000002</v>
      </c>
      <c r="T1075" s="6">
        <f t="shared" si="118"/>
        <v>8.6956521739130436E-3</v>
      </c>
      <c r="V1075" t="s">
        <v>29</v>
      </c>
    </row>
    <row r="1076" spans="1:22">
      <c r="A1076" s="3">
        <v>45702</v>
      </c>
      <c r="B1076" t="str">
        <f t="shared" si="112"/>
        <v>yyyy-02</v>
      </c>
      <c r="C1076">
        <f t="shared" si="113"/>
        <v>7</v>
      </c>
      <c r="D1076" t="s">
        <v>53</v>
      </c>
      <c r="E1076" t="s">
        <v>61</v>
      </c>
      <c r="F1076" t="s">
        <v>62</v>
      </c>
      <c r="G1076" t="s">
        <v>31</v>
      </c>
      <c r="H1076" t="s">
        <v>32</v>
      </c>
      <c r="I1076" s="5">
        <v>223</v>
      </c>
      <c r="J1076" s="5">
        <v>130</v>
      </c>
      <c r="K1076" s="5">
        <v>13</v>
      </c>
      <c r="L1076" s="5">
        <v>2</v>
      </c>
      <c r="M1076" s="5">
        <v>2</v>
      </c>
      <c r="N1076" s="7">
        <v>507.18</v>
      </c>
      <c r="O1076" s="7">
        <f t="shared" si="114"/>
        <v>1014.36</v>
      </c>
      <c r="P1076" s="4">
        <v>0</v>
      </c>
      <c r="Q1076" s="7">
        <f t="shared" si="115"/>
        <v>0</v>
      </c>
      <c r="R1076" s="7">
        <f t="shared" si="116"/>
        <v>1014.36</v>
      </c>
      <c r="S1076" s="7">
        <f t="shared" si="117"/>
        <v>507.18</v>
      </c>
      <c r="T1076" s="6">
        <f t="shared" si="118"/>
        <v>8.9686098654708519E-3</v>
      </c>
      <c r="V1076" t="s">
        <v>29</v>
      </c>
    </row>
    <row r="1077" spans="1:22">
      <c r="A1077" s="3">
        <v>45702</v>
      </c>
      <c r="B1077" t="str">
        <f t="shared" si="112"/>
        <v>yyyy-02</v>
      </c>
      <c r="C1077">
        <f t="shared" si="113"/>
        <v>7</v>
      </c>
      <c r="D1077" t="s">
        <v>53</v>
      </c>
      <c r="E1077" t="s">
        <v>64</v>
      </c>
      <c r="F1077" t="s">
        <v>65</v>
      </c>
      <c r="G1077" t="s">
        <v>36</v>
      </c>
      <c r="H1077" t="s">
        <v>37</v>
      </c>
      <c r="I1077" s="5">
        <v>255</v>
      </c>
      <c r="J1077" s="5">
        <v>184</v>
      </c>
      <c r="K1077" s="5">
        <v>14</v>
      </c>
      <c r="L1077" s="5">
        <v>3</v>
      </c>
      <c r="M1077" s="5">
        <v>3</v>
      </c>
      <c r="N1077" s="7">
        <v>812.41</v>
      </c>
      <c r="O1077" s="7">
        <f t="shared" si="114"/>
        <v>2437.23</v>
      </c>
      <c r="P1077" s="4">
        <v>0</v>
      </c>
      <c r="Q1077" s="7">
        <f t="shared" si="115"/>
        <v>0</v>
      </c>
      <c r="R1077" s="7">
        <f t="shared" si="116"/>
        <v>2437.23</v>
      </c>
      <c r="S1077" s="7">
        <f t="shared" si="117"/>
        <v>812.41</v>
      </c>
      <c r="T1077" s="6">
        <f t="shared" si="118"/>
        <v>1.1764705882352941E-2</v>
      </c>
      <c r="V1077" t="s">
        <v>29</v>
      </c>
    </row>
    <row r="1078" spans="1:22">
      <c r="A1078" s="3">
        <v>45702</v>
      </c>
      <c r="B1078" t="str">
        <f t="shared" si="112"/>
        <v>yyyy-02</v>
      </c>
      <c r="C1078">
        <f t="shared" si="113"/>
        <v>7</v>
      </c>
      <c r="D1078" t="s">
        <v>66</v>
      </c>
      <c r="E1078" t="s">
        <v>67</v>
      </c>
      <c r="F1078" t="s">
        <v>68</v>
      </c>
      <c r="G1078" t="s">
        <v>27</v>
      </c>
      <c r="H1078" t="s">
        <v>63</v>
      </c>
      <c r="I1078" s="5">
        <v>275</v>
      </c>
      <c r="J1078" s="5">
        <v>201</v>
      </c>
      <c r="K1078" s="5">
        <v>17</v>
      </c>
      <c r="L1078" s="5">
        <v>6</v>
      </c>
      <c r="M1078" s="5">
        <v>6</v>
      </c>
      <c r="N1078" s="7">
        <v>695.52</v>
      </c>
      <c r="O1078" s="7">
        <f t="shared" si="114"/>
        <v>4173.12</v>
      </c>
      <c r="P1078" s="4">
        <v>0</v>
      </c>
      <c r="Q1078" s="7">
        <f t="shared" si="115"/>
        <v>0</v>
      </c>
      <c r="R1078" s="7">
        <f t="shared" si="116"/>
        <v>4173.12</v>
      </c>
      <c r="S1078" s="7">
        <f t="shared" si="117"/>
        <v>695.52</v>
      </c>
      <c r="T1078" s="6">
        <f t="shared" si="118"/>
        <v>2.181818181818182E-2</v>
      </c>
      <c r="V1078" t="s">
        <v>29</v>
      </c>
    </row>
    <row r="1079" spans="1:22">
      <c r="A1079" s="3">
        <v>45702</v>
      </c>
      <c r="B1079" t="str">
        <f t="shared" si="112"/>
        <v>yyyy-02</v>
      </c>
      <c r="C1079">
        <f t="shared" si="113"/>
        <v>7</v>
      </c>
      <c r="D1079" t="s">
        <v>66</v>
      </c>
      <c r="E1079" t="s">
        <v>67</v>
      </c>
      <c r="F1079" t="s">
        <v>69</v>
      </c>
      <c r="G1079" t="s">
        <v>27</v>
      </c>
      <c r="H1079" t="s">
        <v>45</v>
      </c>
      <c r="I1079" s="5">
        <v>328</v>
      </c>
      <c r="J1079" s="5">
        <v>214</v>
      </c>
      <c r="K1079" s="5">
        <v>23</v>
      </c>
      <c r="L1079" s="5">
        <v>6</v>
      </c>
      <c r="M1079" s="5">
        <v>6</v>
      </c>
      <c r="N1079" s="7">
        <v>390.67</v>
      </c>
      <c r="O1079" s="7">
        <f t="shared" si="114"/>
        <v>2344.02</v>
      </c>
      <c r="P1079" s="4">
        <v>0</v>
      </c>
      <c r="Q1079" s="7">
        <f t="shared" si="115"/>
        <v>0</v>
      </c>
      <c r="R1079" s="7">
        <f t="shared" si="116"/>
        <v>2344.02</v>
      </c>
      <c r="S1079" s="7">
        <f t="shared" si="117"/>
        <v>390.67</v>
      </c>
      <c r="T1079" s="6">
        <f t="shared" si="118"/>
        <v>1.8292682926829267E-2</v>
      </c>
      <c r="V1079" t="s">
        <v>29</v>
      </c>
    </row>
    <row r="1080" spans="1:22">
      <c r="A1080" s="3">
        <v>45702</v>
      </c>
      <c r="B1080" t="str">
        <f t="shared" si="112"/>
        <v>yyyy-02</v>
      </c>
      <c r="C1080">
        <f t="shared" si="113"/>
        <v>7</v>
      </c>
      <c r="D1080" t="s">
        <v>66</v>
      </c>
      <c r="E1080" t="s">
        <v>67</v>
      </c>
      <c r="F1080" t="s">
        <v>70</v>
      </c>
      <c r="G1080" t="s">
        <v>31</v>
      </c>
      <c r="H1080" t="s">
        <v>32</v>
      </c>
      <c r="I1080" s="5">
        <v>499</v>
      </c>
      <c r="J1080" s="5">
        <v>347</v>
      </c>
      <c r="K1080" s="5">
        <v>35</v>
      </c>
      <c r="L1080" s="5">
        <v>9</v>
      </c>
      <c r="M1080" s="5">
        <v>9</v>
      </c>
      <c r="N1080" s="7">
        <v>338.54</v>
      </c>
      <c r="O1080" s="7">
        <f t="shared" si="114"/>
        <v>3046.86</v>
      </c>
      <c r="P1080" s="4">
        <v>0</v>
      </c>
      <c r="Q1080" s="7">
        <f t="shared" si="115"/>
        <v>0</v>
      </c>
      <c r="R1080" s="7">
        <f t="shared" si="116"/>
        <v>3046.86</v>
      </c>
      <c r="S1080" s="7">
        <f t="shared" si="117"/>
        <v>338.54</v>
      </c>
      <c r="T1080" s="6">
        <f t="shared" si="118"/>
        <v>1.8036072144288578E-2</v>
      </c>
      <c r="V1080" t="s">
        <v>29</v>
      </c>
    </row>
    <row r="1081" spans="1:22">
      <c r="A1081" s="3">
        <v>45702</v>
      </c>
      <c r="B1081" t="str">
        <f t="shared" si="112"/>
        <v>yyyy-02</v>
      </c>
      <c r="C1081">
        <f t="shared" si="113"/>
        <v>7</v>
      </c>
      <c r="D1081" t="s">
        <v>66</v>
      </c>
      <c r="E1081" t="s">
        <v>71</v>
      </c>
      <c r="F1081" t="s">
        <v>72</v>
      </c>
      <c r="G1081" t="s">
        <v>31</v>
      </c>
      <c r="H1081" t="s">
        <v>32</v>
      </c>
      <c r="I1081" s="5">
        <v>300</v>
      </c>
      <c r="J1081" s="5">
        <v>237</v>
      </c>
      <c r="K1081" s="5">
        <v>25</v>
      </c>
      <c r="L1081" s="5">
        <v>7</v>
      </c>
      <c r="M1081" s="5">
        <v>8</v>
      </c>
      <c r="N1081" s="7">
        <v>130.1</v>
      </c>
      <c r="O1081" s="7">
        <f t="shared" si="114"/>
        <v>1040.8</v>
      </c>
      <c r="P1081" s="4">
        <v>0.03</v>
      </c>
      <c r="Q1081" s="7">
        <f t="shared" si="115"/>
        <v>31.223999999999997</v>
      </c>
      <c r="R1081" s="7">
        <f t="shared" si="116"/>
        <v>1009.5759999999999</v>
      </c>
      <c r="S1081" s="7">
        <f t="shared" si="117"/>
        <v>144.22514285714286</v>
      </c>
      <c r="T1081" s="6">
        <f t="shared" si="118"/>
        <v>2.3333333333333334E-2</v>
      </c>
      <c r="V1081" t="s">
        <v>29</v>
      </c>
    </row>
    <row r="1082" spans="1:22">
      <c r="A1082" s="3">
        <v>45702</v>
      </c>
      <c r="B1082" t="str">
        <f t="shared" si="112"/>
        <v>yyyy-02</v>
      </c>
      <c r="C1082">
        <f t="shared" si="113"/>
        <v>7</v>
      </c>
      <c r="D1082" t="s">
        <v>66</v>
      </c>
      <c r="E1082" t="s">
        <v>73</v>
      </c>
      <c r="F1082" t="s">
        <v>74</v>
      </c>
      <c r="G1082" t="s">
        <v>36</v>
      </c>
      <c r="H1082" t="s">
        <v>37</v>
      </c>
      <c r="I1082" s="5">
        <v>240</v>
      </c>
      <c r="J1082" s="5">
        <v>130</v>
      </c>
      <c r="K1082" s="5">
        <v>16</v>
      </c>
      <c r="L1082" s="5">
        <v>5</v>
      </c>
      <c r="M1082" s="5">
        <v>5</v>
      </c>
      <c r="N1082" s="7">
        <v>1159.8399999999999</v>
      </c>
      <c r="O1082" s="7">
        <f t="shared" si="114"/>
        <v>5799.2</v>
      </c>
      <c r="P1082" s="4">
        <v>0</v>
      </c>
      <c r="Q1082" s="7">
        <f t="shared" si="115"/>
        <v>0</v>
      </c>
      <c r="R1082" s="7">
        <f t="shared" si="116"/>
        <v>5799.2</v>
      </c>
      <c r="S1082" s="7">
        <f t="shared" si="117"/>
        <v>1159.8399999999999</v>
      </c>
      <c r="T1082" s="6">
        <f t="shared" si="118"/>
        <v>2.0833333333333332E-2</v>
      </c>
      <c r="V1082" t="s">
        <v>29</v>
      </c>
    </row>
    <row r="1083" spans="1:22">
      <c r="A1083" s="3">
        <v>45702</v>
      </c>
      <c r="B1083" t="str">
        <f t="shared" si="112"/>
        <v>yyyy-02</v>
      </c>
      <c r="C1083">
        <f t="shared" si="113"/>
        <v>7</v>
      </c>
      <c r="D1083" t="s">
        <v>66</v>
      </c>
      <c r="E1083" t="s">
        <v>71</v>
      </c>
      <c r="F1083" t="s">
        <v>75</v>
      </c>
      <c r="G1083" t="s">
        <v>36</v>
      </c>
      <c r="H1083" t="s">
        <v>37</v>
      </c>
      <c r="I1083" s="5">
        <v>348</v>
      </c>
      <c r="J1083" s="5">
        <v>215</v>
      </c>
      <c r="K1083" s="5">
        <v>13</v>
      </c>
      <c r="L1083" s="5">
        <v>5</v>
      </c>
      <c r="M1083" s="5">
        <v>6</v>
      </c>
      <c r="N1083" s="7">
        <v>37.950000000000003</v>
      </c>
      <c r="O1083" s="7">
        <f t="shared" si="114"/>
        <v>227.70000000000002</v>
      </c>
      <c r="P1083" s="4">
        <v>0</v>
      </c>
      <c r="Q1083" s="7">
        <f t="shared" si="115"/>
        <v>0</v>
      </c>
      <c r="R1083" s="7">
        <f t="shared" si="116"/>
        <v>227.70000000000002</v>
      </c>
      <c r="S1083" s="7">
        <f t="shared" si="117"/>
        <v>45.540000000000006</v>
      </c>
      <c r="T1083" s="6">
        <f t="shared" si="118"/>
        <v>1.4367816091954023E-2</v>
      </c>
      <c r="V1083" t="s">
        <v>29</v>
      </c>
    </row>
    <row r="1084" spans="1:22">
      <c r="A1084" s="3">
        <v>45702</v>
      </c>
      <c r="B1084" t="str">
        <f t="shared" si="112"/>
        <v>yyyy-02</v>
      </c>
      <c r="C1084">
        <f t="shared" si="113"/>
        <v>7</v>
      </c>
      <c r="D1084" t="s">
        <v>24</v>
      </c>
      <c r="E1084" t="s">
        <v>76</v>
      </c>
      <c r="F1084" t="s">
        <v>77</v>
      </c>
      <c r="G1084" t="s">
        <v>27</v>
      </c>
      <c r="H1084" t="s">
        <v>28</v>
      </c>
      <c r="I1084" s="5">
        <v>619</v>
      </c>
      <c r="J1084" s="5">
        <v>491</v>
      </c>
      <c r="K1084" s="5">
        <v>55</v>
      </c>
      <c r="L1084" s="5">
        <v>15</v>
      </c>
      <c r="M1084" s="5">
        <v>18</v>
      </c>
      <c r="N1084" s="7">
        <v>200.07</v>
      </c>
      <c r="O1084" s="7">
        <f t="shared" si="114"/>
        <v>3601.2599999999998</v>
      </c>
      <c r="P1084" s="4">
        <v>0.05</v>
      </c>
      <c r="Q1084" s="7">
        <f t="shared" si="115"/>
        <v>180.06299999999999</v>
      </c>
      <c r="R1084" s="7">
        <f t="shared" si="116"/>
        <v>3421.1969999999997</v>
      </c>
      <c r="S1084" s="7">
        <f t="shared" si="117"/>
        <v>228.07979999999998</v>
      </c>
      <c r="T1084" s="6">
        <f t="shared" si="118"/>
        <v>2.4232633279483037E-2</v>
      </c>
      <c r="V1084" t="s">
        <v>29</v>
      </c>
    </row>
    <row r="1085" spans="1:22">
      <c r="A1085" s="3">
        <v>45703</v>
      </c>
      <c r="B1085" t="str">
        <f t="shared" si="112"/>
        <v>yyyy-02</v>
      </c>
      <c r="C1085">
        <f t="shared" si="113"/>
        <v>7</v>
      </c>
      <c r="D1085" t="s">
        <v>24</v>
      </c>
      <c r="E1085" t="s">
        <v>25</v>
      </c>
      <c r="F1085" t="s">
        <v>26</v>
      </c>
      <c r="G1085" t="s">
        <v>36</v>
      </c>
      <c r="H1085" t="s">
        <v>37</v>
      </c>
      <c r="I1085" s="5">
        <v>2034</v>
      </c>
      <c r="J1085" s="5">
        <v>1087</v>
      </c>
      <c r="K1085" s="5">
        <v>87</v>
      </c>
      <c r="L1085" s="5">
        <v>37</v>
      </c>
      <c r="M1085" s="5">
        <v>37</v>
      </c>
      <c r="N1085" s="7">
        <v>995.09</v>
      </c>
      <c r="O1085" s="7">
        <f t="shared" si="114"/>
        <v>36818.33</v>
      </c>
      <c r="P1085" s="4">
        <v>0</v>
      </c>
      <c r="Q1085" s="7">
        <f t="shared" si="115"/>
        <v>0</v>
      </c>
      <c r="R1085" s="7">
        <f t="shared" si="116"/>
        <v>36818.33</v>
      </c>
      <c r="S1085" s="7">
        <f t="shared" si="117"/>
        <v>995.09</v>
      </c>
      <c r="T1085" s="6">
        <f t="shared" si="118"/>
        <v>1.8190757128810225E-2</v>
      </c>
      <c r="V1085" t="s">
        <v>29</v>
      </c>
    </row>
    <row r="1086" spans="1:22">
      <c r="A1086" s="3">
        <v>45703</v>
      </c>
      <c r="B1086" t="str">
        <f t="shared" si="112"/>
        <v>yyyy-02</v>
      </c>
      <c r="C1086">
        <f t="shared" si="113"/>
        <v>7</v>
      </c>
      <c r="D1086" t="s">
        <v>24</v>
      </c>
      <c r="E1086" t="s">
        <v>25</v>
      </c>
      <c r="F1086" t="s">
        <v>30</v>
      </c>
      <c r="G1086" t="s">
        <v>27</v>
      </c>
      <c r="H1086" t="s">
        <v>28</v>
      </c>
      <c r="I1086" s="5">
        <v>1677</v>
      </c>
      <c r="J1086" s="5">
        <v>1020</v>
      </c>
      <c r="K1086" s="5">
        <v>169</v>
      </c>
      <c r="L1086" s="5">
        <v>37</v>
      </c>
      <c r="M1086" s="5">
        <v>37</v>
      </c>
      <c r="N1086" s="7">
        <v>404.86</v>
      </c>
      <c r="O1086" s="7">
        <f t="shared" si="114"/>
        <v>14979.82</v>
      </c>
      <c r="P1086" s="4">
        <v>0</v>
      </c>
      <c r="Q1086" s="7">
        <f t="shared" si="115"/>
        <v>0</v>
      </c>
      <c r="R1086" s="7">
        <f t="shared" si="116"/>
        <v>14979.82</v>
      </c>
      <c r="S1086" s="7">
        <f t="shared" si="117"/>
        <v>404.86</v>
      </c>
      <c r="T1086" s="6">
        <f t="shared" si="118"/>
        <v>2.2063208109719738E-2</v>
      </c>
      <c r="V1086" t="s">
        <v>29</v>
      </c>
    </row>
    <row r="1087" spans="1:22">
      <c r="A1087" s="3">
        <v>45703</v>
      </c>
      <c r="B1087" t="str">
        <f t="shared" si="112"/>
        <v>yyyy-02</v>
      </c>
      <c r="C1087">
        <f t="shared" si="113"/>
        <v>7</v>
      </c>
      <c r="D1087" t="s">
        <v>24</v>
      </c>
      <c r="E1087" t="s">
        <v>25</v>
      </c>
      <c r="F1087" t="s">
        <v>33</v>
      </c>
      <c r="G1087" t="s">
        <v>36</v>
      </c>
      <c r="H1087" t="s">
        <v>37</v>
      </c>
      <c r="I1087" s="5">
        <v>1430</v>
      </c>
      <c r="J1087" s="5">
        <v>893</v>
      </c>
      <c r="K1087" s="5">
        <v>95</v>
      </c>
      <c r="L1087" s="5">
        <v>16</v>
      </c>
      <c r="M1087" s="5">
        <v>16</v>
      </c>
      <c r="N1087" s="7">
        <v>1771.84</v>
      </c>
      <c r="O1087" s="7">
        <f t="shared" si="114"/>
        <v>28349.439999999999</v>
      </c>
      <c r="P1087" s="4">
        <v>0</v>
      </c>
      <c r="Q1087" s="7">
        <f t="shared" si="115"/>
        <v>0</v>
      </c>
      <c r="R1087" s="7">
        <f t="shared" si="116"/>
        <v>28349.439999999999</v>
      </c>
      <c r="S1087" s="7">
        <f t="shared" si="117"/>
        <v>1771.84</v>
      </c>
      <c r="T1087" s="6">
        <f t="shared" si="118"/>
        <v>1.1188811188811189E-2</v>
      </c>
      <c r="V1087" t="s">
        <v>78</v>
      </c>
    </row>
    <row r="1088" spans="1:22">
      <c r="A1088" s="3">
        <v>45703</v>
      </c>
      <c r="B1088" t="str">
        <f t="shared" si="112"/>
        <v>yyyy-02</v>
      </c>
      <c r="C1088">
        <f t="shared" si="113"/>
        <v>7</v>
      </c>
      <c r="D1088" t="s">
        <v>24</v>
      </c>
      <c r="E1088" t="s">
        <v>34</v>
      </c>
      <c r="F1088" t="s">
        <v>35</v>
      </c>
      <c r="G1088" t="s">
        <v>36</v>
      </c>
      <c r="H1088" t="s">
        <v>37</v>
      </c>
      <c r="I1088" s="5">
        <v>1061</v>
      </c>
      <c r="J1088" s="5">
        <v>683</v>
      </c>
      <c r="K1088" s="5">
        <v>65</v>
      </c>
      <c r="L1088" s="5">
        <v>22</v>
      </c>
      <c r="M1088" s="5">
        <v>22</v>
      </c>
      <c r="N1088" s="7">
        <v>884.26</v>
      </c>
      <c r="O1088" s="7">
        <f t="shared" si="114"/>
        <v>19453.72</v>
      </c>
      <c r="P1088" s="4">
        <v>0</v>
      </c>
      <c r="Q1088" s="7">
        <f t="shared" si="115"/>
        <v>0</v>
      </c>
      <c r="R1088" s="7">
        <f t="shared" si="116"/>
        <v>19453.72</v>
      </c>
      <c r="S1088" s="7">
        <f t="shared" si="117"/>
        <v>884.2600000000001</v>
      </c>
      <c r="T1088" s="6">
        <f t="shared" si="118"/>
        <v>2.0735155513666354E-2</v>
      </c>
      <c r="V1088" t="s">
        <v>29</v>
      </c>
    </row>
    <row r="1089" spans="1:22">
      <c r="A1089" s="3">
        <v>45703</v>
      </c>
      <c r="B1089" t="str">
        <f t="shared" si="112"/>
        <v>yyyy-02</v>
      </c>
      <c r="C1089">
        <f t="shared" si="113"/>
        <v>7</v>
      </c>
      <c r="D1089" t="s">
        <v>24</v>
      </c>
      <c r="E1089" t="s">
        <v>38</v>
      </c>
      <c r="F1089" t="s">
        <v>39</v>
      </c>
      <c r="G1089" t="s">
        <v>27</v>
      </c>
      <c r="H1089" t="s">
        <v>45</v>
      </c>
      <c r="I1089" s="5">
        <v>943</v>
      </c>
      <c r="J1089" s="5">
        <v>525</v>
      </c>
      <c r="K1089" s="5">
        <v>85</v>
      </c>
      <c r="L1089" s="5">
        <v>22</v>
      </c>
      <c r="M1089" s="5">
        <v>22</v>
      </c>
      <c r="N1089" s="7">
        <v>316.77999999999997</v>
      </c>
      <c r="O1089" s="7">
        <f t="shared" si="114"/>
        <v>6969.16</v>
      </c>
      <c r="P1089" s="4">
        <v>0.09</v>
      </c>
      <c r="Q1089" s="7">
        <f t="shared" si="115"/>
        <v>627.22439999999995</v>
      </c>
      <c r="R1089" s="7">
        <f t="shared" si="116"/>
        <v>6341.9355999999998</v>
      </c>
      <c r="S1089" s="7">
        <f t="shared" si="117"/>
        <v>288.26979999999998</v>
      </c>
      <c r="T1089" s="6">
        <f t="shared" si="118"/>
        <v>2.3329798515376459E-2</v>
      </c>
      <c r="U1089" t="s">
        <v>84</v>
      </c>
      <c r="V1089" t="s">
        <v>29</v>
      </c>
    </row>
    <row r="1090" spans="1:22">
      <c r="A1090" s="3">
        <v>45703</v>
      </c>
      <c r="B1090" t="str">
        <f t="shared" si="112"/>
        <v>yyyy-02</v>
      </c>
      <c r="C1090">
        <f t="shared" si="113"/>
        <v>7</v>
      </c>
      <c r="D1090" t="s">
        <v>24</v>
      </c>
      <c r="E1090" t="s">
        <v>40</v>
      </c>
      <c r="F1090" t="s">
        <v>41</v>
      </c>
      <c r="G1090" t="s">
        <v>31</v>
      </c>
      <c r="H1090" t="s">
        <v>32</v>
      </c>
      <c r="I1090" s="5">
        <v>602</v>
      </c>
      <c r="J1090" s="5">
        <v>473</v>
      </c>
      <c r="K1090" s="5">
        <v>38</v>
      </c>
      <c r="L1090" s="5">
        <v>14</v>
      </c>
      <c r="M1090" s="5">
        <v>18</v>
      </c>
      <c r="N1090" s="7">
        <v>180.56</v>
      </c>
      <c r="O1090" s="7">
        <f t="shared" si="114"/>
        <v>3250.08</v>
      </c>
      <c r="P1090" s="4">
        <v>0</v>
      </c>
      <c r="Q1090" s="7">
        <f t="shared" si="115"/>
        <v>0</v>
      </c>
      <c r="R1090" s="7">
        <f t="shared" si="116"/>
        <v>3250.08</v>
      </c>
      <c r="S1090" s="7">
        <f t="shared" si="117"/>
        <v>232.14857142857142</v>
      </c>
      <c r="T1090" s="6">
        <f t="shared" si="118"/>
        <v>2.3255813953488372E-2</v>
      </c>
      <c r="V1090" t="s">
        <v>29</v>
      </c>
    </row>
    <row r="1091" spans="1:22">
      <c r="A1091" s="3">
        <v>45703</v>
      </c>
      <c r="B1091" t="str">
        <f t="shared" si="112"/>
        <v>yyyy-02</v>
      </c>
      <c r="C1091">
        <f t="shared" si="113"/>
        <v>7</v>
      </c>
      <c r="D1091" t="s">
        <v>42</v>
      </c>
      <c r="E1091" t="s">
        <v>43</v>
      </c>
      <c r="F1091" t="s">
        <v>44</v>
      </c>
      <c r="G1091" t="s">
        <v>27</v>
      </c>
      <c r="H1091" t="s">
        <v>45</v>
      </c>
      <c r="I1091" s="5">
        <v>596</v>
      </c>
      <c r="J1091" s="5">
        <v>357</v>
      </c>
      <c r="K1091" s="5">
        <v>41</v>
      </c>
      <c r="L1091" s="5">
        <v>10</v>
      </c>
      <c r="M1091" s="5">
        <v>10</v>
      </c>
      <c r="N1091" s="7">
        <v>1252.8900000000001</v>
      </c>
      <c r="O1091" s="7">
        <f t="shared" si="114"/>
        <v>12528.900000000001</v>
      </c>
      <c r="P1091" s="4">
        <v>0.03</v>
      </c>
      <c r="Q1091" s="7">
        <f t="shared" si="115"/>
        <v>375.86700000000002</v>
      </c>
      <c r="R1091" s="7">
        <f t="shared" si="116"/>
        <v>12153.033000000001</v>
      </c>
      <c r="S1091" s="7">
        <f t="shared" si="117"/>
        <v>1215.3033</v>
      </c>
      <c r="T1091" s="6">
        <f t="shared" si="118"/>
        <v>1.6778523489932886E-2</v>
      </c>
      <c r="V1091" t="s">
        <v>29</v>
      </c>
    </row>
    <row r="1092" spans="1:22">
      <c r="A1092" s="3">
        <v>45703</v>
      </c>
      <c r="B1092" t="str">
        <f t="shared" si="112"/>
        <v>yyyy-02</v>
      </c>
      <c r="C1092">
        <f t="shared" si="113"/>
        <v>7</v>
      </c>
      <c r="D1092" t="s">
        <v>42</v>
      </c>
      <c r="E1092" t="s">
        <v>43</v>
      </c>
      <c r="F1092" t="s">
        <v>46</v>
      </c>
      <c r="G1092" t="s">
        <v>36</v>
      </c>
      <c r="H1092" t="s">
        <v>37</v>
      </c>
      <c r="I1092" s="5">
        <v>496</v>
      </c>
      <c r="J1092" s="5">
        <v>316</v>
      </c>
      <c r="K1092" s="5">
        <v>38</v>
      </c>
      <c r="L1092" s="5">
        <v>8</v>
      </c>
      <c r="M1092" s="5">
        <v>8</v>
      </c>
      <c r="N1092" s="7">
        <v>2126.86</v>
      </c>
      <c r="O1092" s="7">
        <f t="shared" si="114"/>
        <v>17014.88</v>
      </c>
      <c r="P1092" s="4">
        <v>0.03</v>
      </c>
      <c r="Q1092" s="7">
        <f t="shared" si="115"/>
        <v>510.44640000000004</v>
      </c>
      <c r="R1092" s="7">
        <f t="shared" si="116"/>
        <v>16504.4336</v>
      </c>
      <c r="S1092" s="7">
        <f t="shared" si="117"/>
        <v>2063.0542</v>
      </c>
      <c r="T1092" s="6">
        <f t="shared" si="118"/>
        <v>1.6129032258064516E-2</v>
      </c>
      <c r="V1092" t="s">
        <v>29</v>
      </c>
    </row>
    <row r="1093" spans="1:22">
      <c r="A1093" s="3">
        <v>45703</v>
      </c>
      <c r="B1093" t="str">
        <f t="shared" ref="B1093:B1156" si="119">TEXT(A1093,"yyyy-mm")</f>
        <v>yyyy-02</v>
      </c>
      <c r="C1093">
        <f t="shared" ref="C1093:C1156" si="120">WEEKNUM(A1093,2)</f>
        <v>7</v>
      </c>
      <c r="D1093" t="s">
        <v>42</v>
      </c>
      <c r="E1093" t="s">
        <v>43</v>
      </c>
      <c r="F1093" t="s">
        <v>47</v>
      </c>
      <c r="G1093" t="s">
        <v>36</v>
      </c>
      <c r="H1093" t="s">
        <v>37</v>
      </c>
      <c r="I1093" s="5">
        <v>733</v>
      </c>
      <c r="J1093" s="5">
        <v>475</v>
      </c>
      <c r="K1093" s="5">
        <v>39</v>
      </c>
      <c r="L1093" s="5">
        <v>10</v>
      </c>
      <c r="M1093" s="5">
        <v>10</v>
      </c>
      <c r="N1093" s="7">
        <v>595.80999999999995</v>
      </c>
      <c r="O1093" s="7">
        <f t="shared" ref="O1093:O1156" si="121">M1093*N1093</f>
        <v>5958.0999999999995</v>
      </c>
      <c r="P1093" s="4">
        <v>0</v>
      </c>
      <c r="Q1093" s="7">
        <f t="shared" ref="Q1093:Q1156" si="122">O1093*P1093</f>
        <v>0</v>
      </c>
      <c r="R1093" s="7">
        <f t="shared" ref="R1093:R1156" si="123">O1093-Q1093</f>
        <v>5958.0999999999995</v>
      </c>
      <c r="S1093" s="7">
        <f t="shared" ref="S1093:S1156" si="124">IFERROR(R1093/L1093,0)</f>
        <v>595.80999999999995</v>
      </c>
      <c r="T1093" s="6">
        <f t="shared" ref="T1093:T1156" si="125">IFERROR(L1093/I1093,0)</f>
        <v>1.3642564802182811E-2</v>
      </c>
      <c r="V1093" t="s">
        <v>29</v>
      </c>
    </row>
    <row r="1094" spans="1:22">
      <c r="A1094" s="3">
        <v>45703</v>
      </c>
      <c r="B1094" t="str">
        <f t="shared" si="119"/>
        <v>yyyy-02</v>
      </c>
      <c r="C1094">
        <f t="shared" si="120"/>
        <v>7</v>
      </c>
      <c r="D1094" t="s">
        <v>42</v>
      </c>
      <c r="E1094" t="s">
        <v>49</v>
      </c>
      <c r="F1094" t="s">
        <v>50</v>
      </c>
      <c r="G1094" t="s">
        <v>27</v>
      </c>
      <c r="H1094" t="s">
        <v>45</v>
      </c>
      <c r="I1094" s="5">
        <v>111</v>
      </c>
      <c r="J1094" s="5">
        <v>82</v>
      </c>
      <c r="K1094" s="5">
        <v>5</v>
      </c>
      <c r="L1094" s="5">
        <v>1</v>
      </c>
      <c r="M1094" s="5">
        <v>1</v>
      </c>
      <c r="N1094" s="7">
        <v>964</v>
      </c>
      <c r="O1094" s="7">
        <f t="shared" si="121"/>
        <v>964</v>
      </c>
      <c r="P1094" s="4">
        <v>0</v>
      </c>
      <c r="Q1094" s="7">
        <f t="shared" si="122"/>
        <v>0</v>
      </c>
      <c r="R1094" s="7">
        <f t="shared" si="123"/>
        <v>964</v>
      </c>
      <c r="S1094" s="7">
        <f t="shared" si="124"/>
        <v>964</v>
      </c>
      <c r="T1094" s="6">
        <f t="shared" si="125"/>
        <v>9.0090090090090089E-3</v>
      </c>
      <c r="V1094" t="s">
        <v>29</v>
      </c>
    </row>
    <row r="1095" spans="1:22">
      <c r="A1095" s="3">
        <v>45703</v>
      </c>
      <c r="B1095" t="str">
        <f t="shared" si="119"/>
        <v>yyyy-02</v>
      </c>
      <c r="C1095">
        <f t="shared" si="120"/>
        <v>7</v>
      </c>
      <c r="D1095" t="s">
        <v>42</v>
      </c>
      <c r="E1095" t="s">
        <v>51</v>
      </c>
      <c r="F1095" t="s">
        <v>52</v>
      </c>
      <c r="G1095" t="s">
        <v>27</v>
      </c>
      <c r="H1095" t="s">
        <v>28</v>
      </c>
      <c r="I1095" s="5">
        <v>244</v>
      </c>
      <c r="J1095" s="5">
        <v>142</v>
      </c>
      <c r="K1095" s="5">
        <v>15</v>
      </c>
      <c r="L1095" s="5">
        <v>3</v>
      </c>
      <c r="M1095" s="5">
        <v>3</v>
      </c>
      <c r="N1095" s="7">
        <v>575.51</v>
      </c>
      <c r="O1095" s="7">
        <f t="shared" si="121"/>
        <v>1726.53</v>
      </c>
      <c r="P1095" s="4">
        <v>0.11</v>
      </c>
      <c r="Q1095" s="7">
        <f t="shared" si="122"/>
        <v>189.91829999999999</v>
      </c>
      <c r="R1095" s="7">
        <f t="shared" si="123"/>
        <v>1536.6116999999999</v>
      </c>
      <c r="S1095" s="7">
        <f t="shared" si="124"/>
        <v>512.20389999999998</v>
      </c>
      <c r="T1095" s="6">
        <f t="shared" si="125"/>
        <v>1.2295081967213115E-2</v>
      </c>
      <c r="U1095" t="s">
        <v>85</v>
      </c>
      <c r="V1095" t="s">
        <v>29</v>
      </c>
    </row>
    <row r="1096" spans="1:22">
      <c r="A1096" s="3">
        <v>45703</v>
      </c>
      <c r="B1096" t="str">
        <f t="shared" si="119"/>
        <v>yyyy-02</v>
      </c>
      <c r="C1096">
        <f t="shared" si="120"/>
        <v>7</v>
      </c>
      <c r="D1096" t="s">
        <v>53</v>
      </c>
      <c r="E1096" t="s">
        <v>54</v>
      </c>
      <c r="F1096" t="s">
        <v>55</v>
      </c>
      <c r="G1096" t="s">
        <v>31</v>
      </c>
      <c r="H1096" t="s">
        <v>32</v>
      </c>
      <c r="I1096" s="5">
        <v>178</v>
      </c>
      <c r="J1096" s="5">
        <v>98</v>
      </c>
      <c r="K1096" s="5">
        <v>8</v>
      </c>
      <c r="L1096" s="5">
        <v>2</v>
      </c>
      <c r="M1096" s="5">
        <v>2</v>
      </c>
      <c r="N1096" s="7">
        <v>1313.95</v>
      </c>
      <c r="O1096" s="7">
        <f t="shared" si="121"/>
        <v>2627.9</v>
      </c>
      <c r="P1096" s="4">
        <v>0</v>
      </c>
      <c r="Q1096" s="7">
        <f t="shared" si="122"/>
        <v>0</v>
      </c>
      <c r="R1096" s="7">
        <f t="shared" si="123"/>
        <v>2627.9</v>
      </c>
      <c r="S1096" s="7">
        <f t="shared" si="124"/>
        <v>1313.95</v>
      </c>
      <c r="T1096" s="6">
        <f t="shared" si="125"/>
        <v>1.1235955056179775E-2</v>
      </c>
      <c r="V1096" t="s">
        <v>29</v>
      </c>
    </row>
    <row r="1097" spans="1:22">
      <c r="A1097" s="3">
        <v>45703</v>
      </c>
      <c r="B1097" t="str">
        <f t="shared" si="119"/>
        <v>yyyy-02</v>
      </c>
      <c r="C1097">
        <f t="shared" si="120"/>
        <v>7</v>
      </c>
      <c r="D1097" t="s">
        <v>53</v>
      </c>
      <c r="E1097" t="s">
        <v>56</v>
      </c>
      <c r="F1097" t="s">
        <v>57</v>
      </c>
      <c r="G1097" t="s">
        <v>27</v>
      </c>
      <c r="H1097" t="s">
        <v>45</v>
      </c>
      <c r="I1097" s="5">
        <v>164</v>
      </c>
      <c r="J1097" s="5">
        <v>90</v>
      </c>
      <c r="K1097" s="5">
        <v>6</v>
      </c>
      <c r="L1097" s="5">
        <v>1</v>
      </c>
      <c r="M1097" s="5">
        <v>1</v>
      </c>
      <c r="N1097" s="7">
        <v>739.37</v>
      </c>
      <c r="O1097" s="7">
        <f t="shared" si="121"/>
        <v>739.37</v>
      </c>
      <c r="P1097" s="4">
        <v>0</v>
      </c>
      <c r="Q1097" s="7">
        <f t="shared" si="122"/>
        <v>0</v>
      </c>
      <c r="R1097" s="7">
        <f t="shared" si="123"/>
        <v>739.37</v>
      </c>
      <c r="S1097" s="7">
        <f t="shared" si="124"/>
        <v>739.37</v>
      </c>
      <c r="T1097" s="6">
        <f t="shared" si="125"/>
        <v>6.0975609756097563E-3</v>
      </c>
      <c r="V1097" t="s">
        <v>29</v>
      </c>
    </row>
    <row r="1098" spans="1:22">
      <c r="A1098" s="3">
        <v>45703</v>
      </c>
      <c r="B1098" t="str">
        <f t="shared" si="119"/>
        <v>yyyy-02</v>
      </c>
      <c r="C1098">
        <f t="shared" si="120"/>
        <v>7</v>
      </c>
      <c r="D1098" t="s">
        <v>53</v>
      </c>
      <c r="E1098" t="s">
        <v>56</v>
      </c>
      <c r="F1098" t="s">
        <v>58</v>
      </c>
      <c r="G1098" t="s">
        <v>27</v>
      </c>
      <c r="H1098" t="s">
        <v>28</v>
      </c>
      <c r="I1098" s="5">
        <v>165</v>
      </c>
      <c r="J1098" s="5">
        <v>95</v>
      </c>
      <c r="K1098" s="5">
        <v>6</v>
      </c>
      <c r="L1098" s="5">
        <v>2</v>
      </c>
      <c r="M1098" s="5">
        <v>2</v>
      </c>
      <c r="N1098" s="7">
        <v>909.96</v>
      </c>
      <c r="O1098" s="7">
        <f t="shared" si="121"/>
        <v>1819.92</v>
      </c>
      <c r="P1098" s="4">
        <v>0</v>
      </c>
      <c r="Q1098" s="7">
        <f t="shared" si="122"/>
        <v>0</v>
      </c>
      <c r="R1098" s="7">
        <f t="shared" si="123"/>
        <v>1819.92</v>
      </c>
      <c r="S1098" s="7">
        <f t="shared" si="124"/>
        <v>909.96</v>
      </c>
      <c r="T1098" s="6">
        <f t="shared" si="125"/>
        <v>1.2121212121212121E-2</v>
      </c>
      <c r="V1098" t="s">
        <v>29</v>
      </c>
    </row>
    <row r="1099" spans="1:22">
      <c r="A1099" s="3">
        <v>45703</v>
      </c>
      <c r="B1099" t="str">
        <f t="shared" si="119"/>
        <v>yyyy-02</v>
      </c>
      <c r="C1099">
        <f t="shared" si="120"/>
        <v>7</v>
      </c>
      <c r="D1099" t="s">
        <v>53</v>
      </c>
      <c r="E1099" t="s">
        <v>59</v>
      </c>
      <c r="F1099" t="s">
        <v>60</v>
      </c>
      <c r="G1099" t="s">
        <v>27</v>
      </c>
      <c r="H1099" t="s">
        <v>28</v>
      </c>
      <c r="I1099" s="5">
        <v>168</v>
      </c>
      <c r="J1099" s="5">
        <v>88</v>
      </c>
      <c r="K1099" s="5">
        <v>7</v>
      </c>
      <c r="L1099" s="5">
        <v>2</v>
      </c>
      <c r="M1099" s="5">
        <v>2</v>
      </c>
      <c r="N1099" s="7">
        <v>693.31</v>
      </c>
      <c r="O1099" s="7">
        <f t="shared" si="121"/>
        <v>1386.62</v>
      </c>
      <c r="P1099" s="4">
        <v>0</v>
      </c>
      <c r="Q1099" s="7">
        <f t="shared" si="122"/>
        <v>0</v>
      </c>
      <c r="R1099" s="7">
        <f t="shared" si="123"/>
        <v>1386.62</v>
      </c>
      <c r="S1099" s="7">
        <f t="shared" si="124"/>
        <v>693.31</v>
      </c>
      <c r="T1099" s="6">
        <f t="shared" si="125"/>
        <v>1.1904761904761904E-2</v>
      </c>
      <c r="V1099" t="s">
        <v>29</v>
      </c>
    </row>
    <row r="1100" spans="1:22">
      <c r="A1100" s="3">
        <v>45703</v>
      </c>
      <c r="B1100" t="str">
        <f t="shared" si="119"/>
        <v>yyyy-02</v>
      </c>
      <c r="C1100">
        <f t="shared" si="120"/>
        <v>7</v>
      </c>
      <c r="D1100" t="s">
        <v>53</v>
      </c>
      <c r="E1100" t="s">
        <v>61</v>
      </c>
      <c r="F1100" t="s">
        <v>62</v>
      </c>
      <c r="G1100" t="s">
        <v>36</v>
      </c>
      <c r="H1100" t="s">
        <v>37</v>
      </c>
      <c r="I1100" s="5">
        <v>199</v>
      </c>
      <c r="J1100" s="5">
        <v>108</v>
      </c>
      <c r="K1100" s="5">
        <v>9</v>
      </c>
      <c r="L1100" s="5">
        <v>2</v>
      </c>
      <c r="M1100" s="5">
        <v>2</v>
      </c>
      <c r="N1100" s="7">
        <v>494.25</v>
      </c>
      <c r="O1100" s="7">
        <f t="shared" si="121"/>
        <v>988.5</v>
      </c>
      <c r="P1100" s="4">
        <v>0</v>
      </c>
      <c r="Q1100" s="7">
        <f t="shared" si="122"/>
        <v>0</v>
      </c>
      <c r="R1100" s="7">
        <f t="shared" si="123"/>
        <v>988.5</v>
      </c>
      <c r="S1100" s="7">
        <f t="shared" si="124"/>
        <v>494.25</v>
      </c>
      <c r="T1100" s="6">
        <f t="shared" si="125"/>
        <v>1.0050251256281407E-2</v>
      </c>
      <c r="V1100" t="s">
        <v>29</v>
      </c>
    </row>
    <row r="1101" spans="1:22">
      <c r="A1101" s="3">
        <v>45703</v>
      </c>
      <c r="B1101" t="str">
        <f t="shared" si="119"/>
        <v>yyyy-02</v>
      </c>
      <c r="C1101">
        <f t="shared" si="120"/>
        <v>7</v>
      </c>
      <c r="D1101" t="s">
        <v>53</v>
      </c>
      <c r="E1101" t="s">
        <v>64</v>
      </c>
      <c r="F1101" t="s">
        <v>65</v>
      </c>
      <c r="G1101" t="s">
        <v>31</v>
      </c>
      <c r="H1101" t="s">
        <v>32</v>
      </c>
      <c r="I1101" s="5">
        <v>295</v>
      </c>
      <c r="J1101" s="5">
        <v>238</v>
      </c>
      <c r="K1101" s="5">
        <v>13</v>
      </c>
      <c r="L1101" s="5">
        <v>3</v>
      </c>
      <c r="M1101" s="5">
        <v>3</v>
      </c>
      <c r="N1101" s="7">
        <v>780.27</v>
      </c>
      <c r="O1101" s="7">
        <f t="shared" si="121"/>
        <v>2340.81</v>
      </c>
      <c r="P1101" s="4">
        <v>0</v>
      </c>
      <c r="Q1101" s="7">
        <f t="shared" si="122"/>
        <v>0</v>
      </c>
      <c r="R1101" s="7">
        <f t="shared" si="123"/>
        <v>2340.81</v>
      </c>
      <c r="S1101" s="7">
        <f t="shared" si="124"/>
        <v>780.27</v>
      </c>
      <c r="T1101" s="6">
        <f t="shared" si="125"/>
        <v>1.0169491525423728E-2</v>
      </c>
      <c r="V1101" t="s">
        <v>29</v>
      </c>
    </row>
    <row r="1102" spans="1:22">
      <c r="A1102" s="3">
        <v>45703</v>
      </c>
      <c r="B1102" t="str">
        <f t="shared" si="119"/>
        <v>yyyy-02</v>
      </c>
      <c r="C1102">
        <f t="shared" si="120"/>
        <v>7</v>
      </c>
      <c r="D1102" t="s">
        <v>66</v>
      </c>
      <c r="E1102" t="s">
        <v>67</v>
      </c>
      <c r="F1102" t="s">
        <v>68</v>
      </c>
      <c r="G1102" t="s">
        <v>27</v>
      </c>
      <c r="H1102" t="s">
        <v>28</v>
      </c>
      <c r="I1102" s="5">
        <v>399</v>
      </c>
      <c r="J1102" s="5">
        <v>291</v>
      </c>
      <c r="K1102" s="5">
        <v>39</v>
      </c>
      <c r="L1102" s="5">
        <v>8</v>
      </c>
      <c r="M1102" s="5">
        <v>8</v>
      </c>
      <c r="N1102" s="7">
        <v>673.27</v>
      </c>
      <c r="O1102" s="7">
        <f t="shared" si="121"/>
        <v>5386.16</v>
      </c>
      <c r="P1102" s="4">
        <v>0.03</v>
      </c>
      <c r="Q1102" s="7">
        <f t="shared" si="122"/>
        <v>161.5848</v>
      </c>
      <c r="R1102" s="7">
        <f t="shared" si="123"/>
        <v>5224.5752000000002</v>
      </c>
      <c r="S1102" s="7">
        <f t="shared" si="124"/>
        <v>653.07190000000003</v>
      </c>
      <c r="T1102" s="6">
        <f t="shared" si="125"/>
        <v>2.0050125313283207E-2</v>
      </c>
      <c r="V1102" t="s">
        <v>29</v>
      </c>
    </row>
    <row r="1103" spans="1:22">
      <c r="A1103" s="3">
        <v>45703</v>
      </c>
      <c r="B1103" t="str">
        <f t="shared" si="119"/>
        <v>yyyy-02</v>
      </c>
      <c r="C1103">
        <f t="shared" si="120"/>
        <v>7</v>
      </c>
      <c r="D1103" t="s">
        <v>66</v>
      </c>
      <c r="E1103" t="s">
        <v>67</v>
      </c>
      <c r="F1103" t="s">
        <v>69</v>
      </c>
      <c r="G1103" t="s">
        <v>31</v>
      </c>
      <c r="H1103" t="s">
        <v>32</v>
      </c>
      <c r="I1103" s="5">
        <v>401</v>
      </c>
      <c r="J1103" s="5">
        <v>318</v>
      </c>
      <c r="K1103" s="5">
        <v>26</v>
      </c>
      <c r="L1103" s="5">
        <v>8</v>
      </c>
      <c r="M1103" s="5">
        <v>8</v>
      </c>
      <c r="N1103" s="7">
        <v>388.3</v>
      </c>
      <c r="O1103" s="7">
        <f t="shared" si="121"/>
        <v>3106.4</v>
      </c>
      <c r="P1103" s="4">
        <v>0</v>
      </c>
      <c r="Q1103" s="7">
        <f t="shared" si="122"/>
        <v>0</v>
      </c>
      <c r="R1103" s="7">
        <f t="shared" si="123"/>
        <v>3106.4</v>
      </c>
      <c r="S1103" s="7">
        <f t="shared" si="124"/>
        <v>388.3</v>
      </c>
      <c r="T1103" s="6">
        <f t="shared" si="125"/>
        <v>1.9950124688279301E-2</v>
      </c>
      <c r="V1103" t="s">
        <v>29</v>
      </c>
    </row>
    <row r="1104" spans="1:22">
      <c r="A1104" s="3">
        <v>45703</v>
      </c>
      <c r="B1104" t="str">
        <f t="shared" si="119"/>
        <v>yyyy-02</v>
      </c>
      <c r="C1104">
        <f t="shared" si="120"/>
        <v>7</v>
      </c>
      <c r="D1104" t="s">
        <v>66</v>
      </c>
      <c r="E1104" t="s">
        <v>67</v>
      </c>
      <c r="F1104" t="s">
        <v>70</v>
      </c>
      <c r="G1104" t="s">
        <v>27</v>
      </c>
      <c r="H1104" t="s">
        <v>48</v>
      </c>
      <c r="I1104" s="5">
        <v>291</v>
      </c>
      <c r="J1104" s="5">
        <v>169</v>
      </c>
      <c r="K1104" s="5">
        <v>18</v>
      </c>
      <c r="L1104" s="5">
        <v>6</v>
      </c>
      <c r="M1104" s="5">
        <v>6</v>
      </c>
      <c r="N1104" s="7">
        <v>347.53</v>
      </c>
      <c r="O1104" s="7">
        <f t="shared" si="121"/>
        <v>2085.1799999999998</v>
      </c>
      <c r="P1104" s="4">
        <v>0.05</v>
      </c>
      <c r="Q1104" s="7">
        <f t="shared" si="122"/>
        <v>104.259</v>
      </c>
      <c r="R1104" s="7">
        <f t="shared" si="123"/>
        <v>1980.9209999999998</v>
      </c>
      <c r="S1104" s="7">
        <f t="shared" si="124"/>
        <v>330.15349999999995</v>
      </c>
      <c r="T1104" s="6">
        <f t="shared" si="125"/>
        <v>2.0618556701030927E-2</v>
      </c>
      <c r="V1104" t="s">
        <v>29</v>
      </c>
    </row>
    <row r="1105" spans="1:22">
      <c r="A1105" s="3">
        <v>45703</v>
      </c>
      <c r="B1105" t="str">
        <f t="shared" si="119"/>
        <v>yyyy-02</v>
      </c>
      <c r="C1105">
        <f t="shared" si="120"/>
        <v>7</v>
      </c>
      <c r="D1105" t="s">
        <v>66</v>
      </c>
      <c r="E1105" t="s">
        <v>71</v>
      </c>
      <c r="F1105" t="s">
        <v>72</v>
      </c>
      <c r="G1105" t="s">
        <v>27</v>
      </c>
      <c r="H1105" t="s">
        <v>45</v>
      </c>
      <c r="I1105" s="5">
        <v>363</v>
      </c>
      <c r="J1105" s="5">
        <v>271</v>
      </c>
      <c r="K1105" s="5">
        <v>33</v>
      </c>
      <c r="L1105" s="5">
        <v>8</v>
      </c>
      <c r="M1105" s="5">
        <v>10</v>
      </c>
      <c r="N1105" s="7">
        <v>125.13</v>
      </c>
      <c r="O1105" s="7">
        <f t="shared" si="121"/>
        <v>1251.3</v>
      </c>
      <c r="P1105" s="4">
        <v>0</v>
      </c>
      <c r="Q1105" s="7">
        <f t="shared" si="122"/>
        <v>0</v>
      </c>
      <c r="R1105" s="7">
        <f t="shared" si="123"/>
        <v>1251.3</v>
      </c>
      <c r="S1105" s="7">
        <f t="shared" si="124"/>
        <v>156.41249999999999</v>
      </c>
      <c r="T1105" s="6">
        <f t="shared" si="125"/>
        <v>2.2038567493112948E-2</v>
      </c>
      <c r="V1105" t="s">
        <v>29</v>
      </c>
    </row>
    <row r="1106" spans="1:22">
      <c r="A1106" s="3">
        <v>45703</v>
      </c>
      <c r="B1106" t="str">
        <f t="shared" si="119"/>
        <v>yyyy-02</v>
      </c>
      <c r="C1106">
        <f t="shared" si="120"/>
        <v>7</v>
      </c>
      <c r="D1106" t="s">
        <v>66</v>
      </c>
      <c r="E1106" t="s">
        <v>73</v>
      </c>
      <c r="F1106" t="s">
        <v>74</v>
      </c>
      <c r="G1106" t="s">
        <v>36</v>
      </c>
      <c r="H1106" t="s">
        <v>37</v>
      </c>
      <c r="I1106" s="5">
        <v>214</v>
      </c>
      <c r="J1106" s="5">
        <v>112</v>
      </c>
      <c r="K1106" s="5">
        <v>12</v>
      </c>
      <c r="L1106" s="5">
        <v>4</v>
      </c>
      <c r="M1106" s="5">
        <v>4</v>
      </c>
      <c r="N1106" s="7">
        <v>1170.02</v>
      </c>
      <c r="O1106" s="7">
        <f t="shared" si="121"/>
        <v>4680.08</v>
      </c>
      <c r="P1106" s="4">
        <v>0</v>
      </c>
      <c r="Q1106" s="7">
        <f t="shared" si="122"/>
        <v>0</v>
      </c>
      <c r="R1106" s="7">
        <f t="shared" si="123"/>
        <v>4680.08</v>
      </c>
      <c r="S1106" s="7">
        <f t="shared" si="124"/>
        <v>1170.02</v>
      </c>
      <c r="T1106" s="6">
        <f t="shared" si="125"/>
        <v>1.8691588785046728E-2</v>
      </c>
      <c r="V1106" t="s">
        <v>29</v>
      </c>
    </row>
    <row r="1107" spans="1:22">
      <c r="A1107" s="3">
        <v>45703</v>
      </c>
      <c r="B1107" t="str">
        <f t="shared" si="119"/>
        <v>yyyy-02</v>
      </c>
      <c r="C1107">
        <f t="shared" si="120"/>
        <v>7</v>
      </c>
      <c r="D1107" t="s">
        <v>66</v>
      </c>
      <c r="E1107" t="s">
        <v>71</v>
      </c>
      <c r="F1107" t="s">
        <v>75</v>
      </c>
      <c r="G1107" t="s">
        <v>31</v>
      </c>
      <c r="H1107" t="s">
        <v>32</v>
      </c>
      <c r="I1107" s="5">
        <v>463</v>
      </c>
      <c r="J1107" s="5">
        <v>308</v>
      </c>
      <c r="K1107" s="5">
        <v>28</v>
      </c>
      <c r="L1107" s="5">
        <v>6</v>
      </c>
      <c r="M1107" s="5">
        <v>6</v>
      </c>
      <c r="N1107" s="7">
        <v>37.479999999999997</v>
      </c>
      <c r="O1107" s="7">
        <f t="shared" si="121"/>
        <v>224.88</v>
      </c>
      <c r="P1107" s="4">
        <v>0.05</v>
      </c>
      <c r="Q1107" s="7">
        <f t="shared" si="122"/>
        <v>11.244</v>
      </c>
      <c r="R1107" s="7">
        <f t="shared" si="123"/>
        <v>213.636</v>
      </c>
      <c r="S1107" s="7">
        <f t="shared" si="124"/>
        <v>35.606000000000002</v>
      </c>
      <c r="T1107" s="6">
        <f t="shared" si="125"/>
        <v>1.2958963282937365E-2</v>
      </c>
      <c r="V1107" t="s">
        <v>29</v>
      </c>
    </row>
    <row r="1108" spans="1:22">
      <c r="A1108" s="3">
        <v>45703</v>
      </c>
      <c r="B1108" t="str">
        <f t="shared" si="119"/>
        <v>yyyy-02</v>
      </c>
      <c r="C1108">
        <f t="shared" si="120"/>
        <v>7</v>
      </c>
      <c r="D1108" t="s">
        <v>24</v>
      </c>
      <c r="E1108" t="s">
        <v>76</v>
      </c>
      <c r="F1108" t="s">
        <v>77</v>
      </c>
      <c r="G1108" t="s">
        <v>27</v>
      </c>
      <c r="H1108" t="s">
        <v>45</v>
      </c>
      <c r="I1108" s="5">
        <v>532</v>
      </c>
      <c r="J1108" s="5">
        <v>363</v>
      </c>
      <c r="K1108" s="5">
        <v>22</v>
      </c>
      <c r="L1108" s="5">
        <v>9</v>
      </c>
      <c r="M1108" s="5">
        <v>10</v>
      </c>
      <c r="N1108" s="7">
        <v>199.83</v>
      </c>
      <c r="O1108" s="7">
        <f t="shared" si="121"/>
        <v>1998.3000000000002</v>
      </c>
      <c r="P1108" s="4">
        <v>0</v>
      </c>
      <c r="Q1108" s="7">
        <f t="shared" si="122"/>
        <v>0</v>
      </c>
      <c r="R1108" s="7">
        <f t="shared" si="123"/>
        <v>1998.3000000000002</v>
      </c>
      <c r="S1108" s="7">
        <f t="shared" si="124"/>
        <v>222.03333333333336</v>
      </c>
      <c r="T1108" s="6">
        <f t="shared" si="125"/>
        <v>1.6917293233082706E-2</v>
      </c>
      <c r="V1108" t="s">
        <v>29</v>
      </c>
    </row>
    <row r="1109" spans="1:22">
      <c r="A1109" s="3">
        <v>45704</v>
      </c>
      <c r="B1109" t="str">
        <f t="shared" si="119"/>
        <v>yyyy-02</v>
      </c>
      <c r="C1109">
        <f t="shared" si="120"/>
        <v>7</v>
      </c>
      <c r="D1109" t="s">
        <v>24</v>
      </c>
      <c r="E1109" t="s">
        <v>25</v>
      </c>
      <c r="F1109" t="s">
        <v>26</v>
      </c>
      <c r="G1109" t="s">
        <v>36</v>
      </c>
      <c r="H1109" t="s">
        <v>37</v>
      </c>
      <c r="I1109" s="5">
        <v>1373</v>
      </c>
      <c r="J1109" s="5">
        <v>821</v>
      </c>
      <c r="K1109" s="5">
        <v>126</v>
      </c>
      <c r="L1109" s="5">
        <v>28</v>
      </c>
      <c r="M1109" s="5">
        <v>28</v>
      </c>
      <c r="N1109" s="7">
        <v>979.04</v>
      </c>
      <c r="O1109" s="7">
        <f t="shared" si="121"/>
        <v>27413.119999999999</v>
      </c>
      <c r="P1109" s="4">
        <v>0.05</v>
      </c>
      <c r="Q1109" s="7">
        <f t="shared" si="122"/>
        <v>1370.6559999999999</v>
      </c>
      <c r="R1109" s="7">
        <f t="shared" si="123"/>
        <v>26042.464</v>
      </c>
      <c r="S1109" s="7">
        <f t="shared" si="124"/>
        <v>930.08799999999997</v>
      </c>
      <c r="T1109" s="6">
        <f t="shared" si="125"/>
        <v>2.0393299344501091E-2</v>
      </c>
      <c r="V1109" t="s">
        <v>29</v>
      </c>
    </row>
    <row r="1110" spans="1:22">
      <c r="A1110" s="3">
        <v>45704</v>
      </c>
      <c r="B1110" t="str">
        <f t="shared" si="119"/>
        <v>yyyy-02</v>
      </c>
      <c r="C1110">
        <f t="shared" si="120"/>
        <v>7</v>
      </c>
      <c r="D1110" t="s">
        <v>24</v>
      </c>
      <c r="E1110" t="s">
        <v>25</v>
      </c>
      <c r="F1110" t="s">
        <v>30</v>
      </c>
      <c r="G1110" t="s">
        <v>27</v>
      </c>
      <c r="H1110" t="s">
        <v>28</v>
      </c>
      <c r="I1110" s="5">
        <v>1492</v>
      </c>
      <c r="J1110" s="5">
        <v>1193</v>
      </c>
      <c r="K1110" s="5">
        <v>113</v>
      </c>
      <c r="L1110" s="5">
        <v>32</v>
      </c>
      <c r="M1110" s="5">
        <v>32</v>
      </c>
      <c r="N1110" s="7">
        <v>400.47</v>
      </c>
      <c r="O1110" s="7">
        <f t="shared" si="121"/>
        <v>12815.04</v>
      </c>
      <c r="P1110" s="4">
        <v>0.05</v>
      </c>
      <c r="Q1110" s="7">
        <f t="shared" si="122"/>
        <v>640.75200000000007</v>
      </c>
      <c r="R1110" s="7">
        <f t="shared" si="123"/>
        <v>12174.288</v>
      </c>
      <c r="S1110" s="7">
        <f t="shared" si="124"/>
        <v>380.44650000000001</v>
      </c>
      <c r="T1110" s="6">
        <f t="shared" si="125"/>
        <v>2.1447721179624665E-2</v>
      </c>
      <c r="V1110" t="s">
        <v>29</v>
      </c>
    </row>
    <row r="1111" spans="1:22">
      <c r="A1111" s="3">
        <v>45704</v>
      </c>
      <c r="B1111" t="str">
        <f t="shared" si="119"/>
        <v>yyyy-02</v>
      </c>
      <c r="C1111">
        <f t="shared" si="120"/>
        <v>7</v>
      </c>
      <c r="D1111" t="s">
        <v>24</v>
      </c>
      <c r="E1111" t="s">
        <v>25</v>
      </c>
      <c r="F1111" t="s">
        <v>33</v>
      </c>
      <c r="G1111" t="s">
        <v>31</v>
      </c>
      <c r="H1111" t="s">
        <v>32</v>
      </c>
      <c r="I1111" s="5">
        <v>1810</v>
      </c>
      <c r="J1111" s="5">
        <v>1220</v>
      </c>
      <c r="K1111" s="5">
        <v>144</v>
      </c>
      <c r="L1111" s="5">
        <v>32</v>
      </c>
      <c r="M1111" s="5">
        <v>32</v>
      </c>
      <c r="N1111" s="7">
        <v>1765.84</v>
      </c>
      <c r="O1111" s="7">
        <f t="shared" si="121"/>
        <v>56506.879999999997</v>
      </c>
      <c r="P1111" s="4">
        <v>0</v>
      </c>
      <c r="Q1111" s="7">
        <f t="shared" si="122"/>
        <v>0</v>
      </c>
      <c r="R1111" s="7">
        <f t="shared" si="123"/>
        <v>56506.879999999997</v>
      </c>
      <c r="S1111" s="7">
        <f t="shared" si="124"/>
        <v>1765.84</v>
      </c>
      <c r="T1111" s="6">
        <f t="shared" si="125"/>
        <v>1.7679558011049725E-2</v>
      </c>
      <c r="V1111" t="s">
        <v>29</v>
      </c>
    </row>
    <row r="1112" spans="1:22">
      <c r="A1112" s="3">
        <v>45704</v>
      </c>
      <c r="B1112" t="str">
        <f t="shared" si="119"/>
        <v>yyyy-02</v>
      </c>
      <c r="C1112">
        <f t="shared" si="120"/>
        <v>7</v>
      </c>
      <c r="D1112" t="s">
        <v>24</v>
      </c>
      <c r="E1112" t="s">
        <v>34</v>
      </c>
      <c r="F1112" t="s">
        <v>35</v>
      </c>
      <c r="G1112" t="s">
        <v>27</v>
      </c>
      <c r="H1112" t="s">
        <v>45</v>
      </c>
      <c r="I1112" s="5">
        <v>848</v>
      </c>
      <c r="J1112" s="5">
        <v>540</v>
      </c>
      <c r="K1112" s="5">
        <v>49</v>
      </c>
      <c r="L1112" s="5">
        <v>14</v>
      </c>
      <c r="M1112" s="5">
        <v>14</v>
      </c>
      <c r="N1112" s="7">
        <v>892.43</v>
      </c>
      <c r="O1112" s="7">
        <f t="shared" si="121"/>
        <v>12494.019999999999</v>
      </c>
      <c r="P1112" s="4">
        <v>0</v>
      </c>
      <c r="Q1112" s="7">
        <f t="shared" si="122"/>
        <v>0</v>
      </c>
      <c r="R1112" s="7">
        <f t="shared" si="123"/>
        <v>12494.019999999999</v>
      </c>
      <c r="S1112" s="7">
        <f t="shared" si="124"/>
        <v>892.43</v>
      </c>
      <c r="T1112" s="6">
        <f t="shared" si="125"/>
        <v>1.6509433962264151E-2</v>
      </c>
      <c r="V1112" t="s">
        <v>29</v>
      </c>
    </row>
    <row r="1113" spans="1:22">
      <c r="A1113" s="3">
        <v>45704</v>
      </c>
      <c r="B1113" t="str">
        <f t="shared" si="119"/>
        <v>yyyy-02</v>
      </c>
      <c r="C1113">
        <f t="shared" si="120"/>
        <v>7</v>
      </c>
      <c r="D1113" t="s">
        <v>24</v>
      </c>
      <c r="E1113" t="s">
        <v>38</v>
      </c>
      <c r="F1113" t="s">
        <v>39</v>
      </c>
      <c r="G1113" t="s">
        <v>27</v>
      </c>
      <c r="H1113" t="s">
        <v>48</v>
      </c>
      <c r="I1113" s="5">
        <v>707</v>
      </c>
      <c r="J1113" s="5">
        <v>567</v>
      </c>
      <c r="K1113" s="5">
        <v>49</v>
      </c>
      <c r="L1113" s="5">
        <v>16</v>
      </c>
      <c r="M1113" s="5">
        <v>16</v>
      </c>
      <c r="N1113" s="7">
        <v>334.5</v>
      </c>
      <c r="O1113" s="7">
        <f t="shared" si="121"/>
        <v>5352</v>
      </c>
      <c r="P1113" s="4">
        <v>0.09</v>
      </c>
      <c r="Q1113" s="7">
        <f t="shared" si="122"/>
        <v>481.68</v>
      </c>
      <c r="R1113" s="7">
        <f t="shared" si="123"/>
        <v>4870.32</v>
      </c>
      <c r="S1113" s="7">
        <f t="shared" si="124"/>
        <v>304.39499999999998</v>
      </c>
      <c r="T1113" s="6">
        <f t="shared" si="125"/>
        <v>2.2630834512022632E-2</v>
      </c>
      <c r="U1113" t="s">
        <v>84</v>
      </c>
      <c r="V1113" t="s">
        <v>29</v>
      </c>
    </row>
    <row r="1114" spans="1:22">
      <c r="A1114" s="3">
        <v>45704</v>
      </c>
      <c r="B1114" t="str">
        <f t="shared" si="119"/>
        <v>yyyy-02</v>
      </c>
      <c r="C1114">
        <f t="shared" si="120"/>
        <v>7</v>
      </c>
      <c r="D1114" t="s">
        <v>24</v>
      </c>
      <c r="E1114" t="s">
        <v>40</v>
      </c>
      <c r="F1114" t="s">
        <v>41</v>
      </c>
      <c r="G1114" t="s">
        <v>36</v>
      </c>
      <c r="H1114" t="s">
        <v>37</v>
      </c>
      <c r="I1114" s="5">
        <v>760</v>
      </c>
      <c r="J1114" s="5">
        <v>517</v>
      </c>
      <c r="K1114" s="5">
        <v>42</v>
      </c>
      <c r="L1114" s="5">
        <v>11</v>
      </c>
      <c r="M1114" s="5">
        <v>13</v>
      </c>
      <c r="N1114" s="7">
        <v>182.24</v>
      </c>
      <c r="O1114" s="7">
        <f t="shared" si="121"/>
        <v>2369.12</v>
      </c>
      <c r="P1114" s="4">
        <v>0</v>
      </c>
      <c r="Q1114" s="7">
        <f t="shared" si="122"/>
        <v>0</v>
      </c>
      <c r="R1114" s="7">
        <f t="shared" si="123"/>
        <v>2369.12</v>
      </c>
      <c r="S1114" s="7">
        <f t="shared" si="124"/>
        <v>215.37454545454545</v>
      </c>
      <c r="T1114" s="6">
        <f t="shared" si="125"/>
        <v>1.4473684210526316E-2</v>
      </c>
      <c r="V1114" t="s">
        <v>78</v>
      </c>
    </row>
    <row r="1115" spans="1:22">
      <c r="A1115" s="3">
        <v>45704</v>
      </c>
      <c r="B1115" t="str">
        <f t="shared" si="119"/>
        <v>yyyy-02</v>
      </c>
      <c r="C1115">
        <f t="shared" si="120"/>
        <v>7</v>
      </c>
      <c r="D1115" t="s">
        <v>42</v>
      </c>
      <c r="E1115" t="s">
        <v>43</v>
      </c>
      <c r="F1115" t="s">
        <v>44</v>
      </c>
      <c r="G1115" t="s">
        <v>27</v>
      </c>
      <c r="H1115" t="s">
        <v>45</v>
      </c>
      <c r="I1115" s="5">
        <v>627</v>
      </c>
      <c r="J1115" s="5">
        <v>354</v>
      </c>
      <c r="K1115" s="5">
        <v>36</v>
      </c>
      <c r="L1115" s="5">
        <v>10</v>
      </c>
      <c r="M1115" s="5">
        <v>10</v>
      </c>
      <c r="N1115" s="7">
        <v>1290.54</v>
      </c>
      <c r="O1115" s="7">
        <f t="shared" si="121"/>
        <v>12905.4</v>
      </c>
      <c r="P1115" s="4">
        <v>0</v>
      </c>
      <c r="Q1115" s="7">
        <f t="shared" si="122"/>
        <v>0</v>
      </c>
      <c r="R1115" s="7">
        <f t="shared" si="123"/>
        <v>12905.4</v>
      </c>
      <c r="S1115" s="7">
        <f t="shared" si="124"/>
        <v>1290.54</v>
      </c>
      <c r="T1115" s="6">
        <f t="shared" si="125"/>
        <v>1.5948963317384369E-2</v>
      </c>
      <c r="V1115" t="s">
        <v>29</v>
      </c>
    </row>
    <row r="1116" spans="1:22">
      <c r="A1116" s="3">
        <v>45704</v>
      </c>
      <c r="B1116" t="str">
        <f t="shared" si="119"/>
        <v>yyyy-02</v>
      </c>
      <c r="C1116">
        <f t="shared" si="120"/>
        <v>7</v>
      </c>
      <c r="D1116" t="s">
        <v>42</v>
      </c>
      <c r="E1116" t="s">
        <v>43</v>
      </c>
      <c r="F1116" t="s">
        <v>46</v>
      </c>
      <c r="G1116" t="s">
        <v>31</v>
      </c>
      <c r="H1116" t="s">
        <v>32</v>
      </c>
      <c r="I1116" s="5">
        <v>625</v>
      </c>
      <c r="J1116" s="5">
        <v>479</v>
      </c>
      <c r="K1116" s="5">
        <v>30</v>
      </c>
      <c r="L1116" s="5">
        <v>7</v>
      </c>
      <c r="M1116" s="5">
        <v>7</v>
      </c>
      <c r="N1116" s="7">
        <v>2189.29</v>
      </c>
      <c r="O1116" s="7">
        <f t="shared" si="121"/>
        <v>15325.029999999999</v>
      </c>
      <c r="P1116" s="4">
        <v>0</v>
      </c>
      <c r="Q1116" s="7">
        <f t="shared" si="122"/>
        <v>0</v>
      </c>
      <c r="R1116" s="7">
        <f t="shared" si="123"/>
        <v>15325.029999999999</v>
      </c>
      <c r="S1116" s="7">
        <f t="shared" si="124"/>
        <v>2189.29</v>
      </c>
      <c r="T1116" s="6">
        <f t="shared" si="125"/>
        <v>1.12E-2</v>
      </c>
      <c r="V1116" t="s">
        <v>29</v>
      </c>
    </row>
    <row r="1117" spans="1:22">
      <c r="A1117" s="3">
        <v>45704</v>
      </c>
      <c r="B1117" t="str">
        <f t="shared" si="119"/>
        <v>yyyy-02</v>
      </c>
      <c r="C1117">
        <f t="shared" si="120"/>
        <v>7</v>
      </c>
      <c r="D1117" t="s">
        <v>42</v>
      </c>
      <c r="E1117" t="s">
        <v>43</v>
      </c>
      <c r="F1117" t="s">
        <v>47</v>
      </c>
      <c r="G1117" t="s">
        <v>31</v>
      </c>
      <c r="H1117" t="s">
        <v>32</v>
      </c>
      <c r="I1117" s="5">
        <v>187</v>
      </c>
      <c r="J1117" s="5">
        <v>105</v>
      </c>
      <c r="K1117" s="5">
        <v>3</v>
      </c>
      <c r="L1117" s="5">
        <v>0</v>
      </c>
      <c r="M1117" s="5">
        <v>0</v>
      </c>
      <c r="N1117" s="7">
        <v>609.49</v>
      </c>
      <c r="O1117" s="7">
        <f t="shared" si="121"/>
        <v>0</v>
      </c>
      <c r="P1117" s="4">
        <v>0</v>
      </c>
      <c r="Q1117" s="7">
        <f t="shared" si="122"/>
        <v>0</v>
      </c>
      <c r="R1117" s="7">
        <f t="shared" si="123"/>
        <v>0</v>
      </c>
      <c r="S1117" s="7">
        <f t="shared" si="124"/>
        <v>0</v>
      </c>
      <c r="T1117" s="6">
        <f t="shared" si="125"/>
        <v>0</v>
      </c>
      <c r="V1117" t="s">
        <v>81</v>
      </c>
    </row>
    <row r="1118" spans="1:22">
      <c r="A1118" s="3">
        <v>45704</v>
      </c>
      <c r="B1118" t="str">
        <f t="shared" si="119"/>
        <v>yyyy-02</v>
      </c>
      <c r="C1118">
        <f t="shared" si="120"/>
        <v>7</v>
      </c>
      <c r="D1118" t="s">
        <v>42</v>
      </c>
      <c r="E1118" t="s">
        <v>49</v>
      </c>
      <c r="F1118" t="s">
        <v>50</v>
      </c>
      <c r="G1118" t="s">
        <v>27</v>
      </c>
      <c r="H1118" t="s">
        <v>28</v>
      </c>
      <c r="I1118" s="5">
        <v>201</v>
      </c>
      <c r="J1118" s="5">
        <v>113</v>
      </c>
      <c r="K1118" s="5">
        <v>13</v>
      </c>
      <c r="L1118" s="5">
        <v>3</v>
      </c>
      <c r="M1118" s="5">
        <v>3</v>
      </c>
      <c r="N1118" s="7">
        <v>976.47</v>
      </c>
      <c r="O1118" s="7">
        <f t="shared" si="121"/>
        <v>2929.41</v>
      </c>
      <c r="P1118" s="4">
        <v>0</v>
      </c>
      <c r="Q1118" s="7">
        <f t="shared" si="122"/>
        <v>0</v>
      </c>
      <c r="R1118" s="7">
        <f t="shared" si="123"/>
        <v>2929.41</v>
      </c>
      <c r="S1118" s="7">
        <f t="shared" si="124"/>
        <v>976.46999999999991</v>
      </c>
      <c r="T1118" s="6">
        <f t="shared" si="125"/>
        <v>1.4925373134328358E-2</v>
      </c>
      <c r="V1118" t="s">
        <v>29</v>
      </c>
    </row>
    <row r="1119" spans="1:22">
      <c r="A1119" s="3">
        <v>45704</v>
      </c>
      <c r="B1119" t="str">
        <f t="shared" si="119"/>
        <v>yyyy-02</v>
      </c>
      <c r="C1119">
        <f t="shared" si="120"/>
        <v>7</v>
      </c>
      <c r="D1119" t="s">
        <v>42</v>
      </c>
      <c r="E1119" t="s">
        <v>51</v>
      </c>
      <c r="F1119" t="s">
        <v>52</v>
      </c>
      <c r="G1119" t="s">
        <v>31</v>
      </c>
      <c r="H1119" t="s">
        <v>32</v>
      </c>
      <c r="I1119" s="5">
        <v>335</v>
      </c>
      <c r="J1119" s="5">
        <v>214</v>
      </c>
      <c r="K1119" s="5">
        <v>28</v>
      </c>
      <c r="L1119" s="5">
        <v>6</v>
      </c>
      <c r="M1119" s="5">
        <v>6</v>
      </c>
      <c r="N1119" s="7">
        <v>608.11</v>
      </c>
      <c r="O1119" s="7">
        <f t="shared" si="121"/>
        <v>3648.66</v>
      </c>
      <c r="P1119" s="4">
        <v>0.11</v>
      </c>
      <c r="Q1119" s="7">
        <f t="shared" si="122"/>
        <v>401.3526</v>
      </c>
      <c r="R1119" s="7">
        <f t="shared" si="123"/>
        <v>3247.3073999999997</v>
      </c>
      <c r="S1119" s="7">
        <f t="shared" si="124"/>
        <v>541.21789999999999</v>
      </c>
      <c r="T1119" s="6">
        <f t="shared" si="125"/>
        <v>1.7910447761194031E-2</v>
      </c>
      <c r="U1119" t="s">
        <v>85</v>
      </c>
      <c r="V1119" t="s">
        <v>29</v>
      </c>
    </row>
    <row r="1120" spans="1:22">
      <c r="A1120" s="3">
        <v>45704</v>
      </c>
      <c r="B1120" t="str">
        <f t="shared" si="119"/>
        <v>yyyy-02</v>
      </c>
      <c r="C1120">
        <f t="shared" si="120"/>
        <v>7</v>
      </c>
      <c r="D1120" t="s">
        <v>53</v>
      </c>
      <c r="E1120" t="s">
        <v>54</v>
      </c>
      <c r="F1120" t="s">
        <v>55</v>
      </c>
      <c r="G1120" t="s">
        <v>27</v>
      </c>
      <c r="H1120" t="s">
        <v>28</v>
      </c>
      <c r="I1120" s="5">
        <v>231</v>
      </c>
      <c r="J1120" s="5">
        <v>168</v>
      </c>
      <c r="K1120" s="5">
        <v>16</v>
      </c>
      <c r="L1120" s="5">
        <v>2</v>
      </c>
      <c r="M1120" s="5">
        <v>2</v>
      </c>
      <c r="N1120" s="7">
        <v>1262.5899999999999</v>
      </c>
      <c r="O1120" s="7">
        <f t="shared" si="121"/>
        <v>2525.1799999999998</v>
      </c>
      <c r="P1120" s="4">
        <v>0</v>
      </c>
      <c r="Q1120" s="7">
        <f t="shared" si="122"/>
        <v>0</v>
      </c>
      <c r="R1120" s="7">
        <f t="shared" si="123"/>
        <v>2525.1799999999998</v>
      </c>
      <c r="S1120" s="7">
        <f t="shared" si="124"/>
        <v>1262.5899999999999</v>
      </c>
      <c r="T1120" s="6">
        <f t="shared" si="125"/>
        <v>8.658008658008658E-3</v>
      </c>
      <c r="V1120" t="s">
        <v>29</v>
      </c>
    </row>
    <row r="1121" spans="1:22">
      <c r="A1121" s="3">
        <v>45704</v>
      </c>
      <c r="B1121" t="str">
        <f t="shared" si="119"/>
        <v>yyyy-02</v>
      </c>
      <c r="C1121">
        <f t="shared" si="120"/>
        <v>7</v>
      </c>
      <c r="D1121" t="s">
        <v>53</v>
      </c>
      <c r="E1121" t="s">
        <v>56</v>
      </c>
      <c r="F1121" t="s">
        <v>57</v>
      </c>
      <c r="G1121" t="s">
        <v>31</v>
      </c>
      <c r="H1121" t="s">
        <v>32</v>
      </c>
      <c r="I1121" s="5">
        <v>248</v>
      </c>
      <c r="J1121" s="5">
        <v>200</v>
      </c>
      <c r="K1121" s="5">
        <v>21</v>
      </c>
      <c r="L1121" s="5">
        <v>3</v>
      </c>
      <c r="M1121" s="5">
        <v>3</v>
      </c>
      <c r="N1121" s="7">
        <v>756.51</v>
      </c>
      <c r="O1121" s="7">
        <f t="shared" si="121"/>
        <v>2269.5299999999997</v>
      </c>
      <c r="P1121" s="4">
        <v>0.03</v>
      </c>
      <c r="Q1121" s="7">
        <f t="shared" si="122"/>
        <v>68.085899999999995</v>
      </c>
      <c r="R1121" s="7">
        <f t="shared" si="123"/>
        <v>2201.4440999999997</v>
      </c>
      <c r="S1121" s="7">
        <f t="shared" si="124"/>
        <v>733.8146999999999</v>
      </c>
      <c r="T1121" s="6">
        <f t="shared" si="125"/>
        <v>1.2096774193548387E-2</v>
      </c>
      <c r="V1121" t="s">
        <v>29</v>
      </c>
    </row>
    <row r="1122" spans="1:22">
      <c r="A1122" s="3">
        <v>45704</v>
      </c>
      <c r="B1122" t="str">
        <f t="shared" si="119"/>
        <v>yyyy-02</v>
      </c>
      <c r="C1122">
        <f t="shared" si="120"/>
        <v>7</v>
      </c>
      <c r="D1122" t="s">
        <v>53</v>
      </c>
      <c r="E1122" t="s">
        <v>56</v>
      </c>
      <c r="F1122" t="s">
        <v>58</v>
      </c>
      <c r="G1122" t="s">
        <v>31</v>
      </c>
      <c r="H1122" t="s">
        <v>32</v>
      </c>
      <c r="I1122" s="5">
        <v>290</v>
      </c>
      <c r="J1122" s="5">
        <v>178</v>
      </c>
      <c r="K1122" s="5">
        <v>17</v>
      </c>
      <c r="L1122" s="5">
        <v>4</v>
      </c>
      <c r="M1122" s="5">
        <v>4</v>
      </c>
      <c r="N1122" s="7">
        <v>886.11</v>
      </c>
      <c r="O1122" s="7">
        <f t="shared" si="121"/>
        <v>3544.44</v>
      </c>
      <c r="P1122" s="4">
        <v>0.03</v>
      </c>
      <c r="Q1122" s="7">
        <f t="shared" si="122"/>
        <v>106.33319999999999</v>
      </c>
      <c r="R1122" s="7">
        <f t="shared" si="123"/>
        <v>3438.1068</v>
      </c>
      <c r="S1122" s="7">
        <f t="shared" si="124"/>
        <v>859.52670000000001</v>
      </c>
      <c r="T1122" s="6">
        <f t="shared" si="125"/>
        <v>1.3793103448275862E-2</v>
      </c>
      <c r="V1122" t="s">
        <v>29</v>
      </c>
    </row>
    <row r="1123" spans="1:22">
      <c r="A1123" s="3">
        <v>45704</v>
      </c>
      <c r="B1123" t="str">
        <f t="shared" si="119"/>
        <v>yyyy-02</v>
      </c>
      <c r="C1123">
        <f t="shared" si="120"/>
        <v>7</v>
      </c>
      <c r="D1123" t="s">
        <v>53</v>
      </c>
      <c r="E1123" t="s">
        <v>59</v>
      </c>
      <c r="F1123" t="s">
        <v>60</v>
      </c>
      <c r="G1123" t="s">
        <v>36</v>
      </c>
      <c r="H1123" t="s">
        <v>37</v>
      </c>
      <c r="I1123" s="5">
        <v>180</v>
      </c>
      <c r="J1123" s="5">
        <v>136</v>
      </c>
      <c r="K1123" s="5">
        <v>15</v>
      </c>
      <c r="L1123" s="5">
        <v>2</v>
      </c>
      <c r="M1123" s="5">
        <v>2</v>
      </c>
      <c r="N1123" s="7">
        <v>704.03</v>
      </c>
      <c r="O1123" s="7">
        <f t="shared" si="121"/>
        <v>1408.06</v>
      </c>
      <c r="P1123" s="4">
        <v>0</v>
      </c>
      <c r="Q1123" s="7">
        <f t="shared" si="122"/>
        <v>0</v>
      </c>
      <c r="R1123" s="7">
        <f t="shared" si="123"/>
        <v>1408.06</v>
      </c>
      <c r="S1123" s="7">
        <f t="shared" si="124"/>
        <v>704.03</v>
      </c>
      <c r="T1123" s="6">
        <f t="shared" si="125"/>
        <v>1.1111111111111112E-2</v>
      </c>
      <c r="V1123" t="s">
        <v>29</v>
      </c>
    </row>
    <row r="1124" spans="1:22">
      <c r="A1124" s="3">
        <v>45704</v>
      </c>
      <c r="B1124" t="str">
        <f t="shared" si="119"/>
        <v>yyyy-02</v>
      </c>
      <c r="C1124">
        <f t="shared" si="120"/>
        <v>7</v>
      </c>
      <c r="D1124" t="s">
        <v>53</v>
      </c>
      <c r="E1124" t="s">
        <v>61</v>
      </c>
      <c r="F1124" t="s">
        <v>62</v>
      </c>
      <c r="G1124" t="s">
        <v>27</v>
      </c>
      <c r="H1124" t="s">
        <v>28</v>
      </c>
      <c r="I1124" s="5">
        <v>171</v>
      </c>
      <c r="J1124" s="5">
        <v>117</v>
      </c>
      <c r="K1124" s="5">
        <v>12</v>
      </c>
      <c r="L1124" s="5">
        <v>2</v>
      </c>
      <c r="M1124" s="5">
        <v>2</v>
      </c>
      <c r="N1124" s="7">
        <v>490.8</v>
      </c>
      <c r="O1124" s="7">
        <f t="shared" si="121"/>
        <v>981.6</v>
      </c>
      <c r="P1124" s="4">
        <v>0</v>
      </c>
      <c r="Q1124" s="7">
        <f t="shared" si="122"/>
        <v>0</v>
      </c>
      <c r="R1124" s="7">
        <f t="shared" si="123"/>
        <v>981.6</v>
      </c>
      <c r="S1124" s="7">
        <f t="shared" si="124"/>
        <v>490.8</v>
      </c>
      <c r="T1124" s="6">
        <f t="shared" si="125"/>
        <v>1.1695906432748537E-2</v>
      </c>
      <c r="V1124" t="s">
        <v>29</v>
      </c>
    </row>
    <row r="1125" spans="1:22">
      <c r="A1125" s="3">
        <v>45704</v>
      </c>
      <c r="B1125" t="str">
        <f t="shared" si="119"/>
        <v>yyyy-02</v>
      </c>
      <c r="C1125">
        <f t="shared" si="120"/>
        <v>7</v>
      </c>
      <c r="D1125" t="s">
        <v>53</v>
      </c>
      <c r="E1125" t="s">
        <v>64</v>
      </c>
      <c r="F1125" t="s">
        <v>65</v>
      </c>
      <c r="G1125" t="s">
        <v>36</v>
      </c>
      <c r="H1125" t="s">
        <v>37</v>
      </c>
      <c r="I1125" s="5">
        <v>242</v>
      </c>
      <c r="J1125" s="5">
        <v>188</v>
      </c>
      <c r="K1125" s="5">
        <v>22</v>
      </c>
      <c r="L1125" s="5">
        <v>2</v>
      </c>
      <c r="M1125" s="5">
        <v>2</v>
      </c>
      <c r="N1125" s="7">
        <v>772.17</v>
      </c>
      <c r="O1125" s="7">
        <f t="shared" si="121"/>
        <v>1544.34</v>
      </c>
      <c r="P1125" s="4">
        <v>0</v>
      </c>
      <c r="Q1125" s="7">
        <f t="shared" si="122"/>
        <v>0</v>
      </c>
      <c r="R1125" s="7">
        <f t="shared" si="123"/>
        <v>1544.34</v>
      </c>
      <c r="S1125" s="7">
        <f t="shared" si="124"/>
        <v>772.17</v>
      </c>
      <c r="T1125" s="6">
        <f t="shared" si="125"/>
        <v>8.2644628099173556E-3</v>
      </c>
      <c r="V1125" t="s">
        <v>29</v>
      </c>
    </row>
    <row r="1126" spans="1:22">
      <c r="A1126" s="3">
        <v>45704</v>
      </c>
      <c r="B1126" t="str">
        <f t="shared" si="119"/>
        <v>yyyy-02</v>
      </c>
      <c r="C1126">
        <f t="shared" si="120"/>
        <v>7</v>
      </c>
      <c r="D1126" t="s">
        <v>66</v>
      </c>
      <c r="E1126" t="s">
        <v>67</v>
      </c>
      <c r="F1126" t="s">
        <v>68</v>
      </c>
      <c r="G1126" t="s">
        <v>27</v>
      </c>
      <c r="H1126" t="s">
        <v>28</v>
      </c>
      <c r="I1126" s="5">
        <v>313</v>
      </c>
      <c r="J1126" s="5">
        <v>229</v>
      </c>
      <c r="K1126" s="5">
        <v>20</v>
      </c>
      <c r="L1126" s="5">
        <v>7</v>
      </c>
      <c r="M1126" s="5">
        <v>7</v>
      </c>
      <c r="N1126" s="7">
        <v>692.46</v>
      </c>
      <c r="O1126" s="7">
        <f t="shared" si="121"/>
        <v>4847.22</v>
      </c>
      <c r="P1126" s="4">
        <v>0</v>
      </c>
      <c r="Q1126" s="7">
        <f t="shared" si="122"/>
        <v>0</v>
      </c>
      <c r="R1126" s="7">
        <f t="shared" si="123"/>
        <v>4847.22</v>
      </c>
      <c r="S1126" s="7">
        <f t="shared" si="124"/>
        <v>692.46</v>
      </c>
      <c r="T1126" s="6">
        <f t="shared" si="125"/>
        <v>2.2364217252396165E-2</v>
      </c>
      <c r="V1126" t="s">
        <v>29</v>
      </c>
    </row>
    <row r="1127" spans="1:22">
      <c r="A1127" s="3">
        <v>45704</v>
      </c>
      <c r="B1127" t="str">
        <f t="shared" si="119"/>
        <v>yyyy-02</v>
      </c>
      <c r="C1127">
        <f t="shared" si="120"/>
        <v>7</v>
      </c>
      <c r="D1127" t="s">
        <v>66</v>
      </c>
      <c r="E1127" t="s">
        <v>67</v>
      </c>
      <c r="F1127" t="s">
        <v>69</v>
      </c>
      <c r="G1127" t="s">
        <v>27</v>
      </c>
      <c r="H1127" t="s">
        <v>45</v>
      </c>
      <c r="I1127" s="5">
        <v>398</v>
      </c>
      <c r="J1127" s="5">
        <v>268</v>
      </c>
      <c r="K1127" s="5">
        <v>29</v>
      </c>
      <c r="L1127" s="5">
        <v>6</v>
      </c>
      <c r="M1127" s="5">
        <v>6</v>
      </c>
      <c r="N1127" s="7">
        <v>390.24</v>
      </c>
      <c r="O1127" s="7">
        <f t="shared" si="121"/>
        <v>2341.44</v>
      </c>
      <c r="P1127" s="4">
        <v>0.05</v>
      </c>
      <c r="Q1127" s="7">
        <f t="shared" si="122"/>
        <v>117.072</v>
      </c>
      <c r="R1127" s="7">
        <f t="shared" si="123"/>
        <v>2224.3679999999999</v>
      </c>
      <c r="S1127" s="7">
        <f t="shared" si="124"/>
        <v>370.72800000000001</v>
      </c>
      <c r="T1127" s="6">
        <f t="shared" si="125"/>
        <v>1.507537688442211E-2</v>
      </c>
      <c r="V1127" t="s">
        <v>29</v>
      </c>
    </row>
    <row r="1128" spans="1:22">
      <c r="A1128" s="3">
        <v>45704</v>
      </c>
      <c r="B1128" t="str">
        <f t="shared" si="119"/>
        <v>yyyy-02</v>
      </c>
      <c r="C1128">
        <f t="shared" si="120"/>
        <v>7</v>
      </c>
      <c r="D1128" t="s">
        <v>66</v>
      </c>
      <c r="E1128" t="s">
        <v>67</v>
      </c>
      <c r="F1128" t="s">
        <v>70</v>
      </c>
      <c r="G1128" t="s">
        <v>36</v>
      </c>
      <c r="H1128" t="s">
        <v>37</v>
      </c>
      <c r="I1128" s="5">
        <v>499</v>
      </c>
      <c r="J1128" s="5">
        <v>355</v>
      </c>
      <c r="K1128" s="5">
        <v>19</v>
      </c>
      <c r="L1128" s="5">
        <v>8</v>
      </c>
      <c r="M1128" s="5">
        <v>8</v>
      </c>
      <c r="N1128" s="7">
        <v>353.47</v>
      </c>
      <c r="O1128" s="7">
        <f t="shared" si="121"/>
        <v>2827.76</v>
      </c>
      <c r="P1128" s="4">
        <v>0</v>
      </c>
      <c r="Q1128" s="7">
        <f t="shared" si="122"/>
        <v>0</v>
      </c>
      <c r="R1128" s="7">
        <f t="shared" si="123"/>
        <v>2827.76</v>
      </c>
      <c r="S1128" s="7">
        <f t="shared" si="124"/>
        <v>353.47</v>
      </c>
      <c r="T1128" s="6">
        <f t="shared" si="125"/>
        <v>1.6032064128256512E-2</v>
      </c>
      <c r="V1128" t="s">
        <v>29</v>
      </c>
    </row>
    <row r="1129" spans="1:22">
      <c r="A1129" s="3">
        <v>45704</v>
      </c>
      <c r="B1129" t="str">
        <f t="shared" si="119"/>
        <v>yyyy-02</v>
      </c>
      <c r="C1129">
        <f t="shared" si="120"/>
        <v>7</v>
      </c>
      <c r="D1129" t="s">
        <v>66</v>
      </c>
      <c r="E1129" t="s">
        <v>71</v>
      </c>
      <c r="F1129" t="s">
        <v>72</v>
      </c>
      <c r="G1129" t="s">
        <v>27</v>
      </c>
      <c r="H1129" t="s">
        <v>28</v>
      </c>
      <c r="I1129" s="5">
        <v>246</v>
      </c>
      <c r="J1129" s="5">
        <v>161</v>
      </c>
      <c r="K1129" s="5">
        <v>12</v>
      </c>
      <c r="L1129" s="5">
        <v>3</v>
      </c>
      <c r="M1129" s="5">
        <v>4</v>
      </c>
      <c r="N1129" s="7">
        <v>130.19</v>
      </c>
      <c r="O1129" s="7">
        <f t="shared" si="121"/>
        <v>520.76</v>
      </c>
      <c r="P1129" s="4">
        <v>0</v>
      </c>
      <c r="Q1129" s="7">
        <f t="shared" si="122"/>
        <v>0</v>
      </c>
      <c r="R1129" s="7">
        <f t="shared" si="123"/>
        <v>520.76</v>
      </c>
      <c r="S1129" s="7">
        <f t="shared" si="124"/>
        <v>173.58666666666667</v>
      </c>
      <c r="T1129" s="6">
        <f t="shared" si="125"/>
        <v>1.2195121951219513E-2</v>
      </c>
      <c r="V1129" t="s">
        <v>29</v>
      </c>
    </row>
    <row r="1130" spans="1:22">
      <c r="A1130" s="3">
        <v>45704</v>
      </c>
      <c r="B1130" t="str">
        <f t="shared" si="119"/>
        <v>yyyy-02</v>
      </c>
      <c r="C1130">
        <f t="shared" si="120"/>
        <v>7</v>
      </c>
      <c r="D1130" t="s">
        <v>66</v>
      </c>
      <c r="E1130" t="s">
        <v>73</v>
      </c>
      <c r="F1130" t="s">
        <v>74</v>
      </c>
      <c r="G1130" t="s">
        <v>27</v>
      </c>
      <c r="H1130" t="s">
        <v>48</v>
      </c>
      <c r="I1130" s="5">
        <v>180</v>
      </c>
      <c r="J1130" s="5">
        <v>127</v>
      </c>
      <c r="K1130" s="5">
        <v>12</v>
      </c>
      <c r="L1130" s="5">
        <v>3</v>
      </c>
      <c r="M1130" s="5">
        <v>3</v>
      </c>
      <c r="N1130" s="7">
        <v>1161.56</v>
      </c>
      <c r="O1130" s="7">
        <f t="shared" si="121"/>
        <v>3484.68</v>
      </c>
      <c r="P1130" s="4">
        <v>0.03</v>
      </c>
      <c r="Q1130" s="7">
        <f t="shared" si="122"/>
        <v>104.54039999999999</v>
      </c>
      <c r="R1130" s="7">
        <f t="shared" si="123"/>
        <v>3380.1396</v>
      </c>
      <c r="S1130" s="7">
        <f t="shared" si="124"/>
        <v>1126.7131999999999</v>
      </c>
      <c r="T1130" s="6">
        <f t="shared" si="125"/>
        <v>1.6666666666666666E-2</v>
      </c>
      <c r="V1130" t="s">
        <v>29</v>
      </c>
    </row>
    <row r="1131" spans="1:22">
      <c r="A1131" s="3">
        <v>45704</v>
      </c>
      <c r="B1131" t="str">
        <f t="shared" si="119"/>
        <v>yyyy-02</v>
      </c>
      <c r="C1131">
        <f t="shared" si="120"/>
        <v>7</v>
      </c>
      <c r="D1131" t="s">
        <v>66</v>
      </c>
      <c r="E1131" t="s">
        <v>71</v>
      </c>
      <c r="F1131" t="s">
        <v>75</v>
      </c>
      <c r="G1131" t="s">
        <v>31</v>
      </c>
      <c r="H1131" t="s">
        <v>32</v>
      </c>
      <c r="I1131" s="5">
        <v>386</v>
      </c>
      <c r="J1131" s="5">
        <v>289</v>
      </c>
      <c r="K1131" s="5">
        <v>24</v>
      </c>
      <c r="L1131" s="5">
        <v>7</v>
      </c>
      <c r="M1131" s="5">
        <v>9</v>
      </c>
      <c r="N1131" s="7">
        <v>39.68</v>
      </c>
      <c r="O1131" s="7">
        <f t="shared" si="121"/>
        <v>357.12</v>
      </c>
      <c r="P1131" s="4">
        <v>0</v>
      </c>
      <c r="Q1131" s="7">
        <f t="shared" si="122"/>
        <v>0</v>
      </c>
      <c r="R1131" s="7">
        <f t="shared" si="123"/>
        <v>357.12</v>
      </c>
      <c r="S1131" s="7">
        <f t="shared" si="124"/>
        <v>51.017142857142858</v>
      </c>
      <c r="T1131" s="6">
        <f t="shared" si="125"/>
        <v>1.8134715025906734E-2</v>
      </c>
      <c r="V1131" t="s">
        <v>29</v>
      </c>
    </row>
    <row r="1132" spans="1:22">
      <c r="A1132" s="3">
        <v>45704</v>
      </c>
      <c r="B1132" t="str">
        <f t="shared" si="119"/>
        <v>yyyy-02</v>
      </c>
      <c r="C1132">
        <f t="shared" si="120"/>
        <v>7</v>
      </c>
      <c r="D1132" t="s">
        <v>24</v>
      </c>
      <c r="E1132" t="s">
        <v>76</v>
      </c>
      <c r="F1132" t="s">
        <v>77</v>
      </c>
      <c r="G1132" t="s">
        <v>27</v>
      </c>
      <c r="H1132" t="s">
        <v>28</v>
      </c>
      <c r="I1132" s="5">
        <v>538</v>
      </c>
      <c r="J1132" s="5">
        <v>344</v>
      </c>
      <c r="K1132" s="5">
        <v>44</v>
      </c>
      <c r="L1132" s="5">
        <v>13</v>
      </c>
      <c r="M1132" s="5">
        <v>14</v>
      </c>
      <c r="N1132" s="7">
        <v>194.42</v>
      </c>
      <c r="O1132" s="7">
        <f t="shared" si="121"/>
        <v>2721.8799999999997</v>
      </c>
      <c r="P1132" s="4">
        <v>0.05</v>
      </c>
      <c r="Q1132" s="7">
        <f t="shared" si="122"/>
        <v>136.09399999999999</v>
      </c>
      <c r="R1132" s="7">
        <f t="shared" si="123"/>
        <v>2585.7859999999996</v>
      </c>
      <c r="S1132" s="7">
        <f t="shared" si="124"/>
        <v>198.90661538461535</v>
      </c>
      <c r="T1132" s="6">
        <f t="shared" si="125"/>
        <v>2.4163568773234202E-2</v>
      </c>
      <c r="V1132" t="s">
        <v>29</v>
      </c>
    </row>
    <row r="1133" spans="1:22">
      <c r="A1133" s="3">
        <v>45705</v>
      </c>
      <c r="B1133" t="str">
        <f t="shared" si="119"/>
        <v>yyyy-02</v>
      </c>
      <c r="C1133">
        <f t="shared" si="120"/>
        <v>8</v>
      </c>
      <c r="D1133" t="s">
        <v>24</v>
      </c>
      <c r="E1133" t="s">
        <v>25</v>
      </c>
      <c r="F1133" t="s">
        <v>26</v>
      </c>
      <c r="G1133" t="s">
        <v>31</v>
      </c>
      <c r="H1133" t="s">
        <v>32</v>
      </c>
      <c r="I1133" s="5">
        <v>1042</v>
      </c>
      <c r="J1133" s="5">
        <v>742</v>
      </c>
      <c r="K1133" s="5">
        <v>22</v>
      </c>
      <c r="L1133" s="5">
        <v>0</v>
      </c>
      <c r="M1133" s="5">
        <v>0</v>
      </c>
      <c r="N1133" s="7">
        <v>987.09</v>
      </c>
      <c r="O1133" s="7">
        <f t="shared" si="121"/>
        <v>0</v>
      </c>
      <c r="P1133" s="4">
        <v>0</v>
      </c>
      <c r="Q1133" s="7">
        <f t="shared" si="122"/>
        <v>0</v>
      </c>
      <c r="R1133" s="7">
        <f t="shared" si="123"/>
        <v>0</v>
      </c>
      <c r="S1133" s="7">
        <f t="shared" si="124"/>
        <v>0</v>
      </c>
      <c r="T1133" s="6">
        <f t="shared" si="125"/>
        <v>0</v>
      </c>
      <c r="V1133" t="s">
        <v>81</v>
      </c>
    </row>
    <row r="1134" spans="1:22">
      <c r="A1134" s="3">
        <v>45705</v>
      </c>
      <c r="B1134" t="str">
        <f t="shared" si="119"/>
        <v>yyyy-02</v>
      </c>
      <c r="C1134">
        <f t="shared" si="120"/>
        <v>8</v>
      </c>
      <c r="D1134" t="s">
        <v>24</v>
      </c>
      <c r="E1134" t="s">
        <v>25</v>
      </c>
      <c r="F1134" t="s">
        <v>30</v>
      </c>
      <c r="G1134" t="s">
        <v>27</v>
      </c>
      <c r="H1134" t="s">
        <v>45</v>
      </c>
      <c r="I1134" s="5">
        <v>627</v>
      </c>
      <c r="J1134" s="5">
        <v>423</v>
      </c>
      <c r="K1134" s="5">
        <v>12</v>
      </c>
      <c r="L1134" s="5">
        <v>0</v>
      </c>
      <c r="M1134" s="5">
        <v>0</v>
      </c>
      <c r="N1134" s="7">
        <v>395.61</v>
      </c>
      <c r="O1134" s="7">
        <f t="shared" si="121"/>
        <v>0</v>
      </c>
      <c r="P1134" s="4">
        <v>0</v>
      </c>
      <c r="Q1134" s="7">
        <f t="shared" si="122"/>
        <v>0</v>
      </c>
      <c r="R1134" s="7">
        <f t="shared" si="123"/>
        <v>0</v>
      </c>
      <c r="S1134" s="7">
        <f t="shared" si="124"/>
        <v>0</v>
      </c>
      <c r="T1134" s="6">
        <f t="shared" si="125"/>
        <v>0</v>
      </c>
      <c r="V1134" t="s">
        <v>81</v>
      </c>
    </row>
    <row r="1135" spans="1:22">
      <c r="A1135" s="3">
        <v>45705</v>
      </c>
      <c r="B1135" t="str">
        <f t="shared" si="119"/>
        <v>yyyy-02</v>
      </c>
      <c r="C1135">
        <f t="shared" si="120"/>
        <v>8</v>
      </c>
      <c r="D1135" t="s">
        <v>24</v>
      </c>
      <c r="E1135" t="s">
        <v>25</v>
      </c>
      <c r="F1135" t="s">
        <v>33</v>
      </c>
      <c r="G1135" t="s">
        <v>27</v>
      </c>
      <c r="H1135" t="s">
        <v>28</v>
      </c>
      <c r="I1135" s="5">
        <v>1218</v>
      </c>
      <c r="J1135" s="5">
        <v>761</v>
      </c>
      <c r="K1135" s="5">
        <v>122</v>
      </c>
      <c r="L1135" s="5">
        <v>28</v>
      </c>
      <c r="M1135" s="5">
        <v>28</v>
      </c>
      <c r="N1135" s="7">
        <v>1809.36</v>
      </c>
      <c r="O1135" s="7">
        <f t="shared" si="121"/>
        <v>50662.079999999994</v>
      </c>
      <c r="P1135" s="4">
        <v>0</v>
      </c>
      <c r="Q1135" s="7">
        <f t="shared" si="122"/>
        <v>0</v>
      </c>
      <c r="R1135" s="7">
        <f t="shared" si="123"/>
        <v>50662.079999999994</v>
      </c>
      <c r="S1135" s="7">
        <f t="shared" si="124"/>
        <v>1809.36</v>
      </c>
      <c r="T1135" s="6">
        <f t="shared" si="125"/>
        <v>2.2988505747126436E-2</v>
      </c>
      <c r="V1135" t="s">
        <v>29</v>
      </c>
    </row>
    <row r="1136" spans="1:22">
      <c r="A1136" s="3">
        <v>45705</v>
      </c>
      <c r="B1136" t="str">
        <f t="shared" si="119"/>
        <v>yyyy-02</v>
      </c>
      <c r="C1136">
        <f t="shared" si="120"/>
        <v>8</v>
      </c>
      <c r="D1136" t="s">
        <v>24</v>
      </c>
      <c r="E1136" t="s">
        <v>34</v>
      </c>
      <c r="F1136" t="s">
        <v>35</v>
      </c>
      <c r="G1136" t="s">
        <v>36</v>
      </c>
      <c r="H1136" t="s">
        <v>37</v>
      </c>
      <c r="I1136" s="5">
        <v>1175</v>
      </c>
      <c r="J1136" s="5">
        <v>916</v>
      </c>
      <c r="K1136" s="5">
        <v>88</v>
      </c>
      <c r="L1136" s="5">
        <v>18</v>
      </c>
      <c r="M1136" s="5">
        <v>18</v>
      </c>
      <c r="N1136" s="7">
        <v>872.77</v>
      </c>
      <c r="O1136" s="7">
        <f t="shared" si="121"/>
        <v>15709.86</v>
      </c>
      <c r="P1136" s="4">
        <v>0</v>
      </c>
      <c r="Q1136" s="7">
        <f t="shared" si="122"/>
        <v>0</v>
      </c>
      <c r="R1136" s="7">
        <f t="shared" si="123"/>
        <v>15709.86</v>
      </c>
      <c r="S1136" s="7">
        <f t="shared" si="124"/>
        <v>872.77</v>
      </c>
      <c r="T1136" s="6">
        <f t="shared" si="125"/>
        <v>1.5319148936170212E-2</v>
      </c>
      <c r="V1136" t="s">
        <v>78</v>
      </c>
    </row>
    <row r="1137" spans="1:22">
      <c r="A1137" s="3">
        <v>45705</v>
      </c>
      <c r="B1137" t="str">
        <f t="shared" si="119"/>
        <v>yyyy-02</v>
      </c>
      <c r="C1137">
        <f t="shared" si="120"/>
        <v>8</v>
      </c>
      <c r="D1137" t="s">
        <v>24</v>
      </c>
      <c r="E1137" t="s">
        <v>38</v>
      </c>
      <c r="F1137" t="s">
        <v>39</v>
      </c>
      <c r="G1137" t="s">
        <v>27</v>
      </c>
      <c r="H1137" t="s">
        <v>45</v>
      </c>
      <c r="I1137" s="5">
        <v>632</v>
      </c>
      <c r="J1137" s="5">
        <v>392</v>
      </c>
      <c r="K1137" s="5">
        <v>49</v>
      </c>
      <c r="L1137" s="5">
        <v>16</v>
      </c>
      <c r="M1137" s="5">
        <v>16</v>
      </c>
      <c r="N1137" s="7">
        <v>323.81</v>
      </c>
      <c r="O1137" s="7">
        <f t="shared" si="121"/>
        <v>5180.96</v>
      </c>
      <c r="P1137" s="4">
        <v>0.03</v>
      </c>
      <c r="Q1137" s="7">
        <f t="shared" si="122"/>
        <v>155.4288</v>
      </c>
      <c r="R1137" s="7">
        <f t="shared" si="123"/>
        <v>5025.5312000000004</v>
      </c>
      <c r="S1137" s="7">
        <f t="shared" si="124"/>
        <v>314.09570000000002</v>
      </c>
      <c r="T1137" s="6">
        <f t="shared" si="125"/>
        <v>2.5316455696202531E-2</v>
      </c>
      <c r="V1137" t="s">
        <v>29</v>
      </c>
    </row>
    <row r="1138" spans="1:22">
      <c r="A1138" s="3">
        <v>45705</v>
      </c>
      <c r="B1138" t="str">
        <f t="shared" si="119"/>
        <v>yyyy-02</v>
      </c>
      <c r="C1138">
        <f t="shared" si="120"/>
        <v>8</v>
      </c>
      <c r="D1138" t="s">
        <v>24</v>
      </c>
      <c r="E1138" t="s">
        <v>40</v>
      </c>
      <c r="F1138" t="s">
        <v>41</v>
      </c>
      <c r="G1138" t="s">
        <v>31</v>
      </c>
      <c r="H1138" t="s">
        <v>32</v>
      </c>
      <c r="I1138" s="5">
        <v>779</v>
      </c>
      <c r="J1138" s="5">
        <v>428</v>
      </c>
      <c r="K1138" s="5">
        <v>62</v>
      </c>
      <c r="L1138" s="5">
        <v>13</v>
      </c>
      <c r="M1138" s="5">
        <v>17</v>
      </c>
      <c r="N1138" s="7">
        <v>182.38</v>
      </c>
      <c r="O1138" s="7">
        <f t="shared" si="121"/>
        <v>3100.46</v>
      </c>
      <c r="P1138" s="4">
        <v>0.05</v>
      </c>
      <c r="Q1138" s="7">
        <f t="shared" si="122"/>
        <v>155.02300000000002</v>
      </c>
      <c r="R1138" s="7">
        <f t="shared" si="123"/>
        <v>2945.4369999999999</v>
      </c>
      <c r="S1138" s="7">
        <f t="shared" si="124"/>
        <v>226.57207692307691</v>
      </c>
      <c r="T1138" s="6">
        <f t="shared" si="125"/>
        <v>1.668806161745828E-2</v>
      </c>
      <c r="V1138" t="s">
        <v>29</v>
      </c>
    </row>
    <row r="1139" spans="1:22">
      <c r="A1139" s="3">
        <v>45705</v>
      </c>
      <c r="B1139" t="str">
        <f t="shared" si="119"/>
        <v>yyyy-02</v>
      </c>
      <c r="C1139">
        <f t="shared" si="120"/>
        <v>8</v>
      </c>
      <c r="D1139" t="s">
        <v>42</v>
      </c>
      <c r="E1139" t="s">
        <v>43</v>
      </c>
      <c r="F1139" t="s">
        <v>44</v>
      </c>
      <c r="G1139" t="s">
        <v>27</v>
      </c>
      <c r="H1139" t="s">
        <v>45</v>
      </c>
      <c r="I1139" s="5">
        <v>518</v>
      </c>
      <c r="J1139" s="5">
        <v>386</v>
      </c>
      <c r="K1139" s="5">
        <v>44</v>
      </c>
      <c r="L1139" s="5">
        <v>7</v>
      </c>
      <c r="M1139" s="5">
        <v>7</v>
      </c>
      <c r="N1139" s="7">
        <v>1251.8699999999999</v>
      </c>
      <c r="O1139" s="7">
        <f t="shared" si="121"/>
        <v>8763.09</v>
      </c>
      <c r="P1139" s="4">
        <v>0.05</v>
      </c>
      <c r="Q1139" s="7">
        <f t="shared" si="122"/>
        <v>438.15450000000004</v>
      </c>
      <c r="R1139" s="7">
        <f t="shared" si="123"/>
        <v>8324.9354999999996</v>
      </c>
      <c r="S1139" s="7">
        <f t="shared" si="124"/>
        <v>1189.2764999999999</v>
      </c>
      <c r="T1139" s="6">
        <f t="shared" si="125"/>
        <v>1.3513513513513514E-2</v>
      </c>
      <c r="V1139" t="s">
        <v>29</v>
      </c>
    </row>
    <row r="1140" spans="1:22">
      <c r="A1140" s="3">
        <v>45705</v>
      </c>
      <c r="B1140" t="str">
        <f t="shared" si="119"/>
        <v>yyyy-02</v>
      </c>
      <c r="C1140">
        <f t="shared" si="120"/>
        <v>8</v>
      </c>
      <c r="D1140" t="s">
        <v>42</v>
      </c>
      <c r="E1140" t="s">
        <v>43</v>
      </c>
      <c r="F1140" t="s">
        <v>46</v>
      </c>
      <c r="G1140" t="s">
        <v>36</v>
      </c>
      <c r="H1140" t="s">
        <v>37</v>
      </c>
      <c r="I1140" s="5">
        <v>600</v>
      </c>
      <c r="J1140" s="5">
        <v>325</v>
      </c>
      <c r="K1140" s="5">
        <v>38</v>
      </c>
      <c r="L1140" s="5">
        <v>10</v>
      </c>
      <c r="M1140" s="5">
        <v>10</v>
      </c>
      <c r="N1140" s="7">
        <v>2232.89</v>
      </c>
      <c r="O1140" s="7">
        <f t="shared" si="121"/>
        <v>22328.899999999998</v>
      </c>
      <c r="P1140" s="4">
        <v>0</v>
      </c>
      <c r="Q1140" s="7">
        <f t="shared" si="122"/>
        <v>0</v>
      </c>
      <c r="R1140" s="7">
        <f t="shared" si="123"/>
        <v>22328.899999999998</v>
      </c>
      <c r="S1140" s="7">
        <f t="shared" si="124"/>
        <v>2232.89</v>
      </c>
      <c r="T1140" s="6">
        <f t="shared" si="125"/>
        <v>1.6666666666666666E-2</v>
      </c>
      <c r="V1140" t="s">
        <v>29</v>
      </c>
    </row>
    <row r="1141" spans="1:22">
      <c r="A1141" s="3">
        <v>45705</v>
      </c>
      <c r="B1141" t="str">
        <f t="shared" si="119"/>
        <v>yyyy-02</v>
      </c>
      <c r="C1141">
        <f t="shared" si="120"/>
        <v>8</v>
      </c>
      <c r="D1141" t="s">
        <v>42</v>
      </c>
      <c r="E1141" t="s">
        <v>43</v>
      </c>
      <c r="F1141" t="s">
        <v>47</v>
      </c>
      <c r="G1141" t="s">
        <v>36</v>
      </c>
      <c r="H1141" t="s">
        <v>37</v>
      </c>
      <c r="I1141" s="5">
        <v>576</v>
      </c>
      <c r="J1141" s="5">
        <v>398</v>
      </c>
      <c r="K1141" s="5">
        <v>38</v>
      </c>
      <c r="L1141" s="5">
        <v>7</v>
      </c>
      <c r="M1141" s="5">
        <v>7</v>
      </c>
      <c r="N1141" s="7">
        <v>583.14</v>
      </c>
      <c r="O1141" s="7">
        <f t="shared" si="121"/>
        <v>4081.98</v>
      </c>
      <c r="P1141" s="4">
        <v>0.05</v>
      </c>
      <c r="Q1141" s="7">
        <f t="shared" si="122"/>
        <v>204.09900000000002</v>
      </c>
      <c r="R1141" s="7">
        <f t="shared" si="123"/>
        <v>3877.8809999999999</v>
      </c>
      <c r="S1141" s="7">
        <f t="shared" si="124"/>
        <v>553.98299999999995</v>
      </c>
      <c r="T1141" s="6">
        <f t="shared" si="125"/>
        <v>1.2152777777777778E-2</v>
      </c>
      <c r="V1141" t="s">
        <v>29</v>
      </c>
    </row>
    <row r="1142" spans="1:22">
      <c r="A1142" s="3">
        <v>45705</v>
      </c>
      <c r="B1142" t="str">
        <f t="shared" si="119"/>
        <v>yyyy-02</v>
      </c>
      <c r="C1142">
        <f t="shared" si="120"/>
        <v>8</v>
      </c>
      <c r="D1142" t="s">
        <v>42</v>
      </c>
      <c r="E1142" t="s">
        <v>49</v>
      </c>
      <c r="F1142" t="s">
        <v>50</v>
      </c>
      <c r="G1142" t="s">
        <v>27</v>
      </c>
      <c r="H1142" t="s">
        <v>45</v>
      </c>
      <c r="I1142" s="5">
        <v>153</v>
      </c>
      <c r="J1142" s="5">
        <v>117</v>
      </c>
      <c r="K1142" s="5">
        <v>11</v>
      </c>
      <c r="L1142" s="5">
        <v>2</v>
      </c>
      <c r="M1142" s="5">
        <v>2</v>
      </c>
      <c r="N1142" s="7">
        <v>999.12</v>
      </c>
      <c r="O1142" s="7">
        <f t="shared" si="121"/>
        <v>1998.24</v>
      </c>
      <c r="P1142" s="4">
        <v>0</v>
      </c>
      <c r="Q1142" s="7">
        <f t="shared" si="122"/>
        <v>0</v>
      </c>
      <c r="R1142" s="7">
        <f t="shared" si="123"/>
        <v>1998.24</v>
      </c>
      <c r="S1142" s="7">
        <f t="shared" si="124"/>
        <v>999.12</v>
      </c>
      <c r="T1142" s="6">
        <f t="shared" si="125"/>
        <v>1.3071895424836602E-2</v>
      </c>
      <c r="V1142" t="s">
        <v>29</v>
      </c>
    </row>
    <row r="1143" spans="1:22">
      <c r="A1143" s="3">
        <v>45705</v>
      </c>
      <c r="B1143" t="str">
        <f t="shared" si="119"/>
        <v>yyyy-02</v>
      </c>
      <c r="C1143">
        <f t="shared" si="120"/>
        <v>8</v>
      </c>
      <c r="D1143" t="s">
        <v>42</v>
      </c>
      <c r="E1143" t="s">
        <v>51</v>
      </c>
      <c r="F1143" t="s">
        <v>52</v>
      </c>
      <c r="G1143" t="s">
        <v>31</v>
      </c>
      <c r="H1143" t="s">
        <v>32</v>
      </c>
      <c r="I1143" s="5">
        <v>332</v>
      </c>
      <c r="J1143" s="5">
        <v>214</v>
      </c>
      <c r="K1143" s="5">
        <v>13</v>
      </c>
      <c r="L1143" s="5">
        <v>6</v>
      </c>
      <c r="M1143" s="5">
        <v>6</v>
      </c>
      <c r="N1143" s="7">
        <v>601.28</v>
      </c>
      <c r="O1143" s="7">
        <f t="shared" si="121"/>
        <v>3607.68</v>
      </c>
      <c r="P1143" s="4">
        <v>0.11</v>
      </c>
      <c r="Q1143" s="7">
        <f t="shared" si="122"/>
        <v>396.84479999999996</v>
      </c>
      <c r="R1143" s="7">
        <f t="shared" si="123"/>
        <v>3210.8352</v>
      </c>
      <c r="S1143" s="7">
        <f t="shared" si="124"/>
        <v>535.13919999999996</v>
      </c>
      <c r="T1143" s="6">
        <f t="shared" si="125"/>
        <v>1.8072289156626505E-2</v>
      </c>
      <c r="U1143" t="s">
        <v>85</v>
      </c>
      <c r="V1143" t="s">
        <v>29</v>
      </c>
    </row>
    <row r="1144" spans="1:22">
      <c r="A1144" s="3">
        <v>45705</v>
      </c>
      <c r="B1144" t="str">
        <f t="shared" si="119"/>
        <v>yyyy-02</v>
      </c>
      <c r="C1144">
        <f t="shared" si="120"/>
        <v>8</v>
      </c>
      <c r="D1144" t="s">
        <v>53</v>
      </c>
      <c r="E1144" t="s">
        <v>54</v>
      </c>
      <c r="F1144" t="s">
        <v>55</v>
      </c>
      <c r="G1144" t="s">
        <v>27</v>
      </c>
      <c r="H1144" t="s">
        <v>48</v>
      </c>
      <c r="I1144" s="5">
        <v>120</v>
      </c>
      <c r="J1144" s="5">
        <v>80</v>
      </c>
      <c r="K1144" s="5">
        <v>7</v>
      </c>
      <c r="L1144" s="5">
        <v>2</v>
      </c>
      <c r="M1144" s="5">
        <v>2</v>
      </c>
      <c r="N1144" s="7">
        <v>1274.48</v>
      </c>
      <c r="O1144" s="7">
        <f t="shared" si="121"/>
        <v>2548.96</v>
      </c>
      <c r="P1144" s="4">
        <v>0.1</v>
      </c>
      <c r="Q1144" s="7">
        <f t="shared" si="122"/>
        <v>254.89600000000002</v>
      </c>
      <c r="R1144" s="7">
        <f t="shared" si="123"/>
        <v>2294.0639999999999</v>
      </c>
      <c r="S1144" s="7">
        <f t="shared" si="124"/>
        <v>1147.0319999999999</v>
      </c>
      <c r="T1144" s="6">
        <f t="shared" si="125"/>
        <v>1.6666666666666666E-2</v>
      </c>
      <c r="U1144" t="s">
        <v>86</v>
      </c>
      <c r="V1144" t="s">
        <v>29</v>
      </c>
    </row>
    <row r="1145" spans="1:22">
      <c r="A1145" s="3">
        <v>45705</v>
      </c>
      <c r="B1145" t="str">
        <f t="shared" si="119"/>
        <v>yyyy-02</v>
      </c>
      <c r="C1145">
        <f t="shared" si="120"/>
        <v>8</v>
      </c>
      <c r="D1145" t="s">
        <v>53</v>
      </c>
      <c r="E1145" t="s">
        <v>56</v>
      </c>
      <c r="F1145" t="s">
        <v>57</v>
      </c>
      <c r="G1145" t="s">
        <v>27</v>
      </c>
      <c r="H1145" t="s">
        <v>28</v>
      </c>
      <c r="I1145" s="5">
        <v>204</v>
      </c>
      <c r="J1145" s="5">
        <v>145</v>
      </c>
      <c r="K1145" s="5">
        <v>11</v>
      </c>
      <c r="L1145" s="5">
        <v>3</v>
      </c>
      <c r="M1145" s="5">
        <v>3</v>
      </c>
      <c r="N1145" s="7">
        <v>742.29</v>
      </c>
      <c r="O1145" s="7">
        <f t="shared" si="121"/>
        <v>2226.87</v>
      </c>
      <c r="P1145" s="4">
        <v>0.03</v>
      </c>
      <c r="Q1145" s="7">
        <f t="shared" si="122"/>
        <v>66.806100000000001</v>
      </c>
      <c r="R1145" s="7">
        <f t="shared" si="123"/>
        <v>2160.0639000000001</v>
      </c>
      <c r="S1145" s="7">
        <f t="shared" si="124"/>
        <v>720.0213</v>
      </c>
      <c r="T1145" s="6">
        <f t="shared" si="125"/>
        <v>1.4705882352941176E-2</v>
      </c>
      <c r="V1145" t="s">
        <v>29</v>
      </c>
    </row>
    <row r="1146" spans="1:22">
      <c r="A1146" s="3">
        <v>45705</v>
      </c>
      <c r="B1146" t="str">
        <f t="shared" si="119"/>
        <v>yyyy-02</v>
      </c>
      <c r="C1146">
        <f t="shared" si="120"/>
        <v>8</v>
      </c>
      <c r="D1146" t="s">
        <v>53</v>
      </c>
      <c r="E1146" t="s">
        <v>56</v>
      </c>
      <c r="F1146" t="s">
        <v>58</v>
      </c>
      <c r="G1146" t="s">
        <v>31</v>
      </c>
      <c r="H1146" t="s">
        <v>32</v>
      </c>
      <c r="I1146" s="5">
        <v>196</v>
      </c>
      <c r="J1146" s="5">
        <v>138</v>
      </c>
      <c r="K1146" s="5">
        <v>16</v>
      </c>
      <c r="L1146" s="5">
        <v>2</v>
      </c>
      <c r="M1146" s="5">
        <v>2</v>
      </c>
      <c r="N1146" s="7">
        <v>912.79</v>
      </c>
      <c r="O1146" s="7">
        <f t="shared" si="121"/>
        <v>1825.58</v>
      </c>
      <c r="P1146" s="4">
        <v>0</v>
      </c>
      <c r="Q1146" s="7">
        <f t="shared" si="122"/>
        <v>0</v>
      </c>
      <c r="R1146" s="7">
        <f t="shared" si="123"/>
        <v>1825.58</v>
      </c>
      <c r="S1146" s="7">
        <f t="shared" si="124"/>
        <v>912.79</v>
      </c>
      <c r="T1146" s="6">
        <f t="shared" si="125"/>
        <v>1.020408163265306E-2</v>
      </c>
      <c r="V1146" t="s">
        <v>29</v>
      </c>
    </row>
    <row r="1147" spans="1:22">
      <c r="A1147" s="3">
        <v>45705</v>
      </c>
      <c r="B1147" t="str">
        <f t="shared" si="119"/>
        <v>yyyy-02</v>
      </c>
      <c r="C1147">
        <f t="shared" si="120"/>
        <v>8</v>
      </c>
      <c r="D1147" t="s">
        <v>53</v>
      </c>
      <c r="E1147" t="s">
        <v>59</v>
      </c>
      <c r="F1147" t="s">
        <v>60</v>
      </c>
      <c r="G1147" t="s">
        <v>36</v>
      </c>
      <c r="H1147" t="s">
        <v>37</v>
      </c>
      <c r="I1147" s="5">
        <v>165</v>
      </c>
      <c r="J1147" s="5">
        <v>100</v>
      </c>
      <c r="K1147" s="5">
        <v>8</v>
      </c>
      <c r="L1147" s="5">
        <v>2</v>
      </c>
      <c r="M1147" s="5">
        <v>2</v>
      </c>
      <c r="N1147" s="7">
        <v>696.68</v>
      </c>
      <c r="O1147" s="7">
        <f t="shared" si="121"/>
        <v>1393.36</v>
      </c>
      <c r="P1147" s="4">
        <v>0.05</v>
      </c>
      <c r="Q1147" s="7">
        <f t="shared" si="122"/>
        <v>69.667999999999992</v>
      </c>
      <c r="R1147" s="7">
        <f t="shared" si="123"/>
        <v>1323.692</v>
      </c>
      <c r="S1147" s="7">
        <f t="shared" si="124"/>
        <v>661.846</v>
      </c>
      <c r="T1147" s="6">
        <f t="shared" si="125"/>
        <v>1.2121212121212121E-2</v>
      </c>
      <c r="V1147" t="s">
        <v>29</v>
      </c>
    </row>
    <row r="1148" spans="1:22">
      <c r="A1148" s="3">
        <v>45705</v>
      </c>
      <c r="B1148" t="str">
        <f t="shared" si="119"/>
        <v>yyyy-02</v>
      </c>
      <c r="C1148">
        <f t="shared" si="120"/>
        <v>8</v>
      </c>
      <c r="D1148" t="s">
        <v>53</v>
      </c>
      <c r="E1148" t="s">
        <v>61</v>
      </c>
      <c r="F1148" t="s">
        <v>62</v>
      </c>
      <c r="G1148" t="s">
        <v>36</v>
      </c>
      <c r="H1148" t="s">
        <v>37</v>
      </c>
      <c r="I1148" s="5">
        <v>159</v>
      </c>
      <c r="J1148" s="5">
        <v>117</v>
      </c>
      <c r="K1148" s="5">
        <v>13</v>
      </c>
      <c r="L1148" s="5">
        <v>1</v>
      </c>
      <c r="M1148" s="5">
        <v>1</v>
      </c>
      <c r="N1148" s="7">
        <v>486.92</v>
      </c>
      <c r="O1148" s="7">
        <f t="shared" si="121"/>
        <v>486.92</v>
      </c>
      <c r="P1148" s="4">
        <v>0.03</v>
      </c>
      <c r="Q1148" s="7">
        <f t="shared" si="122"/>
        <v>14.6076</v>
      </c>
      <c r="R1148" s="7">
        <f t="shared" si="123"/>
        <v>472.31240000000003</v>
      </c>
      <c r="S1148" s="7">
        <f t="shared" si="124"/>
        <v>472.31240000000003</v>
      </c>
      <c r="T1148" s="6">
        <f t="shared" si="125"/>
        <v>6.2893081761006293E-3</v>
      </c>
      <c r="V1148" t="s">
        <v>78</v>
      </c>
    </row>
    <row r="1149" spans="1:22">
      <c r="A1149" s="3">
        <v>45705</v>
      </c>
      <c r="B1149" t="str">
        <f t="shared" si="119"/>
        <v>yyyy-02</v>
      </c>
      <c r="C1149">
        <f t="shared" si="120"/>
        <v>8</v>
      </c>
      <c r="D1149" t="s">
        <v>53</v>
      </c>
      <c r="E1149" t="s">
        <v>64</v>
      </c>
      <c r="F1149" t="s">
        <v>65</v>
      </c>
      <c r="G1149" t="s">
        <v>31</v>
      </c>
      <c r="H1149" t="s">
        <v>32</v>
      </c>
      <c r="I1149" s="5">
        <v>253</v>
      </c>
      <c r="J1149" s="5">
        <v>136</v>
      </c>
      <c r="K1149" s="5">
        <v>9</v>
      </c>
      <c r="L1149" s="5">
        <v>2</v>
      </c>
      <c r="M1149" s="5">
        <v>2</v>
      </c>
      <c r="N1149" s="7">
        <v>803.35</v>
      </c>
      <c r="O1149" s="7">
        <f t="shared" si="121"/>
        <v>1606.7</v>
      </c>
      <c r="P1149" s="4">
        <v>0</v>
      </c>
      <c r="Q1149" s="7">
        <f t="shared" si="122"/>
        <v>0</v>
      </c>
      <c r="R1149" s="7">
        <f t="shared" si="123"/>
        <v>1606.7</v>
      </c>
      <c r="S1149" s="7">
        <f t="shared" si="124"/>
        <v>803.35</v>
      </c>
      <c r="T1149" s="6">
        <f t="shared" si="125"/>
        <v>7.9051383399209481E-3</v>
      </c>
      <c r="V1149" t="s">
        <v>29</v>
      </c>
    </row>
    <row r="1150" spans="1:22">
      <c r="A1150" s="3">
        <v>45705</v>
      </c>
      <c r="B1150" t="str">
        <f t="shared" si="119"/>
        <v>yyyy-02</v>
      </c>
      <c r="C1150">
        <f t="shared" si="120"/>
        <v>8</v>
      </c>
      <c r="D1150" t="s">
        <v>66</v>
      </c>
      <c r="E1150" t="s">
        <v>67</v>
      </c>
      <c r="F1150" t="s">
        <v>68</v>
      </c>
      <c r="G1150" t="s">
        <v>27</v>
      </c>
      <c r="H1150" t="s">
        <v>48</v>
      </c>
      <c r="I1150" s="5">
        <v>346</v>
      </c>
      <c r="J1150" s="5">
        <v>187</v>
      </c>
      <c r="K1150" s="5">
        <v>38</v>
      </c>
      <c r="L1150" s="5">
        <v>8</v>
      </c>
      <c r="M1150" s="5">
        <v>8</v>
      </c>
      <c r="N1150" s="7">
        <v>703.15</v>
      </c>
      <c r="O1150" s="7">
        <f t="shared" si="121"/>
        <v>5625.2</v>
      </c>
      <c r="P1150" s="4">
        <v>0</v>
      </c>
      <c r="Q1150" s="7">
        <f t="shared" si="122"/>
        <v>0</v>
      </c>
      <c r="R1150" s="7">
        <f t="shared" si="123"/>
        <v>5625.2</v>
      </c>
      <c r="S1150" s="7">
        <f t="shared" si="124"/>
        <v>703.15</v>
      </c>
      <c r="T1150" s="6">
        <f t="shared" si="125"/>
        <v>2.3121387283236993E-2</v>
      </c>
      <c r="V1150" t="s">
        <v>29</v>
      </c>
    </row>
    <row r="1151" spans="1:22">
      <c r="A1151" s="3">
        <v>45705</v>
      </c>
      <c r="B1151" t="str">
        <f t="shared" si="119"/>
        <v>yyyy-02</v>
      </c>
      <c r="C1151">
        <f t="shared" si="120"/>
        <v>8</v>
      </c>
      <c r="D1151" t="s">
        <v>66</v>
      </c>
      <c r="E1151" t="s">
        <v>67</v>
      </c>
      <c r="F1151" t="s">
        <v>69</v>
      </c>
      <c r="G1151" t="s">
        <v>31</v>
      </c>
      <c r="H1151" t="s">
        <v>32</v>
      </c>
      <c r="I1151" s="5">
        <v>337</v>
      </c>
      <c r="J1151" s="5">
        <v>183</v>
      </c>
      <c r="K1151" s="5">
        <v>29</v>
      </c>
      <c r="L1151" s="5">
        <v>6</v>
      </c>
      <c r="M1151" s="5">
        <v>6</v>
      </c>
      <c r="N1151" s="7">
        <v>384.04</v>
      </c>
      <c r="O1151" s="7">
        <f t="shared" si="121"/>
        <v>2304.2400000000002</v>
      </c>
      <c r="P1151" s="4">
        <v>0</v>
      </c>
      <c r="Q1151" s="7">
        <f t="shared" si="122"/>
        <v>0</v>
      </c>
      <c r="R1151" s="7">
        <f t="shared" si="123"/>
        <v>2304.2400000000002</v>
      </c>
      <c r="S1151" s="7">
        <f t="shared" si="124"/>
        <v>384.04</v>
      </c>
      <c r="T1151" s="6">
        <f t="shared" si="125"/>
        <v>1.7804154302670624E-2</v>
      </c>
      <c r="V1151" t="s">
        <v>29</v>
      </c>
    </row>
    <row r="1152" spans="1:22">
      <c r="A1152" s="3">
        <v>45705</v>
      </c>
      <c r="B1152" t="str">
        <f t="shared" si="119"/>
        <v>yyyy-02</v>
      </c>
      <c r="C1152">
        <f t="shared" si="120"/>
        <v>8</v>
      </c>
      <c r="D1152" t="s">
        <v>66</v>
      </c>
      <c r="E1152" t="s">
        <v>67</v>
      </c>
      <c r="F1152" t="s">
        <v>70</v>
      </c>
      <c r="G1152" t="s">
        <v>31</v>
      </c>
      <c r="H1152" t="s">
        <v>32</v>
      </c>
      <c r="I1152" s="5">
        <v>357</v>
      </c>
      <c r="J1152" s="5">
        <v>224</v>
      </c>
      <c r="K1152" s="5">
        <v>30</v>
      </c>
      <c r="L1152" s="5">
        <v>7</v>
      </c>
      <c r="M1152" s="5">
        <v>7</v>
      </c>
      <c r="N1152" s="7">
        <v>339.81</v>
      </c>
      <c r="O1152" s="7">
        <f t="shared" si="121"/>
        <v>2378.67</v>
      </c>
      <c r="P1152" s="4">
        <v>0.03</v>
      </c>
      <c r="Q1152" s="7">
        <f t="shared" si="122"/>
        <v>71.360100000000003</v>
      </c>
      <c r="R1152" s="7">
        <f t="shared" si="123"/>
        <v>2307.3099000000002</v>
      </c>
      <c r="S1152" s="7">
        <f t="shared" si="124"/>
        <v>329.6157</v>
      </c>
      <c r="T1152" s="6">
        <f t="shared" si="125"/>
        <v>1.9607843137254902E-2</v>
      </c>
      <c r="V1152" t="s">
        <v>29</v>
      </c>
    </row>
    <row r="1153" spans="1:22">
      <c r="A1153" s="3">
        <v>45705</v>
      </c>
      <c r="B1153" t="str">
        <f t="shared" si="119"/>
        <v>yyyy-02</v>
      </c>
      <c r="C1153">
        <f t="shared" si="120"/>
        <v>8</v>
      </c>
      <c r="D1153" t="s">
        <v>66</v>
      </c>
      <c r="E1153" t="s">
        <v>71</v>
      </c>
      <c r="F1153" t="s">
        <v>72</v>
      </c>
      <c r="G1153" t="s">
        <v>27</v>
      </c>
      <c r="H1153" t="s">
        <v>63</v>
      </c>
      <c r="I1153" s="5">
        <v>233</v>
      </c>
      <c r="J1153" s="5">
        <v>183</v>
      </c>
      <c r="K1153" s="5">
        <v>21</v>
      </c>
      <c r="L1153" s="5">
        <v>5</v>
      </c>
      <c r="M1153" s="5">
        <v>5</v>
      </c>
      <c r="N1153" s="7">
        <v>129.77000000000001</v>
      </c>
      <c r="O1153" s="7">
        <f t="shared" si="121"/>
        <v>648.85</v>
      </c>
      <c r="P1153" s="4">
        <v>0</v>
      </c>
      <c r="Q1153" s="7">
        <f t="shared" si="122"/>
        <v>0</v>
      </c>
      <c r="R1153" s="7">
        <f t="shared" si="123"/>
        <v>648.85</v>
      </c>
      <c r="S1153" s="7">
        <f t="shared" si="124"/>
        <v>129.77000000000001</v>
      </c>
      <c r="T1153" s="6">
        <f t="shared" si="125"/>
        <v>2.1459227467811159E-2</v>
      </c>
      <c r="V1153" t="s">
        <v>29</v>
      </c>
    </row>
    <row r="1154" spans="1:22">
      <c r="A1154" s="3">
        <v>45705</v>
      </c>
      <c r="B1154" t="str">
        <f t="shared" si="119"/>
        <v>yyyy-02</v>
      </c>
      <c r="C1154">
        <f t="shared" si="120"/>
        <v>8</v>
      </c>
      <c r="D1154" t="s">
        <v>66</v>
      </c>
      <c r="E1154" t="s">
        <v>73</v>
      </c>
      <c r="F1154" t="s">
        <v>74</v>
      </c>
      <c r="G1154" t="s">
        <v>27</v>
      </c>
      <c r="H1154" t="s">
        <v>45</v>
      </c>
      <c r="I1154" s="5">
        <v>147</v>
      </c>
      <c r="J1154" s="5">
        <v>101</v>
      </c>
      <c r="K1154" s="5">
        <v>9</v>
      </c>
      <c r="L1154" s="5">
        <v>2</v>
      </c>
      <c r="M1154" s="5">
        <v>2</v>
      </c>
      <c r="N1154" s="7">
        <v>1216.04</v>
      </c>
      <c r="O1154" s="7">
        <f t="shared" si="121"/>
        <v>2432.08</v>
      </c>
      <c r="P1154" s="4">
        <v>0</v>
      </c>
      <c r="Q1154" s="7">
        <f t="shared" si="122"/>
        <v>0</v>
      </c>
      <c r="R1154" s="7">
        <f t="shared" si="123"/>
        <v>2432.08</v>
      </c>
      <c r="S1154" s="7">
        <f t="shared" si="124"/>
        <v>1216.04</v>
      </c>
      <c r="T1154" s="6">
        <f t="shared" si="125"/>
        <v>1.3605442176870748E-2</v>
      </c>
      <c r="V1154" t="s">
        <v>29</v>
      </c>
    </row>
    <row r="1155" spans="1:22">
      <c r="A1155" s="3">
        <v>45705</v>
      </c>
      <c r="B1155" t="str">
        <f t="shared" si="119"/>
        <v>yyyy-02</v>
      </c>
      <c r="C1155">
        <f t="shared" si="120"/>
        <v>8</v>
      </c>
      <c r="D1155" t="s">
        <v>66</v>
      </c>
      <c r="E1155" t="s">
        <v>71</v>
      </c>
      <c r="F1155" t="s">
        <v>75</v>
      </c>
      <c r="G1155" t="s">
        <v>36</v>
      </c>
      <c r="H1155" t="s">
        <v>37</v>
      </c>
      <c r="I1155" s="5">
        <v>368</v>
      </c>
      <c r="J1155" s="5">
        <v>258</v>
      </c>
      <c r="K1155" s="5">
        <v>29</v>
      </c>
      <c r="L1155" s="5">
        <v>6</v>
      </c>
      <c r="M1155" s="5">
        <v>8</v>
      </c>
      <c r="N1155" s="7">
        <v>38.770000000000003</v>
      </c>
      <c r="O1155" s="7">
        <f t="shared" si="121"/>
        <v>310.16000000000003</v>
      </c>
      <c r="P1155" s="4">
        <v>0</v>
      </c>
      <c r="Q1155" s="7">
        <f t="shared" si="122"/>
        <v>0</v>
      </c>
      <c r="R1155" s="7">
        <f t="shared" si="123"/>
        <v>310.16000000000003</v>
      </c>
      <c r="S1155" s="7">
        <f t="shared" si="124"/>
        <v>51.693333333333335</v>
      </c>
      <c r="T1155" s="6">
        <f t="shared" si="125"/>
        <v>1.6304347826086956E-2</v>
      </c>
      <c r="V1155" t="s">
        <v>29</v>
      </c>
    </row>
    <row r="1156" spans="1:22">
      <c r="A1156" s="3">
        <v>45705</v>
      </c>
      <c r="B1156" t="str">
        <f t="shared" si="119"/>
        <v>yyyy-02</v>
      </c>
      <c r="C1156">
        <f t="shared" si="120"/>
        <v>8</v>
      </c>
      <c r="D1156" t="s">
        <v>24</v>
      </c>
      <c r="E1156" t="s">
        <v>76</v>
      </c>
      <c r="F1156" t="s">
        <v>77</v>
      </c>
      <c r="G1156" t="s">
        <v>27</v>
      </c>
      <c r="H1156" t="s">
        <v>63</v>
      </c>
      <c r="I1156" s="5">
        <v>386</v>
      </c>
      <c r="J1156" s="5">
        <v>230</v>
      </c>
      <c r="K1156" s="5">
        <v>17</v>
      </c>
      <c r="L1156" s="5">
        <v>6</v>
      </c>
      <c r="M1156" s="5">
        <v>7</v>
      </c>
      <c r="N1156" s="7">
        <v>194.79</v>
      </c>
      <c r="O1156" s="7">
        <f t="shared" si="121"/>
        <v>1363.53</v>
      </c>
      <c r="P1156" s="4">
        <v>0</v>
      </c>
      <c r="Q1156" s="7">
        <f t="shared" si="122"/>
        <v>0</v>
      </c>
      <c r="R1156" s="7">
        <f t="shared" si="123"/>
        <v>1363.53</v>
      </c>
      <c r="S1156" s="7">
        <f t="shared" si="124"/>
        <v>227.255</v>
      </c>
      <c r="T1156" s="6">
        <f t="shared" si="125"/>
        <v>1.5544041450777202E-2</v>
      </c>
      <c r="V1156" t="s">
        <v>29</v>
      </c>
    </row>
    <row r="1157" spans="1:22">
      <c r="A1157" s="3">
        <v>45706</v>
      </c>
      <c r="B1157" t="str">
        <f t="shared" ref="B1157:B1220" si="126">TEXT(A1157,"yyyy-mm")</f>
        <v>yyyy-02</v>
      </c>
      <c r="C1157">
        <f t="shared" ref="C1157:C1220" si="127">WEEKNUM(A1157,2)</f>
        <v>8</v>
      </c>
      <c r="D1157" t="s">
        <v>24</v>
      </c>
      <c r="E1157" t="s">
        <v>25</v>
      </c>
      <c r="F1157" t="s">
        <v>26</v>
      </c>
      <c r="G1157" t="s">
        <v>27</v>
      </c>
      <c r="H1157" t="s">
        <v>28</v>
      </c>
      <c r="I1157" s="5">
        <v>1568</v>
      </c>
      <c r="J1157" s="5">
        <v>1134</v>
      </c>
      <c r="K1157" s="5">
        <v>130</v>
      </c>
      <c r="L1157" s="5">
        <v>35</v>
      </c>
      <c r="M1157" s="5">
        <v>35</v>
      </c>
      <c r="N1157" s="7">
        <v>971.38</v>
      </c>
      <c r="O1157" s="7">
        <f t="shared" ref="O1157:O1220" si="128">M1157*N1157</f>
        <v>33998.300000000003</v>
      </c>
      <c r="P1157" s="4">
        <v>0</v>
      </c>
      <c r="Q1157" s="7">
        <f t="shared" ref="Q1157:Q1220" si="129">O1157*P1157</f>
        <v>0</v>
      </c>
      <c r="R1157" s="7">
        <f t="shared" ref="R1157:R1220" si="130">O1157-Q1157</f>
        <v>33998.300000000003</v>
      </c>
      <c r="S1157" s="7">
        <f t="shared" ref="S1157:S1220" si="131">IFERROR(R1157/L1157,0)</f>
        <v>971.38000000000011</v>
      </c>
      <c r="T1157" s="6">
        <f t="shared" ref="T1157:T1220" si="132">IFERROR(L1157/I1157,0)</f>
        <v>2.2321428571428572E-2</v>
      </c>
      <c r="V1157" t="s">
        <v>29</v>
      </c>
    </row>
    <row r="1158" spans="1:22">
      <c r="A1158" s="3">
        <v>45706</v>
      </c>
      <c r="B1158" t="str">
        <f t="shared" si="126"/>
        <v>yyyy-02</v>
      </c>
      <c r="C1158">
        <f t="shared" si="127"/>
        <v>8</v>
      </c>
      <c r="D1158" t="s">
        <v>24</v>
      </c>
      <c r="E1158" t="s">
        <v>25</v>
      </c>
      <c r="F1158" t="s">
        <v>30</v>
      </c>
      <c r="G1158" t="s">
        <v>27</v>
      </c>
      <c r="H1158" t="s">
        <v>45</v>
      </c>
      <c r="I1158" s="5">
        <v>1427</v>
      </c>
      <c r="J1158" s="5">
        <v>1121</v>
      </c>
      <c r="K1158" s="5">
        <v>81</v>
      </c>
      <c r="L1158" s="5">
        <v>28</v>
      </c>
      <c r="M1158" s="5">
        <v>28</v>
      </c>
      <c r="N1158" s="7">
        <v>396.24</v>
      </c>
      <c r="O1158" s="7">
        <f t="shared" si="128"/>
        <v>11094.720000000001</v>
      </c>
      <c r="P1158" s="4">
        <v>0</v>
      </c>
      <c r="Q1158" s="7">
        <f t="shared" si="129"/>
        <v>0</v>
      </c>
      <c r="R1158" s="7">
        <f t="shared" si="130"/>
        <v>11094.720000000001</v>
      </c>
      <c r="S1158" s="7">
        <f t="shared" si="131"/>
        <v>396.24000000000007</v>
      </c>
      <c r="T1158" s="6">
        <f t="shared" si="132"/>
        <v>1.9621583742116328E-2</v>
      </c>
      <c r="V1158" t="s">
        <v>29</v>
      </c>
    </row>
    <row r="1159" spans="1:22">
      <c r="A1159" s="3">
        <v>45706</v>
      </c>
      <c r="B1159" t="str">
        <f t="shared" si="126"/>
        <v>yyyy-02</v>
      </c>
      <c r="C1159">
        <f t="shared" si="127"/>
        <v>8</v>
      </c>
      <c r="D1159" t="s">
        <v>24</v>
      </c>
      <c r="E1159" t="s">
        <v>25</v>
      </c>
      <c r="F1159" t="s">
        <v>33</v>
      </c>
      <c r="G1159" t="s">
        <v>27</v>
      </c>
      <c r="H1159" t="s">
        <v>48</v>
      </c>
      <c r="I1159" s="5">
        <v>1081</v>
      </c>
      <c r="J1159" s="5">
        <v>730</v>
      </c>
      <c r="K1159" s="5">
        <v>80</v>
      </c>
      <c r="L1159" s="5">
        <v>17</v>
      </c>
      <c r="M1159" s="5">
        <v>17</v>
      </c>
      <c r="N1159" s="7">
        <v>1794.16</v>
      </c>
      <c r="O1159" s="7">
        <f t="shared" si="128"/>
        <v>30500.720000000001</v>
      </c>
      <c r="P1159" s="4">
        <v>0</v>
      </c>
      <c r="Q1159" s="7">
        <f t="shared" si="129"/>
        <v>0</v>
      </c>
      <c r="R1159" s="7">
        <f t="shared" si="130"/>
        <v>30500.720000000001</v>
      </c>
      <c r="S1159" s="7">
        <f t="shared" si="131"/>
        <v>1794.16</v>
      </c>
      <c r="T1159" s="6">
        <f t="shared" si="132"/>
        <v>1.572617946345976E-2</v>
      </c>
      <c r="V1159" t="s">
        <v>29</v>
      </c>
    </row>
    <row r="1160" spans="1:22">
      <c r="A1160" s="3">
        <v>45706</v>
      </c>
      <c r="B1160" t="str">
        <f t="shared" si="126"/>
        <v>yyyy-02</v>
      </c>
      <c r="C1160">
        <f t="shared" si="127"/>
        <v>8</v>
      </c>
      <c r="D1160" t="s">
        <v>24</v>
      </c>
      <c r="E1160" t="s">
        <v>34</v>
      </c>
      <c r="F1160" t="s">
        <v>35</v>
      </c>
      <c r="G1160" t="s">
        <v>36</v>
      </c>
      <c r="H1160" t="s">
        <v>37</v>
      </c>
      <c r="I1160" s="5">
        <v>1213</v>
      </c>
      <c r="J1160" s="5">
        <v>947</v>
      </c>
      <c r="K1160" s="5">
        <v>80</v>
      </c>
      <c r="L1160" s="5">
        <v>25</v>
      </c>
      <c r="M1160" s="5">
        <v>25</v>
      </c>
      <c r="N1160" s="7">
        <v>869.66</v>
      </c>
      <c r="O1160" s="7">
        <f t="shared" si="128"/>
        <v>21741.5</v>
      </c>
      <c r="P1160" s="4">
        <v>0</v>
      </c>
      <c r="Q1160" s="7">
        <f t="shared" si="129"/>
        <v>0</v>
      </c>
      <c r="R1160" s="7">
        <f t="shared" si="130"/>
        <v>21741.5</v>
      </c>
      <c r="S1160" s="7">
        <f t="shared" si="131"/>
        <v>869.66</v>
      </c>
      <c r="T1160" s="6">
        <f t="shared" si="132"/>
        <v>2.0610057708161583E-2</v>
      </c>
      <c r="V1160" t="s">
        <v>29</v>
      </c>
    </row>
    <row r="1161" spans="1:22">
      <c r="A1161" s="3">
        <v>45706</v>
      </c>
      <c r="B1161" t="str">
        <f t="shared" si="126"/>
        <v>yyyy-02</v>
      </c>
      <c r="C1161">
        <f t="shared" si="127"/>
        <v>8</v>
      </c>
      <c r="D1161" t="s">
        <v>24</v>
      </c>
      <c r="E1161" t="s">
        <v>38</v>
      </c>
      <c r="F1161" t="s">
        <v>39</v>
      </c>
      <c r="G1161" t="s">
        <v>27</v>
      </c>
      <c r="H1161" t="s">
        <v>45</v>
      </c>
      <c r="I1161" s="5">
        <v>696</v>
      </c>
      <c r="J1161" s="5">
        <v>526</v>
      </c>
      <c r="K1161" s="5">
        <v>56</v>
      </c>
      <c r="L1161" s="5">
        <v>13</v>
      </c>
      <c r="M1161" s="5">
        <v>13</v>
      </c>
      <c r="N1161" s="7">
        <v>321.18</v>
      </c>
      <c r="O1161" s="7">
        <f t="shared" si="128"/>
        <v>4175.34</v>
      </c>
      <c r="P1161" s="4">
        <v>0</v>
      </c>
      <c r="Q1161" s="7">
        <f t="shared" si="129"/>
        <v>0</v>
      </c>
      <c r="R1161" s="7">
        <f t="shared" si="130"/>
        <v>4175.34</v>
      </c>
      <c r="S1161" s="7">
        <f t="shared" si="131"/>
        <v>321.18</v>
      </c>
      <c r="T1161" s="6">
        <f t="shared" si="132"/>
        <v>1.8678160919540231E-2</v>
      </c>
      <c r="V1161" t="s">
        <v>78</v>
      </c>
    </row>
    <row r="1162" spans="1:22">
      <c r="A1162" s="3">
        <v>45706</v>
      </c>
      <c r="B1162" t="str">
        <f t="shared" si="126"/>
        <v>yyyy-02</v>
      </c>
      <c r="C1162">
        <f t="shared" si="127"/>
        <v>8</v>
      </c>
      <c r="D1162" t="s">
        <v>24</v>
      </c>
      <c r="E1162" t="s">
        <v>40</v>
      </c>
      <c r="F1162" t="s">
        <v>41</v>
      </c>
      <c r="G1162" t="s">
        <v>27</v>
      </c>
      <c r="H1162" t="s">
        <v>28</v>
      </c>
      <c r="I1162" s="5">
        <v>770</v>
      </c>
      <c r="J1162" s="5">
        <v>420</v>
      </c>
      <c r="K1162" s="5">
        <v>54</v>
      </c>
      <c r="L1162" s="5">
        <v>14</v>
      </c>
      <c r="M1162" s="5">
        <v>18</v>
      </c>
      <c r="N1162" s="7">
        <v>175.97</v>
      </c>
      <c r="O1162" s="7">
        <f t="shared" si="128"/>
        <v>3167.46</v>
      </c>
      <c r="P1162" s="4">
        <v>0</v>
      </c>
      <c r="Q1162" s="7">
        <f t="shared" si="129"/>
        <v>0</v>
      </c>
      <c r="R1162" s="7">
        <f t="shared" si="130"/>
        <v>3167.46</v>
      </c>
      <c r="S1162" s="7">
        <f t="shared" si="131"/>
        <v>226.24714285714285</v>
      </c>
      <c r="T1162" s="6">
        <f t="shared" si="132"/>
        <v>1.8181818181818181E-2</v>
      </c>
      <c r="V1162" t="s">
        <v>29</v>
      </c>
    </row>
    <row r="1163" spans="1:22">
      <c r="A1163" s="3">
        <v>45706</v>
      </c>
      <c r="B1163" t="str">
        <f t="shared" si="126"/>
        <v>yyyy-02</v>
      </c>
      <c r="C1163">
        <f t="shared" si="127"/>
        <v>8</v>
      </c>
      <c r="D1163" t="s">
        <v>42</v>
      </c>
      <c r="E1163" t="s">
        <v>43</v>
      </c>
      <c r="F1163" t="s">
        <v>44</v>
      </c>
      <c r="G1163" t="s">
        <v>31</v>
      </c>
      <c r="H1163" t="s">
        <v>32</v>
      </c>
      <c r="I1163" s="5">
        <v>494</v>
      </c>
      <c r="J1163" s="5">
        <v>358</v>
      </c>
      <c r="K1163" s="5">
        <v>41</v>
      </c>
      <c r="L1163" s="5">
        <v>5</v>
      </c>
      <c r="M1163" s="5">
        <v>5</v>
      </c>
      <c r="N1163" s="7">
        <v>1317.97</v>
      </c>
      <c r="O1163" s="7">
        <f t="shared" si="128"/>
        <v>6589.85</v>
      </c>
      <c r="P1163" s="4">
        <v>0</v>
      </c>
      <c r="Q1163" s="7">
        <f t="shared" si="129"/>
        <v>0</v>
      </c>
      <c r="R1163" s="7">
        <f t="shared" si="130"/>
        <v>6589.85</v>
      </c>
      <c r="S1163" s="7">
        <f t="shared" si="131"/>
        <v>1317.97</v>
      </c>
      <c r="T1163" s="6">
        <f t="shared" si="132"/>
        <v>1.0121457489878543E-2</v>
      </c>
      <c r="V1163" t="s">
        <v>29</v>
      </c>
    </row>
    <row r="1164" spans="1:22">
      <c r="A1164" s="3">
        <v>45706</v>
      </c>
      <c r="B1164" t="str">
        <f t="shared" si="126"/>
        <v>yyyy-02</v>
      </c>
      <c r="C1164">
        <f t="shared" si="127"/>
        <v>8</v>
      </c>
      <c r="D1164" t="s">
        <v>42</v>
      </c>
      <c r="E1164" t="s">
        <v>43</v>
      </c>
      <c r="F1164" t="s">
        <v>46</v>
      </c>
      <c r="G1164" t="s">
        <v>27</v>
      </c>
      <c r="H1164" t="s">
        <v>45</v>
      </c>
      <c r="I1164" s="5">
        <v>351</v>
      </c>
      <c r="J1164" s="5">
        <v>281</v>
      </c>
      <c r="K1164" s="5">
        <v>28</v>
      </c>
      <c r="L1164" s="5">
        <v>6</v>
      </c>
      <c r="M1164" s="5">
        <v>6</v>
      </c>
      <c r="N1164" s="7">
        <v>2156.02</v>
      </c>
      <c r="O1164" s="7">
        <f t="shared" si="128"/>
        <v>12936.119999999999</v>
      </c>
      <c r="P1164" s="4">
        <v>0</v>
      </c>
      <c r="Q1164" s="7">
        <f t="shared" si="129"/>
        <v>0</v>
      </c>
      <c r="R1164" s="7">
        <f t="shared" si="130"/>
        <v>12936.119999999999</v>
      </c>
      <c r="S1164" s="7">
        <f t="shared" si="131"/>
        <v>2156.02</v>
      </c>
      <c r="T1164" s="6">
        <f t="shared" si="132"/>
        <v>1.7094017094017096E-2</v>
      </c>
      <c r="V1164" t="s">
        <v>29</v>
      </c>
    </row>
    <row r="1165" spans="1:22">
      <c r="A1165" s="3">
        <v>45706</v>
      </c>
      <c r="B1165" t="str">
        <f t="shared" si="126"/>
        <v>yyyy-02</v>
      </c>
      <c r="C1165">
        <f t="shared" si="127"/>
        <v>8</v>
      </c>
      <c r="D1165" t="s">
        <v>42</v>
      </c>
      <c r="E1165" t="s">
        <v>43</v>
      </c>
      <c r="F1165" t="s">
        <v>47</v>
      </c>
      <c r="G1165" t="s">
        <v>27</v>
      </c>
      <c r="H1165" t="s">
        <v>48</v>
      </c>
      <c r="I1165" s="5">
        <v>385</v>
      </c>
      <c r="J1165" s="5">
        <v>289</v>
      </c>
      <c r="K1165" s="5">
        <v>34</v>
      </c>
      <c r="L1165" s="5">
        <v>6</v>
      </c>
      <c r="M1165" s="5">
        <v>6</v>
      </c>
      <c r="N1165" s="7">
        <v>608.54999999999995</v>
      </c>
      <c r="O1165" s="7">
        <f t="shared" si="128"/>
        <v>3651.2999999999997</v>
      </c>
      <c r="P1165" s="4">
        <v>0</v>
      </c>
      <c r="Q1165" s="7">
        <f t="shared" si="129"/>
        <v>0</v>
      </c>
      <c r="R1165" s="7">
        <f t="shared" si="130"/>
        <v>3651.2999999999997</v>
      </c>
      <c r="S1165" s="7">
        <f t="shared" si="131"/>
        <v>608.54999999999995</v>
      </c>
      <c r="T1165" s="6">
        <f t="shared" si="132"/>
        <v>1.5584415584415584E-2</v>
      </c>
      <c r="V1165" t="s">
        <v>29</v>
      </c>
    </row>
    <row r="1166" spans="1:22">
      <c r="A1166" s="3">
        <v>45706</v>
      </c>
      <c r="B1166" t="str">
        <f t="shared" si="126"/>
        <v>yyyy-02</v>
      </c>
      <c r="C1166">
        <f t="shared" si="127"/>
        <v>8</v>
      </c>
      <c r="D1166" t="s">
        <v>42</v>
      </c>
      <c r="E1166" t="s">
        <v>49</v>
      </c>
      <c r="F1166" t="s">
        <v>50</v>
      </c>
      <c r="G1166" t="s">
        <v>36</v>
      </c>
      <c r="H1166" t="s">
        <v>37</v>
      </c>
      <c r="I1166" s="5">
        <v>106</v>
      </c>
      <c r="J1166" s="5">
        <v>73</v>
      </c>
      <c r="K1166" s="5">
        <v>7</v>
      </c>
      <c r="L1166" s="5">
        <v>2</v>
      </c>
      <c r="M1166" s="5">
        <v>2</v>
      </c>
      <c r="N1166" s="7">
        <v>981.89</v>
      </c>
      <c r="O1166" s="7">
        <f t="shared" si="128"/>
        <v>1963.78</v>
      </c>
      <c r="P1166" s="4">
        <v>0.03</v>
      </c>
      <c r="Q1166" s="7">
        <f t="shared" si="129"/>
        <v>58.913399999999996</v>
      </c>
      <c r="R1166" s="7">
        <f t="shared" si="130"/>
        <v>1904.8666000000001</v>
      </c>
      <c r="S1166" s="7">
        <f t="shared" si="131"/>
        <v>952.43330000000003</v>
      </c>
      <c r="T1166" s="6">
        <f t="shared" si="132"/>
        <v>1.8867924528301886E-2</v>
      </c>
      <c r="V1166" t="s">
        <v>29</v>
      </c>
    </row>
    <row r="1167" spans="1:22">
      <c r="A1167" s="3">
        <v>45706</v>
      </c>
      <c r="B1167" t="str">
        <f t="shared" si="126"/>
        <v>yyyy-02</v>
      </c>
      <c r="C1167">
        <f t="shared" si="127"/>
        <v>8</v>
      </c>
      <c r="D1167" t="s">
        <v>42</v>
      </c>
      <c r="E1167" t="s">
        <v>51</v>
      </c>
      <c r="F1167" t="s">
        <v>52</v>
      </c>
      <c r="G1167" t="s">
        <v>27</v>
      </c>
      <c r="H1167" t="s">
        <v>45</v>
      </c>
      <c r="I1167" s="5">
        <v>231</v>
      </c>
      <c r="J1167" s="5">
        <v>177</v>
      </c>
      <c r="K1167" s="5">
        <v>11</v>
      </c>
      <c r="L1167" s="5">
        <v>5</v>
      </c>
      <c r="M1167" s="5">
        <v>5</v>
      </c>
      <c r="N1167" s="7">
        <v>594.54999999999995</v>
      </c>
      <c r="O1167" s="7">
        <f t="shared" si="128"/>
        <v>2972.75</v>
      </c>
      <c r="P1167" s="4">
        <v>0.11</v>
      </c>
      <c r="Q1167" s="7">
        <f t="shared" si="129"/>
        <v>327.0025</v>
      </c>
      <c r="R1167" s="7">
        <f t="shared" si="130"/>
        <v>2645.7474999999999</v>
      </c>
      <c r="S1167" s="7">
        <f t="shared" si="131"/>
        <v>529.14949999999999</v>
      </c>
      <c r="T1167" s="6">
        <f t="shared" si="132"/>
        <v>2.1645021645021644E-2</v>
      </c>
      <c r="U1167" t="s">
        <v>85</v>
      </c>
      <c r="V1167" t="s">
        <v>29</v>
      </c>
    </row>
    <row r="1168" spans="1:22">
      <c r="A1168" s="3">
        <v>45706</v>
      </c>
      <c r="B1168" t="str">
        <f t="shared" si="126"/>
        <v>yyyy-02</v>
      </c>
      <c r="C1168">
        <f t="shared" si="127"/>
        <v>8</v>
      </c>
      <c r="D1168" t="s">
        <v>53</v>
      </c>
      <c r="E1168" t="s">
        <v>54</v>
      </c>
      <c r="F1168" t="s">
        <v>55</v>
      </c>
      <c r="G1168" t="s">
        <v>36</v>
      </c>
      <c r="H1168" t="s">
        <v>37</v>
      </c>
      <c r="I1168" s="5">
        <v>188</v>
      </c>
      <c r="J1168" s="5">
        <v>133</v>
      </c>
      <c r="K1168" s="5">
        <v>14</v>
      </c>
      <c r="L1168" s="5">
        <v>2</v>
      </c>
      <c r="M1168" s="5">
        <v>2</v>
      </c>
      <c r="N1168" s="7">
        <v>1310.19</v>
      </c>
      <c r="O1168" s="7">
        <f t="shared" si="128"/>
        <v>2620.38</v>
      </c>
      <c r="P1168" s="4">
        <v>0.1</v>
      </c>
      <c r="Q1168" s="7">
        <f t="shared" si="129"/>
        <v>262.03800000000001</v>
      </c>
      <c r="R1168" s="7">
        <f t="shared" si="130"/>
        <v>2358.3420000000001</v>
      </c>
      <c r="S1168" s="7">
        <f t="shared" si="131"/>
        <v>1179.171</v>
      </c>
      <c r="T1168" s="6">
        <f t="shared" si="132"/>
        <v>1.0638297872340425E-2</v>
      </c>
      <c r="U1168" t="s">
        <v>86</v>
      </c>
      <c r="V1168" t="s">
        <v>29</v>
      </c>
    </row>
    <row r="1169" spans="1:22">
      <c r="A1169" s="3">
        <v>45706</v>
      </c>
      <c r="B1169" t="str">
        <f t="shared" si="126"/>
        <v>yyyy-02</v>
      </c>
      <c r="C1169">
        <f t="shared" si="127"/>
        <v>8</v>
      </c>
      <c r="D1169" t="s">
        <v>53</v>
      </c>
      <c r="E1169" t="s">
        <v>56</v>
      </c>
      <c r="F1169" t="s">
        <v>57</v>
      </c>
      <c r="G1169" t="s">
        <v>27</v>
      </c>
      <c r="H1169" t="s">
        <v>28</v>
      </c>
      <c r="I1169" s="5">
        <v>165</v>
      </c>
      <c r="J1169" s="5">
        <v>129</v>
      </c>
      <c r="K1169" s="5">
        <v>5</v>
      </c>
      <c r="L1169" s="5">
        <v>2</v>
      </c>
      <c r="M1169" s="5">
        <v>2</v>
      </c>
      <c r="N1169" s="7">
        <v>720.7</v>
      </c>
      <c r="O1169" s="7">
        <f t="shared" si="128"/>
        <v>1441.4</v>
      </c>
      <c r="P1169" s="4">
        <v>0</v>
      </c>
      <c r="Q1169" s="7">
        <f t="shared" si="129"/>
        <v>0</v>
      </c>
      <c r="R1169" s="7">
        <f t="shared" si="130"/>
        <v>1441.4</v>
      </c>
      <c r="S1169" s="7">
        <f t="shared" si="131"/>
        <v>720.7</v>
      </c>
      <c r="T1169" s="6">
        <f t="shared" si="132"/>
        <v>1.2121212121212121E-2</v>
      </c>
      <c r="V1169" t="s">
        <v>29</v>
      </c>
    </row>
    <row r="1170" spans="1:22">
      <c r="A1170" s="3">
        <v>45706</v>
      </c>
      <c r="B1170" t="str">
        <f t="shared" si="126"/>
        <v>yyyy-02</v>
      </c>
      <c r="C1170">
        <f t="shared" si="127"/>
        <v>8</v>
      </c>
      <c r="D1170" t="s">
        <v>53</v>
      </c>
      <c r="E1170" t="s">
        <v>56</v>
      </c>
      <c r="F1170" t="s">
        <v>58</v>
      </c>
      <c r="G1170" t="s">
        <v>36</v>
      </c>
      <c r="H1170" t="s">
        <v>37</v>
      </c>
      <c r="I1170" s="5">
        <v>161</v>
      </c>
      <c r="J1170" s="5">
        <v>94</v>
      </c>
      <c r="K1170" s="5">
        <v>6</v>
      </c>
      <c r="L1170" s="5">
        <v>1</v>
      </c>
      <c r="M1170" s="5">
        <v>1</v>
      </c>
      <c r="N1170" s="7">
        <v>895.96</v>
      </c>
      <c r="O1170" s="7">
        <f t="shared" si="128"/>
        <v>895.96</v>
      </c>
      <c r="P1170" s="4">
        <v>0.05</v>
      </c>
      <c r="Q1170" s="7">
        <f t="shared" si="129"/>
        <v>44.798000000000002</v>
      </c>
      <c r="R1170" s="7">
        <f t="shared" si="130"/>
        <v>851.16200000000003</v>
      </c>
      <c r="S1170" s="7">
        <f t="shared" si="131"/>
        <v>851.16200000000003</v>
      </c>
      <c r="T1170" s="6">
        <f t="shared" si="132"/>
        <v>6.2111801242236021E-3</v>
      </c>
      <c r="V1170" t="s">
        <v>29</v>
      </c>
    </row>
    <row r="1171" spans="1:22">
      <c r="A1171" s="3">
        <v>45706</v>
      </c>
      <c r="B1171" t="str">
        <f t="shared" si="126"/>
        <v>yyyy-02</v>
      </c>
      <c r="C1171">
        <f t="shared" si="127"/>
        <v>8</v>
      </c>
      <c r="D1171" t="s">
        <v>53</v>
      </c>
      <c r="E1171" t="s">
        <v>59</v>
      </c>
      <c r="F1171" t="s">
        <v>60</v>
      </c>
      <c r="G1171" t="s">
        <v>36</v>
      </c>
      <c r="H1171" t="s">
        <v>37</v>
      </c>
      <c r="I1171" s="5">
        <v>154</v>
      </c>
      <c r="J1171" s="5">
        <v>92</v>
      </c>
      <c r="K1171" s="5">
        <v>5</v>
      </c>
      <c r="L1171" s="5">
        <v>2</v>
      </c>
      <c r="M1171" s="5">
        <v>2</v>
      </c>
      <c r="N1171" s="7">
        <v>707.58</v>
      </c>
      <c r="O1171" s="7">
        <f t="shared" si="128"/>
        <v>1415.16</v>
      </c>
      <c r="P1171" s="4">
        <v>0</v>
      </c>
      <c r="Q1171" s="7">
        <f t="shared" si="129"/>
        <v>0</v>
      </c>
      <c r="R1171" s="7">
        <f t="shared" si="130"/>
        <v>1415.16</v>
      </c>
      <c r="S1171" s="7">
        <f t="shared" si="131"/>
        <v>707.58</v>
      </c>
      <c r="T1171" s="6">
        <f t="shared" si="132"/>
        <v>1.2987012987012988E-2</v>
      </c>
      <c r="V1171" t="s">
        <v>29</v>
      </c>
    </row>
    <row r="1172" spans="1:22">
      <c r="A1172" s="3">
        <v>45706</v>
      </c>
      <c r="B1172" t="str">
        <f t="shared" si="126"/>
        <v>yyyy-02</v>
      </c>
      <c r="C1172">
        <f t="shared" si="127"/>
        <v>8</v>
      </c>
      <c r="D1172" t="s">
        <v>53</v>
      </c>
      <c r="E1172" t="s">
        <v>61</v>
      </c>
      <c r="F1172" t="s">
        <v>62</v>
      </c>
      <c r="G1172" t="s">
        <v>27</v>
      </c>
      <c r="H1172" t="s">
        <v>28</v>
      </c>
      <c r="I1172" s="5">
        <v>196</v>
      </c>
      <c r="J1172" s="5">
        <v>104</v>
      </c>
      <c r="K1172" s="5">
        <v>9</v>
      </c>
      <c r="L1172" s="5">
        <v>2</v>
      </c>
      <c r="M1172" s="5">
        <v>2</v>
      </c>
      <c r="N1172" s="7">
        <v>480.3</v>
      </c>
      <c r="O1172" s="7">
        <f t="shared" si="128"/>
        <v>960.6</v>
      </c>
      <c r="P1172" s="4">
        <v>0</v>
      </c>
      <c r="Q1172" s="7">
        <f t="shared" si="129"/>
        <v>0</v>
      </c>
      <c r="R1172" s="7">
        <f t="shared" si="130"/>
        <v>960.6</v>
      </c>
      <c r="S1172" s="7">
        <f t="shared" si="131"/>
        <v>480.3</v>
      </c>
      <c r="T1172" s="6">
        <f t="shared" si="132"/>
        <v>1.020408163265306E-2</v>
      </c>
      <c r="V1172" t="s">
        <v>29</v>
      </c>
    </row>
    <row r="1173" spans="1:22">
      <c r="A1173" s="3">
        <v>45706</v>
      </c>
      <c r="B1173" t="str">
        <f t="shared" si="126"/>
        <v>yyyy-02</v>
      </c>
      <c r="C1173">
        <f t="shared" si="127"/>
        <v>8</v>
      </c>
      <c r="D1173" t="s">
        <v>53</v>
      </c>
      <c r="E1173" t="s">
        <v>64</v>
      </c>
      <c r="F1173" t="s">
        <v>65</v>
      </c>
      <c r="G1173" t="s">
        <v>27</v>
      </c>
      <c r="H1173" t="s">
        <v>45</v>
      </c>
      <c r="I1173" s="5">
        <v>247</v>
      </c>
      <c r="J1173" s="5">
        <v>129</v>
      </c>
      <c r="K1173" s="5">
        <v>14</v>
      </c>
      <c r="L1173" s="5">
        <v>3</v>
      </c>
      <c r="M1173" s="5">
        <v>3</v>
      </c>
      <c r="N1173" s="7">
        <v>769.18</v>
      </c>
      <c r="O1173" s="7">
        <f t="shared" si="128"/>
        <v>2307.54</v>
      </c>
      <c r="P1173" s="4">
        <v>0</v>
      </c>
      <c r="Q1173" s="7">
        <f t="shared" si="129"/>
        <v>0</v>
      </c>
      <c r="R1173" s="7">
        <f t="shared" si="130"/>
        <v>2307.54</v>
      </c>
      <c r="S1173" s="7">
        <f t="shared" si="131"/>
        <v>769.18</v>
      </c>
      <c r="T1173" s="6">
        <f t="shared" si="132"/>
        <v>1.2145748987854251E-2</v>
      </c>
      <c r="V1173" t="s">
        <v>29</v>
      </c>
    </row>
    <row r="1174" spans="1:22">
      <c r="A1174" s="3">
        <v>45706</v>
      </c>
      <c r="B1174" t="str">
        <f t="shared" si="126"/>
        <v>yyyy-02</v>
      </c>
      <c r="C1174">
        <f t="shared" si="127"/>
        <v>8</v>
      </c>
      <c r="D1174" t="s">
        <v>66</v>
      </c>
      <c r="E1174" t="s">
        <v>67</v>
      </c>
      <c r="F1174" t="s">
        <v>68</v>
      </c>
      <c r="G1174" t="s">
        <v>31</v>
      </c>
      <c r="H1174" t="s">
        <v>32</v>
      </c>
      <c r="I1174" s="5">
        <v>397</v>
      </c>
      <c r="J1174" s="5">
        <v>261</v>
      </c>
      <c r="K1174" s="5">
        <v>17</v>
      </c>
      <c r="L1174" s="5">
        <v>6</v>
      </c>
      <c r="M1174" s="5">
        <v>6</v>
      </c>
      <c r="N1174" s="7">
        <v>686.61</v>
      </c>
      <c r="O1174" s="7">
        <f t="shared" si="128"/>
        <v>4119.66</v>
      </c>
      <c r="P1174" s="4">
        <v>0</v>
      </c>
      <c r="Q1174" s="7">
        <f t="shared" si="129"/>
        <v>0</v>
      </c>
      <c r="R1174" s="7">
        <f t="shared" si="130"/>
        <v>4119.66</v>
      </c>
      <c r="S1174" s="7">
        <f t="shared" si="131"/>
        <v>686.61</v>
      </c>
      <c r="T1174" s="6">
        <f t="shared" si="132"/>
        <v>1.5113350125944584E-2</v>
      </c>
      <c r="V1174" t="s">
        <v>78</v>
      </c>
    </row>
    <row r="1175" spans="1:22">
      <c r="A1175" s="3">
        <v>45706</v>
      </c>
      <c r="B1175" t="str">
        <f t="shared" si="126"/>
        <v>yyyy-02</v>
      </c>
      <c r="C1175">
        <f t="shared" si="127"/>
        <v>8</v>
      </c>
      <c r="D1175" t="s">
        <v>66</v>
      </c>
      <c r="E1175" t="s">
        <v>67</v>
      </c>
      <c r="F1175" t="s">
        <v>69</v>
      </c>
      <c r="G1175" t="s">
        <v>27</v>
      </c>
      <c r="H1175" t="s">
        <v>48</v>
      </c>
      <c r="I1175" s="5">
        <v>237</v>
      </c>
      <c r="J1175" s="5">
        <v>125</v>
      </c>
      <c r="K1175" s="5">
        <v>15</v>
      </c>
      <c r="L1175" s="5">
        <v>3</v>
      </c>
      <c r="M1175" s="5">
        <v>3</v>
      </c>
      <c r="N1175" s="7">
        <v>404.52</v>
      </c>
      <c r="O1175" s="7">
        <f t="shared" si="128"/>
        <v>1213.56</v>
      </c>
      <c r="P1175" s="4">
        <v>0</v>
      </c>
      <c r="Q1175" s="7">
        <f t="shared" si="129"/>
        <v>0</v>
      </c>
      <c r="R1175" s="7">
        <f t="shared" si="130"/>
        <v>1213.56</v>
      </c>
      <c r="S1175" s="7">
        <f t="shared" si="131"/>
        <v>404.52</v>
      </c>
      <c r="T1175" s="6">
        <f t="shared" si="132"/>
        <v>1.2658227848101266E-2</v>
      </c>
      <c r="V1175" t="s">
        <v>78</v>
      </c>
    </row>
    <row r="1176" spans="1:22">
      <c r="A1176" s="3">
        <v>45706</v>
      </c>
      <c r="B1176" t="str">
        <f t="shared" si="126"/>
        <v>yyyy-02</v>
      </c>
      <c r="C1176">
        <f t="shared" si="127"/>
        <v>8</v>
      </c>
      <c r="D1176" t="s">
        <v>66</v>
      </c>
      <c r="E1176" t="s">
        <v>67</v>
      </c>
      <c r="F1176" t="s">
        <v>70</v>
      </c>
      <c r="G1176" t="s">
        <v>36</v>
      </c>
      <c r="H1176" t="s">
        <v>37</v>
      </c>
      <c r="I1176" s="5">
        <v>394</v>
      </c>
      <c r="J1176" s="5">
        <v>224</v>
      </c>
      <c r="K1176" s="5">
        <v>25</v>
      </c>
      <c r="L1176" s="5">
        <v>5</v>
      </c>
      <c r="M1176" s="5">
        <v>5</v>
      </c>
      <c r="N1176" s="7">
        <v>335.57</v>
      </c>
      <c r="O1176" s="7">
        <f t="shared" si="128"/>
        <v>1677.85</v>
      </c>
      <c r="P1176" s="4">
        <v>0</v>
      </c>
      <c r="Q1176" s="7">
        <f t="shared" si="129"/>
        <v>0</v>
      </c>
      <c r="R1176" s="7">
        <f t="shared" si="130"/>
        <v>1677.85</v>
      </c>
      <c r="S1176" s="7">
        <f t="shared" si="131"/>
        <v>335.57</v>
      </c>
      <c r="T1176" s="6">
        <f t="shared" si="132"/>
        <v>1.2690355329949238E-2</v>
      </c>
      <c r="V1176" t="s">
        <v>29</v>
      </c>
    </row>
    <row r="1177" spans="1:22">
      <c r="A1177" s="3">
        <v>45706</v>
      </c>
      <c r="B1177" t="str">
        <f t="shared" si="126"/>
        <v>yyyy-02</v>
      </c>
      <c r="C1177">
        <f t="shared" si="127"/>
        <v>8</v>
      </c>
      <c r="D1177" t="s">
        <v>66</v>
      </c>
      <c r="E1177" t="s">
        <v>71</v>
      </c>
      <c r="F1177" t="s">
        <v>72</v>
      </c>
      <c r="G1177" t="s">
        <v>27</v>
      </c>
      <c r="H1177" t="s">
        <v>28</v>
      </c>
      <c r="I1177" s="5">
        <v>315</v>
      </c>
      <c r="J1177" s="5">
        <v>220</v>
      </c>
      <c r="K1177" s="5">
        <v>23</v>
      </c>
      <c r="L1177" s="5">
        <v>5</v>
      </c>
      <c r="M1177" s="5">
        <v>5</v>
      </c>
      <c r="N1177" s="7">
        <v>129.46</v>
      </c>
      <c r="O1177" s="7">
        <f t="shared" si="128"/>
        <v>647.30000000000007</v>
      </c>
      <c r="P1177" s="4">
        <v>0</v>
      </c>
      <c r="Q1177" s="7">
        <f t="shared" si="129"/>
        <v>0</v>
      </c>
      <c r="R1177" s="7">
        <f t="shared" si="130"/>
        <v>647.30000000000007</v>
      </c>
      <c r="S1177" s="7">
        <f t="shared" si="131"/>
        <v>129.46</v>
      </c>
      <c r="T1177" s="6">
        <f t="shared" si="132"/>
        <v>1.5873015873015872E-2</v>
      </c>
      <c r="V1177" t="s">
        <v>29</v>
      </c>
    </row>
    <row r="1178" spans="1:22">
      <c r="A1178" s="3">
        <v>45706</v>
      </c>
      <c r="B1178" t="str">
        <f t="shared" si="126"/>
        <v>yyyy-02</v>
      </c>
      <c r="C1178">
        <f t="shared" si="127"/>
        <v>8</v>
      </c>
      <c r="D1178" t="s">
        <v>66</v>
      </c>
      <c r="E1178" t="s">
        <v>73</v>
      </c>
      <c r="F1178" t="s">
        <v>74</v>
      </c>
      <c r="G1178" t="s">
        <v>36</v>
      </c>
      <c r="H1178" t="s">
        <v>37</v>
      </c>
      <c r="I1178" s="5">
        <v>178</v>
      </c>
      <c r="J1178" s="5">
        <v>96</v>
      </c>
      <c r="K1178" s="5">
        <v>8</v>
      </c>
      <c r="L1178" s="5">
        <v>3</v>
      </c>
      <c r="M1178" s="5">
        <v>3</v>
      </c>
      <c r="N1178" s="7">
        <v>1192.3699999999999</v>
      </c>
      <c r="O1178" s="7">
        <f t="shared" si="128"/>
        <v>3577.1099999999997</v>
      </c>
      <c r="P1178" s="4">
        <v>0.05</v>
      </c>
      <c r="Q1178" s="7">
        <f t="shared" si="129"/>
        <v>178.85550000000001</v>
      </c>
      <c r="R1178" s="7">
        <f t="shared" si="130"/>
        <v>3398.2544999999996</v>
      </c>
      <c r="S1178" s="7">
        <f t="shared" si="131"/>
        <v>1132.7514999999999</v>
      </c>
      <c r="T1178" s="6">
        <f t="shared" si="132"/>
        <v>1.6853932584269662E-2</v>
      </c>
      <c r="V1178" t="s">
        <v>78</v>
      </c>
    </row>
    <row r="1179" spans="1:22">
      <c r="A1179" s="3">
        <v>45706</v>
      </c>
      <c r="B1179" t="str">
        <f t="shared" si="126"/>
        <v>yyyy-02</v>
      </c>
      <c r="C1179">
        <f t="shared" si="127"/>
        <v>8</v>
      </c>
      <c r="D1179" t="s">
        <v>66</v>
      </c>
      <c r="E1179" t="s">
        <v>71</v>
      </c>
      <c r="F1179" t="s">
        <v>75</v>
      </c>
      <c r="G1179" t="s">
        <v>27</v>
      </c>
      <c r="H1179" t="s">
        <v>28</v>
      </c>
      <c r="I1179" s="5">
        <v>373</v>
      </c>
      <c r="J1179" s="5">
        <v>286</v>
      </c>
      <c r="K1179" s="5">
        <v>28</v>
      </c>
      <c r="L1179" s="5">
        <v>7</v>
      </c>
      <c r="M1179" s="5">
        <v>8</v>
      </c>
      <c r="N1179" s="7">
        <v>37.9</v>
      </c>
      <c r="O1179" s="7">
        <f t="shared" si="128"/>
        <v>303.2</v>
      </c>
      <c r="P1179" s="4">
        <v>0</v>
      </c>
      <c r="Q1179" s="7">
        <f t="shared" si="129"/>
        <v>0</v>
      </c>
      <c r="R1179" s="7">
        <f t="shared" si="130"/>
        <v>303.2</v>
      </c>
      <c r="S1179" s="7">
        <f t="shared" si="131"/>
        <v>43.31428571428571</v>
      </c>
      <c r="T1179" s="6">
        <f t="shared" si="132"/>
        <v>1.876675603217158E-2</v>
      </c>
      <c r="V1179" t="s">
        <v>29</v>
      </c>
    </row>
    <row r="1180" spans="1:22">
      <c r="A1180" s="3">
        <v>45706</v>
      </c>
      <c r="B1180" t="str">
        <f t="shared" si="126"/>
        <v>yyyy-02</v>
      </c>
      <c r="C1180">
        <f t="shared" si="127"/>
        <v>8</v>
      </c>
      <c r="D1180" t="s">
        <v>24</v>
      </c>
      <c r="E1180" t="s">
        <v>76</v>
      </c>
      <c r="F1180" t="s">
        <v>77</v>
      </c>
      <c r="G1180" t="s">
        <v>27</v>
      </c>
      <c r="H1180" t="s">
        <v>28</v>
      </c>
      <c r="I1180" s="5">
        <v>631</v>
      </c>
      <c r="J1180" s="5">
        <v>484</v>
      </c>
      <c r="K1180" s="5">
        <v>43</v>
      </c>
      <c r="L1180" s="5">
        <v>16</v>
      </c>
      <c r="M1180" s="5">
        <v>21</v>
      </c>
      <c r="N1180" s="7">
        <v>199.32</v>
      </c>
      <c r="O1180" s="7">
        <f t="shared" si="128"/>
        <v>4185.72</v>
      </c>
      <c r="P1180" s="4">
        <v>0</v>
      </c>
      <c r="Q1180" s="7">
        <f t="shared" si="129"/>
        <v>0</v>
      </c>
      <c r="R1180" s="7">
        <f t="shared" si="130"/>
        <v>4185.72</v>
      </c>
      <c r="S1180" s="7">
        <f t="shared" si="131"/>
        <v>261.60750000000002</v>
      </c>
      <c r="T1180" s="6">
        <f t="shared" si="132"/>
        <v>2.5356576862123614E-2</v>
      </c>
      <c r="V1180" t="s">
        <v>29</v>
      </c>
    </row>
    <row r="1181" spans="1:22">
      <c r="A1181" s="3">
        <v>45707</v>
      </c>
      <c r="B1181" t="str">
        <f t="shared" si="126"/>
        <v>yyyy-02</v>
      </c>
      <c r="C1181">
        <f t="shared" si="127"/>
        <v>8</v>
      </c>
      <c r="D1181" t="s">
        <v>24</v>
      </c>
      <c r="E1181" t="s">
        <v>25</v>
      </c>
      <c r="F1181" t="s">
        <v>26</v>
      </c>
      <c r="G1181" t="s">
        <v>36</v>
      </c>
      <c r="H1181" t="s">
        <v>37</v>
      </c>
      <c r="I1181" s="5">
        <v>1391</v>
      </c>
      <c r="J1181" s="5">
        <v>1117</v>
      </c>
      <c r="K1181" s="5">
        <v>118</v>
      </c>
      <c r="L1181" s="5">
        <v>31</v>
      </c>
      <c r="M1181" s="5">
        <v>31</v>
      </c>
      <c r="N1181" s="7">
        <v>984.15</v>
      </c>
      <c r="O1181" s="7">
        <f t="shared" si="128"/>
        <v>30508.649999999998</v>
      </c>
      <c r="P1181" s="4">
        <v>0</v>
      </c>
      <c r="Q1181" s="7">
        <f t="shared" si="129"/>
        <v>0</v>
      </c>
      <c r="R1181" s="7">
        <f t="shared" si="130"/>
        <v>30508.649999999998</v>
      </c>
      <c r="S1181" s="7">
        <f t="shared" si="131"/>
        <v>984.15</v>
      </c>
      <c r="T1181" s="6">
        <f t="shared" si="132"/>
        <v>2.2286125089863409E-2</v>
      </c>
      <c r="V1181" t="s">
        <v>29</v>
      </c>
    </row>
    <row r="1182" spans="1:22">
      <c r="A1182" s="3">
        <v>45707</v>
      </c>
      <c r="B1182" t="str">
        <f t="shared" si="126"/>
        <v>yyyy-02</v>
      </c>
      <c r="C1182">
        <f t="shared" si="127"/>
        <v>8</v>
      </c>
      <c r="D1182" t="s">
        <v>24</v>
      </c>
      <c r="E1182" t="s">
        <v>25</v>
      </c>
      <c r="F1182" t="s">
        <v>30</v>
      </c>
      <c r="G1182" t="s">
        <v>27</v>
      </c>
      <c r="H1182" t="s">
        <v>28</v>
      </c>
      <c r="I1182" s="5">
        <v>1624</v>
      </c>
      <c r="J1182" s="5">
        <v>967</v>
      </c>
      <c r="K1182" s="5">
        <v>165</v>
      </c>
      <c r="L1182" s="5">
        <v>41</v>
      </c>
      <c r="M1182" s="5">
        <v>41</v>
      </c>
      <c r="N1182" s="7">
        <v>397.54</v>
      </c>
      <c r="O1182" s="7">
        <f t="shared" si="128"/>
        <v>16299.140000000001</v>
      </c>
      <c r="P1182" s="4">
        <v>0</v>
      </c>
      <c r="Q1182" s="7">
        <f t="shared" si="129"/>
        <v>0</v>
      </c>
      <c r="R1182" s="7">
        <f t="shared" si="130"/>
        <v>16299.140000000001</v>
      </c>
      <c r="S1182" s="7">
        <f t="shared" si="131"/>
        <v>397.54</v>
      </c>
      <c r="T1182" s="6">
        <f t="shared" si="132"/>
        <v>2.5246305418719212E-2</v>
      </c>
      <c r="V1182" t="s">
        <v>29</v>
      </c>
    </row>
    <row r="1183" spans="1:22">
      <c r="A1183" s="3">
        <v>45707</v>
      </c>
      <c r="B1183" t="str">
        <f t="shared" si="126"/>
        <v>yyyy-02</v>
      </c>
      <c r="C1183">
        <f t="shared" si="127"/>
        <v>8</v>
      </c>
      <c r="D1183" t="s">
        <v>24</v>
      </c>
      <c r="E1183" t="s">
        <v>25</v>
      </c>
      <c r="F1183" t="s">
        <v>33</v>
      </c>
      <c r="G1183" t="s">
        <v>27</v>
      </c>
      <c r="H1183" t="s">
        <v>45</v>
      </c>
      <c r="I1183" s="5">
        <v>1461</v>
      </c>
      <c r="J1183" s="5">
        <v>1205</v>
      </c>
      <c r="K1183" s="5">
        <v>123</v>
      </c>
      <c r="L1183" s="5">
        <v>31</v>
      </c>
      <c r="M1183" s="5">
        <v>31</v>
      </c>
      <c r="N1183" s="7">
        <v>1824.17</v>
      </c>
      <c r="O1183" s="7">
        <f t="shared" si="128"/>
        <v>56549.270000000004</v>
      </c>
      <c r="P1183" s="4">
        <v>0</v>
      </c>
      <c r="Q1183" s="7">
        <f t="shared" si="129"/>
        <v>0</v>
      </c>
      <c r="R1183" s="7">
        <f t="shared" si="130"/>
        <v>56549.270000000004</v>
      </c>
      <c r="S1183" s="7">
        <f t="shared" si="131"/>
        <v>1824.17</v>
      </c>
      <c r="T1183" s="6">
        <f t="shared" si="132"/>
        <v>2.1218343600273786E-2</v>
      </c>
      <c r="V1183" t="s">
        <v>29</v>
      </c>
    </row>
    <row r="1184" spans="1:22">
      <c r="A1184" s="3">
        <v>45707</v>
      </c>
      <c r="B1184" t="str">
        <f t="shared" si="126"/>
        <v>yyyy-02</v>
      </c>
      <c r="C1184">
        <f t="shared" si="127"/>
        <v>8</v>
      </c>
      <c r="D1184" t="s">
        <v>24</v>
      </c>
      <c r="E1184" t="s">
        <v>34</v>
      </c>
      <c r="F1184" t="s">
        <v>35</v>
      </c>
      <c r="G1184" t="s">
        <v>27</v>
      </c>
      <c r="H1184" t="s">
        <v>48</v>
      </c>
      <c r="I1184" s="5">
        <v>757</v>
      </c>
      <c r="J1184" s="5">
        <v>491</v>
      </c>
      <c r="K1184" s="5">
        <v>74</v>
      </c>
      <c r="L1184" s="5">
        <v>18</v>
      </c>
      <c r="M1184" s="5">
        <v>18</v>
      </c>
      <c r="N1184" s="7">
        <v>868.49</v>
      </c>
      <c r="O1184" s="7">
        <f t="shared" si="128"/>
        <v>15632.82</v>
      </c>
      <c r="P1184" s="4">
        <v>0</v>
      </c>
      <c r="Q1184" s="7">
        <f t="shared" si="129"/>
        <v>0</v>
      </c>
      <c r="R1184" s="7">
        <f t="shared" si="130"/>
        <v>15632.82</v>
      </c>
      <c r="S1184" s="7">
        <f t="shared" si="131"/>
        <v>868.49</v>
      </c>
      <c r="T1184" s="6">
        <f t="shared" si="132"/>
        <v>2.3778071334214002E-2</v>
      </c>
      <c r="V1184" t="s">
        <v>29</v>
      </c>
    </row>
    <row r="1185" spans="1:22">
      <c r="A1185" s="3">
        <v>45707</v>
      </c>
      <c r="B1185" t="str">
        <f t="shared" si="126"/>
        <v>yyyy-02</v>
      </c>
      <c r="C1185">
        <f t="shared" si="127"/>
        <v>8</v>
      </c>
      <c r="D1185" t="s">
        <v>24</v>
      </c>
      <c r="E1185" t="s">
        <v>38</v>
      </c>
      <c r="F1185" t="s">
        <v>39</v>
      </c>
      <c r="G1185" t="s">
        <v>27</v>
      </c>
      <c r="H1185" t="s">
        <v>48</v>
      </c>
      <c r="I1185" s="5">
        <v>609</v>
      </c>
      <c r="J1185" s="5">
        <v>413</v>
      </c>
      <c r="K1185" s="5">
        <v>32</v>
      </c>
      <c r="L1185" s="5">
        <v>10</v>
      </c>
      <c r="M1185" s="5">
        <v>10</v>
      </c>
      <c r="N1185" s="7">
        <v>318.36</v>
      </c>
      <c r="O1185" s="7">
        <f t="shared" si="128"/>
        <v>3183.6000000000004</v>
      </c>
      <c r="P1185" s="4">
        <v>0</v>
      </c>
      <c r="Q1185" s="7">
        <f t="shared" si="129"/>
        <v>0</v>
      </c>
      <c r="R1185" s="7">
        <f t="shared" si="130"/>
        <v>3183.6000000000004</v>
      </c>
      <c r="S1185" s="7">
        <f t="shared" si="131"/>
        <v>318.36</v>
      </c>
      <c r="T1185" s="6">
        <f t="shared" si="132"/>
        <v>1.6420361247947456E-2</v>
      </c>
      <c r="V1185" t="s">
        <v>78</v>
      </c>
    </row>
    <row r="1186" spans="1:22">
      <c r="A1186" s="3">
        <v>45707</v>
      </c>
      <c r="B1186" t="str">
        <f t="shared" si="126"/>
        <v>yyyy-02</v>
      </c>
      <c r="C1186">
        <f t="shared" si="127"/>
        <v>8</v>
      </c>
      <c r="D1186" t="s">
        <v>24</v>
      </c>
      <c r="E1186" t="s">
        <v>40</v>
      </c>
      <c r="F1186" t="s">
        <v>41</v>
      </c>
      <c r="G1186" t="s">
        <v>27</v>
      </c>
      <c r="H1186" t="s">
        <v>45</v>
      </c>
      <c r="I1186" s="5">
        <v>630</v>
      </c>
      <c r="J1186" s="5">
        <v>350</v>
      </c>
      <c r="K1186" s="5">
        <v>75</v>
      </c>
      <c r="L1186" s="5">
        <v>16</v>
      </c>
      <c r="M1186" s="5">
        <v>20</v>
      </c>
      <c r="N1186" s="7">
        <v>182.52</v>
      </c>
      <c r="O1186" s="7">
        <f t="shared" si="128"/>
        <v>3650.4</v>
      </c>
      <c r="P1186" s="4">
        <v>0</v>
      </c>
      <c r="Q1186" s="7">
        <f t="shared" si="129"/>
        <v>0</v>
      </c>
      <c r="R1186" s="7">
        <f t="shared" si="130"/>
        <v>3650.4</v>
      </c>
      <c r="S1186" s="7">
        <f t="shared" si="131"/>
        <v>228.15</v>
      </c>
      <c r="T1186" s="6">
        <f t="shared" si="132"/>
        <v>2.5396825396825397E-2</v>
      </c>
      <c r="V1186" t="s">
        <v>29</v>
      </c>
    </row>
    <row r="1187" spans="1:22">
      <c r="A1187" s="3">
        <v>45707</v>
      </c>
      <c r="B1187" t="str">
        <f t="shared" si="126"/>
        <v>yyyy-02</v>
      </c>
      <c r="C1187">
        <f t="shared" si="127"/>
        <v>8</v>
      </c>
      <c r="D1187" t="s">
        <v>42</v>
      </c>
      <c r="E1187" t="s">
        <v>43</v>
      </c>
      <c r="F1187" t="s">
        <v>44</v>
      </c>
      <c r="G1187" t="s">
        <v>31</v>
      </c>
      <c r="H1187" t="s">
        <v>32</v>
      </c>
      <c r="I1187" s="5">
        <v>720</v>
      </c>
      <c r="J1187" s="5">
        <v>515</v>
      </c>
      <c r="K1187" s="5">
        <v>52</v>
      </c>
      <c r="L1187" s="5">
        <v>12</v>
      </c>
      <c r="M1187" s="5">
        <v>12</v>
      </c>
      <c r="N1187" s="7">
        <v>1301.6099999999999</v>
      </c>
      <c r="O1187" s="7">
        <f t="shared" si="128"/>
        <v>15619.32</v>
      </c>
      <c r="P1187" s="4">
        <v>0.05</v>
      </c>
      <c r="Q1187" s="7">
        <f t="shared" si="129"/>
        <v>780.96600000000001</v>
      </c>
      <c r="R1187" s="7">
        <f t="shared" si="130"/>
        <v>14838.353999999999</v>
      </c>
      <c r="S1187" s="7">
        <f t="shared" si="131"/>
        <v>1236.5294999999999</v>
      </c>
      <c r="T1187" s="6">
        <f t="shared" si="132"/>
        <v>1.6666666666666666E-2</v>
      </c>
      <c r="V1187" t="s">
        <v>29</v>
      </c>
    </row>
    <row r="1188" spans="1:22">
      <c r="A1188" s="3">
        <v>45707</v>
      </c>
      <c r="B1188" t="str">
        <f t="shared" si="126"/>
        <v>yyyy-02</v>
      </c>
      <c r="C1188">
        <f t="shared" si="127"/>
        <v>8</v>
      </c>
      <c r="D1188" t="s">
        <v>42</v>
      </c>
      <c r="E1188" t="s">
        <v>43</v>
      </c>
      <c r="F1188" t="s">
        <v>46</v>
      </c>
      <c r="G1188" t="s">
        <v>27</v>
      </c>
      <c r="H1188" t="s">
        <v>45</v>
      </c>
      <c r="I1188" s="5">
        <v>374</v>
      </c>
      <c r="J1188" s="5">
        <v>300</v>
      </c>
      <c r="K1188" s="5">
        <v>33</v>
      </c>
      <c r="L1188" s="5">
        <v>7</v>
      </c>
      <c r="M1188" s="5">
        <v>7</v>
      </c>
      <c r="N1188" s="7">
        <v>2189.35</v>
      </c>
      <c r="O1188" s="7">
        <f t="shared" si="128"/>
        <v>15325.449999999999</v>
      </c>
      <c r="P1188" s="4">
        <v>0.05</v>
      </c>
      <c r="Q1188" s="7">
        <f t="shared" si="129"/>
        <v>766.27250000000004</v>
      </c>
      <c r="R1188" s="7">
        <f t="shared" si="130"/>
        <v>14559.177499999998</v>
      </c>
      <c r="S1188" s="7">
        <f t="shared" si="131"/>
        <v>2079.8824999999997</v>
      </c>
      <c r="T1188" s="6">
        <f t="shared" si="132"/>
        <v>1.871657754010695E-2</v>
      </c>
      <c r="V1188" t="s">
        <v>29</v>
      </c>
    </row>
    <row r="1189" spans="1:22">
      <c r="A1189" s="3">
        <v>45707</v>
      </c>
      <c r="B1189" t="str">
        <f t="shared" si="126"/>
        <v>yyyy-02</v>
      </c>
      <c r="C1189">
        <f t="shared" si="127"/>
        <v>8</v>
      </c>
      <c r="D1189" t="s">
        <v>42</v>
      </c>
      <c r="E1189" t="s">
        <v>43</v>
      </c>
      <c r="F1189" t="s">
        <v>47</v>
      </c>
      <c r="G1189" t="s">
        <v>36</v>
      </c>
      <c r="H1189" t="s">
        <v>37</v>
      </c>
      <c r="I1189" s="5">
        <v>484</v>
      </c>
      <c r="J1189" s="5">
        <v>360</v>
      </c>
      <c r="K1189" s="5">
        <v>26</v>
      </c>
      <c r="L1189" s="5">
        <v>6</v>
      </c>
      <c r="M1189" s="5">
        <v>6</v>
      </c>
      <c r="N1189" s="7">
        <v>592.77</v>
      </c>
      <c r="O1189" s="7">
        <f t="shared" si="128"/>
        <v>3556.62</v>
      </c>
      <c r="P1189" s="4">
        <v>0.05</v>
      </c>
      <c r="Q1189" s="7">
        <f t="shared" si="129"/>
        <v>177.83100000000002</v>
      </c>
      <c r="R1189" s="7">
        <f t="shared" si="130"/>
        <v>3378.7889999999998</v>
      </c>
      <c r="S1189" s="7">
        <f t="shared" si="131"/>
        <v>563.13149999999996</v>
      </c>
      <c r="T1189" s="6">
        <f t="shared" si="132"/>
        <v>1.2396694214876033E-2</v>
      </c>
      <c r="V1189" t="s">
        <v>29</v>
      </c>
    </row>
    <row r="1190" spans="1:22">
      <c r="A1190" s="3">
        <v>45707</v>
      </c>
      <c r="B1190" t="str">
        <f t="shared" si="126"/>
        <v>yyyy-02</v>
      </c>
      <c r="C1190">
        <f t="shared" si="127"/>
        <v>8</v>
      </c>
      <c r="D1190" t="s">
        <v>42</v>
      </c>
      <c r="E1190" t="s">
        <v>49</v>
      </c>
      <c r="F1190" t="s">
        <v>50</v>
      </c>
      <c r="G1190" t="s">
        <v>31</v>
      </c>
      <c r="H1190" t="s">
        <v>32</v>
      </c>
      <c r="I1190" s="5">
        <v>189</v>
      </c>
      <c r="J1190" s="5">
        <v>132</v>
      </c>
      <c r="K1190" s="5">
        <v>10</v>
      </c>
      <c r="L1190" s="5">
        <v>3</v>
      </c>
      <c r="M1190" s="5">
        <v>3</v>
      </c>
      <c r="N1190" s="7">
        <v>978.14</v>
      </c>
      <c r="O1190" s="7">
        <f t="shared" si="128"/>
        <v>2934.42</v>
      </c>
      <c r="P1190" s="4">
        <v>0.03</v>
      </c>
      <c r="Q1190" s="7">
        <f t="shared" si="129"/>
        <v>88.032600000000002</v>
      </c>
      <c r="R1190" s="7">
        <f t="shared" si="130"/>
        <v>2846.3874000000001</v>
      </c>
      <c r="S1190" s="7">
        <f t="shared" si="131"/>
        <v>948.79579999999999</v>
      </c>
      <c r="T1190" s="6">
        <f t="shared" si="132"/>
        <v>1.5873015873015872E-2</v>
      </c>
      <c r="V1190" t="s">
        <v>29</v>
      </c>
    </row>
    <row r="1191" spans="1:22">
      <c r="A1191" s="3">
        <v>45707</v>
      </c>
      <c r="B1191" t="str">
        <f t="shared" si="126"/>
        <v>yyyy-02</v>
      </c>
      <c r="C1191">
        <f t="shared" si="127"/>
        <v>8</v>
      </c>
      <c r="D1191" t="s">
        <v>42</v>
      </c>
      <c r="E1191" t="s">
        <v>51</v>
      </c>
      <c r="F1191" t="s">
        <v>52</v>
      </c>
      <c r="G1191" t="s">
        <v>31</v>
      </c>
      <c r="H1191" t="s">
        <v>32</v>
      </c>
      <c r="I1191" s="5">
        <v>327</v>
      </c>
      <c r="J1191" s="5">
        <v>270</v>
      </c>
      <c r="K1191" s="5">
        <v>23</v>
      </c>
      <c r="L1191" s="5">
        <v>5</v>
      </c>
      <c r="M1191" s="5">
        <v>5</v>
      </c>
      <c r="N1191" s="7">
        <v>597.16</v>
      </c>
      <c r="O1191" s="7">
        <f t="shared" si="128"/>
        <v>2985.7999999999997</v>
      </c>
      <c r="P1191" s="4">
        <v>0.11</v>
      </c>
      <c r="Q1191" s="7">
        <f t="shared" si="129"/>
        <v>328.43799999999999</v>
      </c>
      <c r="R1191" s="7">
        <f t="shared" si="130"/>
        <v>2657.3619999999996</v>
      </c>
      <c r="S1191" s="7">
        <f t="shared" si="131"/>
        <v>531.47239999999988</v>
      </c>
      <c r="T1191" s="6">
        <f t="shared" si="132"/>
        <v>1.5290519877675841E-2</v>
      </c>
      <c r="U1191" t="s">
        <v>85</v>
      </c>
      <c r="V1191" t="s">
        <v>29</v>
      </c>
    </row>
    <row r="1192" spans="1:22">
      <c r="A1192" s="3">
        <v>45707</v>
      </c>
      <c r="B1192" t="str">
        <f t="shared" si="126"/>
        <v>yyyy-02</v>
      </c>
      <c r="C1192">
        <f t="shared" si="127"/>
        <v>8</v>
      </c>
      <c r="D1192" t="s">
        <v>53</v>
      </c>
      <c r="E1192" t="s">
        <v>54</v>
      </c>
      <c r="F1192" t="s">
        <v>55</v>
      </c>
      <c r="G1192" t="s">
        <v>31</v>
      </c>
      <c r="H1192" t="s">
        <v>32</v>
      </c>
      <c r="I1192" s="5">
        <v>155</v>
      </c>
      <c r="J1192" s="5">
        <v>86</v>
      </c>
      <c r="K1192" s="5">
        <v>10</v>
      </c>
      <c r="L1192" s="5">
        <v>2</v>
      </c>
      <c r="M1192" s="5">
        <v>2</v>
      </c>
      <c r="N1192" s="7">
        <v>1269.52</v>
      </c>
      <c r="O1192" s="7">
        <f t="shared" si="128"/>
        <v>2539.04</v>
      </c>
      <c r="P1192" s="4">
        <v>0.1</v>
      </c>
      <c r="Q1192" s="7">
        <f t="shared" si="129"/>
        <v>253.904</v>
      </c>
      <c r="R1192" s="7">
        <f t="shared" si="130"/>
        <v>2285.136</v>
      </c>
      <c r="S1192" s="7">
        <f t="shared" si="131"/>
        <v>1142.568</v>
      </c>
      <c r="T1192" s="6">
        <f t="shared" si="132"/>
        <v>1.2903225806451613E-2</v>
      </c>
      <c r="U1192" t="s">
        <v>86</v>
      </c>
      <c r="V1192" t="s">
        <v>29</v>
      </c>
    </row>
    <row r="1193" spans="1:22">
      <c r="A1193" s="3">
        <v>45707</v>
      </c>
      <c r="B1193" t="str">
        <f t="shared" si="126"/>
        <v>yyyy-02</v>
      </c>
      <c r="C1193">
        <f t="shared" si="127"/>
        <v>8</v>
      </c>
      <c r="D1193" t="s">
        <v>53</v>
      </c>
      <c r="E1193" t="s">
        <v>56</v>
      </c>
      <c r="F1193" t="s">
        <v>57</v>
      </c>
      <c r="G1193" t="s">
        <v>27</v>
      </c>
      <c r="H1193" t="s">
        <v>48</v>
      </c>
      <c r="I1193" s="5">
        <v>181</v>
      </c>
      <c r="J1193" s="5">
        <v>102</v>
      </c>
      <c r="K1193" s="5">
        <v>10</v>
      </c>
      <c r="L1193" s="5">
        <v>2</v>
      </c>
      <c r="M1193" s="5">
        <v>2</v>
      </c>
      <c r="N1193" s="7">
        <v>720.27</v>
      </c>
      <c r="O1193" s="7">
        <f t="shared" si="128"/>
        <v>1440.54</v>
      </c>
      <c r="P1193" s="4">
        <v>0.03</v>
      </c>
      <c r="Q1193" s="7">
        <f t="shared" si="129"/>
        <v>43.216200000000001</v>
      </c>
      <c r="R1193" s="7">
        <f t="shared" si="130"/>
        <v>1397.3237999999999</v>
      </c>
      <c r="S1193" s="7">
        <f t="shared" si="131"/>
        <v>698.66189999999995</v>
      </c>
      <c r="T1193" s="6">
        <f t="shared" si="132"/>
        <v>1.1049723756906077E-2</v>
      </c>
      <c r="V1193" t="s">
        <v>29</v>
      </c>
    </row>
    <row r="1194" spans="1:22">
      <c r="A1194" s="3">
        <v>45707</v>
      </c>
      <c r="B1194" t="str">
        <f t="shared" si="126"/>
        <v>yyyy-02</v>
      </c>
      <c r="C1194">
        <f t="shared" si="127"/>
        <v>8</v>
      </c>
      <c r="D1194" t="s">
        <v>53</v>
      </c>
      <c r="E1194" t="s">
        <v>56</v>
      </c>
      <c r="F1194" t="s">
        <v>58</v>
      </c>
      <c r="G1194" t="s">
        <v>27</v>
      </c>
      <c r="H1194" t="s">
        <v>48</v>
      </c>
      <c r="I1194" s="5">
        <v>136</v>
      </c>
      <c r="J1194" s="5">
        <v>78</v>
      </c>
      <c r="K1194" s="5">
        <v>9</v>
      </c>
      <c r="L1194" s="5">
        <v>2</v>
      </c>
      <c r="M1194" s="5">
        <v>2</v>
      </c>
      <c r="N1194" s="7">
        <v>878.24</v>
      </c>
      <c r="O1194" s="7">
        <f t="shared" si="128"/>
        <v>1756.48</v>
      </c>
      <c r="P1194" s="4">
        <v>0.03</v>
      </c>
      <c r="Q1194" s="7">
        <f t="shared" si="129"/>
        <v>52.694400000000002</v>
      </c>
      <c r="R1194" s="7">
        <f t="shared" si="130"/>
        <v>1703.7855999999999</v>
      </c>
      <c r="S1194" s="7">
        <f t="shared" si="131"/>
        <v>851.89279999999997</v>
      </c>
      <c r="T1194" s="6">
        <f t="shared" si="132"/>
        <v>1.4705882352941176E-2</v>
      </c>
      <c r="V1194" t="s">
        <v>29</v>
      </c>
    </row>
    <row r="1195" spans="1:22">
      <c r="A1195" s="3">
        <v>45707</v>
      </c>
      <c r="B1195" t="str">
        <f t="shared" si="126"/>
        <v>yyyy-02</v>
      </c>
      <c r="C1195">
        <f t="shared" si="127"/>
        <v>8</v>
      </c>
      <c r="D1195" t="s">
        <v>53</v>
      </c>
      <c r="E1195" t="s">
        <v>59</v>
      </c>
      <c r="F1195" t="s">
        <v>60</v>
      </c>
      <c r="G1195" t="s">
        <v>27</v>
      </c>
      <c r="H1195" t="s">
        <v>63</v>
      </c>
      <c r="I1195" s="5">
        <v>73</v>
      </c>
      <c r="J1195" s="5">
        <v>44</v>
      </c>
      <c r="K1195" s="5">
        <v>5</v>
      </c>
      <c r="L1195" s="5">
        <v>1</v>
      </c>
      <c r="M1195" s="5">
        <v>1</v>
      </c>
      <c r="N1195" s="7">
        <v>689.68</v>
      </c>
      <c r="O1195" s="7">
        <f t="shared" si="128"/>
        <v>689.68</v>
      </c>
      <c r="P1195" s="4">
        <v>0</v>
      </c>
      <c r="Q1195" s="7">
        <f t="shared" si="129"/>
        <v>0</v>
      </c>
      <c r="R1195" s="7">
        <f t="shared" si="130"/>
        <v>689.68</v>
      </c>
      <c r="S1195" s="7">
        <f t="shared" si="131"/>
        <v>689.68</v>
      </c>
      <c r="T1195" s="6">
        <f t="shared" si="132"/>
        <v>1.3698630136986301E-2</v>
      </c>
      <c r="V1195" t="s">
        <v>29</v>
      </c>
    </row>
    <row r="1196" spans="1:22">
      <c r="A1196" s="3">
        <v>45707</v>
      </c>
      <c r="B1196" t="str">
        <f t="shared" si="126"/>
        <v>yyyy-02</v>
      </c>
      <c r="C1196">
        <f t="shared" si="127"/>
        <v>8</v>
      </c>
      <c r="D1196" t="s">
        <v>53</v>
      </c>
      <c r="E1196" t="s">
        <v>61</v>
      </c>
      <c r="F1196" t="s">
        <v>62</v>
      </c>
      <c r="G1196" t="s">
        <v>36</v>
      </c>
      <c r="H1196" t="s">
        <v>37</v>
      </c>
      <c r="I1196" s="5">
        <v>164</v>
      </c>
      <c r="J1196" s="5">
        <v>92</v>
      </c>
      <c r="K1196" s="5">
        <v>11</v>
      </c>
      <c r="L1196" s="5">
        <v>2</v>
      </c>
      <c r="M1196" s="5">
        <v>2</v>
      </c>
      <c r="N1196" s="7">
        <v>503.1</v>
      </c>
      <c r="O1196" s="7">
        <f t="shared" si="128"/>
        <v>1006.2</v>
      </c>
      <c r="P1196" s="4">
        <v>0</v>
      </c>
      <c r="Q1196" s="7">
        <f t="shared" si="129"/>
        <v>0</v>
      </c>
      <c r="R1196" s="7">
        <f t="shared" si="130"/>
        <v>1006.2</v>
      </c>
      <c r="S1196" s="7">
        <f t="shared" si="131"/>
        <v>503.1</v>
      </c>
      <c r="T1196" s="6">
        <f t="shared" si="132"/>
        <v>1.2195121951219513E-2</v>
      </c>
      <c r="V1196" t="s">
        <v>29</v>
      </c>
    </row>
    <row r="1197" spans="1:22">
      <c r="A1197" s="3">
        <v>45707</v>
      </c>
      <c r="B1197" t="str">
        <f t="shared" si="126"/>
        <v>yyyy-02</v>
      </c>
      <c r="C1197">
        <f t="shared" si="127"/>
        <v>8</v>
      </c>
      <c r="D1197" t="s">
        <v>53</v>
      </c>
      <c r="E1197" t="s">
        <v>64</v>
      </c>
      <c r="F1197" t="s">
        <v>65</v>
      </c>
      <c r="G1197" t="s">
        <v>27</v>
      </c>
      <c r="H1197" t="s">
        <v>45</v>
      </c>
      <c r="I1197" s="5">
        <v>161</v>
      </c>
      <c r="J1197" s="5">
        <v>97</v>
      </c>
      <c r="K1197" s="5">
        <v>10</v>
      </c>
      <c r="L1197" s="5">
        <v>2</v>
      </c>
      <c r="M1197" s="5">
        <v>2</v>
      </c>
      <c r="N1197" s="7">
        <v>800.92</v>
      </c>
      <c r="O1197" s="7">
        <f t="shared" si="128"/>
        <v>1601.84</v>
      </c>
      <c r="P1197" s="4">
        <v>0</v>
      </c>
      <c r="Q1197" s="7">
        <f t="shared" si="129"/>
        <v>0</v>
      </c>
      <c r="R1197" s="7">
        <f t="shared" si="130"/>
        <v>1601.84</v>
      </c>
      <c r="S1197" s="7">
        <f t="shared" si="131"/>
        <v>800.92</v>
      </c>
      <c r="T1197" s="6">
        <f t="shared" si="132"/>
        <v>1.2422360248447204E-2</v>
      </c>
      <c r="V1197" t="s">
        <v>29</v>
      </c>
    </row>
    <row r="1198" spans="1:22">
      <c r="A1198" s="3">
        <v>45707</v>
      </c>
      <c r="B1198" t="str">
        <f t="shared" si="126"/>
        <v>yyyy-02</v>
      </c>
      <c r="C1198">
        <f t="shared" si="127"/>
        <v>8</v>
      </c>
      <c r="D1198" t="s">
        <v>66</v>
      </c>
      <c r="E1198" t="s">
        <v>67</v>
      </c>
      <c r="F1198" t="s">
        <v>68</v>
      </c>
      <c r="G1198" t="s">
        <v>36</v>
      </c>
      <c r="H1198" t="s">
        <v>37</v>
      </c>
      <c r="I1198" s="5">
        <v>432</v>
      </c>
      <c r="J1198" s="5">
        <v>349</v>
      </c>
      <c r="K1198" s="5">
        <v>37</v>
      </c>
      <c r="L1198" s="5">
        <v>9</v>
      </c>
      <c r="M1198" s="5">
        <v>9</v>
      </c>
      <c r="N1198" s="7">
        <v>698.77</v>
      </c>
      <c r="O1198" s="7">
        <f t="shared" si="128"/>
        <v>6288.93</v>
      </c>
      <c r="P1198" s="4">
        <v>0</v>
      </c>
      <c r="Q1198" s="7">
        <f t="shared" si="129"/>
        <v>0</v>
      </c>
      <c r="R1198" s="7">
        <f t="shared" si="130"/>
        <v>6288.93</v>
      </c>
      <c r="S1198" s="7">
        <f t="shared" si="131"/>
        <v>698.77</v>
      </c>
      <c r="T1198" s="6">
        <f t="shared" si="132"/>
        <v>2.0833333333333332E-2</v>
      </c>
      <c r="V1198" t="s">
        <v>29</v>
      </c>
    </row>
    <row r="1199" spans="1:22">
      <c r="A1199" s="3">
        <v>45707</v>
      </c>
      <c r="B1199" t="str">
        <f t="shared" si="126"/>
        <v>yyyy-02</v>
      </c>
      <c r="C1199">
        <f t="shared" si="127"/>
        <v>8</v>
      </c>
      <c r="D1199" t="s">
        <v>66</v>
      </c>
      <c r="E1199" t="s">
        <v>67</v>
      </c>
      <c r="F1199" t="s">
        <v>69</v>
      </c>
      <c r="G1199" t="s">
        <v>27</v>
      </c>
      <c r="H1199" t="s">
        <v>48</v>
      </c>
      <c r="I1199" s="5">
        <v>245</v>
      </c>
      <c r="J1199" s="5">
        <v>171</v>
      </c>
      <c r="K1199" s="5">
        <v>13</v>
      </c>
      <c r="L1199" s="5">
        <v>5</v>
      </c>
      <c r="M1199" s="5">
        <v>5</v>
      </c>
      <c r="N1199" s="7">
        <v>394.29</v>
      </c>
      <c r="O1199" s="7">
        <f t="shared" si="128"/>
        <v>1971.45</v>
      </c>
      <c r="P1199" s="4">
        <v>0</v>
      </c>
      <c r="Q1199" s="7">
        <f t="shared" si="129"/>
        <v>0</v>
      </c>
      <c r="R1199" s="7">
        <f t="shared" si="130"/>
        <v>1971.45</v>
      </c>
      <c r="S1199" s="7">
        <f t="shared" si="131"/>
        <v>394.29</v>
      </c>
      <c r="T1199" s="6">
        <f t="shared" si="132"/>
        <v>2.0408163265306121E-2</v>
      </c>
      <c r="V1199" t="s">
        <v>29</v>
      </c>
    </row>
    <row r="1200" spans="1:22">
      <c r="A1200" s="3">
        <v>45707</v>
      </c>
      <c r="B1200" t="str">
        <f t="shared" si="126"/>
        <v>yyyy-02</v>
      </c>
      <c r="C1200">
        <f t="shared" si="127"/>
        <v>8</v>
      </c>
      <c r="D1200" t="s">
        <v>66</v>
      </c>
      <c r="E1200" t="s">
        <v>67</v>
      </c>
      <c r="F1200" t="s">
        <v>70</v>
      </c>
      <c r="G1200" t="s">
        <v>27</v>
      </c>
      <c r="H1200" t="s">
        <v>28</v>
      </c>
      <c r="I1200" s="5">
        <v>313</v>
      </c>
      <c r="J1200" s="5">
        <v>190</v>
      </c>
      <c r="K1200" s="5">
        <v>23</v>
      </c>
      <c r="L1200" s="5">
        <v>5</v>
      </c>
      <c r="M1200" s="5">
        <v>5</v>
      </c>
      <c r="N1200" s="7">
        <v>352.99</v>
      </c>
      <c r="O1200" s="7">
        <f t="shared" si="128"/>
        <v>1764.95</v>
      </c>
      <c r="P1200" s="4">
        <v>0</v>
      </c>
      <c r="Q1200" s="7">
        <f t="shared" si="129"/>
        <v>0</v>
      </c>
      <c r="R1200" s="7">
        <f t="shared" si="130"/>
        <v>1764.95</v>
      </c>
      <c r="S1200" s="7">
        <f t="shared" si="131"/>
        <v>352.99</v>
      </c>
      <c r="T1200" s="6">
        <f t="shared" si="132"/>
        <v>1.5974440894568689E-2</v>
      </c>
      <c r="V1200" t="s">
        <v>29</v>
      </c>
    </row>
    <row r="1201" spans="1:22">
      <c r="A1201" s="3">
        <v>45707</v>
      </c>
      <c r="B1201" t="str">
        <f t="shared" si="126"/>
        <v>yyyy-02</v>
      </c>
      <c r="C1201">
        <f t="shared" si="127"/>
        <v>8</v>
      </c>
      <c r="D1201" t="s">
        <v>66</v>
      </c>
      <c r="E1201" t="s">
        <v>71</v>
      </c>
      <c r="F1201" t="s">
        <v>72</v>
      </c>
      <c r="G1201" t="s">
        <v>27</v>
      </c>
      <c r="H1201" t="s">
        <v>45</v>
      </c>
      <c r="I1201" s="5">
        <v>219</v>
      </c>
      <c r="J1201" s="5">
        <v>162</v>
      </c>
      <c r="K1201" s="5">
        <v>14</v>
      </c>
      <c r="L1201" s="5">
        <v>3</v>
      </c>
      <c r="M1201" s="5">
        <v>4</v>
      </c>
      <c r="N1201" s="7">
        <v>125.66</v>
      </c>
      <c r="O1201" s="7">
        <f t="shared" si="128"/>
        <v>502.64</v>
      </c>
      <c r="P1201" s="4">
        <v>0</v>
      </c>
      <c r="Q1201" s="7">
        <f t="shared" si="129"/>
        <v>0</v>
      </c>
      <c r="R1201" s="7">
        <f t="shared" si="130"/>
        <v>502.64</v>
      </c>
      <c r="S1201" s="7">
        <f t="shared" si="131"/>
        <v>167.54666666666665</v>
      </c>
      <c r="T1201" s="6">
        <f t="shared" si="132"/>
        <v>1.3698630136986301E-2</v>
      </c>
      <c r="V1201" t="s">
        <v>29</v>
      </c>
    </row>
    <row r="1202" spans="1:22">
      <c r="A1202" s="3">
        <v>45707</v>
      </c>
      <c r="B1202" t="str">
        <f t="shared" si="126"/>
        <v>yyyy-02</v>
      </c>
      <c r="C1202">
        <f t="shared" si="127"/>
        <v>8</v>
      </c>
      <c r="D1202" t="s">
        <v>66</v>
      </c>
      <c r="E1202" t="s">
        <v>73</v>
      </c>
      <c r="F1202" t="s">
        <v>74</v>
      </c>
      <c r="G1202" t="s">
        <v>36</v>
      </c>
      <c r="H1202" t="s">
        <v>37</v>
      </c>
      <c r="I1202" s="5">
        <v>218</v>
      </c>
      <c r="J1202" s="5">
        <v>125</v>
      </c>
      <c r="K1202" s="5">
        <v>11</v>
      </c>
      <c r="L1202" s="5">
        <v>4</v>
      </c>
      <c r="M1202" s="5">
        <v>4</v>
      </c>
      <c r="N1202" s="7">
        <v>1185.94</v>
      </c>
      <c r="O1202" s="7">
        <f t="shared" si="128"/>
        <v>4743.76</v>
      </c>
      <c r="P1202" s="4">
        <v>0.03</v>
      </c>
      <c r="Q1202" s="7">
        <f t="shared" si="129"/>
        <v>142.31280000000001</v>
      </c>
      <c r="R1202" s="7">
        <f t="shared" si="130"/>
        <v>4601.4472000000005</v>
      </c>
      <c r="S1202" s="7">
        <f t="shared" si="131"/>
        <v>1150.3618000000001</v>
      </c>
      <c r="T1202" s="6">
        <f t="shared" si="132"/>
        <v>1.834862385321101E-2</v>
      </c>
      <c r="V1202" t="s">
        <v>29</v>
      </c>
    </row>
    <row r="1203" spans="1:22">
      <c r="A1203" s="3">
        <v>45707</v>
      </c>
      <c r="B1203" t="str">
        <f t="shared" si="126"/>
        <v>yyyy-02</v>
      </c>
      <c r="C1203">
        <f t="shared" si="127"/>
        <v>8</v>
      </c>
      <c r="D1203" t="s">
        <v>66</v>
      </c>
      <c r="E1203" t="s">
        <v>71</v>
      </c>
      <c r="F1203" t="s">
        <v>75</v>
      </c>
      <c r="G1203" t="s">
        <v>27</v>
      </c>
      <c r="H1203" t="s">
        <v>45</v>
      </c>
      <c r="I1203" s="5">
        <v>242</v>
      </c>
      <c r="J1203" s="5">
        <v>142</v>
      </c>
      <c r="K1203" s="5">
        <v>28</v>
      </c>
      <c r="L1203" s="5">
        <v>6</v>
      </c>
      <c r="M1203" s="5">
        <v>7</v>
      </c>
      <c r="N1203" s="7">
        <v>38.49</v>
      </c>
      <c r="O1203" s="7">
        <f t="shared" si="128"/>
        <v>269.43</v>
      </c>
      <c r="P1203" s="4">
        <v>0</v>
      </c>
      <c r="Q1203" s="7">
        <f t="shared" si="129"/>
        <v>0</v>
      </c>
      <c r="R1203" s="7">
        <f t="shared" si="130"/>
        <v>269.43</v>
      </c>
      <c r="S1203" s="7">
        <f t="shared" si="131"/>
        <v>44.905000000000001</v>
      </c>
      <c r="T1203" s="6">
        <f t="shared" si="132"/>
        <v>2.4793388429752067E-2</v>
      </c>
      <c r="V1203" t="s">
        <v>29</v>
      </c>
    </row>
    <row r="1204" spans="1:22">
      <c r="A1204" s="3">
        <v>45707</v>
      </c>
      <c r="B1204" t="str">
        <f t="shared" si="126"/>
        <v>yyyy-02</v>
      </c>
      <c r="C1204">
        <f t="shared" si="127"/>
        <v>8</v>
      </c>
      <c r="D1204" t="s">
        <v>24</v>
      </c>
      <c r="E1204" t="s">
        <v>76</v>
      </c>
      <c r="F1204" t="s">
        <v>77</v>
      </c>
      <c r="G1204" t="s">
        <v>31</v>
      </c>
      <c r="H1204" t="s">
        <v>32</v>
      </c>
      <c r="I1204" s="5">
        <v>599</v>
      </c>
      <c r="J1204" s="5">
        <v>397</v>
      </c>
      <c r="K1204" s="5">
        <v>38</v>
      </c>
      <c r="L1204" s="5">
        <v>11</v>
      </c>
      <c r="M1204" s="5">
        <v>14</v>
      </c>
      <c r="N1204" s="7">
        <v>200.28</v>
      </c>
      <c r="O1204" s="7">
        <f t="shared" si="128"/>
        <v>2803.92</v>
      </c>
      <c r="P1204" s="4">
        <v>0</v>
      </c>
      <c r="Q1204" s="7">
        <f t="shared" si="129"/>
        <v>0</v>
      </c>
      <c r="R1204" s="7">
        <f t="shared" si="130"/>
        <v>2803.92</v>
      </c>
      <c r="S1204" s="7">
        <f t="shared" si="131"/>
        <v>254.90181818181819</v>
      </c>
      <c r="T1204" s="6">
        <f t="shared" si="132"/>
        <v>1.8363939899833055E-2</v>
      </c>
      <c r="V1204" t="s">
        <v>29</v>
      </c>
    </row>
    <row r="1205" spans="1:22">
      <c r="A1205" s="3">
        <v>45708</v>
      </c>
      <c r="B1205" t="str">
        <f t="shared" si="126"/>
        <v>yyyy-02</v>
      </c>
      <c r="C1205">
        <f t="shared" si="127"/>
        <v>8</v>
      </c>
      <c r="D1205" t="s">
        <v>24</v>
      </c>
      <c r="E1205" t="s">
        <v>25</v>
      </c>
      <c r="F1205" t="s">
        <v>26</v>
      </c>
      <c r="G1205" t="s">
        <v>27</v>
      </c>
      <c r="H1205" t="s">
        <v>28</v>
      </c>
      <c r="I1205" s="5">
        <v>1401</v>
      </c>
      <c r="J1205" s="5">
        <v>844</v>
      </c>
      <c r="K1205" s="5">
        <v>109</v>
      </c>
      <c r="L1205" s="5">
        <v>24</v>
      </c>
      <c r="M1205" s="5">
        <v>24</v>
      </c>
      <c r="N1205" s="7">
        <v>992.74</v>
      </c>
      <c r="O1205" s="7">
        <f t="shared" si="128"/>
        <v>23825.760000000002</v>
      </c>
      <c r="P1205" s="4">
        <v>0</v>
      </c>
      <c r="Q1205" s="7">
        <f t="shared" si="129"/>
        <v>0</v>
      </c>
      <c r="R1205" s="7">
        <f t="shared" si="130"/>
        <v>23825.760000000002</v>
      </c>
      <c r="S1205" s="7">
        <f t="shared" si="131"/>
        <v>992.74000000000012</v>
      </c>
      <c r="T1205" s="6">
        <f t="shared" si="132"/>
        <v>1.7130620985010708E-2</v>
      </c>
      <c r="V1205" t="s">
        <v>29</v>
      </c>
    </row>
    <row r="1206" spans="1:22">
      <c r="A1206" s="3">
        <v>45708</v>
      </c>
      <c r="B1206" t="str">
        <f t="shared" si="126"/>
        <v>yyyy-02</v>
      </c>
      <c r="C1206">
        <f t="shared" si="127"/>
        <v>8</v>
      </c>
      <c r="D1206" t="s">
        <v>24</v>
      </c>
      <c r="E1206" t="s">
        <v>25</v>
      </c>
      <c r="F1206" t="s">
        <v>30</v>
      </c>
      <c r="G1206" t="s">
        <v>36</v>
      </c>
      <c r="H1206" t="s">
        <v>37</v>
      </c>
      <c r="I1206" s="5">
        <v>1504</v>
      </c>
      <c r="J1206" s="5">
        <v>964</v>
      </c>
      <c r="K1206" s="5">
        <v>109</v>
      </c>
      <c r="L1206" s="5">
        <v>30</v>
      </c>
      <c r="M1206" s="5">
        <v>30</v>
      </c>
      <c r="N1206" s="7">
        <v>389.46</v>
      </c>
      <c r="O1206" s="7">
        <f t="shared" si="128"/>
        <v>11683.8</v>
      </c>
      <c r="P1206" s="4">
        <v>0.05</v>
      </c>
      <c r="Q1206" s="7">
        <f t="shared" si="129"/>
        <v>584.18999999999994</v>
      </c>
      <c r="R1206" s="7">
        <f t="shared" si="130"/>
        <v>11099.609999999999</v>
      </c>
      <c r="S1206" s="7">
        <f t="shared" si="131"/>
        <v>369.98699999999997</v>
      </c>
      <c r="T1206" s="6">
        <f t="shared" si="132"/>
        <v>1.9946808510638299E-2</v>
      </c>
      <c r="V1206" t="s">
        <v>29</v>
      </c>
    </row>
    <row r="1207" spans="1:22">
      <c r="A1207" s="3">
        <v>45708</v>
      </c>
      <c r="B1207" t="str">
        <f t="shared" si="126"/>
        <v>yyyy-02</v>
      </c>
      <c r="C1207">
        <f t="shared" si="127"/>
        <v>8</v>
      </c>
      <c r="D1207" t="s">
        <v>24</v>
      </c>
      <c r="E1207" t="s">
        <v>25</v>
      </c>
      <c r="F1207" t="s">
        <v>33</v>
      </c>
      <c r="G1207" t="s">
        <v>27</v>
      </c>
      <c r="H1207" t="s">
        <v>45</v>
      </c>
      <c r="I1207" s="5">
        <v>1487</v>
      </c>
      <c r="J1207" s="5">
        <v>875</v>
      </c>
      <c r="K1207" s="5">
        <v>133</v>
      </c>
      <c r="L1207" s="5">
        <v>37</v>
      </c>
      <c r="M1207" s="5">
        <v>37</v>
      </c>
      <c r="N1207" s="7">
        <v>1738.95</v>
      </c>
      <c r="O1207" s="7">
        <f t="shared" si="128"/>
        <v>64341.15</v>
      </c>
      <c r="P1207" s="4">
        <v>0</v>
      </c>
      <c r="Q1207" s="7">
        <f t="shared" si="129"/>
        <v>0</v>
      </c>
      <c r="R1207" s="7">
        <f t="shared" si="130"/>
        <v>64341.15</v>
      </c>
      <c r="S1207" s="7">
        <f t="shared" si="131"/>
        <v>1738.95</v>
      </c>
      <c r="T1207" s="6">
        <f t="shared" si="132"/>
        <v>2.488231338264963E-2</v>
      </c>
      <c r="V1207" t="s">
        <v>29</v>
      </c>
    </row>
    <row r="1208" spans="1:22">
      <c r="A1208" s="3">
        <v>45708</v>
      </c>
      <c r="B1208" t="str">
        <f t="shared" si="126"/>
        <v>yyyy-02</v>
      </c>
      <c r="C1208">
        <f t="shared" si="127"/>
        <v>8</v>
      </c>
      <c r="D1208" t="s">
        <v>24</v>
      </c>
      <c r="E1208" t="s">
        <v>34</v>
      </c>
      <c r="F1208" t="s">
        <v>35</v>
      </c>
      <c r="G1208" t="s">
        <v>27</v>
      </c>
      <c r="H1208" t="s">
        <v>63</v>
      </c>
      <c r="I1208" s="5">
        <v>672</v>
      </c>
      <c r="J1208" s="5">
        <v>475</v>
      </c>
      <c r="K1208" s="5">
        <v>49</v>
      </c>
      <c r="L1208" s="5">
        <v>10</v>
      </c>
      <c r="M1208" s="5">
        <v>10</v>
      </c>
      <c r="N1208" s="7">
        <v>867.91</v>
      </c>
      <c r="O1208" s="7">
        <f t="shared" si="128"/>
        <v>8679.1</v>
      </c>
      <c r="P1208" s="4">
        <v>0.03</v>
      </c>
      <c r="Q1208" s="7">
        <f t="shared" si="129"/>
        <v>260.37299999999999</v>
      </c>
      <c r="R1208" s="7">
        <f t="shared" si="130"/>
        <v>8418.7270000000008</v>
      </c>
      <c r="S1208" s="7">
        <f t="shared" si="131"/>
        <v>841.87270000000012</v>
      </c>
      <c r="T1208" s="6">
        <f t="shared" si="132"/>
        <v>1.488095238095238E-2</v>
      </c>
      <c r="V1208" t="s">
        <v>29</v>
      </c>
    </row>
    <row r="1209" spans="1:22">
      <c r="A1209" s="3">
        <v>45708</v>
      </c>
      <c r="B1209" t="str">
        <f t="shared" si="126"/>
        <v>yyyy-02</v>
      </c>
      <c r="C1209">
        <f t="shared" si="127"/>
        <v>8</v>
      </c>
      <c r="D1209" t="s">
        <v>24</v>
      </c>
      <c r="E1209" t="s">
        <v>38</v>
      </c>
      <c r="F1209" t="s">
        <v>39</v>
      </c>
      <c r="G1209" t="s">
        <v>27</v>
      </c>
      <c r="H1209" t="s">
        <v>45</v>
      </c>
      <c r="I1209" s="5">
        <v>544</v>
      </c>
      <c r="J1209" s="5">
        <v>370</v>
      </c>
      <c r="K1209" s="5">
        <v>26</v>
      </c>
      <c r="L1209" s="5">
        <v>10</v>
      </c>
      <c r="M1209" s="5">
        <v>10</v>
      </c>
      <c r="N1209" s="7">
        <v>326.41000000000003</v>
      </c>
      <c r="O1209" s="7">
        <f t="shared" si="128"/>
        <v>3264.1000000000004</v>
      </c>
      <c r="P1209" s="4">
        <v>0</v>
      </c>
      <c r="Q1209" s="7">
        <f t="shared" si="129"/>
        <v>0</v>
      </c>
      <c r="R1209" s="7">
        <f t="shared" si="130"/>
        <v>3264.1000000000004</v>
      </c>
      <c r="S1209" s="7">
        <f t="shared" si="131"/>
        <v>326.41000000000003</v>
      </c>
      <c r="T1209" s="6">
        <f t="shared" si="132"/>
        <v>1.8382352941176471E-2</v>
      </c>
      <c r="V1209" t="s">
        <v>29</v>
      </c>
    </row>
    <row r="1210" spans="1:22">
      <c r="A1210" s="3">
        <v>45708</v>
      </c>
      <c r="B1210" t="str">
        <f t="shared" si="126"/>
        <v>yyyy-02</v>
      </c>
      <c r="C1210">
        <f t="shared" si="127"/>
        <v>8</v>
      </c>
      <c r="D1210" t="s">
        <v>24</v>
      </c>
      <c r="E1210" t="s">
        <v>40</v>
      </c>
      <c r="F1210" t="s">
        <v>41</v>
      </c>
      <c r="G1210" t="s">
        <v>27</v>
      </c>
      <c r="H1210" t="s">
        <v>48</v>
      </c>
      <c r="I1210" s="5">
        <v>481</v>
      </c>
      <c r="J1210" s="5">
        <v>274</v>
      </c>
      <c r="K1210" s="5">
        <v>29</v>
      </c>
      <c r="L1210" s="5">
        <v>9</v>
      </c>
      <c r="M1210" s="5">
        <v>10</v>
      </c>
      <c r="N1210" s="7">
        <v>171.99</v>
      </c>
      <c r="O1210" s="7">
        <f t="shared" si="128"/>
        <v>1719.9</v>
      </c>
      <c r="P1210" s="4">
        <v>0</v>
      </c>
      <c r="Q1210" s="7">
        <f t="shared" si="129"/>
        <v>0</v>
      </c>
      <c r="R1210" s="7">
        <f t="shared" si="130"/>
        <v>1719.9</v>
      </c>
      <c r="S1210" s="7">
        <f t="shared" si="131"/>
        <v>191.10000000000002</v>
      </c>
      <c r="T1210" s="6">
        <f t="shared" si="132"/>
        <v>1.8711018711018712E-2</v>
      </c>
      <c r="V1210" t="s">
        <v>29</v>
      </c>
    </row>
    <row r="1211" spans="1:22">
      <c r="A1211" s="3">
        <v>45708</v>
      </c>
      <c r="B1211" t="str">
        <f t="shared" si="126"/>
        <v>yyyy-02</v>
      </c>
      <c r="C1211">
        <f t="shared" si="127"/>
        <v>8</v>
      </c>
      <c r="D1211" t="s">
        <v>42</v>
      </c>
      <c r="E1211" t="s">
        <v>43</v>
      </c>
      <c r="F1211" t="s">
        <v>44</v>
      </c>
      <c r="G1211" t="s">
        <v>27</v>
      </c>
      <c r="H1211" t="s">
        <v>48</v>
      </c>
      <c r="I1211" s="5">
        <v>310</v>
      </c>
      <c r="J1211" s="5">
        <v>176</v>
      </c>
      <c r="K1211" s="5">
        <v>18</v>
      </c>
      <c r="L1211" s="5">
        <v>4</v>
      </c>
      <c r="M1211" s="5">
        <v>4</v>
      </c>
      <c r="N1211" s="7">
        <v>1266.32</v>
      </c>
      <c r="O1211" s="7">
        <f t="shared" si="128"/>
        <v>5065.28</v>
      </c>
      <c r="P1211" s="4">
        <v>0.03</v>
      </c>
      <c r="Q1211" s="7">
        <f t="shared" si="129"/>
        <v>151.95839999999998</v>
      </c>
      <c r="R1211" s="7">
        <f t="shared" si="130"/>
        <v>4913.3215999999993</v>
      </c>
      <c r="S1211" s="7">
        <f t="shared" si="131"/>
        <v>1228.3303999999998</v>
      </c>
      <c r="T1211" s="6">
        <f t="shared" si="132"/>
        <v>1.2903225806451613E-2</v>
      </c>
      <c r="V1211" t="s">
        <v>29</v>
      </c>
    </row>
    <row r="1212" spans="1:22">
      <c r="A1212" s="3">
        <v>45708</v>
      </c>
      <c r="B1212" t="str">
        <f t="shared" si="126"/>
        <v>yyyy-02</v>
      </c>
      <c r="C1212">
        <f t="shared" si="127"/>
        <v>8</v>
      </c>
      <c r="D1212" t="s">
        <v>42</v>
      </c>
      <c r="E1212" t="s">
        <v>43</v>
      </c>
      <c r="F1212" t="s">
        <v>46</v>
      </c>
      <c r="G1212" t="s">
        <v>36</v>
      </c>
      <c r="H1212" t="s">
        <v>37</v>
      </c>
      <c r="I1212" s="5">
        <v>556</v>
      </c>
      <c r="J1212" s="5">
        <v>354</v>
      </c>
      <c r="K1212" s="5">
        <v>39</v>
      </c>
      <c r="L1212" s="5">
        <v>8</v>
      </c>
      <c r="M1212" s="5">
        <v>8</v>
      </c>
      <c r="N1212" s="7">
        <v>2224.77</v>
      </c>
      <c r="O1212" s="7">
        <f t="shared" si="128"/>
        <v>17798.16</v>
      </c>
      <c r="P1212" s="4">
        <v>0</v>
      </c>
      <c r="Q1212" s="7">
        <f t="shared" si="129"/>
        <v>0</v>
      </c>
      <c r="R1212" s="7">
        <f t="shared" si="130"/>
        <v>17798.16</v>
      </c>
      <c r="S1212" s="7">
        <f t="shared" si="131"/>
        <v>2224.77</v>
      </c>
      <c r="T1212" s="6">
        <f t="shared" si="132"/>
        <v>1.4388489208633094E-2</v>
      </c>
      <c r="V1212" t="s">
        <v>29</v>
      </c>
    </row>
    <row r="1213" spans="1:22">
      <c r="A1213" s="3">
        <v>45708</v>
      </c>
      <c r="B1213" t="str">
        <f t="shared" si="126"/>
        <v>yyyy-02</v>
      </c>
      <c r="C1213">
        <f t="shared" si="127"/>
        <v>8</v>
      </c>
      <c r="D1213" t="s">
        <v>42</v>
      </c>
      <c r="E1213" t="s">
        <v>43</v>
      </c>
      <c r="F1213" t="s">
        <v>47</v>
      </c>
      <c r="G1213" t="s">
        <v>31</v>
      </c>
      <c r="H1213" t="s">
        <v>32</v>
      </c>
      <c r="I1213" s="5">
        <v>555</v>
      </c>
      <c r="J1213" s="5">
        <v>291</v>
      </c>
      <c r="K1213" s="5">
        <v>34</v>
      </c>
      <c r="L1213" s="5">
        <v>9</v>
      </c>
      <c r="M1213" s="5">
        <v>9</v>
      </c>
      <c r="N1213" s="7">
        <v>601.49</v>
      </c>
      <c r="O1213" s="7">
        <f t="shared" si="128"/>
        <v>5413.41</v>
      </c>
      <c r="P1213" s="4">
        <v>0.03</v>
      </c>
      <c r="Q1213" s="7">
        <f t="shared" si="129"/>
        <v>162.4023</v>
      </c>
      <c r="R1213" s="7">
        <f t="shared" si="130"/>
        <v>5251.0077000000001</v>
      </c>
      <c r="S1213" s="7">
        <f t="shared" si="131"/>
        <v>583.44529999999997</v>
      </c>
      <c r="T1213" s="6">
        <f t="shared" si="132"/>
        <v>1.6216216216216217E-2</v>
      </c>
      <c r="V1213" t="s">
        <v>29</v>
      </c>
    </row>
    <row r="1214" spans="1:22">
      <c r="A1214" s="3">
        <v>45708</v>
      </c>
      <c r="B1214" t="str">
        <f t="shared" si="126"/>
        <v>yyyy-02</v>
      </c>
      <c r="C1214">
        <f t="shared" si="127"/>
        <v>8</v>
      </c>
      <c r="D1214" t="s">
        <v>42</v>
      </c>
      <c r="E1214" t="s">
        <v>49</v>
      </c>
      <c r="F1214" t="s">
        <v>50</v>
      </c>
      <c r="G1214" t="s">
        <v>27</v>
      </c>
      <c r="H1214" t="s">
        <v>45</v>
      </c>
      <c r="I1214" s="5">
        <v>112</v>
      </c>
      <c r="J1214" s="5">
        <v>88</v>
      </c>
      <c r="K1214" s="5">
        <v>9</v>
      </c>
      <c r="L1214" s="5">
        <v>2</v>
      </c>
      <c r="M1214" s="5">
        <v>2</v>
      </c>
      <c r="N1214" s="7">
        <v>977.15</v>
      </c>
      <c r="O1214" s="7">
        <f t="shared" si="128"/>
        <v>1954.3</v>
      </c>
      <c r="P1214" s="4">
        <v>0</v>
      </c>
      <c r="Q1214" s="7">
        <f t="shared" si="129"/>
        <v>0</v>
      </c>
      <c r="R1214" s="7">
        <f t="shared" si="130"/>
        <v>1954.3</v>
      </c>
      <c r="S1214" s="7">
        <f t="shared" si="131"/>
        <v>977.15</v>
      </c>
      <c r="T1214" s="6">
        <f t="shared" si="132"/>
        <v>1.7857142857142856E-2</v>
      </c>
      <c r="V1214" t="s">
        <v>29</v>
      </c>
    </row>
    <row r="1215" spans="1:22">
      <c r="A1215" s="3">
        <v>45708</v>
      </c>
      <c r="B1215" t="str">
        <f t="shared" si="126"/>
        <v>yyyy-02</v>
      </c>
      <c r="C1215">
        <f t="shared" si="127"/>
        <v>8</v>
      </c>
      <c r="D1215" t="s">
        <v>42</v>
      </c>
      <c r="E1215" t="s">
        <v>51</v>
      </c>
      <c r="F1215" t="s">
        <v>52</v>
      </c>
      <c r="G1215" t="s">
        <v>36</v>
      </c>
      <c r="H1215" t="s">
        <v>37</v>
      </c>
      <c r="I1215" s="5">
        <v>328</v>
      </c>
      <c r="J1215" s="5">
        <v>208</v>
      </c>
      <c r="K1215" s="5">
        <v>16</v>
      </c>
      <c r="L1215" s="5">
        <v>6</v>
      </c>
      <c r="M1215" s="5">
        <v>6</v>
      </c>
      <c r="N1215" s="7">
        <v>585.04999999999995</v>
      </c>
      <c r="O1215" s="7">
        <f t="shared" si="128"/>
        <v>3510.2999999999997</v>
      </c>
      <c r="P1215" s="4">
        <v>0.11</v>
      </c>
      <c r="Q1215" s="7">
        <f t="shared" si="129"/>
        <v>386.13299999999998</v>
      </c>
      <c r="R1215" s="7">
        <f t="shared" si="130"/>
        <v>3124.1669999999999</v>
      </c>
      <c r="S1215" s="7">
        <f t="shared" si="131"/>
        <v>520.69449999999995</v>
      </c>
      <c r="T1215" s="6">
        <f t="shared" si="132"/>
        <v>1.8292682926829267E-2</v>
      </c>
      <c r="U1215" t="s">
        <v>85</v>
      </c>
      <c r="V1215" t="s">
        <v>29</v>
      </c>
    </row>
    <row r="1216" spans="1:22">
      <c r="A1216" s="3">
        <v>45708</v>
      </c>
      <c r="B1216" t="str">
        <f t="shared" si="126"/>
        <v>yyyy-02</v>
      </c>
      <c r="C1216">
        <f t="shared" si="127"/>
        <v>8</v>
      </c>
      <c r="D1216" t="s">
        <v>53</v>
      </c>
      <c r="E1216" t="s">
        <v>54</v>
      </c>
      <c r="F1216" t="s">
        <v>55</v>
      </c>
      <c r="G1216" t="s">
        <v>36</v>
      </c>
      <c r="H1216" t="s">
        <v>37</v>
      </c>
      <c r="I1216" s="5">
        <v>177</v>
      </c>
      <c r="J1216" s="5">
        <v>119</v>
      </c>
      <c r="K1216" s="5">
        <v>12</v>
      </c>
      <c r="L1216" s="5">
        <v>2</v>
      </c>
      <c r="M1216" s="5">
        <v>2</v>
      </c>
      <c r="N1216" s="7">
        <v>1321.2</v>
      </c>
      <c r="O1216" s="7">
        <f t="shared" si="128"/>
        <v>2642.4</v>
      </c>
      <c r="P1216" s="4">
        <v>0.1</v>
      </c>
      <c r="Q1216" s="7">
        <f t="shared" si="129"/>
        <v>264.24</v>
      </c>
      <c r="R1216" s="7">
        <f t="shared" si="130"/>
        <v>2378.16</v>
      </c>
      <c r="S1216" s="7">
        <f t="shared" si="131"/>
        <v>1189.08</v>
      </c>
      <c r="T1216" s="6">
        <f t="shared" si="132"/>
        <v>1.1299435028248588E-2</v>
      </c>
      <c r="U1216" t="s">
        <v>86</v>
      </c>
      <c r="V1216" t="s">
        <v>29</v>
      </c>
    </row>
    <row r="1217" spans="1:22">
      <c r="A1217" s="3">
        <v>45708</v>
      </c>
      <c r="B1217" t="str">
        <f t="shared" si="126"/>
        <v>yyyy-02</v>
      </c>
      <c r="C1217">
        <f t="shared" si="127"/>
        <v>8</v>
      </c>
      <c r="D1217" t="s">
        <v>53</v>
      </c>
      <c r="E1217" t="s">
        <v>56</v>
      </c>
      <c r="F1217" t="s">
        <v>57</v>
      </c>
      <c r="G1217" t="s">
        <v>27</v>
      </c>
      <c r="H1217" t="s">
        <v>45</v>
      </c>
      <c r="I1217" s="5">
        <v>187</v>
      </c>
      <c r="J1217" s="5">
        <v>120</v>
      </c>
      <c r="K1217" s="5">
        <v>10</v>
      </c>
      <c r="L1217" s="5">
        <v>2</v>
      </c>
      <c r="M1217" s="5">
        <v>2</v>
      </c>
      <c r="N1217" s="7">
        <v>747.93</v>
      </c>
      <c r="O1217" s="7">
        <f t="shared" si="128"/>
        <v>1495.86</v>
      </c>
      <c r="P1217" s="4">
        <v>0.05</v>
      </c>
      <c r="Q1217" s="7">
        <f t="shared" si="129"/>
        <v>74.792999999999992</v>
      </c>
      <c r="R1217" s="7">
        <f t="shared" si="130"/>
        <v>1421.067</v>
      </c>
      <c r="S1217" s="7">
        <f t="shared" si="131"/>
        <v>710.5335</v>
      </c>
      <c r="T1217" s="6">
        <f t="shared" si="132"/>
        <v>1.06951871657754E-2</v>
      </c>
      <c r="V1217" t="s">
        <v>29</v>
      </c>
    </row>
    <row r="1218" spans="1:22">
      <c r="A1218" s="3">
        <v>45708</v>
      </c>
      <c r="B1218" t="str">
        <f t="shared" si="126"/>
        <v>yyyy-02</v>
      </c>
      <c r="C1218">
        <f t="shared" si="127"/>
        <v>8</v>
      </c>
      <c r="D1218" t="s">
        <v>53</v>
      </c>
      <c r="E1218" t="s">
        <v>56</v>
      </c>
      <c r="F1218" t="s">
        <v>58</v>
      </c>
      <c r="G1218" t="s">
        <v>36</v>
      </c>
      <c r="H1218" t="s">
        <v>37</v>
      </c>
      <c r="I1218" s="5">
        <v>298</v>
      </c>
      <c r="J1218" s="5">
        <v>163</v>
      </c>
      <c r="K1218" s="5">
        <v>14</v>
      </c>
      <c r="L1218" s="5">
        <v>3</v>
      </c>
      <c r="M1218" s="5">
        <v>3</v>
      </c>
      <c r="N1218" s="7">
        <v>876.52</v>
      </c>
      <c r="O1218" s="7">
        <f t="shared" si="128"/>
        <v>2629.56</v>
      </c>
      <c r="P1218" s="4">
        <v>0.05</v>
      </c>
      <c r="Q1218" s="7">
        <f t="shared" si="129"/>
        <v>131.47800000000001</v>
      </c>
      <c r="R1218" s="7">
        <f t="shared" si="130"/>
        <v>2498.0819999999999</v>
      </c>
      <c r="S1218" s="7">
        <f t="shared" si="131"/>
        <v>832.69399999999996</v>
      </c>
      <c r="T1218" s="6">
        <f t="shared" si="132"/>
        <v>1.0067114093959731E-2</v>
      </c>
      <c r="V1218" t="s">
        <v>29</v>
      </c>
    </row>
    <row r="1219" spans="1:22">
      <c r="A1219" s="3">
        <v>45708</v>
      </c>
      <c r="B1219" t="str">
        <f t="shared" si="126"/>
        <v>yyyy-02</v>
      </c>
      <c r="C1219">
        <f t="shared" si="127"/>
        <v>8</v>
      </c>
      <c r="D1219" t="s">
        <v>53</v>
      </c>
      <c r="E1219" t="s">
        <v>59</v>
      </c>
      <c r="F1219" t="s">
        <v>60</v>
      </c>
      <c r="G1219" t="s">
        <v>31</v>
      </c>
      <c r="H1219" t="s">
        <v>32</v>
      </c>
      <c r="I1219" s="5">
        <v>121</v>
      </c>
      <c r="J1219" s="5">
        <v>91</v>
      </c>
      <c r="K1219" s="5">
        <v>7</v>
      </c>
      <c r="L1219" s="5">
        <v>1</v>
      </c>
      <c r="M1219" s="5">
        <v>1</v>
      </c>
      <c r="N1219" s="7">
        <v>702.1</v>
      </c>
      <c r="O1219" s="7">
        <f t="shared" si="128"/>
        <v>702.1</v>
      </c>
      <c r="P1219" s="4">
        <v>0.03</v>
      </c>
      <c r="Q1219" s="7">
        <f t="shared" si="129"/>
        <v>21.062999999999999</v>
      </c>
      <c r="R1219" s="7">
        <f t="shared" si="130"/>
        <v>681.03700000000003</v>
      </c>
      <c r="S1219" s="7">
        <f t="shared" si="131"/>
        <v>681.03700000000003</v>
      </c>
      <c r="T1219" s="6">
        <f t="shared" si="132"/>
        <v>8.2644628099173556E-3</v>
      </c>
      <c r="V1219" t="s">
        <v>29</v>
      </c>
    </row>
    <row r="1220" spans="1:22">
      <c r="A1220" s="3">
        <v>45708</v>
      </c>
      <c r="B1220" t="str">
        <f t="shared" si="126"/>
        <v>yyyy-02</v>
      </c>
      <c r="C1220">
        <f t="shared" si="127"/>
        <v>8</v>
      </c>
      <c r="D1220" t="s">
        <v>53</v>
      </c>
      <c r="E1220" t="s">
        <v>61</v>
      </c>
      <c r="F1220" t="s">
        <v>62</v>
      </c>
      <c r="G1220" t="s">
        <v>27</v>
      </c>
      <c r="H1220" t="s">
        <v>48</v>
      </c>
      <c r="I1220" s="5">
        <v>116</v>
      </c>
      <c r="J1220" s="5">
        <v>80</v>
      </c>
      <c r="K1220" s="5">
        <v>8</v>
      </c>
      <c r="L1220" s="5">
        <v>1</v>
      </c>
      <c r="M1220" s="5">
        <v>1</v>
      </c>
      <c r="N1220" s="7">
        <v>501.65</v>
      </c>
      <c r="O1220" s="7">
        <f t="shared" si="128"/>
        <v>501.65</v>
      </c>
      <c r="P1220" s="4">
        <v>0</v>
      </c>
      <c r="Q1220" s="7">
        <f t="shared" si="129"/>
        <v>0</v>
      </c>
      <c r="R1220" s="7">
        <f t="shared" si="130"/>
        <v>501.65</v>
      </c>
      <c r="S1220" s="7">
        <f t="shared" si="131"/>
        <v>501.65</v>
      </c>
      <c r="T1220" s="6">
        <f t="shared" si="132"/>
        <v>8.6206896551724137E-3</v>
      </c>
      <c r="V1220" t="s">
        <v>29</v>
      </c>
    </row>
    <row r="1221" spans="1:22">
      <c r="A1221" s="3">
        <v>45708</v>
      </c>
      <c r="B1221" t="str">
        <f t="shared" ref="B1221:B1284" si="133">TEXT(A1221,"yyyy-mm")</f>
        <v>yyyy-02</v>
      </c>
      <c r="C1221">
        <f t="shared" ref="C1221:C1284" si="134">WEEKNUM(A1221,2)</f>
        <v>8</v>
      </c>
      <c r="D1221" t="s">
        <v>53</v>
      </c>
      <c r="E1221" t="s">
        <v>64</v>
      </c>
      <c r="F1221" t="s">
        <v>65</v>
      </c>
      <c r="G1221" t="s">
        <v>27</v>
      </c>
      <c r="H1221" t="s">
        <v>45</v>
      </c>
      <c r="I1221" s="5">
        <v>194</v>
      </c>
      <c r="J1221" s="5">
        <v>128</v>
      </c>
      <c r="K1221" s="5">
        <v>13</v>
      </c>
      <c r="L1221" s="5">
        <v>2</v>
      </c>
      <c r="M1221" s="5">
        <v>2</v>
      </c>
      <c r="N1221" s="7">
        <v>802.18</v>
      </c>
      <c r="O1221" s="7">
        <f t="shared" ref="O1221:O1284" si="135">M1221*N1221</f>
        <v>1604.36</v>
      </c>
      <c r="P1221" s="4">
        <v>0.03</v>
      </c>
      <c r="Q1221" s="7">
        <f t="shared" ref="Q1221:Q1284" si="136">O1221*P1221</f>
        <v>48.130799999999994</v>
      </c>
      <c r="R1221" s="7">
        <f t="shared" ref="R1221:R1284" si="137">O1221-Q1221</f>
        <v>1556.2292</v>
      </c>
      <c r="S1221" s="7">
        <f t="shared" ref="S1221:S1284" si="138">IFERROR(R1221/L1221,0)</f>
        <v>778.1146</v>
      </c>
      <c r="T1221" s="6">
        <f t="shared" ref="T1221:T1284" si="139">IFERROR(L1221/I1221,0)</f>
        <v>1.0309278350515464E-2</v>
      </c>
      <c r="V1221" t="s">
        <v>29</v>
      </c>
    </row>
    <row r="1222" spans="1:22">
      <c r="A1222" s="3">
        <v>45708</v>
      </c>
      <c r="B1222" t="str">
        <f t="shared" si="133"/>
        <v>yyyy-02</v>
      </c>
      <c r="C1222">
        <f t="shared" si="134"/>
        <v>8</v>
      </c>
      <c r="D1222" t="s">
        <v>66</v>
      </c>
      <c r="E1222" t="s">
        <v>67</v>
      </c>
      <c r="F1222" t="s">
        <v>68</v>
      </c>
      <c r="G1222" t="s">
        <v>27</v>
      </c>
      <c r="H1222" t="s">
        <v>63</v>
      </c>
      <c r="I1222" s="5">
        <v>236</v>
      </c>
      <c r="J1222" s="5">
        <v>150</v>
      </c>
      <c r="K1222" s="5">
        <v>15</v>
      </c>
      <c r="L1222" s="5">
        <v>5</v>
      </c>
      <c r="M1222" s="5">
        <v>5</v>
      </c>
      <c r="N1222" s="7">
        <v>678.01</v>
      </c>
      <c r="O1222" s="7">
        <f t="shared" si="135"/>
        <v>3390.05</v>
      </c>
      <c r="P1222" s="4">
        <v>0</v>
      </c>
      <c r="Q1222" s="7">
        <f t="shared" si="136"/>
        <v>0</v>
      </c>
      <c r="R1222" s="7">
        <f t="shared" si="137"/>
        <v>3390.05</v>
      </c>
      <c r="S1222" s="7">
        <f t="shared" si="138"/>
        <v>678.01</v>
      </c>
      <c r="T1222" s="6">
        <f t="shared" si="139"/>
        <v>2.1186440677966101E-2</v>
      </c>
      <c r="V1222" t="s">
        <v>29</v>
      </c>
    </row>
    <row r="1223" spans="1:22">
      <c r="A1223" s="3">
        <v>45708</v>
      </c>
      <c r="B1223" t="str">
        <f t="shared" si="133"/>
        <v>yyyy-02</v>
      </c>
      <c r="C1223">
        <f t="shared" si="134"/>
        <v>8</v>
      </c>
      <c r="D1223" t="s">
        <v>66</v>
      </c>
      <c r="E1223" t="s">
        <v>67</v>
      </c>
      <c r="F1223" t="s">
        <v>69</v>
      </c>
      <c r="G1223" t="s">
        <v>36</v>
      </c>
      <c r="H1223" t="s">
        <v>37</v>
      </c>
      <c r="I1223" s="5">
        <v>343</v>
      </c>
      <c r="J1223" s="5">
        <v>263</v>
      </c>
      <c r="K1223" s="5">
        <v>22</v>
      </c>
      <c r="L1223" s="5">
        <v>5</v>
      </c>
      <c r="M1223" s="5">
        <v>5</v>
      </c>
      <c r="N1223" s="7">
        <v>392.6</v>
      </c>
      <c r="O1223" s="7">
        <f t="shared" si="135"/>
        <v>1963</v>
      </c>
      <c r="P1223" s="4">
        <v>0</v>
      </c>
      <c r="Q1223" s="7">
        <f t="shared" si="136"/>
        <v>0</v>
      </c>
      <c r="R1223" s="7">
        <f t="shared" si="137"/>
        <v>1963</v>
      </c>
      <c r="S1223" s="7">
        <f t="shared" si="138"/>
        <v>392.6</v>
      </c>
      <c r="T1223" s="6">
        <f t="shared" si="139"/>
        <v>1.4577259475218658E-2</v>
      </c>
      <c r="V1223" t="s">
        <v>78</v>
      </c>
    </row>
    <row r="1224" spans="1:22">
      <c r="A1224" s="3">
        <v>45708</v>
      </c>
      <c r="B1224" t="str">
        <f t="shared" si="133"/>
        <v>yyyy-02</v>
      </c>
      <c r="C1224">
        <f t="shared" si="134"/>
        <v>8</v>
      </c>
      <c r="D1224" t="s">
        <v>66</v>
      </c>
      <c r="E1224" t="s">
        <v>67</v>
      </c>
      <c r="F1224" t="s">
        <v>70</v>
      </c>
      <c r="G1224" t="s">
        <v>36</v>
      </c>
      <c r="H1224" t="s">
        <v>37</v>
      </c>
      <c r="I1224" s="5">
        <v>389</v>
      </c>
      <c r="J1224" s="5">
        <v>289</v>
      </c>
      <c r="K1224" s="5">
        <v>25</v>
      </c>
      <c r="L1224" s="5">
        <v>9</v>
      </c>
      <c r="M1224" s="5">
        <v>9</v>
      </c>
      <c r="N1224" s="7">
        <v>353.67</v>
      </c>
      <c r="O1224" s="7">
        <f t="shared" si="135"/>
        <v>3183.03</v>
      </c>
      <c r="P1224" s="4">
        <v>0</v>
      </c>
      <c r="Q1224" s="7">
        <f t="shared" si="136"/>
        <v>0</v>
      </c>
      <c r="R1224" s="7">
        <f t="shared" si="137"/>
        <v>3183.03</v>
      </c>
      <c r="S1224" s="7">
        <f t="shared" si="138"/>
        <v>353.67</v>
      </c>
      <c r="T1224" s="6">
        <f t="shared" si="139"/>
        <v>2.313624678663239E-2</v>
      </c>
      <c r="V1224" t="s">
        <v>29</v>
      </c>
    </row>
    <row r="1225" spans="1:22">
      <c r="A1225" s="3">
        <v>45708</v>
      </c>
      <c r="B1225" t="str">
        <f t="shared" si="133"/>
        <v>yyyy-02</v>
      </c>
      <c r="C1225">
        <f t="shared" si="134"/>
        <v>8</v>
      </c>
      <c r="D1225" t="s">
        <v>66</v>
      </c>
      <c r="E1225" t="s">
        <v>71</v>
      </c>
      <c r="F1225" t="s">
        <v>72</v>
      </c>
      <c r="G1225" t="s">
        <v>27</v>
      </c>
      <c r="H1225" t="s">
        <v>28</v>
      </c>
      <c r="I1225" s="5">
        <v>274</v>
      </c>
      <c r="J1225" s="5">
        <v>194</v>
      </c>
      <c r="K1225" s="5">
        <v>21</v>
      </c>
      <c r="L1225" s="5">
        <v>6</v>
      </c>
      <c r="M1225" s="5">
        <v>7</v>
      </c>
      <c r="N1225" s="7">
        <v>131.09</v>
      </c>
      <c r="O1225" s="7">
        <f t="shared" si="135"/>
        <v>917.63</v>
      </c>
      <c r="P1225" s="4">
        <v>0</v>
      </c>
      <c r="Q1225" s="7">
        <f t="shared" si="136"/>
        <v>0</v>
      </c>
      <c r="R1225" s="7">
        <f t="shared" si="137"/>
        <v>917.63</v>
      </c>
      <c r="S1225" s="7">
        <f t="shared" si="138"/>
        <v>152.93833333333333</v>
      </c>
      <c r="T1225" s="6">
        <f t="shared" si="139"/>
        <v>2.1897810218978103E-2</v>
      </c>
      <c r="V1225" t="s">
        <v>29</v>
      </c>
    </row>
    <row r="1226" spans="1:22">
      <c r="A1226" s="3">
        <v>45708</v>
      </c>
      <c r="B1226" t="str">
        <f t="shared" si="133"/>
        <v>yyyy-02</v>
      </c>
      <c r="C1226">
        <f t="shared" si="134"/>
        <v>8</v>
      </c>
      <c r="D1226" t="s">
        <v>66</v>
      </c>
      <c r="E1226" t="s">
        <v>73</v>
      </c>
      <c r="F1226" t="s">
        <v>74</v>
      </c>
      <c r="G1226" t="s">
        <v>27</v>
      </c>
      <c r="H1226" t="s">
        <v>63</v>
      </c>
      <c r="I1226" s="5">
        <v>138</v>
      </c>
      <c r="J1226" s="5">
        <v>111</v>
      </c>
      <c r="K1226" s="5">
        <v>9</v>
      </c>
      <c r="L1226" s="5">
        <v>2</v>
      </c>
      <c r="M1226" s="5">
        <v>2</v>
      </c>
      <c r="N1226" s="7">
        <v>1173.8900000000001</v>
      </c>
      <c r="O1226" s="7">
        <f t="shared" si="135"/>
        <v>2347.7800000000002</v>
      </c>
      <c r="P1226" s="4">
        <v>0.05</v>
      </c>
      <c r="Q1226" s="7">
        <f t="shared" si="136"/>
        <v>117.38900000000001</v>
      </c>
      <c r="R1226" s="7">
        <f t="shared" si="137"/>
        <v>2230.3910000000001</v>
      </c>
      <c r="S1226" s="7">
        <f t="shared" si="138"/>
        <v>1115.1955</v>
      </c>
      <c r="T1226" s="6">
        <f t="shared" si="139"/>
        <v>1.4492753623188406E-2</v>
      </c>
      <c r="V1226" t="s">
        <v>29</v>
      </c>
    </row>
    <row r="1227" spans="1:22">
      <c r="A1227" s="3">
        <v>45708</v>
      </c>
      <c r="B1227" t="str">
        <f t="shared" si="133"/>
        <v>yyyy-02</v>
      </c>
      <c r="C1227">
        <f t="shared" si="134"/>
        <v>8</v>
      </c>
      <c r="D1227" t="s">
        <v>66</v>
      </c>
      <c r="E1227" t="s">
        <v>71</v>
      </c>
      <c r="F1227" t="s">
        <v>75</v>
      </c>
      <c r="G1227" t="s">
        <v>31</v>
      </c>
      <c r="H1227" t="s">
        <v>32</v>
      </c>
      <c r="I1227" s="5">
        <v>410</v>
      </c>
      <c r="J1227" s="5">
        <v>237</v>
      </c>
      <c r="K1227" s="5">
        <v>22</v>
      </c>
      <c r="L1227" s="5">
        <v>6</v>
      </c>
      <c r="M1227" s="5">
        <v>6</v>
      </c>
      <c r="N1227" s="7">
        <v>38.54</v>
      </c>
      <c r="O1227" s="7">
        <f t="shared" si="135"/>
        <v>231.24</v>
      </c>
      <c r="P1227" s="4">
        <v>0</v>
      </c>
      <c r="Q1227" s="7">
        <f t="shared" si="136"/>
        <v>0</v>
      </c>
      <c r="R1227" s="7">
        <f t="shared" si="137"/>
        <v>231.24</v>
      </c>
      <c r="S1227" s="7">
        <f t="shared" si="138"/>
        <v>38.54</v>
      </c>
      <c r="T1227" s="6">
        <f t="shared" si="139"/>
        <v>1.4634146341463415E-2</v>
      </c>
      <c r="V1227" t="s">
        <v>78</v>
      </c>
    </row>
    <row r="1228" spans="1:22">
      <c r="A1228" s="3">
        <v>45708</v>
      </c>
      <c r="B1228" t="str">
        <f t="shared" si="133"/>
        <v>yyyy-02</v>
      </c>
      <c r="C1228">
        <f t="shared" si="134"/>
        <v>8</v>
      </c>
      <c r="D1228" t="s">
        <v>24</v>
      </c>
      <c r="E1228" t="s">
        <v>76</v>
      </c>
      <c r="F1228" t="s">
        <v>77</v>
      </c>
      <c r="G1228" t="s">
        <v>31</v>
      </c>
      <c r="H1228" t="s">
        <v>32</v>
      </c>
      <c r="I1228" s="5">
        <v>608</v>
      </c>
      <c r="J1228" s="5">
        <v>482</v>
      </c>
      <c r="K1228" s="5">
        <v>27</v>
      </c>
      <c r="L1228" s="5">
        <v>11</v>
      </c>
      <c r="M1228" s="5">
        <v>12</v>
      </c>
      <c r="N1228" s="7">
        <v>201.92</v>
      </c>
      <c r="O1228" s="7">
        <f t="shared" si="135"/>
        <v>2423.04</v>
      </c>
      <c r="P1228" s="4">
        <v>0</v>
      </c>
      <c r="Q1228" s="7">
        <f t="shared" si="136"/>
        <v>0</v>
      </c>
      <c r="R1228" s="7">
        <f t="shared" si="137"/>
        <v>2423.04</v>
      </c>
      <c r="S1228" s="7">
        <f t="shared" si="138"/>
        <v>220.27636363636364</v>
      </c>
      <c r="T1228" s="6">
        <f t="shared" si="139"/>
        <v>1.8092105263157895E-2</v>
      </c>
      <c r="V1228" t="s">
        <v>29</v>
      </c>
    </row>
    <row r="1229" spans="1:22">
      <c r="A1229" s="3">
        <v>45709</v>
      </c>
      <c r="B1229" t="str">
        <f t="shared" si="133"/>
        <v>yyyy-02</v>
      </c>
      <c r="C1229">
        <f t="shared" si="134"/>
        <v>8</v>
      </c>
      <c r="D1229" t="s">
        <v>24</v>
      </c>
      <c r="E1229" t="s">
        <v>25</v>
      </c>
      <c r="F1229" t="s">
        <v>26</v>
      </c>
      <c r="G1229" t="s">
        <v>36</v>
      </c>
      <c r="H1229" t="s">
        <v>37</v>
      </c>
      <c r="I1229" s="5">
        <v>1388</v>
      </c>
      <c r="J1229" s="5">
        <v>831</v>
      </c>
      <c r="K1229" s="5">
        <v>115</v>
      </c>
      <c r="L1229" s="5">
        <v>29</v>
      </c>
      <c r="M1229" s="5">
        <v>29</v>
      </c>
      <c r="N1229" s="7">
        <v>968.18</v>
      </c>
      <c r="O1229" s="7">
        <f t="shared" si="135"/>
        <v>28077.219999999998</v>
      </c>
      <c r="P1229" s="4">
        <v>0.05</v>
      </c>
      <c r="Q1229" s="7">
        <f t="shared" si="136"/>
        <v>1403.8609999999999</v>
      </c>
      <c r="R1229" s="7">
        <f t="shared" si="137"/>
        <v>26673.358999999997</v>
      </c>
      <c r="S1229" s="7">
        <f t="shared" si="138"/>
        <v>919.77099999999984</v>
      </c>
      <c r="T1229" s="6">
        <f t="shared" si="139"/>
        <v>2.0893371757925071E-2</v>
      </c>
      <c r="V1229" t="s">
        <v>29</v>
      </c>
    </row>
    <row r="1230" spans="1:22">
      <c r="A1230" s="3">
        <v>45709</v>
      </c>
      <c r="B1230" t="str">
        <f t="shared" si="133"/>
        <v>yyyy-02</v>
      </c>
      <c r="C1230">
        <f t="shared" si="134"/>
        <v>8</v>
      </c>
      <c r="D1230" t="s">
        <v>24</v>
      </c>
      <c r="E1230" t="s">
        <v>25</v>
      </c>
      <c r="F1230" t="s">
        <v>30</v>
      </c>
      <c r="G1230" t="s">
        <v>27</v>
      </c>
      <c r="H1230" t="s">
        <v>45</v>
      </c>
      <c r="I1230" s="5">
        <v>1147</v>
      </c>
      <c r="J1230" s="5">
        <v>796</v>
      </c>
      <c r="K1230" s="5">
        <v>73</v>
      </c>
      <c r="L1230" s="5">
        <v>19</v>
      </c>
      <c r="M1230" s="5">
        <v>19</v>
      </c>
      <c r="N1230" s="7">
        <v>392.21</v>
      </c>
      <c r="O1230" s="7">
        <f t="shared" si="135"/>
        <v>7451.99</v>
      </c>
      <c r="P1230" s="4">
        <v>0</v>
      </c>
      <c r="Q1230" s="7">
        <f t="shared" si="136"/>
        <v>0</v>
      </c>
      <c r="R1230" s="7">
        <f t="shared" si="137"/>
        <v>7451.99</v>
      </c>
      <c r="S1230" s="7">
        <f t="shared" si="138"/>
        <v>392.21</v>
      </c>
      <c r="T1230" s="6">
        <f t="shared" si="139"/>
        <v>1.6564952048823016E-2</v>
      </c>
      <c r="V1230" t="s">
        <v>29</v>
      </c>
    </row>
    <row r="1231" spans="1:22">
      <c r="A1231" s="3">
        <v>45709</v>
      </c>
      <c r="B1231" t="str">
        <f t="shared" si="133"/>
        <v>yyyy-02</v>
      </c>
      <c r="C1231">
        <f t="shared" si="134"/>
        <v>8</v>
      </c>
      <c r="D1231" t="s">
        <v>24</v>
      </c>
      <c r="E1231" t="s">
        <v>25</v>
      </c>
      <c r="F1231" t="s">
        <v>33</v>
      </c>
      <c r="G1231" t="s">
        <v>27</v>
      </c>
      <c r="H1231" t="s">
        <v>28</v>
      </c>
      <c r="I1231" s="5">
        <v>1762</v>
      </c>
      <c r="J1231" s="5">
        <v>1252</v>
      </c>
      <c r="K1231" s="5">
        <v>116</v>
      </c>
      <c r="L1231" s="5">
        <v>44</v>
      </c>
      <c r="M1231" s="5">
        <v>44</v>
      </c>
      <c r="N1231" s="7">
        <v>1752.06</v>
      </c>
      <c r="O1231" s="7">
        <f t="shared" si="135"/>
        <v>77090.64</v>
      </c>
      <c r="P1231" s="4">
        <v>0.03</v>
      </c>
      <c r="Q1231" s="7">
        <f t="shared" si="136"/>
        <v>2312.7192</v>
      </c>
      <c r="R1231" s="7">
        <f t="shared" si="137"/>
        <v>74777.920799999993</v>
      </c>
      <c r="S1231" s="7">
        <f t="shared" si="138"/>
        <v>1699.4981999999998</v>
      </c>
      <c r="T1231" s="6">
        <f t="shared" si="139"/>
        <v>2.4971623155505107E-2</v>
      </c>
      <c r="V1231" t="s">
        <v>29</v>
      </c>
    </row>
    <row r="1232" spans="1:22">
      <c r="A1232" s="3">
        <v>45709</v>
      </c>
      <c r="B1232" t="str">
        <f t="shared" si="133"/>
        <v>yyyy-02</v>
      </c>
      <c r="C1232">
        <f t="shared" si="134"/>
        <v>8</v>
      </c>
      <c r="D1232" t="s">
        <v>24</v>
      </c>
      <c r="E1232" t="s">
        <v>34</v>
      </c>
      <c r="F1232" t="s">
        <v>35</v>
      </c>
      <c r="G1232" t="s">
        <v>31</v>
      </c>
      <c r="H1232" t="s">
        <v>32</v>
      </c>
      <c r="I1232" s="5">
        <v>1017</v>
      </c>
      <c r="J1232" s="5">
        <v>580</v>
      </c>
      <c r="K1232" s="5">
        <v>74</v>
      </c>
      <c r="L1232" s="5">
        <v>25</v>
      </c>
      <c r="M1232" s="5">
        <v>25</v>
      </c>
      <c r="N1232" s="7">
        <v>865.86</v>
      </c>
      <c r="O1232" s="7">
        <f t="shared" si="135"/>
        <v>21646.5</v>
      </c>
      <c r="P1232" s="4">
        <v>0.03</v>
      </c>
      <c r="Q1232" s="7">
        <f t="shared" si="136"/>
        <v>649.39499999999998</v>
      </c>
      <c r="R1232" s="7">
        <f t="shared" si="137"/>
        <v>20997.105</v>
      </c>
      <c r="S1232" s="7">
        <f t="shared" si="138"/>
        <v>839.88419999999996</v>
      </c>
      <c r="T1232" s="6">
        <f t="shared" si="139"/>
        <v>2.4582104228121928E-2</v>
      </c>
      <c r="V1232" t="s">
        <v>29</v>
      </c>
    </row>
    <row r="1233" spans="1:22">
      <c r="A1233" s="3">
        <v>45709</v>
      </c>
      <c r="B1233" t="str">
        <f t="shared" si="133"/>
        <v>yyyy-02</v>
      </c>
      <c r="C1233">
        <f t="shared" si="134"/>
        <v>8</v>
      </c>
      <c r="D1233" t="s">
        <v>24</v>
      </c>
      <c r="E1233" t="s">
        <v>38</v>
      </c>
      <c r="F1233" t="s">
        <v>39</v>
      </c>
      <c r="G1233" t="s">
        <v>27</v>
      </c>
      <c r="H1233" t="s">
        <v>28</v>
      </c>
      <c r="I1233" s="5">
        <v>663</v>
      </c>
      <c r="J1233" s="5">
        <v>500</v>
      </c>
      <c r="K1233" s="5">
        <v>51</v>
      </c>
      <c r="L1233" s="5">
        <v>12</v>
      </c>
      <c r="M1233" s="5">
        <v>12</v>
      </c>
      <c r="N1233" s="7">
        <v>329.78</v>
      </c>
      <c r="O1233" s="7">
        <f t="shared" si="135"/>
        <v>3957.3599999999997</v>
      </c>
      <c r="P1233" s="4">
        <v>0</v>
      </c>
      <c r="Q1233" s="7">
        <f t="shared" si="136"/>
        <v>0</v>
      </c>
      <c r="R1233" s="7">
        <f t="shared" si="137"/>
        <v>3957.3599999999997</v>
      </c>
      <c r="S1233" s="7">
        <f t="shared" si="138"/>
        <v>329.78</v>
      </c>
      <c r="T1233" s="6">
        <f t="shared" si="139"/>
        <v>1.8099547511312219E-2</v>
      </c>
      <c r="V1233" t="s">
        <v>29</v>
      </c>
    </row>
    <row r="1234" spans="1:22">
      <c r="A1234" s="3">
        <v>45709</v>
      </c>
      <c r="B1234" t="str">
        <f t="shared" si="133"/>
        <v>yyyy-02</v>
      </c>
      <c r="C1234">
        <f t="shared" si="134"/>
        <v>8</v>
      </c>
      <c r="D1234" t="s">
        <v>24</v>
      </c>
      <c r="E1234" t="s">
        <v>40</v>
      </c>
      <c r="F1234" t="s">
        <v>41</v>
      </c>
      <c r="G1234" t="s">
        <v>36</v>
      </c>
      <c r="H1234" t="s">
        <v>37</v>
      </c>
      <c r="I1234" s="5">
        <v>742</v>
      </c>
      <c r="J1234" s="5">
        <v>403</v>
      </c>
      <c r="K1234" s="5">
        <v>42</v>
      </c>
      <c r="L1234" s="5">
        <v>16</v>
      </c>
      <c r="M1234" s="5">
        <v>20</v>
      </c>
      <c r="N1234" s="7">
        <v>174.82</v>
      </c>
      <c r="O1234" s="7">
        <f t="shared" si="135"/>
        <v>3496.3999999999996</v>
      </c>
      <c r="P1234" s="4">
        <v>0.03</v>
      </c>
      <c r="Q1234" s="7">
        <f t="shared" si="136"/>
        <v>104.89199999999998</v>
      </c>
      <c r="R1234" s="7">
        <f t="shared" si="137"/>
        <v>3391.5079999999998</v>
      </c>
      <c r="S1234" s="7">
        <f t="shared" si="138"/>
        <v>211.96924999999999</v>
      </c>
      <c r="T1234" s="6">
        <f t="shared" si="139"/>
        <v>2.15633423180593E-2</v>
      </c>
      <c r="V1234" t="s">
        <v>29</v>
      </c>
    </row>
    <row r="1235" spans="1:22">
      <c r="A1235" s="3">
        <v>45709</v>
      </c>
      <c r="B1235" t="str">
        <f t="shared" si="133"/>
        <v>yyyy-02</v>
      </c>
      <c r="C1235">
        <f t="shared" si="134"/>
        <v>8</v>
      </c>
      <c r="D1235" t="s">
        <v>42</v>
      </c>
      <c r="E1235" t="s">
        <v>43</v>
      </c>
      <c r="F1235" t="s">
        <v>44</v>
      </c>
      <c r="G1235" t="s">
        <v>31</v>
      </c>
      <c r="H1235" t="s">
        <v>32</v>
      </c>
      <c r="I1235" s="5">
        <v>403</v>
      </c>
      <c r="J1235" s="5">
        <v>295</v>
      </c>
      <c r="K1235" s="5">
        <v>20</v>
      </c>
      <c r="L1235" s="5">
        <v>6</v>
      </c>
      <c r="M1235" s="5">
        <v>6</v>
      </c>
      <c r="N1235" s="7">
        <v>1249.01</v>
      </c>
      <c r="O1235" s="7">
        <f t="shared" si="135"/>
        <v>7494.0599999999995</v>
      </c>
      <c r="P1235" s="4">
        <v>0</v>
      </c>
      <c r="Q1235" s="7">
        <f t="shared" si="136"/>
        <v>0</v>
      </c>
      <c r="R1235" s="7">
        <f t="shared" si="137"/>
        <v>7494.0599999999995</v>
      </c>
      <c r="S1235" s="7">
        <f t="shared" si="138"/>
        <v>1249.01</v>
      </c>
      <c r="T1235" s="6">
        <f t="shared" si="139"/>
        <v>1.488833746898263E-2</v>
      </c>
      <c r="V1235" t="s">
        <v>29</v>
      </c>
    </row>
    <row r="1236" spans="1:22">
      <c r="A1236" s="3">
        <v>45709</v>
      </c>
      <c r="B1236" t="str">
        <f t="shared" si="133"/>
        <v>yyyy-02</v>
      </c>
      <c r="C1236">
        <f t="shared" si="134"/>
        <v>8</v>
      </c>
      <c r="D1236" t="s">
        <v>42</v>
      </c>
      <c r="E1236" t="s">
        <v>43</v>
      </c>
      <c r="F1236" t="s">
        <v>46</v>
      </c>
      <c r="G1236" t="s">
        <v>36</v>
      </c>
      <c r="H1236" t="s">
        <v>37</v>
      </c>
      <c r="I1236" s="5">
        <v>513</v>
      </c>
      <c r="J1236" s="5">
        <v>321</v>
      </c>
      <c r="K1236" s="5">
        <v>35</v>
      </c>
      <c r="L1236" s="5">
        <v>7</v>
      </c>
      <c r="M1236" s="5">
        <v>7</v>
      </c>
      <c r="N1236" s="7">
        <v>2232.5</v>
      </c>
      <c r="O1236" s="7">
        <f t="shared" si="135"/>
        <v>15627.5</v>
      </c>
      <c r="P1236" s="4">
        <v>0</v>
      </c>
      <c r="Q1236" s="7">
        <f t="shared" si="136"/>
        <v>0</v>
      </c>
      <c r="R1236" s="7">
        <f t="shared" si="137"/>
        <v>15627.5</v>
      </c>
      <c r="S1236" s="7">
        <f t="shared" si="138"/>
        <v>2232.5</v>
      </c>
      <c r="T1236" s="6">
        <f t="shared" si="139"/>
        <v>1.364522417153996E-2</v>
      </c>
      <c r="V1236" t="s">
        <v>29</v>
      </c>
    </row>
    <row r="1237" spans="1:22">
      <c r="A1237" s="3">
        <v>45709</v>
      </c>
      <c r="B1237" t="str">
        <f t="shared" si="133"/>
        <v>yyyy-02</v>
      </c>
      <c r="C1237">
        <f t="shared" si="134"/>
        <v>8</v>
      </c>
      <c r="D1237" t="s">
        <v>42</v>
      </c>
      <c r="E1237" t="s">
        <v>43</v>
      </c>
      <c r="F1237" t="s">
        <v>47</v>
      </c>
      <c r="G1237" t="s">
        <v>31</v>
      </c>
      <c r="H1237" t="s">
        <v>32</v>
      </c>
      <c r="I1237" s="5">
        <v>548</v>
      </c>
      <c r="J1237" s="5">
        <v>360</v>
      </c>
      <c r="K1237" s="5">
        <v>23</v>
      </c>
      <c r="L1237" s="5">
        <v>8</v>
      </c>
      <c r="M1237" s="5">
        <v>8</v>
      </c>
      <c r="N1237" s="7">
        <v>578.41999999999996</v>
      </c>
      <c r="O1237" s="7">
        <f t="shared" si="135"/>
        <v>4627.3599999999997</v>
      </c>
      <c r="P1237" s="4">
        <v>0</v>
      </c>
      <c r="Q1237" s="7">
        <f t="shared" si="136"/>
        <v>0</v>
      </c>
      <c r="R1237" s="7">
        <f t="shared" si="137"/>
        <v>4627.3599999999997</v>
      </c>
      <c r="S1237" s="7">
        <f t="shared" si="138"/>
        <v>578.41999999999996</v>
      </c>
      <c r="T1237" s="6">
        <f t="shared" si="139"/>
        <v>1.4598540145985401E-2</v>
      </c>
      <c r="V1237" t="s">
        <v>29</v>
      </c>
    </row>
    <row r="1238" spans="1:22">
      <c r="A1238" s="3">
        <v>45709</v>
      </c>
      <c r="B1238" t="str">
        <f t="shared" si="133"/>
        <v>yyyy-02</v>
      </c>
      <c r="C1238">
        <f t="shared" si="134"/>
        <v>8</v>
      </c>
      <c r="D1238" t="s">
        <v>42</v>
      </c>
      <c r="E1238" t="s">
        <v>49</v>
      </c>
      <c r="F1238" t="s">
        <v>50</v>
      </c>
      <c r="G1238" t="s">
        <v>36</v>
      </c>
      <c r="H1238" t="s">
        <v>37</v>
      </c>
      <c r="I1238" s="5">
        <v>157</v>
      </c>
      <c r="J1238" s="5">
        <v>82</v>
      </c>
      <c r="K1238" s="5">
        <v>8</v>
      </c>
      <c r="L1238" s="5">
        <v>2</v>
      </c>
      <c r="M1238" s="5">
        <v>2</v>
      </c>
      <c r="N1238" s="7">
        <v>982.91</v>
      </c>
      <c r="O1238" s="7">
        <f t="shared" si="135"/>
        <v>1965.82</v>
      </c>
      <c r="P1238" s="4">
        <v>0</v>
      </c>
      <c r="Q1238" s="7">
        <f t="shared" si="136"/>
        <v>0</v>
      </c>
      <c r="R1238" s="7">
        <f t="shared" si="137"/>
        <v>1965.82</v>
      </c>
      <c r="S1238" s="7">
        <f t="shared" si="138"/>
        <v>982.91</v>
      </c>
      <c r="T1238" s="6">
        <f t="shared" si="139"/>
        <v>1.2738853503184714E-2</v>
      </c>
      <c r="V1238" t="s">
        <v>29</v>
      </c>
    </row>
    <row r="1239" spans="1:22">
      <c r="A1239" s="3">
        <v>45709</v>
      </c>
      <c r="B1239" t="str">
        <f t="shared" si="133"/>
        <v>yyyy-02</v>
      </c>
      <c r="C1239">
        <f t="shared" si="134"/>
        <v>8</v>
      </c>
      <c r="D1239" t="s">
        <v>42</v>
      </c>
      <c r="E1239" t="s">
        <v>51</v>
      </c>
      <c r="F1239" t="s">
        <v>52</v>
      </c>
      <c r="G1239" t="s">
        <v>27</v>
      </c>
      <c r="H1239" t="s">
        <v>63</v>
      </c>
      <c r="I1239" s="5">
        <v>178</v>
      </c>
      <c r="J1239" s="5">
        <v>124</v>
      </c>
      <c r="K1239" s="5">
        <v>10</v>
      </c>
      <c r="L1239" s="5">
        <v>2</v>
      </c>
      <c r="M1239" s="5">
        <v>2</v>
      </c>
      <c r="N1239" s="7">
        <v>596.88</v>
      </c>
      <c r="O1239" s="7">
        <f t="shared" si="135"/>
        <v>1193.76</v>
      </c>
      <c r="P1239" s="4">
        <v>0.11</v>
      </c>
      <c r="Q1239" s="7">
        <f t="shared" si="136"/>
        <v>131.31360000000001</v>
      </c>
      <c r="R1239" s="7">
        <f t="shared" si="137"/>
        <v>1062.4464</v>
      </c>
      <c r="S1239" s="7">
        <f t="shared" si="138"/>
        <v>531.22320000000002</v>
      </c>
      <c r="T1239" s="6">
        <f t="shared" si="139"/>
        <v>1.1235955056179775E-2</v>
      </c>
      <c r="U1239" t="s">
        <v>85</v>
      </c>
      <c r="V1239" t="s">
        <v>29</v>
      </c>
    </row>
    <row r="1240" spans="1:22">
      <c r="A1240" s="3">
        <v>45709</v>
      </c>
      <c r="B1240" t="str">
        <f t="shared" si="133"/>
        <v>yyyy-02</v>
      </c>
      <c r="C1240">
        <f t="shared" si="134"/>
        <v>8</v>
      </c>
      <c r="D1240" t="s">
        <v>53</v>
      </c>
      <c r="E1240" t="s">
        <v>54</v>
      </c>
      <c r="F1240" t="s">
        <v>55</v>
      </c>
      <c r="G1240" t="s">
        <v>36</v>
      </c>
      <c r="H1240" t="s">
        <v>37</v>
      </c>
      <c r="I1240" s="5">
        <v>194</v>
      </c>
      <c r="J1240" s="5">
        <v>145</v>
      </c>
      <c r="K1240" s="5">
        <v>11</v>
      </c>
      <c r="L1240" s="5">
        <v>3</v>
      </c>
      <c r="M1240" s="5">
        <v>3</v>
      </c>
      <c r="N1240" s="7">
        <v>1275.8399999999999</v>
      </c>
      <c r="O1240" s="7">
        <f t="shared" si="135"/>
        <v>3827.5199999999995</v>
      </c>
      <c r="P1240" s="4">
        <v>0.1</v>
      </c>
      <c r="Q1240" s="7">
        <f t="shared" si="136"/>
        <v>382.75199999999995</v>
      </c>
      <c r="R1240" s="7">
        <f t="shared" si="137"/>
        <v>3444.7679999999996</v>
      </c>
      <c r="S1240" s="7">
        <f t="shared" si="138"/>
        <v>1148.2559999999999</v>
      </c>
      <c r="T1240" s="6">
        <f t="shared" si="139"/>
        <v>1.5463917525773196E-2</v>
      </c>
      <c r="U1240" t="s">
        <v>86</v>
      </c>
      <c r="V1240" t="s">
        <v>29</v>
      </c>
    </row>
    <row r="1241" spans="1:22">
      <c r="A1241" s="3">
        <v>45709</v>
      </c>
      <c r="B1241" t="str">
        <f t="shared" si="133"/>
        <v>yyyy-02</v>
      </c>
      <c r="C1241">
        <f t="shared" si="134"/>
        <v>8</v>
      </c>
      <c r="D1241" t="s">
        <v>53</v>
      </c>
      <c r="E1241" t="s">
        <v>56</v>
      </c>
      <c r="F1241" t="s">
        <v>57</v>
      </c>
      <c r="G1241" t="s">
        <v>27</v>
      </c>
      <c r="H1241" t="s">
        <v>28</v>
      </c>
      <c r="I1241" s="5">
        <v>189</v>
      </c>
      <c r="J1241" s="5">
        <v>105</v>
      </c>
      <c r="K1241" s="5">
        <v>9</v>
      </c>
      <c r="L1241" s="5">
        <v>2</v>
      </c>
      <c r="M1241" s="5">
        <v>2</v>
      </c>
      <c r="N1241" s="7">
        <v>747.69</v>
      </c>
      <c r="O1241" s="7">
        <f t="shared" si="135"/>
        <v>1495.38</v>
      </c>
      <c r="P1241" s="4">
        <v>0.05</v>
      </c>
      <c r="Q1241" s="7">
        <f t="shared" si="136"/>
        <v>74.769000000000005</v>
      </c>
      <c r="R1241" s="7">
        <f t="shared" si="137"/>
        <v>1420.6110000000001</v>
      </c>
      <c r="S1241" s="7">
        <f t="shared" si="138"/>
        <v>710.30550000000005</v>
      </c>
      <c r="T1241" s="6">
        <f t="shared" si="139"/>
        <v>1.0582010582010581E-2</v>
      </c>
      <c r="V1241" t="s">
        <v>29</v>
      </c>
    </row>
    <row r="1242" spans="1:22">
      <c r="A1242" s="3">
        <v>45709</v>
      </c>
      <c r="B1242" t="str">
        <f t="shared" si="133"/>
        <v>yyyy-02</v>
      </c>
      <c r="C1242">
        <f t="shared" si="134"/>
        <v>8</v>
      </c>
      <c r="D1242" t="s">
        <v>53</v>
      </c>
      <c r="E1242" t="s">
        <v>56</v>
      </c>
      <c r="F1242" t="s">
        <v>58</v>
      </c>
      <c r="G1242" t="s">
        <v>31</v>
      </c>
      <c r="H1242" t="s">
        <v>32</v>
      </c>
      <c r="I1242" s="5">
        <v>161</v>
      </c>
      <c r="J1242" s="5">
        <v>97</v>
      </c>
      <c r="K1242" s="5">
        <v>10</v>
      </c>
      <c r="L1242" s="5">
        <v>2</v>
      </c>
      <c r="M1242" s="5">
        <v>2</v>
      </c>
      <c r="N1242" s="7">
        <v>880.98</v>
      </c>
      <c r="O1242" s="7">
        <f t="shared" si="135"/>
        <v>1761.96</v>
      </c>
      <c r="P1242" s="4">
        <v>0</v>
      </c>
      <c r="Q1242" s="7">
        <f t="shared" si="136"/>
        <v>0</v>
      </c>
      <c r="R1242" s="7">
        <f t="shared" si="137"/>
        <v>1761.96</v>
      </c>
      <c r="S1242" s="7">
        <f t="shared" si="138"/>
        <v>880.98</v>
      </c>
      <c r="T1242" s="6">
        <f t="shared" si="139"/>
        <v>1.2422360248447204E-2</v>
      </c>
      <c r="V1242" t="s">
        <v>29</v>
      </c>
    </row>
    <row r="1243" spans="1:22">
      <c r="A1243" s="3">
        <v>45709</v>
      </c>
      <c r="B1243" t="str">
        <f t="shared" si="133"/>
        <v>yyyy-02</v>
      </c>
      <c r="C1243">
        <f t="shared" si="134"/>
        <v>8</v>
      </c>
      <c r="D1243" t="s">
        <v>53</v>
      </c>
      <c r="E1243" t="s">
        <v>59</v>
      </c>
      <c r="F1243" t="s">
        <v>60</v>
      </c>
      <c r="G1243" t="s">
        <v>27</v>
      </c>
      <c r="H1243" t="s">
        <v>45</v>
      </c>
      <c r="I1243" s="5">
        <v>156</v>
      </c>
      <c r="J1243" s="5">
        <v>116</v>
      </c>
      <c r="K1243" s="5">
        <v>11</v>
      </c>
      <c r="L1243" s="5">
        <v>2</v>
      </c>
      <c r="M1243" s="5">
        <v>2</v>
      </c>
      <c r="N1243" s="7">
        <v>688.5</v>
      </c>
      <c r="O1243" s="7">
        <f t="shared" si="135"/>
        <v>1377</v>
      </c>
      <c r="P1243" s="4">
        <v>0</v>
      </c>
      <c r="Q1243" s="7">
        <f t="shared" si="136"/>
        <v>0</v>
      </c>
      <c r="R1243" s="7">
        <f t="shared" si="137"/>
        <v>1377</v>
      </c>
      <c r="S1243" s="7">
        <f t="shared" si="138"/>
        <v>688.5</v>
      </c>
      <c r="T1243" s="6">
        <f t="shared" si="139"/>
        <v>1.282051282051282E-2</v>
      </c>
      <c r="V1243" t="s">
        <v>29</v>
      </c>
    </row>
    <row r="1244" spans="1:22">
      <c r="A1244" s="3">
        <v>45709</v>
      </c>
      <c r="B1244" t="str">
        <f t="shared" si="133"/>
        <v>yyyy-02</v>
      </c>
      <c r="C1244">
        <f t="shared" si="134"/>
        <v>8</v>
      </c>
      <c r="D1244" t="s">
        <v>53</v>
      </c>
      <c r="E1244" t="s">
        <v>61</v>
      </c>
      <c r="F1244" t="s">
        <v>62</v>
      </c>
      <c r="G1244" t="s">
        <v>27</v>
      </c>
      <c r="H1244" t="s">
        <v>45</v>
      </c>
      <c r="I1244" s="5">
        <v>194</v>
      </c>
      <c r="J1244" s="5">
        <v>150</v>
      </c>
      <c r="K1244" s="5">
        <v>8</v>
      </c>
      <c r="L1244" s="5">
        <v>2</v>
      </c>
      <c r="M1244" s="5">
        <v>2</v>
      </c>
      <c r="N1244" s="7">
        <v>492.32</v>
      </c>
      <c r="O1244" s="7">
        <f t="shared" si="135"/>
        <v>984.64</v>
      </c>
      <c r="P1244" s="4">
        <v>0</v>
      </c>
      <c r="Q1244" s="7">
        <f t="shared" si="136"/>
        <v>0</v>
      </c>
      <c r="R1244" s="7">
        <f t="shared" si="137"/>
        <v>984.64</v>
      </c>
      <c r="S1244" s="7">
        <f t="shared" si="138"/>
        <v>492.32</v>
      </c>
      <c r="T1244" s="6">
        <f t="shared" si="139"/>
        <v>1.0309278350515464E-2</v>
      </c>
      <c r="V1244" t="s">
        <v>78</v>
      </c>
    </row>
    <row r="1245" spans="1:22">
      <c r="A1245" s="3">
        <v>45709</v>
      </c>
      <c r="B1245" t="str">
        <f t="shared" si="133"/>
        <v>yyyy-02</v>
      </c>
      <c r="C1245">
        <f t="shared" si="134"/>
        <v>8</v>
      </c>
      <c r="D1245" t="s">
        <v>53</v>
      </c>
      <c r="E1245" t="s">
        <v>64</v>
      </c>
      <c r="F1245" t="s">
        <v>65</v>
      </c>
      <c r="G1245" t="s">
        <v>36</v>
      </c>
      <c r="H1245" t="s">
        <v>37</v>
      </c>
      <c r="I1245" s="5">
        <v>174</v>
      </c>
      <c r="J1245" s="5">
        <v>135</v>
      </c>
      <c r="K1245" s="5">
        <v>11</v>
      </c>
      <c r="L1245" s="5">
        <v>2</v>
      </c>
      <c r="M1245" s="5">
        <v>2</v>
      </c>
      <c r="N1245" s="7">
        <v>772.68</v>
      </c>
      <c r="O1245" s="7">
        <f t="shared" si="135"/>
        <v>1545.36</v>
      </c>
      <c r="P1245" s="4">
        <v>0</v>
      </c>
      <c r="Q1245" s="7">
        <f t="shared" si="136"/>
        <v>0</v>
      </c>
      <c r="R1245" s="7">
        <f t="shared" si="137"/>
        <v>1545.36</v>
      </c>
      <c r="S1245" s="7">
        <f t="shared" si="138"/>
        <v>772.68</v>
      </c>
      <c r="T1245" s="6">
        <f t="shared" si="139"/>
        <v>1.1494252873563218E-2</v>
      </c>
      <c r="V1245" t="s">
        <v>29</v>
      </c>
    </row>
    <row r="1246" spans="1:22">
      <c r="A1246" s="3">
        <v>45709</v>
      </c>
      <c r="B1246" t="str">
        <f t="shared" si="133"/>
        <v>yyyy-02</v>
      </c>
      <c r="C1246">
        <f t="shared" si="134"/>
        <v>8</v>
      </c>
      <c r="D1246" t="s">
        <v>66</v>
      </c>
      <c r="E1246" t="s">
        <v>67</v>
      </c>
      <c r="F1246" t="s">
        <v>68</v>
      </c>
      <c r="G1246" t="s">
        <v>36</v>
      </c>
      <c r="H1246" t="s">
        <v>37</v>
      </c>
      <c r="I1246" s="5">
        <v>416</v>
      </c>
      <c r="J1246" s="5">
        <v>336</v>
      </c>
      <c r="K1246" s="5">
        <v>29</v>
      </c>
      <c r="L1246" s="5">
        <v>6</v>
      </c>
      <c r="M1246" s="5">
        <v>6</v>
      </c>
      <c r="N1246" s="7">
        <v>674.66</v>
      </c>
      <c r="O1246" s="7">
        <f t="shared" si="135"/>
        <v>4047.96</v>
      </c>
      <c r="P1246" s="4">
        <v>0.05</v>
      </c>
      <c r="Q1246" s="7">
        <f t="shared" si="136"/>
        <v>202.39800000000002</v>
      </c>
      <c r="R1246" s="7">
        <f t="shared" si="137"/>
        <v>3845.5619999999999</v>
      </c>
      <c r="S1246" s="7">
        <f t="shared" si="138"/>
        <v>640.92700000000002</v>
      </c>
      <c r="T1246" s="6">
        <f t="shared" si="139"/>
        <v>1.4423076923076924E-2</v>
      </c>
      <c r="V1246" t="s">
        <v>29</v>
      </c>
    </row>
    <row r="1247" spans="1:22">
      <c r="A1247" s="3">
        <v>45709</v>
      </c>
      <c r="B1247" t="str">
        <f t="shared" si="133"/>
        <v>yyyy-02</v>
      </c>
      <c r="C1247">
        <f t="shared" si="134"/>
        <v>8</v>
      </c>
      <c r="D1247" t="s">
        <v>66</v>
      </c>
      <c r="E1247" t="s">
        <v>67</v>
      </c>
      <c r="F1247" t="s">
        <v>69</v>
      </c>
      <c r="G1247" t="s">
        <v>36</v>
      </c>
      <c r="H1247" t="s">
        <v>37</v>
      </c>
      <c r="I1247" s="5">
        <v>383</v>
      </c>
      <c r="J1247" s="5">
        <v>224</v>
      </c>
      <c r="K1247" s="5">
        <v>22</v>
      </c>
      <c r="L1247" s="5">
        <v>7</v>
      </c>
      <c r="M1247" s="5">
        <v>7</v>
      </c>
      <c r="N1247" s="7">
        <v>388.95</v>
      </c>
      <c r="O1247" s="7">
        <f t="shared" si="135"/>
        <v>2722.65</v>
      </c>
      <c r="P1247" s="4">
        <v>0.05</v>
      </c>
      <c r="Q1247" s="7">
        <f t="shared" si="136"/>
        <v>136.13250000000002</v>
      </c>
      <c r="R1247" s="7">
        <f t="shared" si="137"/>
        <v>2586.5174999999999</v>
      </c>
      <c r="S1247" s="7">
        <f t="shared" si="138"/>
        <v>369.5025</v>
      </c>
      <c r="T1247" s="6">
        <f t="shared" si="139"/>
        <v>1.8276762402088774E-2</v>
      </c>
      <c r="V1247" t="s">
        <v>29</v>
      </c>
    </row>
    <row r="1248" spans="1:22">
      <c r="A1248" s="3">
        <v>45709</v>
      </c>
      <c r="B1248" t="str">
        <f t="shared" si="133"/>
        <v>yyyy-02</v>
      </c>
      <c r="C1248">
        <f t="shared" si="134"/>
        <v>8</v>
      </c>
      <c r="D1248" t="s">
        <v>66</v>
      </c>
      <c r="E1248" t="s">
        <v>67</v>
      </c>
      <c r="F1248" t="s">
        <v>70</v>
      </c>
      <c r="G1248" t="s">
        <v>27</v>
      </c>
      <c r="H1248" t="s">
        <v>48</v>
      </c>
      <c r="I1248" s="5">
        <v>196</v>
      </c>
      <c r="J1248" s="5">
        <v>154</v>
      </c>
      <c r="K1248" s="5">
        <v>17</v>
      </c>
      <c r="L1248" s="5">
        <v>4</v>
      </c>
      <c r="M1248" s="5">
        <v>4</v>
      </c>
      <c r="N1248" s="7">
        <v>342.98</v>
      </c>
      <c r="O1248" s="7">
        <f t="shared" si="135"/>
        <v>1371.92</v>
      </c>
      <c r="P1248" s="4">
        <v>0.05</v>
      </c>
      <c r="Q1248" s="7">
        <f t="shared" si="136"/>
        <v>68.596000000000004</v>
      </c>
      <c r="R1248" s="7">
        <f t="shared" si="137"/>
        <v>1303.3240000000001</v>
      </c>
      <c r="S1248" s="7">
        <f t="shared" si="138"/>
        <v>325.83100000000002</v>
      </c>
      <c r="T1248" s="6">
        <f t="shared" si="139"/>
        <v>2.0408163265306121E-2</v>
      </c>
      <c r="V1248" t="s">
        <v>29</v>
      </c>
    </row>
    <row r="1249" spans="1:22">
      <c r="A1249" s="3">
        <v>45709</v>
      </c>
      <c r="B1249" t="str">
        <f t="shared" si="133"/>
        <v>yyyy-02</v>
      </c>
      <c r="C1249">
        <f t="shared" si="134"/>
        <v>8</v>
      </c>
      <c r="D1249" t="s">
        <v>66</v>
      </c>
      <c r="E1249" t="s">
        <v>71</v>
      </c>
      <c r="F1249" t="s">
        <v>72</v>
      </c>
      <c r="G1249" t="s">
        <v>36</v>
      </c>
      <c r="H1249" t="s">
        <v>37</v>
      </c>
      <c r="I1249" s="5">
        <v>319</v>
      </c>
      <c r="J1249" s="5">
        <v>184</v>
      </c>
      <c r="K1249" s="5">
        <v>18</v>
      </c>
      <c r="L1249" s="5">
        <v>7</v>
      </c>
      <c r="M1249" s="5">
        <v>9</v>
      </c>
      <c r="N1249" s="7">
        <v>125.89</v>
      </c>
      <c r="O1249" s="7">
        <f t="shared" si="135"/>
        <v>1133.01</v>
      </c>
      <c r="P1249" s="4">
        <v>0</v>
      </c>
      <c r="Q1249" s="7">
        <f t="shared" si="136"/>
        <v>0</v>
      </c>
      <c r="R1249" s="7">
        <f t="shared" si="137"/>
        <v>1133.01</v>
      </c>
      <c r="S1249" s="7">
        <f t="shared" si="138"/>
        <v>161.85857142857142</v>
      </c>
      <c r="T1249" s="6">
        <f t="shared" si="139"/>
        <v>2.1943573667711599E-2</v>
      </c>
      <c r="V1249" t="s">
        <v>29</v>
      </c>
    </row>
    <row r="1250" spans="1:22">
      <c r="A1250" s="3">
        <v>45709</v>
      </c>
      <c r="B1250" t="str">
        <f t="shared" si="133"/>
        <v>yyyy-02</v>
      </c>
      <c r="C1250">
        <f t="shared" si="134"/>
        <v>8</v>
      </c>
      <c r="D1250" t="s">
        <v>66</v>
      </c>
      <c r="E1250" t="s">
        <v>73</v>
      </c>
      <c r="F1250" t="s">
        <v>74</v>
      </c>
      <c r="G1250" t="s">
        <v>27</v>
      </c>
      <c r="H1250" t="s">
        <v>28</v>
      </c>
      <c r="I1250" s="5">
        <v>216</v>
      </c>
      <c r="J1250" s="5">
        <v>164</v>
      </c>
      <c r="K1250" s="5">
        <v>18</v>
      </c>
      <c r="L1250" s="5">
        <v>4</v>
      </c>
      <c r="M1250" s="5">
        <v>4</v>
      </c>
      <c r="N1250" s="7">
        <v>1163.3</v>
      </c>
      <c r="O1250" s="7">
        <f t="shared" si="135"/>
        <v>4653.2</v>
      </c>
      <c r="P1250" s="4">
        <v>0.03</v>
      </c>
      <c r="Q1250" s="7">
        <f t="shared" si="136"/>
        <v>139.59599999999998</v>
      </c>
      <c r="R1250" s="7">
        <f t="shared" si="137"/>
        <v>4513.6040000000003</v>
      </c>
      <c r="S1250" s="7">
        <f t="shared" si="138"/>
        <v>1128.4010000000001</v>
      </c>
      <c r="T1250" s="6">
        <f t="shared" si="139"/>
        <v>1.8518518518518517E-2</v>
      </c>
      <c r="V1250" t="s">
        <v>29</v>
      </c>
    </row>
    <row r="1251" spans="1:22">
      <c r="A1251" s="3">
        <v>45709</v>
      </c>
      <c r="B1251" t="str">
        <f t="shared" si="133"/>
        <v>yyyy-02</v>
      </c>
      <c r="C1251">
        <f t="shared" si="134"/>
        <v>8</v>
      </c>
      <c r="D1251" t="s">
        <v>66</v>
      </c>
      <c r="E1251" t="s">
        <v>71</v>
      </c>
      <c r="F1251" t="s">
        <v>75</v>
      </c>
      <c r="G1251" t="s">
        <v>27</v>
      </c>
      <c r="H1251" t="s">
        <v>63</v>
      </c>
      <c r="I1251" s="5">
        <v>196</v>
      </c>
      <c r="J1251" s="5">
        <v>144</v>
      </c>
      <c r="K1251" s="5">
        <v>15</v>
      </c>
      <c r="L1251" s="5">
        <v>3</v>
      </c>
      <c r="M1251" s="5">
        <v>3</v>
      </c>
      <c r="N1251" s="7">
        <v>39.08</v>
      </c>
      <c r="O1251" s="7">
        <f t="shared" si="135"/>
        <v>117.24</v>
      </c>
      <c r="P1251" s="4">
        <v>0.03</v>
      </c>
      <c r="Q1251" s="7">
        <f t="shared" si="136"/>
        <v>3.5171999999999999</v>
      </c>
      <c r="R1251" s="7">
        <f t="shared" si="137"/>
        <v>113.72279999999999</v>
      </c>
      <c r="S1251" s="7">
        <f t="shared" si="138"/>
        <v>37.907599999999995</v>
      </c>
      <c r="T1251" s="6">
        <f t="shared" si="139"/>
        <v>1.5306122448979591E-2</v>
      </c>
      <c r="V1251" t="s">
        <v>29</v>
      </c>
    </row>
    <row r="1252" spans="1:22">
      <c r="A1252" s="3">
        <v>45709</v>
      </c>
      <c r="B1252" t="str">
        <f t="shared" si="133"/>
        <v>yyyy-02</v>
      </c>
      <c r="C1252">
        <f t="shared" si="134"/>
        <v>8</v>
      </c>
      <c r="D1252" t="s">
        <v>24</v>
      </c>
      <c r="E1252" t="s">
        <v>76</v>
      </c>
      <c r="F1252" t="s">
        <v>77</v>
      </c>
      <c r="G1252" t="s">
        <v>27</v>
      </c>
      <c r="H1252" t="s">
        <v>28</v>
      </c>
      <c r="I1252" s="5">
        <v>508</v>
      </c>
      <c r="J1252" s="5">
        <v>278</v>
      </c>
      <c r="K1252" s="5">
        <v>33</v>
      </c>
      <c r="L1252" s="5">
        <v>12</v>
      </c>
      <c r="M1252" s="5">
        <v>13</v>
      </c>
      <c r="N1252" s="7">
        <v>192.42</v>
      </c>
      <c r="O1252" s="7">
        <f t="shared" si="135"/>
        <v>2501.46</v>
      </c>
      <c r="P1252" s="4">
        <v>0.05</v>
      </c>
      <c r="Q1252" s="7">
        <f t="shared" si="136"/>
        <v>125.07300000000001</v>
      </c>
      <c r="R1252" s="7">
        <f t="shared" si="137"/>
        <v>2376.3870000000002</v>
      </c>
      <c r="S1252" s="7">
        <f t="shared" si="138"/>
        <v>198.03225</v>
      </c>
      <c r="T1252" s="6">
        <f t="shared" si="139"/>
        <v>2.3622047244094488E-2</v>
      </c>
      <c r="V1252" t="s">
        <v>29</v>
      </c>
    </row>
    <row r="1253" spans="1:22">
      <c r="A1253" s="3">
        <v>45710</v>
      </c>
      <c r="B1253" t="str">
        <f t="shared" si="133"/>
        <v>yyyy-02</v>
      </c>
      <c r="C1253">
        <f t="shared" si="134"/>
        <v>8</v>
      </c>
      <c r="D1253" t="s">
        <v>24</v>
      </c>
      <c r="E1253" t="s">
        <v>25</v>
      </c>
      <c r="F1253" t="s">
        <v>26</v>
      </c>
      <c r="G1253" t="s">
        <v>27</v>
      </c>
      <c r="H1253" t="s">
        <v>28</v>
      </c>
      <c r="I1253" s="5">
        <v>1385</v>
      </c>
      <c r="J1253" s="5">
        <v>962</v>
      </c>
      <c r="K1253" s="5">
        <v>146</v>
      </c>
      <c r="L1253" s="5">
        <v>31</v>
      </c>
      <c r="M1253" s="5">
        <v>31</v>
      </c>
      <c r="N1253" s="7">
        <v>965.31</v>
      </c>
      <c r="O1253" s="7">
        <f t="shared" si="135"/>
        <v>29924.609999999997</v>
      </c>
      <c r="P1253" s="4">
        <v>0</v>
      </c>
      <c r="Q1253" s="7">
        <f t="shared" si="136"/>
        <v>0</v>
      </c>
      <c r="R1253" s="7">
        <f t="shared" si="137"/>
        <v>29924.609999999997</v>
      </c>
      <c r="S1253" s="7">
        <f t="shared" si="138"/>
        <v>965.31</v>
      </c>
      <c r="T1253" s="6">
        <f t="shared" si="139"/>
        <v>2.2382671480144403E-2</v>
      </c>
      <c r="V1253" t="s">
        <v>29</v>
      </c>
    </row>
    <row r="1254" spans="1:22">
      <c r="A1254" s="3">
        <v>45710</v>
      </c>
      <c r="B1254" t="str">
        <f t="shared" si="133"/>
        <v>yyyy-02</v>
      </c>
      <c r="C1254">
        <f t="shared" si="134"/>
        <v>8</v>
      </c>
      <c r="D1254" t="s">
        <v>24</v>
      </c>
      <c r="E1254" t="s">
        <v>25</v>
      </c>
      <c r="F1254" t="s">
        <v>30</v>
      </c>
      <c r="G1254" t="s">
        <v>36</v>
      </c>
      <c r="H1254" t="s">
        <v>37</v>
      </c>
      <c r="I1254" s="5">
        <v>1790</v>
      </c>
      <c r="J1254" s="5">
        <v>1194</v>
      </c>
      <c r="K1254" s="5">
        <v>155</v>
      </c>
      <c r="L1254" s="5">
        <v>33</v>
      </c>
      <c r="M1254" s="5">
        <v>33</v>
      </c>
      <c r="N1254" s="7">
        <v>391.61</v>
      </c>
      <c r="O1254" s="7">
        <f t="shared" si="135"/>
        <v>12923.130000000001</v>
      </c>
      <c r="P1254" s="4">
        <v>0</v>
      </c>
      <c r="Q1254" s="7">
        <f t="shared" si="136"/>
        <v>0</v>
      </c>
      <c r="R1254" s="7">
        <f t="shared" si="137"/>
        <v>12923.130000000001</v>
      </c>
      <c r="S1254" s="7">
        <f t="shared" si="138"/>
        <v>391.61</v>
      </c>
      <c r="T1254" s="6">
        <f t="shared" si="139"/>
        <v>1.8435754189944135E-2</v>
      </c>
      <c r="V1254" t="s">
        <v>29</v>
      </c>
    </row>
    <row r="1255" spans="1:22">
      <c r="A1255" s="3">
        <v>45710</v>
      </c>
      <c r="B1255" t="str">
        <f t="shared" si="133"/>
        <v>yyyy-02</v>
      </c>
      <c r="C1255">
        <f t="shared" si="134"/>
        <v>8</v>
      </c>
      <c r="D1255" t="s">
        <v>24</v>
      </c>
      <c r="E1255" t="s">
        <v>25</v>
      </c>
      <c r="F1255" t="s">
        <v>33</v>
      </c>
      <c r="G1255" t="s">
        <v>31</v>
      </c>
      <c r="H1255" t="s">
        <v>32</v>
      </c>
      <c r="I1255" s="5">
        <v>2407</v>
      </c>
      <c r="J1255" s="5">
        <v>1592</v>
      </c>
      <c r="K1255" s="5">
        <v>169</v>
      </c>
      <c r="L1255" s="5">
        <v>51</v>
      </c>
      <c r="M1255" s="5">
        <v>51</v>
      </c>
      <c r="N1255" s="7">
        <v>1817.07</v>
      </c>
      <c r="O1255" s="7">
        <f t="shared" si="135"/>
        <v>92670.569999999992</v>
      </c>
      <c r="P1255" s="4">
        <v>0.03</v>
      </c>
      <c r="Q1255" s="7">
        <f t="shared" si="136"/>
        <v>2780.1170999999995</v>
      </c>
      <c r="R1255" s="7">
        <f t="shared" si="137"/>
        <v>89890.452899999989</v>
      </c>
      <c r="S1255" s="7">
        <f t="shared" si="138"/>
        <v>1762.5578999999998</v>
      </c>
      <c r="T1255" s="6">
        <f t="shared" si="139"/>
        <v>2.1188201080182802E-2</v>
      </c>
      <c r="V1255" t="s">
        <v>29</v>
      </c>
    </row>
    <row r="1256" spans="1:22">
      <c r="A1256" s="3">
        <v>45710</v>
      </c>
      <c r="B1256" t="str">
        <f t="shared" si="133"/>
        <v>yyyy-02</v>
      </c>
      <c r="C1256">
        <f t="shared" si="134"/>
        <v>8</v>
      </c>
      <c r="D1256" t="s">
        <v>24</v>
      </c>
      <c r="E1256" t="s">
        <v>34</v>
      </c>
      <c r="F1256" t="s">
        <v>35</v>
      </c>
      <c r="G1256" t="s">
        <v>36</v>
      </c>
      <c r="H1256" t="s">
        <v>37</v>
      </c>
      <c r="I1256" s="5">
        <v>1145</v>
      </c>
      <c r="J1256" s="5">
        <v>766</v>
      </c>
      <c r="K1256" s="5">
        <v>88</v>
      </c>
      <c r="L1256" s="5">
        <v>22</v>
      </c>
      <c r="M1256" s="5">
        <v>22</v>
      </c>
      <c r="N1256" s="7">
        <v>875.68</v>
      </c>
      <c r="O1256" s="7">
        <f t="shared" si="135"/>
        <v>19264.96</v>
      </c>
      <c r="P1256" s="4">
        <v>0</v>
      </c>
      <c r="Q1256" s="7">
        <f t="shared" si="136"/>
        <v>0</v>
      </c>
      <c r="R1256" s="7">
        <f t="shared" si="137"/>
        <v>19264.96</v>
      </c>
      <c r="S1256" s="7">
        <f t="shared" si="138"/>
        <v>875.68</v>
      </c>
      <c r="T1256" s="6">
        <f t="shared" si="139"/>
        <v>1.9213973799126639E-2</v>
      </c>
      <c r="V1256" t="s">
        <v>29</v>
      </c>
    </row>
    <row r="1257" spans="1:22">
      <c r="A1257" s="3">
        <v>45710</v>
      </c>
      <c r="B1257" t="str">
        <f t="shared" si="133"/>
        <v>yyyy-02</v>
      </c>
      <c r="C1257">
        <f t="shared" si="134"/>
        <v>8</v>
      </c>
      <c r="D1257" t="s">
        <v>24</v>
      </c>
      <c r="E1257" t="s">
        <v>38</v>
      </c>
      <c r="F1257" t="s">
        <v>39</v>
      </c>
      <c r="G1257" t="s">
        <v>27</v>
      </c>
      <c r="H1257" t="s">
        <v>63</v>
      </c>
      <c r="I1257" s="5">
        <v>542</v>
      </c>
      <c r="J1257" s="5">
        <v>378</v>
      </c>
      <c r="K1257" s="5">
        <v>30</v>
      </c>
      <c r="L1257" s="5">
        <v>12</v>
      </c>
      <c r="M1257" s="5">
        <v>12</v>
      </c>
      <c r="N1257" s="7">
        <v>321.77</v>
      </c>
      <c r="O1257" s="7">
        <f t="shared" si="135"/>
        <v>3861.24</v>
      </c>
      <c r="P1257" s="4">
        <v>0.03</v>
      </c>
      <c r="Q1257" s="7">
        <f t="shared" si="136"/>
        <v>115.8372</v>
      </c>
      <c r="R1257" s="7">
        <f t="shared" si="137"/>
        <v>3745.4027999999998</v>
      </c>
      <c r="S1257" s="7">
        <f t="shared" si="138"/>
        <v>312.11689999999999</v>
      </c>
      <c r="T1257" s="6">
        <f t="shared" si="139"/>
        <v>2.2140221402214021E-2</v>
      </c>
      <c r="V1257" t="s">
        <v>29</v>
      </c>
    </row>
    <row r="1258" spans="1:22">
      <c r="A1258" s="3">
        <v>45710</v>
      </c>
      <c r="B1258" t="str">
        <f t="shared" si="133"/>
        <v>yyyy-02</v>
      </c>
      <c r="C1258">
        <f t="shared" si="134"/>
        <v>8</v>
      </c>
      <c r="D1258" t="s">
        <v>24</v>
      </c>
      <c r="E1258" t="s">
        <v>40</v>
      </c>
      <c r="F1258" t="s">
        <v>41</v>
      </c>
      <c r="G1258" t="s">
        <v>27</v>
      </c>
      <c r="H1258" t="s">
        <v>28</v>
      </c>
      <c r="I1258" s="5">
        <v>782</v>
      </c>
      <c r="J1258" s="5">
        <v>454</v>
      </c>
      <c r="K1258" s="5">
        <v>85</v>
      </c>
      <c r="L1258" s="5">
        <v>20</v>
      </c>
      <c r="M1258" s="5">
        <v>23</v>
      </c>
      <c r="N1258" s="7">
        <v>182.15</v>
      </c>
      <c r="O1258" s="7">
        <f t="shared" si="135"/>
        <v>4189.45</v>
      </c>
      <c r="P1258" s="4">
        <v>0.05</v>
      </c>
      <c r="Q1258" s="7">
        <f t="shared" si="136"/>
        <v>209.4725</v>
      </c>
      <c r="R1258" s="7">
        <f t="shared" si="137"/>
        <v>3979.9775</v>
      </c>
      <c r="S1258" s="7">
        <f t="shared" si="138"/>
        <v>198.998875</v>
      </c>
      <c r="T1258" s="6">
        <f t="shared" si="139"/>
        <v>2.557544757033248E-2</v>
      </c>
      <c r="V1258" t="s">
        <v>29</v>
      </c>
    </row>
    <row r="1259" spans="1:22">
      <c r="A1259" s="3">
        <v>45710</v>
      </c>
      <c r="B1259" t="str">
        <f t="shared" si="133"/>
        <v>yyyy-02</v>
      </c>
      <c r="C1259">
        <f t="shared" si="134"/>
        <v>8</v>
      </c>
      <c r="D1259" t="s">
        <v>42</v>
      </c>
      <c r="E1259" t="s">
        <v>43</v>
      </c>
      <c r="F1259" t="s">
        <v>44</v>
      </c>
      <c r="G1259" t="s">
        <v>27</v>
      </c>
      <c r="H1259" t="s">
        <v>63</v>
      </c>
      <c r="I1259" s="5">
        <v>400</v>
      </c>
      <c r="J1259" s="5">
        <v>257</v>
      </c>
      <c r="K1259" s="5">
        <v>24</v>
      </c>
      <c r="L1259" s="5">
        <v>6</v>
      </c>
      <c r="M1259" s="5">
        <v>6</v>
      </c>
      <c r="N1259" s="7">
        <v>1260.45</v>
      </c>
      <c r="O1259" s="7">
        <f t="shared" si="135"/>
        <v>7562.7000000000007</v>
      </c>
      <c r="P1259" s="4">
        <v>0</v>
      </c>
      <c r="Q1259" s="7">
        <f t="shared" si="136"/>
        <v>0</v>
      </c>
      <c r="R1259" s="7">
        <f t="shared" si="137"/>
        <v>7562.7000000000007</v>
      </c>
      <c r="S1259" s="7">
        <f t="shared" si="138"/>
        <v>1260.45</v>
      </c>
      <c r="T1259" s="6">
        <f t="shared" si="139"/>
        <v>1.4999999999999999E-2</v>
      </c>
      <c r="V1259" t="s">
        <v>29</v>
      </c>
    </row>
    <row r="1260" spans="1:22">
      <c r="A1260" s="3">
        <v>45710</v>
      </c>
      <c r="B1260" t="str">
        <f t="shared" si="133"/>
        <v>yyyy-02</v>
      </c>
      <c r="C1260">
        <f t="shared" si="134"/>
        <v>8</v>
      </c>
      <c r="D1260" t="s">
        <v>42</v>
      </c>
      <c r="E1260" t="s">
        <v>43</v>
      </c>
      <c r="F1260" t="s">
        <v>46</v>
      </c>
      <c r="G1260" t="s">
        <v>36</v>
      </c>
      <c r="H1260" t="s">
        <v>37</v>
      </c>
      <c r="I1260" s="5">
        <v>625</v>
      </c>
      <c r="J1260" s="5">
        <v>364</v>
      </c>
      <c r="K1260" s="5">
        <v>34</v>
      </c>
      <c r="L1260" s="5">
        <v>7</v>
      </c>
      <c r="M1260" s="5">
        <v>7</v>
      </c>
      <c r="N1260" s="7">
        <v>2222.62</v>
      </c>
      <c r="O1260" s="7">
        <f t="shared" si="135"/>
        <v>15558.34</v>
      </c>
      <c r="P1260" s="4">
        <v>0</v>
      </c>
      <c r="Q1260" s="7">
        <f t="shared" si="136"/>
        <v>0</v>
      </c>
      <c r="R1260" s="7">
        <f t="shared" si="137"/>
        <v>15558.34</v>
      </c>
      <c r="S1260" s="7">
        <f t="shared" si="138"/>
        <v>2222.62</v>
      </c>
      <c r="T1260" s="6">
        <f t="shared" si="139"/>
        <v>1.12E-2</v>
      </c>
      <c r="V1260" t="s">
        <v>29</v>
      </c>
    </row>
    <row r="1261" spans="1:22">
      <c r="A1261" s="3">
        <v>45710</v>
      </c>
      <c r="B1261" t="str">
        <f t="shared" si="133"/>
        <v>yyyy-02</v>
      </c>
      <c r="C1261">
        <f t="shared" si="134"/>
        <v>8</v>
      </c>
      <c r="D1261" t="s">
        <v>42</v>
      </c>
      <c r="E1261" t="s">
        <v>43</v>
      </c>
      <c r="F1261" t="s">
        <v>47</v>
      </c>
      <c r="G1261" t="s">
        <v>36</v>
      </c>
      <c r="H1261" t="s">
        <v>37</v>
      </c>
      <c r="I1261" s="5">
        <v>652</v>
      </c>
      <c r="J1261" s="5">
        <v>418</v>
      </c>
      <c r="K1261" s="5">
        <v>29</v>
      </c>
      <c r="L1261" s="5">
        <v>8</v>
      </c>
      <c r="M1261" s="5">
        <v>8</v>
      </c>
      <c r="N1261" s="7">
        <v>591.70000000000005</v>
      </c>
      <c r="O1261" s="7">
        <f t="shared" si="135"/>
        <v>4733.6000000000004</v>
      </c>
      <c r="P1261" s="4">
        <v>0</v>
      </c>
      <c r="Q1261" s="7">
        <f t="shared" si="136"/>
        <v>0</v>
      </c>
      <c r="R1261" s="7">
        <f t="shared" si="137"/>
        <v>4733.6000000000004</v>
      </c>
      <c r="S1261" s="7">
        <f t="shared" si="138"/>
        <v>591.70000000000005</v>
      </c>
      <c r="T1261" s="6">
        <f t="shared" si="139"/>
        <v>1.2269938650306749E-2</v>
      </c>
      <c r="V1261" t="s">
        <v>29</v>
      </c>
    </row>
    <row r="1262" spans="1:22">
      <c r="A1262" s="3">
        <v>45710</v>
      </c>
      <c r="B1262" t="str">
        <f t="shared" si="133"/>
        <v>yyyy-02</v>
      </c>
      <c r="C1262">
        <f t="shared" si="134"/>
        <v>8</v>
      </c>
      <c r="D1262" t="s">
        <v>42</v>
      </c>
      <c r="E1262" t="s">
        <v>49</v>
      </c>
      <c r="F1262" t="s">
        <v>50</v>
      </c>
      <c r="G1262" t="s">
        <v>31</v>
      </c>
      <c r="H1262" t="s">
        <v>32</v>
      </c>
      <c r="I1262" s="5">
        <v>217</v>
      </c>
      <c r="J1262" s="5">
        <v>134</v>
      </c>
      <c r="K1262" s="5">
        <v>13</v>
      </c>
      <c r="L1262" s="5">
        <v>4</v>
      </c>
      <c r="M1262" s="5">
        <v>4</v>
      </c>
      <c r="N1262" s="7">
        <v>976.01</v>
      </c>
      <c r="O1262" s="7">
        <f t="shared" si="135"/>
        <v>3904.04</v>
      </c>
      <c r="P1262" s="4">
        <v>0</v>
      </c>
      <c r="Q1262" s="7">
        <f t="shared" si="136"/>
        <v>0</v>
      </c>
      <c r="R1262" s="7">
        <f t="shared" si="137"/>
        <v>3904.04</v>
      </c>
      <c r="S1262" s="7">
        <f t="shared" si="138"/>
        <v>976.01</v>
      </c>
      <c r="T1262" s="6">
        <f t="shared" si="139"/>
        <v>1.8433179723502304E-2</v>
      </c>
      <c r="V1262" t="s">
        <v>29</v>
      </c>
    </row>
    <row r="1263" spans="1:22">
      <c r="A1263" s="3">
        <v>45710</v>
      </c>
      <c r="B1263" t="str">
        <f t="shared" si="133"/>
        <v>yyyy-02</v>
      </c>
      <c r="C1263">
        <f t="shared" si="134"/>
        <v>8</v>
      </c>
      <c r="D1263" t="s">
        <v>42</v>
      </c>
      <c r="E1263" t="s">
        <v>51</v>
      </c>
      <c r="F1263" t="s">
        <v>52</v>
      </c>
      <c r="G1263" t="s">
        <v>27</v>
      </c>
      <c r="H1263" t="s">
        <v>45</v>
      </c>
      <c r="I1263" s="5">
        <v>215</v>
      </c>
      <c r="J1263" s="5">
        <v>134</v>
      </c>
      <c r="K1263" s="5">
        <v>20</v>
      </c>
      <c r="L1263" s="5">
        <v>4</v>
      </c>
      <c r="M1263" s="5">
        <v>4</v>
      </c>
      <c r="N1263" s="7">
        <v>606.87</v>
      </c>
      <c r="O1263" s="7">
        <f t="shared" si="135"/>
        <v>2427.48</v>
      </c>
      <c r="P1263" s="4">
        <v>0.11</v>
      </c>
      <c r="Q1263" s="7">
        <f t="shared" si="136"/>
        <v>267.02280000000002</v>
      </c>
      <c r="R1263" s="7">
        <f t="shared" si="137"/>
        <v>2160.4571999999998</v>
      </c>
      <c r="S1263" s="7">
        <f t="shared" si="138"/>
        <v>540.11429999999996</v>
      </c>
      <c r="T1263" s="6">
        <f t="shared" si="139"/>
        <v>1.8604651162790697E-2</v>
      </c>
      <c r="U1263" t="s">
        <v>85</v>
      </c>
      <c r="V1263" t="s">
        <v>29</v>
      </c>
    </row>
    <row r="1264" spans="1:22">
      <c r="A1264" s="3">
        <v>45710</v>
      </c>
      <c r="B1264" t="str">
        <f t="shared" si="133"/>
        <v>yyyy-02</v>
      </c>
      <c r="C1264">
        <f t="shared" si="134"/>
        <v>8</v>
      </c>
      <c r="D1264" t="s">
        <v>53</v>
      </c>
      <c r="E1264" t="s">
        <v>54</v>
      </c>
      <c r="F1264" t="s">
        <v>55</v>
      </c>
      <c r="G1264" t="s">
        <v>31</v>
      </c>
      <c r="H1264" t="s">
        <v>32</v>
      </c>
      <c r="I1264" s="5">
        <v>200</v>
      </c>
      <c r="J1264" s="5">
        <v>126</v>
      </c>
      <c r="K1264" s="5">
        <v>11</v>
      </c>
      <c r="L1264" s="5">
        <v>3</v>
      </c>
      <c r="M1264" s="5">
        <v>3</v>
      </c>
      <c r="N1264" s="7">
        <v>1278.07</v>
      </c>
      <c r="O1264" s="7">
        <f t="shared" si="135"/>
        <v>3834.21</v>
      </c>
      <c r="P1264" s="4">
        <v>0.1</v>
      </c>
      <c r="Q1264" s="7">
        <f t="shared" si="136"/>
        <v>383.42100000000005</v>
      </c>
      <c r="R1264" s="7">
        <f t="shared" si="137"/>
        <v>3450.7889999999998</v>
      </c>
      <c r="S1264" s="7">
        <f t="shared" si="138"/>
        <v>1150.2629999999999</v>
      </c>
      <c r="T1264" s="6">
        <f t="shared" si="139"/>
        <v>1.4999999999999999E-2</v>
      </c>
      <c r="U1264" t="s">
        <v>86</v>
      </c>
      <c r="V1264" t="s">
        <v>29</v>
      </c>
    </row>
    <row r="1265" spans="1:22">
      <c r="A1265" s="3">
        <v>45710</v>
      </c>
      <c r="B1265" t="str">
        <f t="shared" si="133"/>
        <v>yyyy-02</v>
      </c>
      <c r="C1265">
        <f t="shared" si="134"/>
        <v>8</v>
      </c>
      <c r="D1265" t="s">
        <v>53</v>
      </c>
      <c r="E1265" t="s">
        <v>56</v>
      </c>
      <c r="F1265" t="s">
        <v>57</v>
      </c>
      <c r="G1265" t="s">
        <v>31</v>
      </c>
      <c r="H1265" t="s">
        <v>32</v>
      </c>
      <c r="I1265" s="5">
        <v>269</v>
      </c>
      <c r="J1265" s="5">
        <v>176</v>
      </c>
      <c r="K1265" s="5">
        <v>13</v>
      </c>
      <c r="L1265" s="5">
        <v>3</v>
      </c>
      <c r="M1265" s="5">
        <v>3</v>
      </c>
      <c r="N1265" s="7">
        <v>731.85</v>
      </c>
      <c r="O1265" s="7">
        <f t="shared" si="135"/>
        <v>2195.5500000000002</v>
      </c>
      <c r="P1265" s="4">
        <v>0</v>
      </c>
      <c r="Q1265" s="7">
        <f t="shared" si="136"/>
        <v>0</v>
      </c>
      <c r="R1265" s="7">
        <f t="shared" si="137"/>
        <v>2195.5500000000002</v>
      </c>
      <c r="S1265" s="7">
        <f t="shared" si="138"/>
        <v>731.85</v>
      </c>
      <c r="T1265" s="6">
        <f t="shared" si="139"/>
        <v>1.1152416356877323E-2</v>
      </c>
      <c r="V1265" t="s">
        <v>29</v>
      </c>
    </row>
    <row r="1266" spans="1:22">
      <c r="A1266" s="3">
        <v>45710</v>
      </c>
      <c r="B1266" t="str">
        <f t="shared" si="133"/>
        <v>yyyy-02</v>
      </c>
      <c r="C1266">
        <f t="shared" si="134"/>
        <v>8</v>
      </c>
      <c r="D1266" t="s">
        <v>53</v>
      </c>
      <c r="E1266" t="s">
        <v>56</v>
      </c>
      <c r="F1266" t="s">
        <v>58</v>
      </c>
      <c r="G1266" t="s">
        <v>36</v>
      </c>
      <c r="H1266" t="s">
        <v>37</v>
      </c>
      <c r="I1266" s="5">
        <v>261</v>
      </c>
      <c r="J1266" s="5">
        <v>213</v>
      </c>
      <c r="K1266" s="5">
        <v>20</v>
      </c>
      <c r="L1266" s="5">
        <v>2</v>
      </c>
      <c r="M1266" s="5">
        <v>2</v>
      </c>
      <c r="N1266" s="7">
        <v>908.04</v>
      </c>
      <c r="O1266" s="7">
        <f t="shared" si="135"/>
        <v>1816.08</v>
      </c>
      <c r="P1266" s="4">
        <v>0</v>
      </c>
      <c r="Q1266" s="7">
        <f t="shared" si="136"/>
        <v>0</v>
      </c>
      <c r="R1266" s="7">
        <f t="shared" si="137"/>
        <v>1816.08</v>
      </c>
      <c r="S1266" s="7">
        <f t="shared" si="138"/>
        <v>908.04</v>
      </c>
      <c r="T1266" s="6">
        <f t="shared" si="139"/>
        <v>7.6628352490421452E-3</v>
      </c>
      <c r="V1266" t="s">
        <v>78</v>
      </c>
    </row>
    <row r="1267" spans="1:22">
      <c r="A1267" s="3">
        <v>45710</v>
      </c>
      <c r="B1267" t="str">
        <f t="shared" si="133"/>
        <v>yyyy-02</v>
      </c>
      <c r="C1267">
        <f t="shared" si="134"/>
        <v>8</v>
      </c>
      <c r="D1267" t="s">
        <v>53</v>
      </c>
      <c r="E1267" t="s">
        <v>59</v>
      </c>
      <c r="F1267" t="s">
        <v>60</v>
      </c>
      <c r="G1267" t="s">
        <v>36</v>
      </c>
      <c r="H1267" t="s">
        <v>37</v>
      </c>
      <c r="I1267" s="5">
        <v>170</v>
      </c>
      <c r="J1267" s="5">
        <v>109</v>
      </c>
      <c r="K1267" s="5">
        <v>5</v>
      </c>
      <c r="L1267" s="5">
        <v>2</v>
      </c>
      <c r="M1267" s="5">
        <v>2</v>
      </c>
      <c r="N1267" s="7">
        <v>692.3</v>
      </c>
      <c r="O1267" s="7">
        <f t="shared" si="135"/>
        <v>1384.6</v>
      </c>
      <c r="P1267" s="4">
        <v>0</v>
      </c>
      <c r="Q1267" s="7">
        <f t="shared" si="136"/>
        <v>0</v>
      </c>
      <c r="R1267" s="7">
        <f t="shared" si="137"/>
        <v>1384.6</v>
      </c>
      <c r="S1267" s="7">
        <f t="shared" si="138"/>
        <v>692.3</v>
      </c>
      <c r="T1267" s="6">
        <f t="shared" si="139"/>
        <v>1.1764705882352941E-2</v>
      </c>
      <c r="V1267" t="s">
        <v>29</v>
      </c>
    </row>
    <row r="1268" spans="1:22">
      <c r="A1268" s="3">
        <v>45710</v>
      </c>
      <c r="B1268" t="str">
        <f t="shared" si="133"/>
        <v>yyyy-02</v>
      </c>
      <c r="C1268">
        <f t="shared" si="134"/>
        <v>8</v>
      </c>
      <c r="D1268" t="s">
        <v>53</v>
      </c>
      <c r="E1268" t="s">
        <v>61</v>
      </c>
      <c r="F1268" t="s">
        <v>62</v>
      </c>
      <c r="G1268" t="s">
        <v>27</v>
      </c>
      <c r="H1268" t="s">
        <v>45</v>
      </c>
      <c r="I1268" s="5">
        <v>123</v>
      </c>
      <c r="J1268" s="5">
        <v>100</v>
      </c>
      <c r="K1268" s="5">
        <v>6</v>
      </c>
      <c r="L1268" s="5">
        <v>1</v>
      </c>
      <c r="M1268" s="5">
        <v>1</v>
      </c>
      <c r="N1268" s="7">
        <v>486.78</v>
      </c>
      <c r="O1268" s="7">
        <f t="shared" si="135"/>
        <v>486.78</v>
      </c>
      <c r="P1268" s="4">
        <v>0</v>
      </c>
      <c r="Q1268" s="7">
        <f t="shared" si="136"/>
        <v>0</v>
      </c>
      <c r="R1268" s="7">
        <f t="shared" si="137"/>
        <v>486.78</v>
      </c>
      <c r="S1268" s="7">
        <f t="shared" si="138"/>
        <v>486.78</v>
      </c>
      <c r="T1268" s="6">
        <f t="shared" si="139"/>
        <v>8.130081300813009E-3</v>
      </c>
      <c r="V1268" t="s">
        <v>29</v>
      </c>
    </row>
    <row r="1269" spans="1:22">
      <c r="A1269" s="3">
        <v>45710</v>
      </c>
      <c r="B1269" t="str">
        <f t="shared" si="133"/>
        <v>yyyy-02</v>
      </c>
      <c r="C1269">
        <f t="shared" si="134"/>
        <v>8</v>
      </c>
      <c r="D1269" t="s">
        <v>53</v>
      </c>
      <c r="E1269" t="s">
        <v>64</v>
      </c>
      <c r="F1269" t="s">
        <v>65</v>
      </c>
      <c r="G1269" t="s">
        <v>27</v>
      </c>
      <c r="H1269" t="s">
        <v>28</v>
      </c>
      <c r="I1269" s="5">
        <v>250</v>
      </c>
      <c r="J1269" s="5">
        <v>190</v>
      </c>
      <c r="K1269" s="5">
        <v>22</v>
      </c>
      <c r="L1269" s="5">
        <v>3</v>
      </c>
      <c r="M1269" s="5">
        <v>3</v>
      </c>
      <c r="N1269" s="7">
        <v>772.39</v>
      </c>
      <c r="O1269" s="7">
        <f t="shared" si="135"/>
        <v>2317.17</v>
      </c>
      <c r="P1269" s="4">
        <v>0.03</v>
      </c>
      <c r="Q1269" s="7">
        <f t="shared" si="136"/>
        <v>69.515100000000004</v>
      </c>
      <c r="R1269" s="7">
        <f t="shared" si="137"/>
        <v>2247.6549</v>
      </c>
      <c r="S1269" s="7">
        <f t="shared" si="138"/>
        <v>749.2183</v>
      </c>
      <c r="T1269" s="6">
        <f t="shared" si="139"/>
        <v>1.2E-2</v>
      </c>
      <c r="V1269" t="s">
        <v>29</v>
      </c>
    </row>
    <row r="1270" spans="1:22">
      <c r="A1270" s="3">
        <v>45710</v>
      </c>
      <c r="B1270" t="str">
        <f t="shared" si="133"/>
        <v>yyyy-02</v>
      </c>
      <c r="C1270">
        <f t="shared" si="134"/>
        <v>8</v>
      </c>
      <c r="D1270" t="s">
        <v>66</v>
      </c>
      <c r="E1270" t="s">
        <v>67</v>
      </c>
      <c r="F1270" t="s">
        <v>68</v>
      </c>
      <c r="G1270" t="s">
        <v>31</v>
      </c>
      <c r="H1270" t="s">
        <v>32</v>
      </c>
      <c r="I1270" s="5">
        <v>410</v>
      </c>
      <c r="J1270" s="5">
        <v>261</v>
      </c>
      <c r="K1270" s="5">
        <v>20</v>
      </c>
      <c r="L1270" s="5">
        <v>8</v>
      </c>
      <c r="M1270" s="5">
        <v>8</v>
      </c>
      <c r="N1270" s="7">
        <v>710.22</v>
      </c>
      <c r="O1270" s="7">
        <f t="shared" si="135"/>
        <v>5681.76</v>
      </c>
      <c r="P1270" s="4">
        <v>0</v>
      </c>
      <c r="Q1270" s="7">
        <f t="shared" si="136"/>
        <v>0</v>
      </c>
      <c r="R1270" s="7">
        <f t="shared" si="137"/>
        <v>5681.76</v>
      </c>
      <c r="S1270" s="7">
        <f t="shared" si="138"/>
        <v>710.22</v>
      </c>
      <c r="T1270" s="6">
        <f t="shared" si="139"/>
        <v>1.9512195121951219E-2</v>
      </c>
      <c r="V1270" t="s">
        <v>29</v>
      </c>
    </row>
    <row r="1271" spans="1:22">
      <c r="A1271" s="3">
        <v>45710</v>
      </c>
      <c r="B1271" t="str">
        <f t="shared" si="133"/>
        <v>yyyy-02</v>
      </c>
      <c r="C1271">
        <f t="shared" si="134"/>
        <v>8</v>
      </c>
      <c r="D1271" t="s">
        <v>66</v>
      </c>
      <c r="E1271" t="s">
        <v>67</v>
      </c>
      <c r="F1271" t="s">
        <v>69</v>
      </c>
      <c r="G1271" t="s">
        <v>27</v>
      </c>
      <c r="H1271" t="s">
        <v>28</v>
      </c>
      <c r="I1271" s="5">
        <v>294</v>
      </c>
      <c r="J1271" s="5">
        <v>192</v>
      </c>
      <c r="K1271" s="5">
        <v>21</v>
      </c>
      <c r="L1271" s="5">
        <v>5</v>
      </c>
      <c r="M1271" s="5">
        <v>5</v>
      </c>
      <c r="N1271" s="7">
        <v>394.06</v>
      </c>
      <c r="O1271" s="7">
        <f t="shared" si="135"/>
        <v>1970.3</v>
      </c>
      <c r="P1271" s="4">
        <v>0</v>
      </c>
      <c r="Q1271" s="7">
        <f t="shared" si="136"/>
        <v>0</v>
      </c>
      <c r="R1271" s="7">
        <f t="shared" si="137"/>
        <v>1970.3</v>
      </c>
      <c r="S1271" s="7">
        <f t="shared" si="138"/>
        <v>394.06</v>
      </c>
      <c r="T1271" s="6">
        <f t="shared" si="139"/>
        <v>1.7006802721088437E-2</v>
      </c>
      <c r="V1271" t="s">
        <v>29</v>
      </c>
    </row>
    <row r="1272" spans="1:22">
      <c r="A1272" s="3">
        <v>45710</v>
      </c>
      <c r="B1272" t="str">
        <f t="shared" si="133"/>
        <v>yyyy-02</v>
      </c>
      <c r="C1272">
        <f t="shared" si="134"/>
        <v>8</v>
      </c>
      <c r="D1272" t="s">
        <v>66</v>
      </c>
      <c r="E1272" t="s">
        <v>67</v>
      </c>
      <c r="F1272" t="s">
        <v>70</v>
      </c>
      <c r="G1272" t="s">
        <v>31</v>
      </c>
      <c r="H1272" t="s">
        <v>32</v>
      </c>
      <c r="I1272" s="5">
        <v>363</v>
      </c>
      <c r="J1272" s="5">
        <v>217</v>
      </c>
      <c r="K1272" s="5">
        <v>23</v>
      </c>
      <c r="L1272" s="5">
        <v>6</v>
      </c>
      <c r="M1272" s="5">
        <v>6</v>
      </c>
      <c r="N1272" s="7">
        <v>346.41</v>
      </c>
      <c r="O1272" s="7">
        <f t="shared" si="135"/>
        <v>2078.46</v>
      </c>
      <c r="P1272" s="4">
        <v>0.03</v>
      </c>
      <c r="Q1272" s="7">
        <f t="shared" si="136"/>
        <v>62.3538</v>
      </c>
      <c r="R1272" s="7">
        <f t="shared" si="137"/>
        <v>2016.1061999999999</v>
      </c>
      <c r="S1272" s="7">
        <f t="shared" si="138"/>
        <v>336.01769999999999</v>
      </c>
      <c r="T1272" s="6">
        <f t="shared" si="139"/>
        <v>1.6528925619834711E-2</v>
      </c>
      <c r="V1272" t="s">
        <v>29</v>
      </c>
    </row>
    <row r="1273" spans="1:22">
      <c r="A1273" s="3">
        <v>45710</v>
      </c>
      <c r="B1273" t="str">
        <f t="shared" si="133"/>
        <v>yyyy-02</v>
      </c>
      <c r="C1273">
        <f t="shared" si="134"/>
        <v>8</v>
      </c>
      <c r="D1273" t="s">
        <v>66</v>
      </c>
      <c r="E1273" t="s">
        <v>71</v>
      </c>
      <c r="F1273" t="s">
        <v>72</v>
      </c>
      <c r="G1273" t="s">
        <v>31</v>
      </c>
      <c r="H1273" t="s">
        <v>32</v>
      </c>
      <c r="I1273" s="5">
        <v>358</v>
      </c>
      <c r="J1273" s="5">
        <v>190</v>
      </c>
      <c r="K1273" s="5">
        <v>21</v>
      </c>
      <c r="L1273" s="5">
        <v>5</v>
      </c>
      <c r="M1273" s="5">
        <v>6</v>
      </c>
      <c r="N1273" s="7">
        <v>125.2</v>
      </c>
      <c r="O1273" s="7">
        <f t="shared" si="135"/>
        <v>751.2</v>
      </c>
      <c r="P1273" s="4">
        <v>0</v>
      </c>
      <c r="Q1273" s="7">
        <f t="shared" si="136"/>
        <v>0</v>
      </c>
      <c r="R1273" s="7">
        <f t="shared" si="137"/>
        <v>751.2</v>
      </c>
      <c r="S1273" s="7">
        <f t="shared" si="138"/>
        <v>150.24</v>
      </c>
      <c r="T1273" s="6">
        <f t="shared" si="139"/>
        <v>1.3966480446927373E-2</v>
      </c>
      <c r="V1273" t="s">
        <v>29</v>
      </c>
    </row>
    <row r="1274" spans="1:22">
      <c r="A1274" s="3">
        <v>45710</v>
      </c>
      <c r="B1274" t="str">
        <f t="shared" si="133"/>
        <v>yyyy-02</v>
      </c>
      <c r="C1274">
        <f t="shared" si="134"/>
        <v>8</v>
      </c>
      <c r="D1274" t="s">
        <v>66</v>
      </c>
      <c r="E1274" t="s">
        <v>73</v>
      </c>
      <c r="F1274" t="s">
        <v>74</v>
      </c>
      <c r="G1274" t="s">
        <v>27</v>
      </c>
      <c r="H1274" t="s">
        <v>28</v>
      </c>
      <c r="I1274" s="5">
        <v>230</v>
      </c>
      <c r="J1274" s="5">
        <v>164</v>
      </c>
      <c r="K1274" s="5">
        <v>19</v>
      </c>
      <c r="L1274" s="5">
        <v>4</v>
      </c>
      <c r="M1274" s="5">
        <v>4</v>
      </c>
      <c r="N1274" s="7">
        <v>1200.6099999999999</v>
      </c>
      <c r="O1274" s="7">
        <f t="shared" si="135"/>
        <v>4802.4399999999996</v>
      </c>
      <c r="P1274" s="4">
        <v>0</v>
      </c>
      <c r="Q1274" s="7">
        <f t="shared" si="136"/>
        <v>0</v>
      </c>
      <c r="R1274" s="7">
        <f t="shared" si="137"/>
        <v>4802.4399999999996</v>
      </c>
      <c r="S1274" s="7">
        <f t="shared" si="138"/>
        <v>1200.6099999999999</v>
      </c>
      <c r="T1274" s="6">
        <f t="shared" si="139"/>
        <v>1.7391304347826087E-2</v>
      </c>
      <c r="V1274" t="s">
        <v>29</v>
      </c>
    </row>
    <row r="1275" spans="1:22">
      <c r="A1275" s="3">
        <v>45710</v>
      </c>
      <c r="B1275" t="str">
        <f t="shared" si="133"/>
        <v>yyyy-02</v>
      </c>
      <c r="C1275">
        <f t="shared" si="134"/>
        <v>8</v>
      </c>
      <c r="D1275" t="s">
        <v>66</v>
      </c>
      <c r="E1275" t="s">
        <v>71</v>
      </c>
      <c r="F1275" t="s">
        <v>75</v>
      </c>
      <c r="G1275" t="s">
        <v>31</v>
      </c>
      <c r="H1275" t="s">
        <v>32</v>
      </c>
      <c r="I1275" s="5">
        <v>391</v>
      </c>
      <c r="J1275" s="5">
        <v>242</v>
      </c>
      <c r="K1275" s="5">
        <v>24</v>
      </c>
      <c r="L1275" s="5">
        <v>5</v>
      </c>
      <c r="M1275" s="5">
        <v>6</v>
      </c>
      <c r="N1275" s="7">
        <v>37.68</v>
      </c>
      <c r="O1275" s="7">
        <f t="shared" si="135"/>
        <v>226.07999999999998</v>
      </c>
      <c r="P1275" s="4">
        <v>0.05</v>
      </c>
      <c r="Q1275" s="7">
        <f t="shared" si="136"/>
        <v>11.304</v>
      </c>
      <c r="R1275" s="7">
        <f t="shared" si="137"/>
        <v>214.77599999999998</v>
      </c>
      <c r="S1275" s="7">
        <f t="shared" si="138"/>
        <v>42.955199999999998</v>
      </c>
      <c r="T1275" s="6">
        <f t="shared" si="139"/>
        <v>1.278772378516624E-2</v>
      </c>
      <c r="V1275" t="s">
        <v>29</v>
      </c>
    </row>
    <row r="1276" spans="1:22">
      <c r="A1276" s="3">
        <v>45710</v>
      </c>
      <c r="B1276" t="str">
        <f t="shared" si="133"/>
        <v>yyyy-02</v>
      </c>
      <c r="C1276">
        <f t="shared" si="134"/>
        <v>8</v>
      </c>
      <c r="D1276" t="s">
        <v>24</v>
      </c>
      <c r="E1276" t="s">
        <v>76</v>
      </c>
      <c r="F1276" t="s">
        <v>77</v>
      </c>
      <c r="G1276" t="s">
        <v>27</v>
      </c>
      <c r="H1276" t="s">
        <v>28</v>
      </c>
      <c r="I1276" s="5">
        <v>573</v>
      </c>
      <c r="J1276" s="5">
        <v>462</v>
      </c>
      <c r="K1276" s="5">
        <v>33</v>
      </c>
      <c r="L1276" s="5">
        <v>10</v>
      </c>
      <c r="M1276" s="5">
        <v>13</v>
      </c>
      <c r="N1276" s="7">
        <v>194.11</v>
      </c>
      <c r="O1276" s="7">
        <f t="shared" si="135"/>
        <v>2523.4300000000003</v>
      </c>
      <c r="P1276" s="4">
        <v>0.05</v>
      </c>
      <c r="Q1276" s="7">
        <f t="shared" si="136"/>
        <v>126.17150000000002</v>
      </c>
      <c r="R1276" s="7">
        <f t="shared" si="137"/>
        <v>2397.2585000000004</v>
      </c>
      <c r="S1276" s="7">
        <f t="shared" si="138"/>
        <v>239.72585000000004</v>
      </c>
      <c r="T1276" s="6">
        <f t="shared" si="139"/>
        <v>1.7452006980802792E-2</v>
      </c>
      <c r="V1276" t="s">
        <v>78</v>
      </c>
    </row>
    <row r="1277" spans="1:22">
      <c r="A1277" s="3">
        <v>45711</v>
      </c>
      <c r="B1277" t="str">
        <f t="shared" si="133"/>
        <v>yyyy-02</v>
      </c>
      <c r="C1277">
        <f t="shared" si="134"/>
        <v>8</v>
      </c>
      <c r="D1277" t="s">
        <v>24</v>
      </c>
      <c r="E1277" t="s">
        <v>25</v>
      </c>
      <c r="F1277" t="s">
        <v>26</v>
      </c>
      <c r="G1277" t="s">
        <v>27</v>
      </c>
      <c r="H1277" t="s">
        <v>28</v>
      </c>
      <c r="I1277" s="5">
        <v>1483</v>
      </c>
      <c r="J1277" s="5">
        <v>859</v>
      </c>
      <c r="K1277" s="5">
        <v>79</v>
      </c>
      <c r="L1277" s="5">
        <v>27</v>
      </c>
      <c r="M1277" s="5">
        <v>27</v>
      </c>
      <c r="N1277" s="7">
        <v>1010.24</v>
      </c>
      <c r="O1277" s="7">
        <f t="shared" si="135"/>
        <v>27276.48</v>
      </c>
      <c r="P1277" s="4">
        <v>0</v>
      </c>
      <c r="Q1277" s="7">
        <f t="shared" si="136"/>
        <v>0</v>
      </c>
      <c r="R1277" s="7">
        <f t="shared" si="137"/>
        <v>27276.48</v>
      </c>
      <c r="S1277" s="7">
        <f t="shared" si="138"/>
        <v>1010.24</v>
      </c>
      <c r="T1277" s="6">
        <f t="shared" si="139"/>
        <v>1.8206338503034391E-2</v>
      </c>
      <c r="V1277" t="s">
        <v>29</v>
      </c>
    </row>
    <row r="1278" spans="1:22">
      <c r="A1278" s="3">
        <v>45711</v>
      </c>
      <c r="B1278" t="str">
        <f t="shared" si="133"/>
        <v>yyyy-02</v>
      </c>
      <c r="C1278">
        <f t="shared" si="134"/>
        <v>8</v>
      </c>
      <c r="D1278" t="s">
        <v>24</v>
      </c>
      <c r="E1278" t="s">
        <v>25</v>
      </c>
      <c r="F1278" t="s">
        <v>30</v>
      </c>
      <c r="G1278" t="s">
        <v>31</v>
      </c>
      <c r="H1278" t="s">
        <v>32</v>
      </c>
      <c r="I1278" s="5">
        <v>1952</v>
      </c>
      <c r="J1278" s="5">
        <v>1301</v>
      </c>
      <c r="K1278" s="5">
        <v>152</v>
      </c>
      <c r="L1278" s="5">
        <v>46</v>
      </c>
      <c r="M1278" s="5">
        <v>46</v>
      </c>
      <c r="N1278" s="7">
        <v>401.67</v>
      </c>
      <c r="O1278" s="7">
        <f t="shared" si="135"/>
        <v>18476.82</v>
      </c>
      <c r="P1278" s="4">
        <v>0</v>
      </c>
      <c r="Q1278" s="7">
        <f t="shared" si="136"/>
        <v>0</v>
      </c>
      <c r="R1278" s="7">
        <f t="shared" si="137"/>
        <v>18476.82</v>
      </c>
      <c r="S1278" s="7">
        <f t="shared" si="138"/>
        <v>401.67</v>
      </c>
      <c r="T1278" s="6">
        <f t="shared" si="139"/>
        <v>2.3565573770491802E-2</v>
      </c>
      <c r="V1278" t="s">
        <v>29</v>
      </c>
    </row>
    <row r="1279" spans="1:22">
      <c r="A1279" s="3">
        <v>45711</v>
      </c>
      <c r="B1279" t="str">
        <f t="shared" si="133"/>
        <v>yyyy-02</v>
      </c>
      <c r="C1279">
        <f t="shared" si="134"/>
        <v>8</v>
      </c>
      <c r="D1279" t="s">
        <v>24</v>
      </c>
      <c r="E1279" t="s">
        <v>25</v>
      </c>
      <c r="F1279" t="s">
        <v>33</v>
      </c>
      <c r="G1279" t="s">
        <v>36</v>
      </c>
      <c r="H1279" t="s">
        <v>37</v>
      </c>
      <c r="I1279" s="5">
        <v>1610</v>
      </c>
      <c r="J1279" s="5">
        <v>979</v>
      </c>
      <c r="K1279" s="5">
        <v>100</v>
      </c>
      <c r="L1279" s="5">
        <v>18</v>
      </c>
      <c r="M1279" s="5">
        <v>18</v>
      </c>
      <c r="N1279" s="7">
        <v>1797.98</v>
      </c>
      <c r="O1279" s="7">
        <f t="shared" si="135"/>
        <v>32363.64</v>
      </c>
      <c r="P1279" s="4">
        <v>0.05</v>
      </c>
      <c r="Q1279" s="7">
        <f t="shared" si="136"/>
        <v>1618.182</v>
      </c>
      <c r="R1279" s="7">
        <f t="shared" si="137"/>
        <v>30745.457999999999</v>
      </c>
      <c r="S1279" s="7">
        <f t="shared" si="138"/>
        <v>1708.0809999999999</v>
      </c>
      <c r="T1279" s="6">
        <f t="shared" si="139"/>
        <v>1.1180124223602485E-2</v>
      </c>
      <c r="V1279" t="s">
        <v>78</v>
      </c>
    </row>
    <row r="1280" spans="1:22">
      <c r="A1280" s="3">
        <v>45711</v>
      </c>
      <c r="B1280" t="str">
        <f t="shared" si="133"/>
        <v>yyyy-02</v>
      </c>
      <c r="C1280">
        <f t="shared" si="134"/>
        <v>8</v>
      </c>
      <c r="D1280" t="s">
        <v>24</v>
      </c>
      <c r="E1280" t="s">
        <v>34</v>
      </c>
      <c r="F1280" t="s">
        <v>35</v>
      </c>
      <c r="G1280" t="s">
        <v>36</v>
      </c>
      <c r="H1280" t="s">
        <v>37</v>
      </c>
      <c r="I1280" s="5">
        <v>1166</v>
      </c>
      <c r="J1280" s="5">
        <v>959</v>
      </c>
      <c r="K1280" s="5">
        <v>59</v>
      </c>
      <c r="L1280" s="5">
        <v>22</v>
      </c>
      <c r="M1280" s="5">
        <v>22</v>
      </c>
      <c r="N1280" s="7">
        <v>880.55</v>
      </c>
      <c r="O1280" s="7">
        <f t="shared" si="135"/>
        <v>19372.099999999999</v>
      </c>
      <c r="P1280" s="4">
        <v>0</v>
      </c>
      <c r="Q1280" s="7">
        <f t="shared" si="136"/>
        <v>0</v>
      </c>
      <c r="R1280" s="7">
        <f t="shared" si="137"/>
        <v>19372.099999999999</v>
      </c>
      <c r="S1280" s="7">
        <f t="shared" si="138"/>
        <v>880.55</v>
      </c>
      <c r="T1280" s="6">
        <f t="shared" si="139"/>
        <v>1.8867924528301886E-2</v>
      </c>
      <c r="V1280" t="s">
        <v>29</v>
      </c>
    </row>
    <row r="1281" spans="1:22">
      <c r="A1281" s="3">
        <v>45711</v>
      </c>
      <c r="B1281" t="str">
        <f t="shared" si="133"/>
        <v>yyyy-02</v>
      </c>
      <c r="C1281">
        <f t="shared" si="134"/>
        <v>8</v>
      </c>
      <c r="D1281" t="s">
        <v>24</v>
      </c>
      <c r="E1281" t="s">
        <v>38</v>
      </c>
      <c r="F1281" t="s">
        <v>39</v>
      </c>
      <c r="G1281" t="s">
        <v>31</v>
      </c>
      <c r="H1281" t="s">
        <v>32</v>
      </c>
      <c r="I1281" s="5">
        <v>880</v>
      </c>
      <c r="J1281" s="5">
        <v>572</v>
      </c>
      <c r="K1281" s="5">
        <v>69</v>
      </c>
      <c r="L1281" s="5">
        <v>19</v>
      </c>
      <c r="M1281" s="5">
        <v>19</v>
      </c>
      <c r="N1281" s="7">
        <v>326.85000000000002</v>
      </c>
      <c r="O1281" s="7">
        <f t="shared" si="135"/>
        <v>6210.1500000000005</v>
      </c>
      <c r="P1281" s="4">
        <v>0</v>
      </c>
      <c r="Q1281" s="7">
        <f t="shared" si="136"/>
        <v>0</v>
      </c>
      <c r="R1281" s="7">
        <f t="shared" si="137"/>
        <v>6210.1500000000005</v>
      </c>
      <c r="S1281" s="7">
        <f t="shared" si="138"/>
        <v>326.85000000000002</v>
      </c>
      <c r="T1281" s="6">
        <f t="shared" si="139"/>
        <v>2.1590909090909091E-2</v>
      </c>
      <c r="V1281" t="s">
        <v>29</v>
      </c>
    </row>
    <row r="1282" spans="1:22">
      <c r="A1282" s="3">
        <v>45711</v>
      </c>
      <c r="B1282" t="str">
        <f t="shared" si="133"/>
        <v>yyyy-02</v>
      </c>
      <c r="C1282">
        <f t="shared" si="134"/>
        <v>8</v>
      </c>
      <c r="D1282" t="s">
        <v>24</v>
      </c>
      <c r="E1282" t="s">
        <v>40</v>
      </c>
      <c r="F1282" t="s">
        <v>41</v>
      </c>
      <c r="G1282" t="s">
        <v>36</v>
      </c>
      <c r="H1282" t="s">
        <v>37</v>
      </c>
      <c r="I1282" s="5">
        <v>727</v>
      </c>
      <c r="J1282" s="5">
        <v>478</v>
      </c>
      <c r="K1282" s="5">
        <v>63</v>
      </c>
      <c r="L1282" s="5">
        <v>15</v>
      </c>
      <c r="M1282" s="5">
        <v>19</v>
      </c>
      <c r="N1282" s="7">
        <v>179.07</v>
      </c>
      <c r="O1282" s="7">
        <f t="shared" si="135"/>
        <v>3402.33</v>
      </c>
      <c r="P1282" s="4">
        <v>0</v>
      </c>
      <c r="Q1282" s="7">
        <f t="shared" si="136"/>
        <v>0</v>
      </c>
      <c r="R1282" s="7">
        <f t="shared" si="137"/>
        <v>3402.33</v>
      </c>
      <c r="S1282" s="7">
        <f t="shared" si="138"/>
        <v>226.822</v>
      </c>
      <c r="T1282" s="6">
        <f t="shared" si="139"/>
        <v>2.0632737276478678E-2</v>
      </c>
      <c r="V1282" t="s">
        <v>29</v>
      </c>
    </row>
    <row r="1283" spans="1:22">
      <c r="A1283" s="3">
        <v>45711</v>
      </c>
      <c r="B1283" t="str">
        <f t="shared" si="133"/>
        <v>yyyy-02</v>
      </c>
      <c r="C1283">
        <f t="shared" si="134"/>
        <v>8</v>
      </c>
      <c r="D1283" t="s">
        <v>42</v>
      </c>
      <c r="E1283" t="s">
        <v>43</v>
      </c>
      <c r="F1283" t="s">
        <v>44</v>
      </c>
      <c r="G1283" t="s">
        <v>36</v>
      </c>
      <c r="H1283" t="s">
        <v>37</v>
      </c>
      <c r="I1283" s="5">
        <v>534</v>
      </c>
      <c r="J1283" s="5">
        <v>358</v>
      </c>
      <c r="K1283" s="5">
        <v>36</v>
      </c>
      <c r="L1283" s="5">
        <v>10</v>
      </c>
      <c r="M1283" s="5">
        <v>10</v>
      </c>
      <c r="N1283" s="7">
        <v>1288.32</v>
      </c>
      <c r="O1283" s="7">
        <f t="shared" si="135"/>
        <v>12883.199999999999</v>
      </c>
      <c r="P1283" s="4">
        <v>0</v>
      </c>
      <c r="Q1283" s="7">
        <f t="shared" si="136"/>
        <v>0</v>
      </c>
      <c r="R1283" s="7">
        <f t="shared" si="137"/>
        <v>12883.199999999999</v>
      </c>
      <c r="S1283" s="7">
        <f t="shared" si="138"/>
        <v>1288.32</v>
      </c>
      <c r="T1283" s="6">
        <f t="shared" si="139"/>
        <v>1.8726591760299626E-2</v>
      </c>
      <c r="V1283" t="s">
        <v>29</v>
      </c>
    </row>
    <row r="1284" spans="1:22">
      <c r="A1284" s="3">
        <v>45711</v>
      </c>
      <c r="B1284" t="str">
        <f t="shared" si="133"/>
        <v>yyyy-02</v>
      </c>
      <c r="C1284">
        <f t="shared" si="134"/>
        <v>8</v>
      </c>
      <c r="D1284" t="s">
        <v>42</v>
      </c>
      <c r="E1284" t="s">
        <v>43</v>
      </c>
      <c r="F1284" t="s">
        <v>46</v>
      </c>
      <c r="G1284" t="s">
        <v>36</v>
      </c>
      <c r="H1284" t="s">
        <v>37</v>
      </c>
      <c r="I1284" s="5">
        <v>550</v>
      </c>
      <c r="J1284" s="5">
        <v>365</v>
      </c>
      <c r="K1284" s="5">
        <v>33</v>
      </c>
      <c r="L1284" s="5">
        <v>6</v>
      </c>
      <c r="M1284" s="5">
        <v>6</v>
      </c>
      <c r="N1284" s="7">
        <v>2185.5700000000002</v>
      </c>
      <c r="O1284" s="7">
        <f t="shared" si="135"/>
        <v>13113.420000000002</v>
      </c>
      <c r="P1284" s="4">
        <v>0</v>
      </c>
      <c r="Q1284" s="7">
        <f t="shared" si="136"/>
        <v>0</v>
      </c>
      <c r="R1284" s="7">
        <f t="shared" si="137"/>
        <v>13113.420000000002</v>
      </c>
      <c r="S1284" s="7">
        <f t="shared" si="138"/>
        <v>2185.5700000000002</v>
      </c>
      <c r="T1284" s="6">
        <f t="shared" si="139"/>
        <v>1.090909090909091E-2</v>
      </c>
      <c r="V1284" t="s">
        <v>29</v>
      </c>
    </row>
    <row r="1285" spans="1:22">
      <c r="A1285" s="3">
        <v>45711</v>
      </c>
      <c r="B1285" t="str">
        <f t="shared" ref="B1285:B1348" si="140">TEXT(A1285,"yyyy-mm")</f>
        <v>yyyy-02</v>
      </c>
      <c r="C1285">
        <f t="shared" ref="C1285:C1348" si="141">WEEKNUM(A1285,2)</f>
        <v>8</v>
      </c>
      <c r="D1285" t="s">
        <v>42</v>
      </c>
      <c r="E1285" t="s">
        <v>43</v>
      </c>
      <c r="F1285" t="s">
        <v>47</v>
      </c>
      <c r="G1285" t="s">
        <v>36</v>
      </c>
      <c r="H1285" t="s">
        <v>37</v>
      </c>
      <c r="I1285" s="5">
        <v>535</v>
      </c>
      <c r="J1285" s="5">
        <v>442</v>
      </c>
      <c r="K1285" s="5">
        <v>31</v>
      </c>
      <c r="L1285" s="5">
        <v>7</v>
      </c>
      <c r="M1285" s="5">
        <v>7</v>
      </c>
      <c r="N1285" s="7">
        <v>609.14</v>
      </c>
      <c r="O1285" s="7">
        <f t="shared" ref="O1285:O1348" si="142">M1285*N1285</f>
        <v>4263.9799999999996</v>
      </c>
      <c r="P1285" s="4">
        <v>0</v>
      </c>
      <c r="Q1285" s="7">
        <f t="shared" ref="Q1285:Q1348" si="143">O1285*P1285</f>
        <v>0</v>
      </c>
      <c r="R1285" s="7">
        <f t="shared" ref="R1285:R1348" si="144">O1285-Q1285</f>
        <v>4263.9799999999996</v>
      </c>
      <c r="S1285" s="7">
        <f t="shared" ref="S1285:S1348" si="145">IFERROR(R1285/L1285,0)</f>
        <v>609.14</v>
      </c>
      <c r="T1285" s="6">
        <f t="shared" ref="T1285:T1348" si="146">IFERROR(L1285/I1285,0)</f>
        <v>1.3084112149532711E-2</v>
      </c>
      <c r="V1285" t="s">
        <v>29</v>
      </c>
    </row>
    <row r="1286" spans="1:22">
      <c r="A1286" s="3">
        <v>45711</v>
      </c>
      <c r="B1286" t="str">
        <f t="shared" si="140"/>
        <v>yyyy-02</v>
      </c>
      <c r="C1286">
        <f t="shared" si="141"/>
        <v>8</v>
      </c>
      <c r="D1286" t="s">
        <v>42</v>
      </c>
      <c r="E1286" t="s">
        <v>49</v>
      </c>
      <c r="F1286" t="s">
        <v>50</v>
      </c>
      <c r="G1286" t="s">
        <v>31</v>
      </c>
      <c r="H1286" t="s">
        <v>32</v>
      </c>
      <c r="I1286" s="5">
        <v>242</v>
      </c>
      <c r="J1286" s="5">
        <v>200</v>
      </c>
      <c r="K1286" s="5">
        <v>11</v>
      </c>
      <c r="L1286" s="5">
        <v>4</v>
      </c>
      <c r="M1286" s="5">
        <v>4</v>
      </c>
      <c r="N1286" s="7">
        <v>1005.64</v>
      </c>
      <c r="O1286" s="7">
        <f t="shared" si="142"/>
        <v>4022.56</v>
      </c>
      <c r="P1286" s="4">
        <v>0</v>
      </c>
      <c r="Q1286" s="7">
        <f t="shared" si="143"/>
        <v>0</v>
      </c>
      <c r="R1286" s="7">
        <f t="shared" si="144"/>
        <v>4022.56</v>
      </c>
      <c r="S1286" s="7">
        <f t="shared" si="145"/>
        <v>1005.64</v>
      </c>
      <c r="T1286" s="6">
        <f t="shared" si="146"/>
        <v>1.6528925619834711E-2</v>
      </c>
      <c r="V1286" t="s">
        <v>29</v>
      </c>
    </row>
    <row r="1287" spans="1:22">
      <c r="A1287" s="3">
        <v>45711</v>
      </c>
      <c r="B1287" t="str">
        <f t="shared" si="140"/>
        <v>yyyy-02</v>
      </c>
      <c r="C1287">
        <f t="shared" si="141"/>
        <v>8</v>
      </c>
      <c r="D1287" t="s">
        <v>42</v>
      </c>
      <c r="E1287" t="s">
        <v>51</v>
      </c>
      <c r="F1287" t="s">
        <v>52</v>
      </c>
      <c r="G1287" t="s">
        <v>27</v>
      </c>
      <c r="H1287" t="s">
        <v>45</v>
      </c>
      <c r="I1287" s="5">
        <v>201</v>
      </c>
      <c r="J1287" s="5">
        <v>130</v>
      </c>
      <c r="K1287" s="5">
        <v>12</v>
      </c>
      <c r="L1287" s="5">
        <v>4</v>
      </c>
      <c r="M1287" s="5">
        <v>4</v>
      </c>
      <c r="N1287" s="7">
        <v>578.84</v>
      </c>
      <c r="O1287" s="7">
        <f t="shared" si="142"/>
        <v>2315.36</v>
      </c>
      <c r="P1287" s="4">
        <v>0.11</v>
      </c>
      <c r="Q1287" s="7">
        <f t="shared" si="143"/>
        <v>254.68960000000001</v>
      </c>
      <c r="R1287" s="7">
        <f t="shared" si="144"/>
        <v>2060.6704</v>
      </c>
      <c r="S1287" s="7">
        <f t="shared" si="145"/>
        <v>515.16759999999999</v>
      </c>
      <c r="T1287" s="6">
        <f t="shared" si="146"/>
        <v>1.9900497512437811E-2</v>
      </c>
      <c r="U1287" t="s">
        <v>85</v>
      </c>
      <c r="V1287" t="s">
        <v>29</v>
      </c>
    </row>
    <row r="1288" spans="1:22">
      <c r="A1288" s="3">
        <v>45711</v>
      </c>
      <c r="B1288" t="str">
        <f t="shared" si="140"/>
        <v>yyyy-02</v>
      </c>
      <c r="C1288">
        <f t="shared" si="141"/>
        <v>8</v>
      </c>
      <c r="D1288" t="s">
        <v>53</v>
      </c>
      <c r="E1288" t="s">
        <v>54</v>
      </c>
      <c r="F1288" t="s">
        <v>55</v>
      </c>
      <c r="G1288" t="s">
        <v>27</v>
      </c>
      <c r="H1288" t="s">
        <v>48</v>
      </c>
      <c r="I1288" s="5">
        <v>167</v>
      </c>
      <c r="J1288" s="5">
        <v>126</v>
      </c>
      <c r="K1288" s="5">
        <v>9</v>
      </c>
      <c r="L1288" s="5">
        <v>2</v>
      </c>
      <c r="M1288" s="5">
        <v>2</v>
      </c>
      <c r="N1288" s="7">
        <v>1313.99</v>
      </c>
      <c r="O1288" s="7">
        <f t="shared" si="142"/>
        <v>2627.98</v>
      </c>
      <c r="P1288" s="4">
        <v>0.1</v>
      </c>
      <c r="Q1288" s="7">
        <f t="shared" si="143"/>
        <v>262.798</v>
      </c>
      <c r="R1288" s="7">
        <f t="shared" si="144"/>
        <v>2365.1819999999998</v>
      </c>
      <c r="S1288" s="7">
        <f t="shared" si="145"/>
        <v>1182.5909999999999</v>
      </c>
      <c r="T1288" s="6">
        <f t="shared" si="146"/>
        <v>1.1976047904191617E-2</v>
      </c>
      <c r="U1288" t="s">
        <v>86</v>
      </c>
      <c r="V1288" t="s">
        <v>29</v>
      </c>
    </row>
    <row r="1289" spans="1:22">
      <c r="A1289" s="3">
        <v>45711</v>
      </c>
      <c r="B1289" t="str">
        <f t="shared" si="140"/>
        <v>yyyy-02</v>
      </c>
      <c r="C1289">
        <f t="shared" si="141"/>
        <v>8</v>
      </c>
      <c r="D1289" t="s">
        <v>53</v>
      </c>
      <c r="E1289" t="s">
        <v>56</v>
      </c>
      <c r="F1289" t="s">
        <v>57</v>
      </c>
      <c r="G1289" t="s">
        <v>27</v>
      </c>
      <c r="H1289" t="s">
        <v>28</v>
      </c>
      <c r="I1289" s="5">
        <v>234</v>
      </c>
      <c r="J1289" s="5">
        <v>185</v>
      </c>
      <c r="K1289" s="5">
        <v>20</v>
      </c>
      <c r="L1289" s="5">
        <v>2</v>
      </c>
      <c r="M1289" s="5">
        <v>2</v>
      </c>
      <c r="N1289" s="7">
        <v>753.33</v>
      </c>
      <c r="O1289" s="7">
        <f t="shared" si="142"/>
        <v>1506.66</v>
      </c>
      <c r="P1289" s="4">
        <v>0</v>
      </c>
      <c r="Q1289" s="7">
        <f t="shared" si="143"/>
        <v>0</v>
      </c>
      <c r="R1289" s="7">
        <f t="shared" si="144"/>
        <v>1506.66</v>
      </c>
      <c r="S1289" s="7">
        <f t="shared" si="145"/>
        <v>753.33</v>
      </c>
      <c r="T1289" s="6">
        <f t="shared" si="146"/>
        <v>8.5470085470085479E-3</v>
      </c>
      <c r="V1289" t="s">
        <v>29</v>
      </c>
    </row>
    <row r="1290" spans="1:22">
      <c r="A1290" s="3">
        <v>45711</v>
      </c>
      <c r="B1290" t="str">
        <f t="shared" si="140"/>
        <v>yyyy-02</v>
      </c>
      <c r="C1290">
        <f t="shared" si="141"/>
        <v>8</v>
      </c>
      <c r="D1290" t="s">
        <v>53</v>
      </c>
      <c r="E1290" t="s">
        <v>56</v>
      </c>
      <c r="F1290" t="s">
        <v>58</v>
      </c>
      <c r="G1290" t="s">
        <v>27</v>
      </c>
      <c r="H1290" t="s">
        <v>28</v>
      </c>
      <c r="I1290" s="5">
        <v>209</v>
      </c>
      <c r="J1290" s="5">
        <v>133</v>
      </c>
      <c r="K1290" s="5">
        <v>15</v>
      </c>
      <c r="L1290" s="5">
        <v>3</v>
      </c>
      <c r="M1290" s="5">
        <v>3</v>
      </c>
      <c r="N1290" s="7">
        <v>897.37</v>
      </c>
      <c r="O1290" s="7">
        <f t="shared" si="142"/>
        <v>2692.11</v>
      </c>
      <c r="P1290" s="4">
        <v>0.05</v>
      </c>
      <c r="Q1290" s="7">
        <f t="shared" si="143"/>
        <v>134.60550000000001</v>
      </c>
      <c r="R1290" s="7">
        <f t="shared" si="144"/>
        <v>2557.5045</v>
      </c>
      <c r="S1290" s="7">
        <f t="shared" si="145"/>
        <v>852.50149999999996</v>
      </c>
      <c r="T1290" s="6">
        <f t="shared" si="146"/>
        <v>1.4354066985645933E-2</v>
      </c>
      <c r="V1290" t="s">
        <v>29</v>
      </c>
    </row>
    <row r="1291" spans="1:22">
      <c r="A1291" s="3">
        <v>45711</v>
      </c>
      <c r="B1291" t="str">
        <f t="shared" si="140"/>
        <v>yyyy-02</v>
      </c>
      <c r="C1291">
        <f t="shared" si="141"/>
        <v>8</v>
      </c>
      <c r="D1291" t="s">
        <v>53</v>
      </c>
      <c r="E1291" t="s">
        <v>59</v>
      </c>
      <c r="F1291" t="s">
        <v>60</v>
      </c>
      <c r="G1291" t="s">
        <v>27</v>
      </c>
      <c r="H1291" t="s">
        <v>28</v>
      </c>
      <c r="I1291" s="5">
        <v>149</v>
      </c>
      <c r="J1291" s="5">
        <v>103</v>
      </c>
      <c r="K1291" s="5">
        <v>9</v>
      </c>
      <c r="L1291" s="5">
        <v>2</v>
      </c>
      <c r="M1291" s="5">
        <v>2</v>
      </c>
      <c r="N1291" s="7">
        <v>678.02</v>
      </c>
      <c r="O1291" s="7">
        <f t="shared" si="142"/>
        <v>1356.04</v>
      </c>
      <c r="P1291" s="4">
        <v>0</v>
      </c>
      <c r="Q1291" s="7">
        <f t="shared" si="143"/>
        <v>0</v>
      </c>
      <c r="R1291" s="7">
        <f t="shared" si="144"/>
        <v>1356.04</v>
      </c>
      <c r="S1291" s="7">
        <f t="shared" si="145"/>
        <v>678.02</v>
      </c>
      <c r="T1291" s="6">
        <f t="shared" si="146"/>
        <v>1.3422818791946308E-2</v>
      </c>
      <c r="V1291" t="s">
        <v>29</v>
      </c>
    </row>
    <row r="1292" spans="1:22">
      <c r="A1292" s="3">
        <v>45711</v>
      </c>
      <c r="B1292" t="str">
        <f t="shared" si="140"/>
        <v>yyyy-02</v>
      </c>
      <c r="C1292">
        <f t="shared" si="141"/>
        <v>8</v>
      </c>
      <c r="D1292" t="s">
        <v>53</v>
      </c>
      <c r="E1292" t="s">
        <v>61</v>
      </c>
      <c r="F1292" t="s">
        <v>62</v>
      </c>
      <c r="G1292" t="s">
        <v>27</v>
      </c>
      <c r="H1292" t="s">
        <v>28</v>
      </c>
      <c r="I1292" s="5">
        <v>174</v>
      </c>
      <c r="J1292" s="5">
        <v>110</v>
      </c>
      <c r="K1292" s="5">
        <v>10</v>
      </c>
      <c r="L1292" s="5">
        <v>2</v>
      </c>
      <c r="M1292" s="5">
        <v>2</v>
      </c>
      <c r="N1292" s="7">
        <v>495.57</v>
      </c>
      <c r="O1292" s="7">
        <f t="shared" si="142"/>
        <v>991.14</v>
      </c>
      <c r="P1292" s="4">
        <v>0.05</v>
      </c>
      <c r="Q1292" s="7">
        <f t="shared" si="143"/>
        <v>49.557000000000002</v>
      </c>
      <c r="R1292" s="7">
        <f t="shared" si="144"/>
        <v>941.58299999999997</v>
      </c>
      <c r="S1292" s="7">
        <f t="shared" si="145"/>
        <v>470.79149999999998</v>
      </c>
      <c r="T1292" s="6">
        <f t="shared" si="146"/>
        <v>1.1494252873563218E-2</v>
      </c>
      <c r="V1292" t="s">
        <v>29</v>
      </c>
    </row>
    <row r="1293" spans="1:22">
      <c r="A1293" s="3">
        <v>45711</v>
      </c>
      <c r="B1293" t="str">
        <f t="shared" si="140"/>
        <v>yyyy-02</v>
      </c>
      <c r="C1293">
        <f t="shared" si="141"/>
        <v>8</v>
      </c>
      <c r="D1293" t="s">
        <v>53</v>
      </c>
      <c r="E1293" t="s">
        <v>64</v>
      </c>
      <c r="F1293" t="s">
        <v>65</v>
      </c>
      <c r="G1293" t="s">
        <v>27</v>
      </c>
      <c r="H1293" t="s">
        <v>48</v>
      </c>
      <c r="I1293" s="5">
        <v>166</v>
      </c>
      <c r="J1293" s="5">
        <v>110</v>
      </c>
      <c r="K1293" s="5">
        <v>6</v>
      </c>
      <c r="L1293" s="5">
        <v>2</v>
      </c>
      <c r="M1293" s="5">
        <v>2</v>
      </c>
      <c r="N1293" s="7">
        <v>770.15</v>
      </c>
      <c r="O1293" s="7">
        <f t="shared" si="142"/>
        <v>1540.3</v>
      </c>
      <c r="P1293" s="4">
        <v>0</v>
      </c>
      <c r="Q1293" s="7">
        <f t="shared" si="143"/>
        <v>0</v>
      </c>
      <c r="R1293" s="7">
        <f t="shared" si="144"/>
        <v>1540.3</v>
      </c>
      <c r="S1293" s="7">
        <f t="shared" si="145"/>
        <v>770.15</v>
      </c>
      <c r="T1293" s="6">
        <f t="shared" si="146"/>
        <v>1.2048192771084338E-2</v>
      </c>
      <c r="V1293" t="s">
        <v>29</v>
      </c>
    </row>
    <row r="1294" spans="1:22">
      <c r="A1294" s="3">
        <v>45711</v>
      </c>
      <c r="B1294" t="str">
        <f t="shared" si="140"/>
        <v>yyyy-02</v>
      </c>
      <c r="C1294">
        <f t="shared" si="141"/>
        <v>8</v>
      </c>
      <c r="D1294" t="s">
        <v>66</v>
      </c>
      <c r="E1294" t="s">
        <v>67</v>
      </c>
      <c r="F1294" t="s">
        <v>68</v>
      </c>
      <c r="G1294" t="s">
        <v>31</v>
      </c>
      <c r="H1294" t="s">
        <v>32</v>
      </c>
      <c r="I1294" s="5">
        <v>405</v>
      </c>
      <c r="J1294" s="5">
        <v>241</v>
      </c>
      <c r="K1294" s="5">
        <v>40</v>
      </c>
      <c r="L1294" s="5">
        <v>8</v>
      </c>
      <c r="M1294" s="5">
        <v>8</v>
      </c>
      <c r="N1294" s="7">
        <v>711.84</v>
      </c>
      <c r="O1294" s="7">
        <f t="shared" si="142"/>
        <v>5694.72</v>
      </c>
      <c r="P1294" s="4">
        <v>0.03</v>
      </c>
      <c r="Q1294" s="7">
        <f t="shared" si="143"/>
        <v>170.8416</v>
      </c>
      <c r="R1294" s="7">
        <f t="shared" si="144"/>
        <v>5523.8784000000005</v>
      </c>
      <c r="S1294" s="7">
        <f t="shared" si="145"/>
        <v>690.48480000000006</v>
      </c>
      <c r="T1294" s="6">
        <f t="shared" si="146"/>
        <v>1.9753086419753086E-2</v>
      </c>
      <c r="V1294" t="s">
        <v>29</v>
      </c>
    </row>
    <row r="1295" spans="1:22">
      <c r="A1295" s="3">
        <v>45711</v>
      </c>
      <c r="B1295" t="str">
        <f t="shared" si="140"/>
        <v>yyyy-02</v>
      </c>
      <c r="C1295">
        <f t="shared" si="141"/>
        <v>8</v>
      </c>
      <c r="D1295" t="s">
        <v>66</v>
      </c>
      <c r="E1295" t="s">
        <v>67</v>
      </c>
      <c r="F1295" t="s">
        <v>69</v>
      </c>
      <c r="G1295" t="s">
        <v>27</v>
      </c>
      <c r="H1295" t="s">
        <v>28</v>
      </c>
      <c r="I1295" s="5">
        <v>443</v>
      </c>
      <c r="J1295" s="5">
        <v>355</v>
      </c>
      <c r="K1295" s="5">
        <v>29</v>
      </c>
      <c r="L1295" s="5">
        <v>7</v>
      </c>
      <c r="M1295" s="5">
        <v>7</v>
      </c>
      <c r="N1295" s="7">
        <v>400.96</v>
      </c>
      <c r="O1295" s="7">
        <f t="shared" si="142"/>
        <v>2806.72</v>
      </c>
      <c r="P1295" s="4">
        <v>0</v>
      </c>
      <c r="Q1295" s="7">
        <f t="shared" si="143"/>
        <v>0</v>
      </c>
      <c r="R1295" s="7">
        <f t="shared" si="144"/>
        <v>2806.72</v>
      </c>
      <c r="S1295" s="7">
        <f t="shared" si="145"/>
        <v>400.96</v>
      </c>
      <c r="T1295" s="6">
        <f t="shared" si="146"/>
        <v>1.580135440180587E-2</v>
      </c>
      <c r="V1295" t="s">
        <v>29</v>
      </c>
    </row>
    <row r="1296" spans="1:22">
      <c r="A1296" s="3">
        <v>45711</v>
      </c>
      <c r="B1296" t="str">
        <f t="shared" si="140"/>
        <v>yyyy-02</v>
      </c>
      <c r="C1296">
        <f t="shared" si="141"/>
        <v>8</v>
      </c>
      <c r="D1296" t="s">
        <v>66</v>
      </c>
      <c r="E1296" t="s">
        <v>67</v>
      </c>
      <c r="F1296" t="s">
        <v>70</v>
      </c>
      <c r="G1296" t="s">
        <v>27</v>
      </c>
      <c r="H1296" t="s">
        <v>45</v>
      </c>
      <c r="I1296" s="5">
        <v>256</v>
      </c>
      <c r="J1296" s="5">
        <v>212</v>
      </c>
      <c r="K1296" s="5">
        <v>16</v>
      </c>
      <c r="L1296" s="5">
        <v>6</v>
      </c>
      <c r="M1296" s="5">
        <v>6</v>
      </c>
      <c r="N1296" s="7">
        <v>340.49</v>
      </c>
      <c r="O1296" s="7">
        <f t="shared" si="142"/>
        <v>2042.94</v>
      </c>
      <c r="P1296" s="4">
        <v>0</v>
      </c>
      <c r="Q1296" s="7">
        <f t="shared" si="143"/>
        <v>0</v>
      </c>
      <c r="R1296" s="7">
        <f t="shared" si="144"/>
        <v>2042.94</v>
      </c>
      <c r="S1296" s="7">
        <f t="shared" si="145"/>
        <v>340.49</v>
      </c>
      <c r="T1296" s="6">
        <f t="shared" si="146"/>
        <v>2.34375E-2</v>
      </c>
      <c r="V1296" t="s">
        <v>29</v>
      </c>
    </row>
    <row r="1297" spans="1:22">
      <c r="A1297" s="3">
        <v>45711</v>
      </c>
      <c r="B1297" t="str">
        <f t="shared" si="140"/>
        <v>yyyy-02</v>
      </c>
      <c r="C1297">
        <f t="shared" si="141"/>
        <v>8</v>
      </c>
      <c r="D1297" t="s">
        <v>66</v>
      </c>
      <c r="E1297" t="s">
        <v>71</v>
      </c>
      <c r="F1297" t="s">
        <v>72</v>
      </c>
      <c r="G1297" t="s">
        <v>27</v>
      </c>
      <c r="H1297" t="s">
        <v>45</v>
      </c>
      <c r="I1297" s="5">
        <v>200</v>
      </c>
      <c r="J1297" s="5">
        <v>148</v>
      </c>
      <c r="K1297" s="5">
        <v>18</v>
      </c>
      <c r="L1297" s="5">
        <v>4</v>
      </c>
      <c r="M1297" s="5">
        <v>5</v>
      </c>
      <c r="N1297" s="7">
        <v>130.25</v>
      </c>
      <c r="O1297" s="7">
        <f t="shared" si="142"/>
        <v>651.25</v>
      </c>
      <c r="P1297" s="4">
        <v>0</v>
      </c>
      <c r="Q1297" s="7">
        <f t="shared" si="143"/>
        <v>0</v>
      </c>
      <c r="R1297" s="7">
        <f t="shared" si="144"/>
        <v>651.25</v>
      </c>
      <c r="S1297" s="7">
        <f t="shared" si="145"/>
        <v>162.8125</v>
      </c>
      <c r="T1297" s="6">
        <f t="shared" si="146"/>
        <v>0.02</v>
      </c>
      <c r="V1297" t="s">
        <v>29</v>
      </c>
    </row>
    <row r="1298" spans="1:22">
      <c r="A1298" s="3">
        <v>45711</v>
      </c>
      <c r="B1298" t="str">
        <f t="shared" si="140"/>
        <v>yyyy-02</v>
      </c>
      <c r="C1298">
        <f t="shared" si="141"/>
        <v>8</v>
      </c>
      <c r="D1298" t="s">
        <v>66</v>
      </c>
      <c r="E1298" t="s">
        <v>73</v>
      </c>
      <c r="F1298" t="s">
        <v>74</v>
      </c>
      <c r="G1298" t="s">
        <v>27</v>
      </c>
      <c r="H1298" t="s">
        <v>45</v>
      </c>
      <c r="I1298" s="5">
        <v>143</v>
      </c>
      <c r="J1298" s="5">
        <v>106</v>
      </c>
      <c r="K1298" s="5">
        <v>12</v>
      </c>
      <c r="L1298" s="5">
        <v>3</v>
      </c>
      <c r="M1298" s="5">
        <v>3</v>
      </c>
      <c r="N1298" s="7">
        <v>1159.96</v>
      </c>
      <c r="O1298" s="7">
        <f t="shared" si="142"/>
        <v>3479.88</v>
      </c>
      <c r="P1298" s="4">
        <v>0</v>
      </c>
      <c r="Q1298" s="7">
        <f t="shared" si="143"/>
        <v>0</v>
      </c>
      <c r="R1298" s="7">
        <f t="shared" si="144"/>
        <v>3479.88</v>
      </c>
      <c r="S1298" s="7">
        <f t="shared" si="145"/>
        <v>1159.96</v>
      </c>
      <c r="T1298" s="6">
        <f t="shared" si="146"/>
        <v>2.097902097902098E-2</v>
      </c>
      <c r="V1298" t="s">
        <v>29</v>
      </c>
    </row>
    <row r="1299" spans="1:22">
      <c r="A1299" s="3">
        <v>45711</v>
      </c>
      <c r="B1299" t="str">
        <f t="shared" si="140"/>
        <v>yyyy-02</v>
      </c>
      <c r="C1299">
        <f t="shared" si="141"/>
        <v>8</v>
      </c>
      <c r="D1299" t="s">
        <v>66</v>
      </c>
      <c r="E1299" t="s">
        <v>71</v>
      </c>
      <c r="F1299" t="s">
        <v>75</v>
      </c>
      <c r="G1299" t="s">
        <v>31</v>
      </c>
      <c r="H1299" t="s">
        <v>32</v>
      </c>
      <c r="I1299" s="5">
        <v>312</v>
      </c>
      <c r="J1299" s="5">
        <v>232</v>
      </c>
      <c r="K1299" s="5">
        <v>20</v>
      </c>
      <c r="L1299" s="5">
        <v>5</v>
      </c>
      <c r="M1299" s="5">
        <v>6</v>
      </c>
      <c r="N1299" s="7">
        <v>38.57</v>
      </c>
      <c r="O1299" s="7">
        <f t="shared" si="142"/>
        <v>231.42000000000002</v>
      </c>
      <c r="P1299" s="4">
        <v>0</v>
      </c>
      <c r="Q1299" s="7">
        <f t="shared" si="143"/>
        <v>0</v>
      </c>
      <c r="R1299" s="7">
        <f t="shared" si="144"/>
        <v>231.42000000000002</v>
      </c>
      <c r="S1299" s="7">
        <f t="shared" si="145"/>
        <v>46.284000000000006</v>
      </c>
      <c r="T1299" s="6">
        <f t="shared" si="146"/>
        <v>1.6025641025641024E-2</v>
      </c>
      <c r="V1299" t="s">
        <v>29</v>
      </c>
    </row>
    <row r="1300" spans="1:22">
      <c r="A1300" s="3">
        <v>45711</v>
      </c>
      <c r="B1300" t="str">
        <f t="shared" si="140"/>
        <v>yyyy-02</v>
      </c>
      <c r="C1300">
        <f t="shared" si="141"/>
        <v>8</v>
      </c>
      <c r="D1300" t="s">
        <v>24</v>
      </c>
      <c r="E1300" t="s">
        <v>76</v>
      </c>
      <c r="F1300" t="s">
        <v>77</v>
      </c>
      <c r="G1300" t="s">
        <v>36</v>
      </c>
      <c r="H1300" t="s">
        <v>37</v>
      </c>
      <c r="I1300" s="5">
        <v>557</v>
      </c>
      <c r="J1300" s="5">
        <v>302</v>
      </c>
      <c r="K1300" s="5">
        <v>49</v>
      </c>
      <c r="L1300" s="5">
        <v>14</v>
      </c>
      <c r="M1300" s="5">
        <v>16</v>
      </c>
      <c r="N1300" s="7">
        <v>194.57</v>
      </c>
      <c r="O1300" s="7">
        <f t="shared" si="142"/>
        <v>3113.12</v>
      </c>
      <c r="P1300" s="4">
        <v>0</v>
      </c>
      <c r="Q1300" s="7">
        <f t="shared" si="143"/>
        <v>0</v>
      </c>
      <c r="R1300" s="7">
        <f t="shared" si="144"/>
        <v>3113.12</v>
      </c>
      <c r="S1300" s="7">
        <f t="shared" si="145"/>
        <v>222.36571428571429</v>
      </c>
      <c r="T1300" s="6">
        <f t="shared" si="146"/>
        <v>2.5134649910233394E-2</v>
      </c>
      <c r="V1300" t="s">
        <v>29</v>
      </c>
    </row>
    <row r="1301" spans="1:22">
      <c r="A1301" s="3">
        <v>45712</v>
      </c>
      <c r="B1301" t="str">
        <f t="shared" si="140"/>
        <v>yyyy-02</v>
      </c>
      <c r="C1301">
        <f t="shared" si="141"/>
        <v>9</v>
      </c>
      <c r="D1301" t="s">
        <v>24</v>
      </c>
      <c r="E1301" t="s">
        <v>25</v>
      </c>
      <c r="F1301" t="s">
        <v>26</v>
      </c>
      <c r="G1301" t="s">
        <v>36</v>
      </c>
      <c r="H1301" t="s">
        <v>37</v>
      </c>
      <c r="I1301" s="5">
        <v>1271</v>
      </c>
      <c r="J1301" s="5">
        <v>960</v>
      </c>
      <c r="K1301" s="5">
        <v>60</v>
      </c>
      <c r="L1301" s="5">
        <v>21</v>
      </c>
      <c r="M1301" s="5">
        <v>21</v>
      </c>
      <c r="N1301" s="7">
        <v>981.27</v>
      </c>
      <c r="O1301" s="7">
        <f t="shared" si="142"/>
        <v>20606.669999999998</v>
      </c>
      <c r="P1301" s="4">
        <v>0</v>
      </c>
      <c r="Q1301" s="7">
        <f t="shared" si="143"/>
        <v>0</v>
      </c>
      <c r="R1301" s="7">
        <f t="shared" si="144"/>
        <v>20606.669999999998</v>
      </c>
      <c r="S1301" s="7">
        <f t="shared" si="145"/>
        <v>981.26999999999987</v>
      </c>
      <c r="T1301" s="6">
        <f t="shared" si="146"/>
        <v>1.6522423288749016E-2</v>
      </c>
      <c r="V1301" t="s">
        <v>29</v>
      </c>
    </row>
    <row r="1302" spans="1:22">
      <c r="A1302" s="3">
        <v>45712</v>
      </c>
      <c r="B1302" t="str">
        <f t="shared" si="140"/>
        <v>yyyy-02</v>
      </c>
      <c r="C1302">
        <f t="shared" si="141"/>
        <v>9</v>
      </c>
      <c r="D1302" t="s">
        <v>24</v>
      </c>
      <c r="E1302" t="s">
        <v>25</v>
      </c>
      <c r="F1302" t="s">
        <v>30</v>
      </c>
      <c r="G1302" t="s">
        <v>36</v>
      </c>
      <c r="H1302" t="s">
        <v>37</v>
      </c>
      <c r="I1302" s="5">
        <v>1426</v>
      </c>
      <c r="J1302" s="5">
        <v>1057</v>
      </c>
      <c r="K1302" s="5">
        <v>103</v>
      </c>
      <c r="L1302" s="5">
        <v>30</v>
      </c>
      <c r="M1302" s="5">
        <v>30</v>
      </c>
      <c r="N1302" s="7">
        <v>399.16</v>
      </c>
      <c r="O1302" s="7">
        <f t="shared" si="142"/>
        <v>11974.800000000001</v>
      </c>
      <c r="P1302" s="4">
        <v>0</v>
      </c>
      <c r="Q1302" s="7">
        <f t="shared" si="143"/>
        <v>0</v>
      </c>
      <c r="R1302" s="7">
        <f t="shared" si="144"/>
        <v>11974.800000000001</v>
      </c>
      <c r="S1302" s="7">
        <f t="shared" si="145"/>
        <v>399.16</v>
      </c>
      <c r="T1302" s="6">
        <f t="shared" si="146"/>
        <v>2.1037868162692847E-2</v>
      </c>
      <c r="V1302" t="s">
        <v>29</v>
      </c>
    </row>
    <row r="1303" spans="1:22">
      <c r="A1303" s="3">
        <v>45712</v>
      </c>
      <c r="B1303" t="str">
        <f t="shared" si="140"/>
        <v>yyyy-02</v>
      </c>
      <c r="C1303">
        <f t="shared" si="141"/>
        <v>9</v>
      </c>
      <c r="D1303" t="s">
        <v>24</v>
      </c>
      <c r="E1303" t="s">
        <v>25</v>
      </c>
      <c r="F1303" t="s">
        <v>33</v>
      </c>
      <c r="G1303" t="s">
        <v>31</v>
      </c>
      <c r="H1303" t="s">
        <v>32</v>
      </c>
      <c r="I1303" s="5">
        <v>1299</v>
      </c>
      <c r="J1303" s="5">
        <v>779</v>
      </c>
      <c r="K1303" s="5">
        <v>105</v>
      </c>
      <c r="L1303" s="5">
        <v>23</v>
      </c>
      <c r="M1303" s="5">
        <v>23</v>
      </c>
      <c r="N1303" s="7">
        <v>1743.05</v>
      </c>
      <c r="O1303" s="7">
        <f t="shared" si="142"/>
        <v>40090.15</v>
      </c>
      <c r="P1303" s="4">
        <v>0.05</v>
      </c>
      <c r="Q1303" s="7">
        <f t="shared" si="143"/>
        <v>2004.5075000000002</v>
      </c>
      <c r="R1303" s="7">
        <f t="shared" si="144"/>
        <v>38085.642500000002</v>
      </c>
      <c r="S1303" s="7">
        <f t="shared" si="145"/>
        <v>1655.8975</v>
      </c>
      <c r="T1303" s="6">
        <f t="shared" si="146"/>
        <v>1.7705927636643571E-2</v>
      </c>
      <c r="V1303" t="s">
        <v>29</v>
      </c>
    </row>
    <row r="1304" spans="1:22">
      <c r="A1304" s="3">
        <v>45712</v>
      </c>
      <c r="B1304" t="str">
        <f t="shared" si="140"/>
        <v>yyyy-02</v>
      </c>
      <c r="C1304">
        <f t="shared" si="141"/>
        <v>9</v>
      </c>
      <c r="D1304" t="s">
        <v>24</v>
      </c>
      <c r="E1304" t="s">
        <v>34</v>
      </c>
      <c r="F1304" t="s">
        <v>35</v>
      </c>
      <c r="G1304" t="s">
        <v>31</v>
      </c>
      <c r="H1304" t="s">
        <v>32</v>
      </c>
      <c r="I1304" s="5">
        <v>872</v>
      </c>
      <c r="J1304" s="5">
        <v>654</v>
      </c>
      <c r="K1304" s="5">
        <v>74</v>
      </c>
      <c r="L1304" s="5">
        <v>23</v>
      </c>
      <c r="M1304" s="5">
        <v>23</v>
      </c>
      <c r="N1304" s="7">
        <v>872.23</v>
      </c>
      <c r="O1304" s="7">
        <f t="shared" si="142"/>
        <v>20061.29</v>
      </c>
      <c r="P1304" s="4">
        <v>0</v>
      </c>
      <c r="Q1304" s="7">
        <f t="shared" si="143"/>
        <v>0</v>
      </c>
      <c r="R1304" s="7">
        <f t="shared" si="144"/>
        <v>20061.29</v>
      </c>
      <c r="S1304" s="7">
        <f t="shared" si="145"/>
        <v>872.23</v>
      </c>
      <c r="T1304" s="6">
        <f t="shared" si="146"/>
        <v>2.6376146788990827E-2</v>
      </c>
      <c r="V1304" t="s">
        <v>29</v>
      </c>
    </row>
    <row r="1305" spans="1:22">
      <c r="A1305" s="3">
        <v>45712</v>
      </c>
      <c r="B1305" t="str">
        <f t="shared" si="140"/>
        <v>yyyy-02</v>
      </c>
      <c r="C1305">
        <f t="shared" si="141"/>
        <v>9</v>
      </c>
      <c r="D1305" t="s">
        <v>24</v>
      </c>
      <c r="E1305" t="s">
        <v>38</v>
      </c>
      <c r="F1305" t="s">
        <v>39</v>
      </c>
      <c r="G1305" t="s">
        <v>36</v>
      </c>
      <c r="H1305" t="s">
        <v>37</v>
      </c>
      <c r="I1305" s="5">
        <v>678</v>
      </c>
      <c r="J1305" s="5">
        <v>432</v>
      </c>
      <c r="K1305" s="5">
        <v>67</v>
      </c>
      <c r="L1305" s="5">
        <v>17</v>
      </c>
      <c r="M1305" s="5">
        <v>17</v>
      </c>
      <c r="N1305" s="7">
        <v>325.36</v>
      </c>
      <c r="O1305" s="7">
        <f t="shared" si="142"/>
        <v>5531.12</v>
      </c>
      <c r="P1305" s="4">
        <v>0</v>
      </c>
      <c r="Q1305" s="7">
        <f t="shared" si="143"/>
        <v>0</v>
      </c>
      <c r="R1305" s="7">
        <f t="shared" si="144"/>
        <v>5531.12</v>
      </c>
      <c r="S1305" s="7">
        <f t="shared" si="145"/>
        <v>325.36</v>
      </c>
      <c r="T1305" s="6">
        <f t="shared" si="146"/>
        <v>2.5073746312684365E-2</v>
      </c>
      <c r="V1305" t="s">
        <v>29</v>
      </c>
    </row>
    <row r="1306" spans="1:22">
      <c r="A1306" s="3">
        <v>45712</v>
      </c>
      <c r="B1306" t="str">
        <f t="shared" si="140"/>
        <v>yyyy-02</v>
      </c>
      <c r="C1306">
        <f t="shared" si="141"/>
        <v>9</v>
      </c>
      <c r="D1306" t="s">
        <v>24</v>
      </c>
      <c r="E1306" t="s">
        <v>40</v>
      </c>
      <c r="F1306" t="s">
        <v>41</v>
      </c>
      <c r="G1306" t="s">
        <v>27</v>
      </c>
      <c r="H1306" t="s">
        <v>28</v>
      </c>
      <c r="I1306" s="5">
        <v>451</v>
      </c>
      <c r="J1306" s="5">
        <v>282</v>
      </c>
      <c r="K1306" s="5">
        <v>8</v>
      </c>
      <c r="L1306" s="5">
        <v>0</v>
      </c>
      <c r="M1306" s="5">
        <v>0</v>
      </c>
      <c r="N1306" s="7">
        <v>180.32</v>
      </c>
      <c r="O1306" s="7">
        <f t="shared" si="142"/>
        <v>0</v>
      </c>
      <c r="P1306" s="4">
        <v>0</v>
      </c>
      <c r="Q1306" s="7">
        <f t="shared" si="143"/>
        <v>0</v>
      </c>
      <c r="R1306" s="7">
        <f t="shared" si="144"/>
        <v>0</v>
      </c>
      <c r="S1306" s="7">
        <f t="shared" si="145"/>
        <v>0</v>
      </c>
      <c r="T1306" s="6">
        <f t="shared" si="146"/>
        <v>0</v>
      </c>
      <c r="V1306" t="s">
        <v>81</v>
      </c>
    </row>
    <row r="1307" spans="1:22">
      <c r="A1307" s="3">
        <v>45712</v>
      </c>
      <c r="B1307" t="str">
        <f t="shared" si="140"/>
        <v>yyyy-02</v>
      </c>
      <c r="C1307">
        <f t="shared" si="141"/>
        <v>9</v>
      </c>
      <c r="D1307" t="s">
        <v>42</v>
      </c>
      <c r="E1307" t="s">
        <v>43</v>
      </c>
      <c r="F1307" t="s">
        <v>44</v>
      </c>
      <c r="G1307" t="s">
        <v>27</v>
      </c>
      <c r="H1307" t="s">
        <v>28</v>
      </c>
      <c r="I1307" s="5">
        <v>371</v>
      </c>
      <c r="J1307" s="5">
        <v>194</v>
      </c>
      <c r="K1307" s="5">
        <v>27</v>
      </c>
      <c r="L1307" s="5">
        <v>6</v>
      </c>
      <c r="M1307" s="5">
        <v>6</v>
      </c>
      <c r="N1307" s="7">
        <v>1317.04</v>
      </c>
      <c r="O1307" s="7">
        <f t="shared" si="142"/>
        <v>7902.24</v>
      </c>
      <c r="P1307" s="4">
        <v>0</v>
      </c>
      <c r="Q1307" s="7">
        <f t="shared" si="143"/>
        <v>0</v>
      </c>
      <c r="R1307" s="7">
        <f t="shared" si="144"/>
        <v>7902.24</v>
      </c>
      <c r="S1307" s="7">
        <f t="shared" si="145"/>
        <v>1317.04</v>
      </c>
      <c r="T1307" s="6">
        <f t="shared" si="146"/>
        <v>1.6172506738544475E-2</v>
      </c>
      <c r="V1307" t="s">
        <v>29</v>
      </c>
    </row>
    <row r="1308" spans="1:22">
      <c r="A1308" s="3">
        <v>45712</v>
      </c>
      <c r="B1308" t="str">
        <f t="shared" si="140"/>
        <v>yyyy-02</v>
      </c>
      <c r="C1308">
        <f t="shared" si="141"/>
        <v>9</v>
      </c>
      <c r="D1308" t="s">
        <v>42</v>
      </c>
      <c r="E1308" t="s">
        <v>43</v>
      </c>
      <c r="F1308" t="s">
        <v>46</v>
      </c>
      <c r="G1308" t="s">
        <v>27</v>
      </c>
      <c r="H1308" t="s">
        <v>45</v>
      </c>
      <c r="I1308" s="5">
        <v>379</v>
      </c>
      <c r="J1308" s="5">
        <v>243</v>
      </c>
      <c r="K1308" s="5">
        <v>12</v>
      </c>
      <c r="L1308" s="5">
        <v>4</v>
      </c>
      <c r="M1308" s="5">
        <v>4</v>
      </c>
      <c r="N1308" s="7">
        <v>2184.04</v>
      </c>
      <c r="O1308" s="7">
        <f t="shared" si="142"/>
        <v>8736.16</v>
      </c>
      <c r="P1308" s="4">
        <v>0</v>
      </c>
      <c r="Q1308" s="7">
        <f t="shared" si="143"/>
        <v>0</v>
      </c>
      <c r="R1308" s="7">
        <f t="shared" si="144"/>
        <v>8736.16</v>
      </c>
      <c r="S1308" s="7">
        <f t="shared" si="145"/>
        <v>2184.04</v>
      </c>
      <c r="T1308" s="6">
        <f t="shared" si="146"/>
        <v>1.0554089709762533E-2</v>
      </c>
      <c r="V1308" t="s">
        <v>29</v>
      </c>
    </row>
    <row r="1309" spans="1:22">
      <c r="A1309" s="3">
        <v>45712</v>
      </c>
      <c r="B1309" t="str">
        <f t="shared" si="140"/>
        <v>yyyy-02</v>
      </c>
      <c r="C1309">
        <f t="shared" si="141"/>
        <v>9</v>
      </c>
      <c r="D1309" t="s">
        <v>42</v>
      </c>
      <c r="E1309" t="s">
        <v>43</v>
      </c>
      <c r="F1309" t="s">
        <v>47</v>
      </c>
      <c r="G1309" t="s">
        <v>27</v>
      </c>
      <c r="H1309" t="s">
        <v>28</v>
      </c>
      <c r="I1309" s="5">
        <v>569</v>
      </c>
      <c r="J1309" s="5">
        <v>374</v>
      </c>
      <c r="K1309" s="5">
        <v>39</v>
      </c>
      <c r="L1309" s="5">
        <v>8</v>
      </c>
      <c r="M1309" s="5">
        <v>8</v>
      </c>
      <c r="N1309" s="7">
        <v>581.61</v>
      </c>
      <c r="O1309" s="7">
        <f t="shared" si="142"/>
        <v>4652.88</v>
      </c>
      <c r="P1309" s="4">
        <v>0.05</v>
      </c>
      <c r="Q1309" s="7">
        <f t="shared" si="143"/>
        <v>232.64400000000001</v>
      </c>
      <c r="R1309" s="7">
        <f t="shared" si="144"/>
        <v>4420.2359999999999</v>
      </c>
      <c r="S1309" s="7">
        <f t="shared" si="145"/>
        <v>552.52949999999998</v>
      </c>
      <c r="T1309" s="6">
        <f t="shared" si="146"/>
        <v>1.4059753954305799E-2</v>
      </c>
      <c r="V1309" t="s">
        <v>29</v>
      </c>
    </row>
    <row r="1310" spans="1:22">
      <c r="A1310" s="3">
        <v>45712</v>
      </c>
      <c r="B1310" t="str">
        <f t="shared" si="140"/>
        <v>yyyy-02</v>
      </c>
      <c r="C1310">
        <f t="shared" si="141"/>
        <v>9</v>
      </c>
      <c r="D1310" t="s">
        <v>42</v>
      </c>
      <c r="E1310" t="s">
        <v>49</v>
      </c>
      <c r="F1310" t="s">
        <v>50</v>
      </c>
      <c r="G1310" t="s">
        <v>27</v>
      </c>
      <c r="H1310" t="s">
        <v>63</v>
      </c>
      <c r="I1310" s="5">
        <v>118</v>
      </c>
      <c r="J1310" s="5">
        <v>87</v>
      </c>
      <c r="K1310" s="5">
        <v>5</v>
      </c>
      <c r="L1310" s="5">
        <v>1</v>
      </c>
      <c r="M1310" s="5">
        <v>1</v>
      </c>
      <c r="N1310" s="7">
        <v>975.67</v>
      </c>
      <c r="O1310" s="7">
        <f t="shared" si="142"/>
        <v>975.67</v>
      </c>
      <c r="P1310" s="4">
        <v>0</v>
      </c>
      <c r="Q1310" s="7">
        <f t="shared" si="143"/>
        <v>0</v>
      </c>
      <c r="R1310" s="7">
        <f t="shared" si="144"/>
        <v>975.67</v>
      </c>
      <c r="S1310" s="7">
        <f t="shared" si="145"/>
        <v>975.67</v>
      </c>
      <c r="T1310" s="6">
        <f t="shared" si="146"/>
        <v>8.4745762711864406E-3</v>
      </c>
      <c r="V1310" t="s">
        <v>29</v>
      </c>
    </row>
    <row r="1311" spans="1:22">
      <c r="A1311" s="3">
        <v>45712</v>
      </c>
      <c r="B1311" t="str">
        <f t="shared" si="140"/>
        <v>yyyy-02</v>
      </c>
      <c r="C1311">
        <f t="shared" si="141"/>
        <v>9</v>
      </c>
      <c r="D1311" t="s">
        <v>42</v>
      </c>
      <c r="E1311" t="s">
        <v>51</v>
      </c>
      <c r="F1311" t="s">
        <v>52</v>
      </c>
      <c r="G1311" t="s">
        <v>27</v>
      </c>
      <c r="H1311" t="s">
        <v>45</v>
      </c>
      <c r="I1311" s="5">
        <v>295</v>
      </c>
      <c r="J1311" s="5">
        <v>201</v>
      </c>
      <c r="K1311" s="5">
        <v>17</v>
      </c>
      <c r="L1311" s="5">
        <v>3</v>
      </c>
      <c r="M1311" s="5">
        <v>3</v>
      </c>
      <c r="N1311" s="7">
        <v>595.92999999999995</v>
      </c>
      <c r="O1311" s="7">
        <f t="shared" si="142"/>
        <v>1787.79</v>
      </c>
      <c r="P1311" s="4">
        <v>0.05</v>
      </c>
      <c r="Q1311" s="7">
        <f t="shared" si="143"/>
        <v>89.389499999999998</v>
      </c>
      <c r="R1311" s="7">
        <f t="shared" si="144"/>
        <v>1698.4005</v>
      </c>
      <c r="S1311" s="7">
        <f t="shared" si="145"/>
        <v>566.13350000000003</v>
      </c>
      <c r="T1311" s="6">
        <f t="shared" si="146"/>
        <v>1.0169491525423728E-2</v>
      </c>
      <c r="V1311" t="s">
        <v>29</v>
      </c>
    </row>
    <row r="1312" spans="1:22">
      <c r="A1312" s="3">
        <v>45712</v>
      </c>
      <c r="B1312" t="str">
        <f t="shared" si="140"/>
        <v>yyyy-02</v>
      </c>
      <c r="C1312">
        <f t="shared" si="141"/>
        <v>9</v>
      </c>
      <c r="D1312" t="s">
        <v>53</v>
      </c>
      <c r="E1312" t="s">
        <v>54</v>
      </c>
      <c r="F1312" t="s">
        <v>55</v>
      </c>
      <c r="G1312" t="s">
        <v>36</v>
      </c>
      <c r="H1312" t="s">
        <v>37</v>
      </c>
      <c r="I1312" s="5">
        <v>207</v>
      </c>
      <c r="J1312" s="5">
        <v>157</v>
      </c>
      <c r="K1312" s="5">
        <v>12</v>
      </c>
      <c r="L1312" s="5">
        <v>3</v>
      </c>
      <c r="M1312" s="5">
        <v>3</v>
      </c>
      <c r="N1312" s="7">
        <v>1256.1099999999999</v>
      </c>
      <c r="O1312" s="7">
        <f t="shared" si="142"/>
        <v>3768.33</v>
      </c>
      <c r="P1312" s="4">
        <v>0.1</v>
      </c>
      <c r="Q1312" s="7">
        <f t="shared" si="143"/>
        <v>376.83300000000003</v>
      </c>
      <c r="R1312" s="7">
        <f t="shared" si="144"/>
        <v>3391.4969999999998</v>
      </c>
      <c r="S1312" s="7">
        <f t="shared" si="145"/>
        <v>1130.499</v>
      </c>
      <c r="T1312" s="6">
        <f t="shared" si="146"/>
        <v>1.4492753623188406E-2</v>
      </c>
      <c r="U1312" t="s">
        <v>86</v>
      </c>
      <c r="V1312" t="s">
        <v>29</v>
      </c>
    </row>
    <row r="1313" spans="1:22">
      <c r="A1313" s="3">
        <v>45712</v>
      </c>
      <c r="B1313" t="str">
        <f t="shared" si="140"/>
        <v>yyyy-02</v>
      </c>
      <c r="C1313">
        <f t="shared" si="141"/>
        <v>9</v>
      </c>
      <c r="D1313" t="s">
        <v>53</v>
      </c>
      <c r="E1313" t="s">
        <v>56</v>
      </c>
      <c r="F1313" t="s">
        <v>57</v>
      </c>
      <c r="G1313" t="s">
        <v>31</v>
      </c>
      <c r="H1313" t="s">
        <v>32</v>
      </c>
      <c r="I1313" s="5">
        <v>191</v>
      </c>
      <c r="J1313" s="5">
        <v>117</v>
      </c>
      <c r="K1313" s="5">
        <v>13</v>
      </c>
      <c r="L1313" s="5">
        <v>2</v>
      </c>
      <c r="M1313" s="5">
        <v>2</v>
      </c>
      <c r="N1313" s="7">
        <v>751.4</v>
      </c>
      <c r="O1313" s="7">
        <f t="shared" si="142"/>
        <v>1502.8</v>
      </c>
      <c r="P1313" s="4">
        <v>0</v>
      </c>
      <c r="Q1313" s="7">
        <f t="shared" si="143"/>
        <v>0</v>
      </c>
      <c r="R1313" s="7">
        <f t="shared" si="144"/>
        <v>1502.8</v>
      </c>
      <c r="S1313" s="7">
        <f t="shared" si="145"/>
        <v>751.4</v>
      </c>
      <c r="T1313" s="6">
        <f t="shared" si="146"/>
        <v>1.0471204188481676E-2</v>
      </c>
      <c r="V1313" t="s">
        <v>29</v>
      </c>
    </row>
    <row r="1314" spans="1:22">
      <c r="A1314" s="3">
        <v>45712</v>
      </c>
      <c r="B1314" t="str">
        <f t="shared" si="140"/>
        <v>yyyy-02</v>
      </c>
      <c r="C1314">
        <f t="shared" si="141"/>
        <v>9</v>
      </c>
      <c r="D1314" t="s">
        <v>53</v>
      </c>
      <c r="E1314" t="s">
        <v>56</v>
      </c>
      <c r="F1314" t="s">
        <v>58</v>
      </c>
      <c r="G1314" t="s">
        <v>36</v>
      </c>
      <c r="H1314" t="s">
        <v>37</v>
      </c>
      <c r="I1314" s="5">
        <v>190</v>
      </c>
      <c r="J1314" s="5">
        <v>146</v>
      </c>
      <c r="K1314" s="5">
        <v>7</v>
      </c>
      <c r="L1314" s="5">
        <v>2</v>
      </c>
      <c r="M1314" s="5">
        <v>2</v>
      </c>
      <c r="N1314" s="7">
        <v>903.74</v>
      </c>
      <c r="O1314" s="7">
        <f t="shared" si="142"/>
        <v>1807.48</v>
      </c>
      <c r="P1314" s="4">
        <v>0.05</v>
      </c>
      <c r="Q1314" s="7">
        <f t="shared" si="143"/>
        <v>90.374000000000009</v>
      </c>
      <c r="R1314" s="7">
        <f t="shared" si="144"/>
        <v>1717.106</v>
      </c>
      <c r="S1314" s="7">
        <f t="shared" si="145"/>
        <v>858.553</v>
      </c>
      <c r="T1314" s="6">
        <f t="shared" si="146"/>
        <v>1.0526315789473684E-2</v>
      </c>
      <c r="V1314" t="s">
        <v>29</v>
      </c>
    </row>
    <row r="1315" spans="1:22">
      <c r="A1315" s="3">
        <v>45712</v>
      </c>
      <c r="B1315" t="str">
        <f t="shared" si="140"/>
        <v>yyyy-02</v>
      </c>
      <c r="C1315">
        <f t="shared" si="141"/>
        <v>9</v>
      </c>
      <c r="D1315" t="s">
        <v>53</v>
      </c>
      <c r="E1315" t="s">
        <v>59</v>
      </c>
      <c r="F1315" t="s">
        <v>60</v>
      </c>
      <c r="G1315" t="s">
        <v>27</v>
      </c>
      <c r="H1315" t="s">
        <v>28</v>
      </c>
      <c r="I1315" s="5">
        <v>130</v>
      </c>
      <c r="J1315" s="5">
        <v>79</v>
      </c>
      <c r="K1315" s="5">
        <v>7</v>
      </c>
      <c r="L1315" s="5">
        <v>2</v>
      </c>
      <c r="M1315" s="5">
        <v>2</v>
      </c>
      <c r="N1315" s="7">
        <v>685.35</v>
      </c>
      <c r="O1315" s="7">
        <f t="shared" si="142"/>
        <v>1370.7</v>
      </c>
      <c r="P1315" s="4">
        <v>0</v>
      </c>
      <c r="Q1315" s="7">
        <f t="shared" si="143"/>
        <v>0</v>
      </c>
      <c r="R1315" s="7">
        <f t="shared" si="144"/>
        <v>1370.7</v>
      </c>
      <c r="S1315" s="7">
        <f t="shared" si="145"/>
        <v>685.35</v>
      </c>
      <c r="T1315" s="6">
        <f t="shared" si="146"/>
        <v>1.5384615384615385E-2</v>
      </c>
      <c r="V1315" t="s">
        <v>29</v>
      </c>
    </row>
    <row r="1316" spans="1:22">
      <c r="A1316" s="3">
        <v>45712</v>
      </c>
      <c r="B1316" t="str">
        <f t="shared" si="140"/>
        <v>yyyy-02</v>
      </c>
      <c r="C1316">
        <f t="shared" si="141"/>
        <v>9</v>
      </c>
      <c r="D1316" t="s">
        <v>53</v>
      </c>
      <c r="E1316" t="s">
        <v>61</v>
      </c>
      <c r="F1316" t="s">
        <v>62</v>
      </c>
      <c r="G1316" t="s">
        <v>27</v>
      </c>
      <c r="H1316" t="s">
        <v>45</v>
      </c>
      <c r="I1316" s="5">
        <v>162</v>
      </c>
      <c r="J1316" s="5">
        <v>106</v>
      </c>
      <c r="K1316" s="5">
        <v>10</v>
      </c>
      <c r="L1316" s="5">
        <v>2</v>
      </c>
      <c r="M1316" s="5">
        <v>2</v>
      </c>
      <c r="N1316" s="7">
        <v>488.6</v>
      </c>
      <c r="O1316" s="7">
        <f t="shared" si="142"/>
        <v>977.2</v>
      </c>
      <c r="P1316" s="4">
        <v>0.03</v>
      </c>
      <c r="Q1316" s="7">
        <f t="shared" si="143"/>
        <v>29.315999999999999</v>
      </c>
      <c r="R1316" s="7">
        <f t="shared" si="144"/>
        <v>947.88400000000001</v>
      </c>
      <c r="S1316" s="7">
        <f t="shared" si="145"/>
        <v>473.94200000000001</v>
      </c>
      <c r="T1316" s="6">
        <f t="shared" si="146"/>
        <v>1.2345679012345678E-2</v>
      </c>
      <c r="V1316" t="s">
        <v>29</v>
      </c>
    </row>
    <row r="1317" spans="1:22">
      <c r="A1317" s="3">
        <v>45712</v>
      </c>
      <c r="B1317" t="str">
        <f t="shared" si="140"/>
        <v>yyyy-02</v>
      </c>
      <c r="C1317">
        <f t="shared" si="141"/>
        <v>9</v>
      </c>
      <c r="D1317" t="s">
        <v>53</v>
      </c>
      <c r="E1317" t="s">
        <v>64</v>
      </c>
      <c r="F1317" t="s">
        <v>65</v>
      </c>
      <c r="G1317" t="s">
        <v>27</v>
      </c>
      <c r="H1317" t="s">
        <v>63</v>
      </c>
      <c r="I1317" s="5">
        <v>154</v>
      </c>
      <c r="J1317" s="5">
        <v>112</v>
      </c>
      <c r="K1317" s="5">
        <v>8</v>
      </c>
      <c r="L1317" s="5">
        <v>1</v>
      </c>
      <c r="M1317" s="5">
        <v>1</v>
      </c>
      <c r="N1317" s="7">
        <v>799.97</v>
      </c>
      <c r="O1317" s="7">
        <f t="shared" si="142"/>
        <v>799.97</v>
      </c>
      <c r="P1317" s="4">
        <v>0</v>
      </c>
      <c r="Q1317" s="7">
        <f t="shared" si="143"/>
        <v>0</v>
      </c>
      <c r="R1317" s="7">
        <f t="shared" si="144"/>
        <v>799.97</v>
      </c>
      <c r="S1317" s="7">
        <f t="shared" si="145"/>
        <v>799.97</v>
      </c>
      <c r="T1317" s="6">
        <f t="shared" si="146"/>
        <v>6.4935064935064939E-3</v>
      </c>
      <c r="V1317" t="s">
        <v>29</v>
      </c>
    </row>
    <row r="1318" spans="1:22">
      <c r="A1318" s="3">
        <v>45712</v>
      </c>
      <c r="B1318" t="str">
        <f t="shared" si="140"/>
        <v>yyyy-02</v>
      </c>
      <c r="C1318">
        <f t="shared" si="141"/>
        <v>9</v>
      </c>
      <c r="D1318" t="s">
        <v>66</v>
      </c>
      <c r="E1318" t="s">
        <v>67</v>
      </c>
      <c r="F1318" t="s">
        <v>68</v>
      </c>
      <c r="G1318" t="s">
        <v>27</v>
      </c>
      <c r="H1318" t="s">
        <v>48</v>
      </c>
      <c r="I1318" s="5">
        <v>327</v>
      </c>
      <c r="J1318" s="5">
        <v>247</v>
      </c>
      <c r="K1318" s="5">
        <v>18</v>
      </c>
      <c r="L1318" s="5">
        <v>5</v>
      </c>
      <c r="M1318" s="5">
        <v>5</v>
      </c>
      <c r="N1318" s="7">
        <v>693.28</v>
      </c>
      <c r="O1318" s="7">
        <f t="shared" si="142"/>
        <v>3466.3999999999996</v>
      </c>
      <c r="P1318" s="4">
        <v>0</v>
      </c>
      <c r="Q1318" s="7">
        <f t="shared" si="143"/>
        <v>0</v>
      </c>
      <c r="R1318" s="7">
        <f t="shared" si="144"/>
        <v>3466.3999999999996</v>
      </c>
      <c r="S1318" s="7">
        <f t="shared" si="145"/>
        <v>693.28</v>
      </c>
      <c r="T1318" s="6">
        <f t="shared" si="146"/>
        <v>1.5290519877675841E-2</v>
      </c>
      <c r="V1318" t="s">
        <v>29</v>
      </c>
    </row>
    <row r="1319" spans="1:22">
      <c r="A1319" s="3">
        <v>45712</v>
      </c>
      <c r="B1319" t="str">
        <f t="shared" si="140"/>
        <v>yyyy-02</v>
      </c>
      <c r="C1319">
        <f t="shared" si="141"/>
        <v>9</v>
      </c>
      <c r="D1319" t="s">
        <v>66</v>
      </c>
      <c r="E1319" t="s">
        <v>67</v>
      </c>
      <c r="F1319" t="s">
        <v>69</v>
      </c>
      <c r="G1319" t="s">
        <v>31</v>
      </c>
      <c r="H1319" t="s">
        <v>32</v>
      </c>
      <c r="I1319" s="5">
        <v>428</v>
      </c>
      <c r="J1319" s="5">
        <v>265</v>
      </c>
      <c r="K1319" s="5">
        <v>22</v>
      </c>
      <c r="L1319" s="5">
        <v>7</v>
      </c>
      <c r="M1319" s="5">
        <v>7</v>
      </c>
      <c r="N1319" s="7">
        <v>386.82</v>
      </c>
      <c r="O1319" s="7">
        <f t="shared" si="142"/>
        <v>2707.74</v>
      </c>
      <c r="P1319" s="4">
        <v>0</v>
      </c>
      <c r="Q1319" s="7">
        <f t="shared" si="143"/>
        <v>0</v>
      </c>
      <c r="R1319" s="7">
        <f t="shared" si="144"/>
        <v>2707.74</v>
      </c>
      <c r="S1319" s="7">
        <f t="shared" si="145"/>
        <v>386.82</v>
      </c>
      <c r="T1319" s="6">
        <f t="shared" si="146"/>
        <v>1.6355140186915886E-2</v>
      </c>
      <c r="V1319" t="s">
        <v>29</v>
      </c>
    </row>
    <row r="1320" spans="1:22">
      <c r="A1320" s="3">
        <v>45712</v>
      </c>
      <c r="B1320" t="str">
        <f t="shared" si="140"/>
        <v>yyyy-02</v>
      </c>
      <c r="C1320">
        <f t="shared" si="141"/>
        <v>9</v>
      </c>
      <c r="D1320" t="s">
        <v>66</v>
      </c>
      <c r="E1320" t="s">
        <v>67</v>
      </c>
      <c r="F1320" t="s">
        <v>70</v>
      </c>
      <c r="G1320" t="s">
        <v>27</v>
      </c>
      <c r="H1320" t="s">
        <v>45</v>
      </c>
      <c r="I1320" s="5">
        <v>375</v>
      </c>
      <c r="J1320" s="5">
        <v>309</v>
      </c>
      <c r="K1320" s="5">
        <v>32</v>
      </c>
      <c r="L1320" s="5">
        <v>7</v>
      </c>
      <c r="M1320" s="5">
        <v>7</v>
      </c>
      <c r="N1320" s="7">
        <v>340.68</v>
      </c>
      <c r="O1320" s="7">
        <f t="shared" si="142"/>
        <v>2384.7600000000002</v>
      </c>
      <c r="P1320" s="4">
        <v>0</v>
      </c>
      <c r="Q1320" s="7">
        <f t="shared" si="143"/>
        <v>0</v>
      </c>
      <c r="R1320" s="7">
        <f t="shared" si="144"/>
        <v>2384.7600000000002</v>
      </c>
      <c r="S1320" s="7">
        <f t="shared" si="145"/>
        <v>340.68</v>
      </c>
      <c r="T1320" s="6">
        <f t="shared" si="146"/>
        <v>1.8666666666666668E-2</v>
      </c>
      <c r="V1320" t="s">
        <v>29</v>
      </c>
    </row>
    <row r="1321" spans="1:22">
      <c r="A1321" s="3">
        <v>45712</v>
      </c>
      <c r="B1321" t="str">
        <f t="shared" si="140"/>
        <v>yyyy-02</v>
      </c>
      <c r="C1321">
        <f t="shared" si="141"/>
        <v>9</v>
      </c>
      <c r="D1321" t="s">
        <v>66</v>
      </c>
      <c r="E1321" t="s">
        <v>71</v>
      </c>
      <c r="F1321" t="s">
        <v>72</v>
      </c>
      <c r="G1321" t="s">
        <v>27</v>
      </c>
      <c r="H1321" t="s">
        <v>63</v>
      </c>
      <c r="I1321" s="5">
        <v>235</v>
      </c>
      <c r="J1321" s="5">
        <v>132</v>
      </c>
      <c r="K1321" s="5">
        <v>15</v>
      </c>
      <c r="L1321" s="5">
        <v>5</v>
      </c>
      <c r="M1321" s="5">
        <v>6</v>
      </c>
      <c r="N1321" s="7">
        <v>127.13</v>
      </c>
      <c r="O1321" s="7">
        <f t="shared" si="142"/>
        <v>762.78</v>
      </c>
      <c r="P1321" s="4">
        <v>0.15</v>
      </c>
      <c r="Q1321" s="7">
        <f t="shared" si="143"/>
        <v>114.41699999999999</v>
      </c>
      <c r="R1321" s="7">
        <f t="shared" si="144"/>
        <v>648.36299999999994</v>
      </c>
      <c r="S1321" s="7">
        <f t="shared" si="145"/>
        <v>129.67259999999999</v>
      </c>
      <c r="T1321" s="6">
        <f t="shared" si="146"/>
        <v>2.1276595744680851E-2</v>
      </c>
      <c r="U1321" t="s">
        <v>87</v>
      </c>
      <c r="V1321" t="s">
        <v>29</v>
      </c>
    </row>
    <row r="1322" spans="1:22">
      <c r="A1322" s="3">
        <v>45712</v>
      </c>
      <c r="B1322" t="str">
        <f t="shared" si="140"/>
        <v>yyyy-02</v>
      </c>
      <c r="C1322">
        <f t="shared" si="141"/>
        <v>9</v>
      </c>
      <c r="D1322" t="s">
        <v>66</v>
      </c>
      <c r="E1322" t="s">
        <v>73</v>
      </c>
      <c r="F1322" t="s">
        <v>74</v>
      </c>
      <c r="G1322" t="s">
        <v>36</v>
      </c>
      <c r="H1322" t="s">
        <v>37</v>
      </c>
      <c r="I1322" s="5">
        <v>131</v>
      </c>
      <c r="J1322" s="5">
        <v>70</v>
      </c>
      <c r="K1322" s="5">
        <v>2</v>
      </c>
      <c r="L1322" s="5">
        <v>0</v>
      </c>
      <c r="M1322" s="5">
        <v>0</v>
      </c>
      <c r="N1322" s="7">
        <v>1183.9100000000001</v>
      </c>
      <c r="O1322" s="7">
        <f t="shared" si="142"/>
        <v>0</v>
      </c>
      <c r="P1322" s="4">
        <v>0</v>
      </c>
      <c r="Q1322" s="7">
        <f t="shared" si="143"/>
        <v>0</v>
      </c>
      <c r="R1322" s="7">
        <f t="shared" si="144"/>
        <v>0</v>
      </c>
      <c r="S1322" s="7">
        <f t="shared" si="145"/>
        <v>0</v>
      </c>
      <c r="T1322" s="6">
        <f t="shared" si="146"/>
        <v>0</v>
      </c>
      <c r="V1322" t="s">
        <v>81</v>
      </c>
    </row>
    <row r="1323" spans="1:22">
      <c r="A1323" s="3">
        <v>45712</v>
      </c>
      <c r="B1323" t="str">
        <f t="shared" si="140"/>
        <v>yyyy-02</v>
      </c>
      <c r="C1323">
        <f t="shared" si="141"/>
        <v>9</v>
      </c>
      <c r="D1323" t="s">
        <v>66</v>
      </c>
      <c r="E1323" t="s">
        <v>71</v>
      </c>
      <c r="F1323" t="s">
        <v>75</v>
      </c>
      <c r="G1323" t="s">
        <v>36</v>
      </c>
      <c r="H1323" t="s">
        <v>37</v>
      </c>
      <c r="I1323" s="5">
        <v>356</v>
      </c>
      <c r="J1323" s="5">
        <v>213</v>
      </c>
      <c r="K1323" s="5">
        <v>19</v>
      </c>
      <c r="L1323" s="5">
        <v>9</v>
      </c>
      <c r="M1323" s="5">
        <v>10</v>
      </c>
      <c r="N1323" s="7">
        <v>38.75</v>
      </c>
      <c r="O1323" s="7">
        <f t="shared" si="142"/>
        <v>387.5</v>
      </c>
      <c r="P1323" s="4">
        <v>0.15</v>
      </c>
      <c r="Q1323" s="7">
        <f t="shared" si="143"/>
        <v>58.125</v>
      </c>
      <c r="R1323" s="7">
        <f t="shared" si="144"/>
        <v>329.375</v>
      </c>
      <c r="S1323" s="7">
        <f t="shared" si="145"/>
        <v>36.597222222222221</v>
      </c>
      <c r="T1323" s="6">
        <f t="shared" si="146"/>
        <v>2.5280898876404494E-2</v>
      </c>
      <c r="U1323" t="s">
        <v>87</v>
      </c>
      <c r="V1323" t="s">
        <v>29</v>
      </c>
    </row>
    <row r="1324" spans="1:22">
      <c r="A1324" s="3">
        <v>45712</v>
      </c>
      <c r="B1324" t="str">
        <f t="shared" si="140"/>
        <v>yyyy-02</v>
      </c>
      <c r="C1324">
        <f t="shared" si="141"/>
        <v>9</v>
      </c>
      <c r="D1324" t="s">
        <v>24</v>
      </c>
      <c r="E1324" t="s">
        <v>76</v>
      </c>
      <c r="F1324" t="s">
        <v>77</v>
      </c>
      <c r="G1324" t="s">
        <v>27</v>
      </c>
      <c r="H1324" t="s">
        <v>45</v>
      </c>
      <c r="I1324" s="5">
        <v>571</v>
      </c>
      <c r="J1324" s="5">
        <v>374</v>
      </c>
      <c r="K1324" s="5">
        <v>22</v>
      </c>
      <c r="L1324" s="5">
        <v>10</v>
      </c>
      <c r="M1324" s="5">
        <v>13</v>
      </c>
      <c r="N1324" s="7">
        <v>202.28</v>
      </c>
      <c r="O1324" s="7">
        <f t="shared" si="142"/>
        <v>2629.64</v>
      </c>
      <c r="P1324" s="4">
        <v>0</v>
      </c>
      <c r="Q1324" s="7">
        <f t="shared" si="143"/>
        <v>0</v>
      </c>
      <c r="R1324" s="7">
        <f t="shared" si="144"/>
        <v>2629.64</v>
      </c>
      <c r="S1324" s="7">
        <f t="shared" si="145"/>
        <v>262.964</v>
      </c>
      <c r="T1324" s="6">
        <f t="shared" si="146"/>
        <v>1.7513134851138354E-2</v>
      </c>
      <c r="V1324" t="s">
        <v>29</v>
      </c>
    </row>
    <row r="1325" spans="1:22">
      <c r="A1325" s="3">
        <v>45713</v>
      </c>
      <c r="B1325" t="str">
        <f t="shared" si="140"/>
        <v>yyyy-02</v>
      </c>
      <c r="C1325">
        <f t="shared" si="141"/>
        <v>9</v>
      </c>
      <c r="D1325" t="s">
        <v>24</v>
      </c>
      <c r="E1325" t="s">
        <v>25</v>
      </c>
      <c r="F1325" t="s">
        <v>26</v>
      </c>
      <c r="G1325" t="s">
        <v>27</v>
      </c>
      <c r="H1325" t="s">
        <v>28</v>
      </c>
      <c r="I1325" s="5">
        <v>1004</v>
      </c>
      <c r="J1325" s="5">
        <v>741</v>
      </c>
      <c r="K1325" s="5">
        <v>89</v>
      </c>
      <c r="L1325" s="5">
        <v>18</v>
      </c>
      <c r="M1325" s="5">
        <v>18</v>
      </c>
      <c r="N1325" s="7">
        <v>962.6</v>
      </c>
      <c r="O1325" s="7">
        <f t="shared" si="142"/>
        <v>17326.8</v>
      </c>
      <c r="P1325" s="4">
        <v>0</v>
      </c>
      <c r="Q1325" s="7">
        <f t="shared" si="143"/>
        <v>0</v>
      </c>
      <c r="R1325" s="7">
        <f t="shared" si="144"/>
        <v>17326.8</v>
      </c>
      <c r="S1325" s="7">
        <f t="shared" si="145"/>
        <v>962.59999999999991</v>
      </c>
      <c r="T1325" s="6">
        <f t="shared" si="146"/>
        <v>1.7928286852589643E-2</v>
      </c>
      <c r="V1325" t="s">
        <v>29</v>
      </c>
    </row>
    <row r="1326" spans="1:22">
      <c r="A1326" s="3">
        <v>45713</v>
      </c>
      <c r="B1326" t="str">
        <f t="shared" si="140"/>
        <v>yyyy-02</v>
      </c>
      <c r="C1326">
        <f t="shared" si="141"/>
        <v>9</v>
      </c>
      <c r="D1326" t="s">
        <v>24</v>
      </c>
      <c r="E1326" t="s">
        <v>25</v>
      </c>
      <c r="F1326" t="s">
        <v>30</v>
      </c>
      <c r="G1326" t="s">
        <v>31</v>
      </c>
      <c r="H1326" t="s">
        <v>32</v>
      </c>
      <c r="I1326" s="5">
        <v>2102</v>
      </c>
      <c r="J1326" s="5">
        <v>1333</v>
      </c>
      <c r="K1326" s="5">
        <v>124</v>
      </c>
      <c r="L1326" s="5">
        <v>53</v>
      </c>
      <c r="M1326" s="5">
        <v>53</v>
      </c>
      <c r="N1326" s="7">
        <v>400.99</v>
      </c>
      <c r="O1326" s="7">
        <f t="shared" si="142"/>
        <v>21252.47</v>
      </c>
      <c r="P1326" s="4">
        <v>0</v>
      </c>
      <c r="Q1326" s="7">
        <f t="shared" si="143"/>
        <v>0</v>
      </c>
      <c r="R1326" s="7">
        <f t="shared" si="144"/>
        <v>21252.47</v>
      </c>
      <c r="S1326" s="7">
        <f t="shared" si="145"/>
        <v>400.99</v>
      </c>
      <c r="T1326" s="6">
        <f t="shared" si="146"/>
        <v>2.5214081826831589E-2</v>
      </c>
      <c r="V1326" t="s">
        <v>29</v>
      </c>
    </row>
    <row r="1327" spans="1:22">
      <c r="A1327" s="3">
        <v>45713</v>
      </c>
      <c r="B1327" t="str">
        <f t="shared" si="140"/>
        <v>yyyy-02</v>
      </c>
      <c r="C1327">
        <f t="shared" si="141"/>
        <v>9</v>
      </c>
      <c r="D1327" t="s">
        <v>24</v>
      </c>
      <c r="E1327" t="s">
        <v>25</v>
      </c>
      <c r="F1327" t="s">
        <v>33</v>
      </c>
      <c r="G1327" t="s">
        <v>36</v>
      </c>
      <c r="H1327" t="s">
        <v>37</v>
      </c>
      <c r="I1327" s="5">
        <v>1633</v>
      </c>
      <c r="J1327" s="5">
        <v>1000</v>
      </c>
      <c r="K1327" s="5">
        <v>63</v>
      </c>
      <c r="L1327" s="5">
        <v>28</v>
      </c>
      <c r="M1327" s="5">
        <v>28</v>
      </c>
      <c r="N1327" s="7">
        <v>1788.86</v>
      </c>
      <c r="O1327" s="7">
        <f t="shared" si="142"/>
        <v>50088.079999999994</v>
      </c>
      <c r="P1327" s="4">
        <v>0.05</v>
      </c>
      <c r="Q1327" s="7">
        <f t="shared" si="143"/>
        <v>2504.404</v>
      </c>
      <c r="R1327" s="7">
        <f t="shared" si="144"/>
        <v>47583.675999999992</v>
      </c>
      <c r="S1327" s="7">
        <f t="shared" si="145"/>
        <v>1699.4169999999997</v>
      </c>
      <c r="T1327" s="6">
        <f t="shared" si="146"/>
        <v>1.7146356399265157E-2</v>
      </c>
      <c r="V1327" t="s">
        <v>29</v>
      </c>
    </row>
    <row r="1328" spans="1:22">
      <c r="A1328" s="3">
        <v>45713</v>
      </c>
      <c r="B1328" t="str">
        <f t="shared" si="140"/>
        <v>yyyy-02</v>
      </c>
      <c r="C1328">
        <f t="shared" si="141"/>
        <v>9</v>
      </c>
      <c r="D1328" t="s">
        <v>24</v>
      </c>
      <c r="E1328" t="s">
        <v>34</v>
      </c>
      <c r="F1328" t="s">
        <v>35</v>
      </c>
      <c r="G1328" t="s">
        <v>27</v>
      </c>
      <c r="H1328" t="s">
        <v>45</v>
      </c>
      <c r="I1328" s="5">
        <v>871</v>
      </c>
      <c r="J1328" s="5">
        <v>673</v>
      </c>
      <c r="K1328" s="5">
        <v>68</v>
      </c>
      <c r="L1328" s="5">
        <v>20</v>
      </c>
      <c r="M1328" s="5">
        <v>20</v>
      </c>
      <c r="N1328" s="7">
        <v>910.01</v>
      </c>
      <c r="O1328" s="7">
        <f t="shared" si="142"/>
        <v>18200.2</v>
      </c>
      <c r="P1328" s="4">
        <v>0</v>
      </c>
      <c r="Q1328" s="7">
        <f t="shared" si="143"/>
        <v>0</v>
      </c>
      <c r="R1328" s="7">
        <f t="shared" si="144"/>
        <v>18200.2</v>
      </c>
      <c r="S1328" s="7">
        <f t="shared" si="145"/>
        <v>910.01</v>
      </c>
      <c r="T1328" s="6">
        <f t="shared" si="146"/>
        <v>2.2962112514351322E-2</v>
      </c>
      <c r="V1328" t="s">
        <v>29</v>
      </c>
    </row>
    <row r="1329" spans="1:22">
      <c r="A1329" s="3">
        <v>45713</v>
      </c>
      <c r="B1329" t="str">
        <f t="shared" si="140"/>
        <v>yyyy-02</v>
      </c>
      <c r="C1329">
        <f t="shared" si="141"/>
        <v>9</v>
      </c>
      <c r="D1329" t="s">
        <v>24</v>
      </c>
      <c r="E1329" t="s">
        <v>38</v>
      </c>
      <c r="F1329" t="s">
        <v>39</v>
      </c>
      <c r="G1329" t="s">
        <v>27</v>
      </c>
      <c r="H1329" t="s">
        <v>45</v>
      </c>
      <c r="I1329" s="5">
        <v>821</v>
      </c>
      <c r="J1329" s="5">
        <v>540</v>
      </c>
      <c r="K1329" s="5">
        <v>51</v>
      </c>
      <c r="L1329" s="5">
        <v>20</v>
      </c>
      <c r="M1329" s="5">
        <v>20</v>
      </c>
      <c r="N1329" s="7">
        <v>324.94</v>
      </c>
      <c r="O1329" s="7">
        <f t="shared" si="142"/>
        <v>6498.8</v>
      </c>
      <c r="P1329" s="4">
        <v>0.05</v>
      </c>
      <c r="Q1329" s="7">
        <f t="shared" si="143"/>
        <v>324.94000000000005</v>
      </c>
      <c r="R1329" s="7">
        <f t="shared" si="144"/>
        <v>6173.8600000000006</v>
      </c>
      <c r="S1329" s="7">
        <f t="shared" si="145"/>
        <v>308.69300000000004</v>
      </c>
      <c r="T1329" s="6">
        <f t="shared" si="146"/>
        <v>2.4360535931790498E-2</v>
      </c>
      <c r="V1329" t="s">
        <v>29</v>
      </c>
    </row>
    <row r="1330" spans="1:22">
      <c r="A1330" s="3">
        <v>45713</v>
      </c>
      <c r="B1330" t="str">
        <f t="shared" si="140"/>
        <v>yyyy-02</v>
      </c>
      <c r="C1330">
        <f t="shared" si="141"/>
        <v>9</v>
      </c>
      <c r="D1330" t="s">
        <v>24</v>
      </c>
      <c r="E1330" t="s">
        <v>40</v>
      </c>
      <c r="F1330" t="s">
        <v>41</v>
      </c>
      <c r="G1330" t="s">
        <v>36</v>
      </c>
      <c r="H1330" t="s">
        <v>37</v>
      </c>
      <c r="I1330" s="5">
        <v>538</v>
      </c>
      <c r="J1330" s="5">
        <v>322</v>
      </c>
      <c r="K1330" s="5">
        <v>58</v>
      </c>
      <c r="L1330" s="5">
        <v>12</v>
      </c>
      <c r="M1330" s="5">
        <v>15</v>
      </c>
      <c r="N1330" s="7">
        <v>176.43</v>
      </c>
      <c r="O1330" s="7">
        <f t="shared" si="142"/>
        <v>2646.4500000000003</v>
      </c>
      <c r="P1330" s="4">
        <v>0.05</v>
      </c>
      <c r="Q1330" s="7">
        <f t="shared" si="143"/>
        <v>132.32250000000002</v>
      </c>
      <c r="R1330" s="7">
        <f t="shared" si="144"/>
        <v>2514.1275000000001</v>
      </c>
      <c r="S1330" s="7">
        <f t="shared" si="145"/>
        <v>209.510625</v>
      </c>
      <c r="T1330" s="6">
        <f t="shared" si="146"/>
        <v>2.2304832713754646E-2</v>
      </c>
      <c r="V1330" t="s">
        <v>29</v>
      </c>
    </row>
    <row r="1331" spans="1:22">
      <c r="A1331" s="3">
        <v>45713</v>
      </c>
      <c r="B1331" t="str">
        <f t="shared" si="140"/>
        <v>yyyy-02</v>
      </c>
      <c r="C1331">
        <f t="shared" si="141"/>
        <v>9</v>
      </c>
      <c r="D1331" t="s">
        <v>42</v>
      </c>
      <c r="E1331" t="s">
        <v>43</v>
      </c>
      <c r="F1331" t="s">
        <v>44</v>
      </c>
      <c r="G1331" t="s">
        <v>27</v>
      </c>
      <c r="H1331" t="s">
        <v>45</v>
      </c>
      <c r="I1331" s="5">
        <v>592</v>
      </c>
      <c r="J1331" s="5">
        <v>376</v>
      </c>
      <c r="K1331" s="5">
        <v>45</v>
      </c>
      <c r="L1331" s="5">
        <v>9</v>
      </c>
      <c r="M1331" s="5">
        <v>9</v>
      </c>
      <c r="N1331" s="7">
        <v>1315.09</v>
      </c>
      <c r="O1331" s="7">
        <f t="shared" si="142"/>
        <v>11835.81</v>
      </c>
      <c r="P1331" s="4">
        <v>0</v>
      </c>
      <c r="Q1331" s="7">
        <f t="shared" si="143"/>
        <v>0</v>
      </c>
      <c r="R1331" s="7">
        <f t="shared" si="144"/>
        <v>11835.81</v>
      </c>
      <c r="S1331" s="7">
        <f t="shared" si="145"/>
        <v>1315.09</v>
      </c>
      <c r="T1331" s="6">
        <f t="shared" si="146"/>
        <v>1.5202702702702704E-2</v>
      </c>
      <c r="V1331" t="s">
        <v>29</v>
      </c>
    </row>
    <row r="1332" spans="1:22">
      <c r="A1332" s="3">
        <v>45713</v>
      </c>
      <c r="B1332" t="str">
        <f t="shared" si="140"/>
        <v>yyyy-02</v>
      </c>
      <c r="C1332">
        <f t="shared" si="141"/>
        <v>9</v>
      </c>
      <c r="D1332" t="s">
        <v>42</v>
      </c>
      <c r="E1332" t="s">
        <v>43</v>
      </c>
      <c r="F1332" t="s">
        <v>46</v>
      </c>
      <c r="G1332" t="s">
        <v>36</v>
      </c>
      <c r="H1332" t="s">
        <v>37</v>
      </c>
      <c r="I1332" s="5">
        <v>589</v>
      </c>
      <c r="J1332" s="5">
        <v>411</v>
      </c>
      <c r="K1332" s="5">
        <v>38</v>
      </c>
      <c r="L1332" s="5">
        <v>9</v>
      </c>
      <c r="M1332" s="5">
        <v>9</v>
      </c>
      <c r="N1332" s="7">
        <v>2239.58</v>
      </c>
      <c r="O1332" s="7">
        <f t="shared" si="142"/>
        <v>20156.22</v>
      </c>
      <c r="P1332" s="4">
        <v>0.03</v>
      </c>
      <c r="Q1332" s="7">
        <f t="shared" si="143"/>
        <v>604.6866</v>
      </c>
      <c r="R1332" s="7">
        <f t="shared" si="144"/>
        <v>19551.5334</v>
      </c>
      <c r="S1332" s="7">
        <f t="shared" si="145"/>
        <v>2172.3926000000001</v>
      </c>
      <c r="T1332" s="6">
        <f t="shared" si="146"/>
        <v>1.5280135823429542E-2</v>
      </c>
      <c r="V1332" t="s">
        <v>29</v>
      </c>
    </row>
    <row r="1333" spans="1:22">
      <c r="A1333" s="3">
        <v>45713</v>
      </c>
      <c r="B1333" t="str">
        <f t="shared" si="140"/>
        <v>yyyy-02</v>
      </c>
      <c r="C1333">
        <f t="shared" si="141"/>
        <v>9</v>
      </c>
      <c r="D1333" t="s">
        <v>42</v>
      </c>
      <c r="E1333" t="s">
        <v>43</v>
      </c>
      <c r="F1333" t="s">
        <v>47</v>
      </c>
      <c r="G1333" t="s">
        <v>27</v>
      </c>
      <c r="H1333" t="s">
        <v>45</v>
      </c>
      <c r="I1333" s="5">
        <v>295</v>
      </c>
      <c r="J1333" s="5">
        <v>205</v>
      </c>
      <c r="K1333" s="5">
        <v>16</v>
      </c>
      <c r="L1333" s="5">
        <v>4</v>
      </c>
      <c r="M1333" s="5">
        <v>4</v>
      </c>
      <c r="N1333" s="7">
        <v>577.66999999999996</v>
      </c>
      <c r="O1333" s="7">
        <f t="shared" si="142"/>
        <v>2310.6799999999998</v>
      </c>
      <c r="P1333" s="4">
        <v>0.03</v>
      </c>
      <c r="Q1333" s="7">
        <f t="shared" si="143"/>
        <v>69.320399999999992</v>
      </c>
      <c r="R1333" s="7">
        <f t="shared" si="144"/>
        <v>2241.3595999999998</v>
      </c>
      <c r="S1333" s="7">
        <f t="shared" si="145"/>
        <v>560.33989999999994</v>
      </c>
      <c r="T1333" s="6">
        <f t="shared" si="146"/>
        <v>1.3559322033898305E-2</v>
      </c>
      <c r="V1333" t="s">
        <v>29</v>
      </c>
    </row>
    <row r="1334" spans="1:22">
      <c r="A1334" s="3">
        <v>45713</v>
      </c>
      <c r="B1334" t="str">
        <f t="shared" si="140"/>
        <v>yyyy-02</v>
      </c>
      <c r="C1334">
        <f t="shared" si="141"/>
        <v>9</v>
      </c>
      <c r="D1334" t="s">
        <v>42</v>
      </c>
      <c r="E1334" t="s">
        <v>49</v>
      </c>
      <c r="F1334" t="s">
        <v>50</v>
      </c>
      <c r="G1334" t="s">
        <v>27</v>
      </c>
      <c r="H1334" t="s">
        <v>45</v>
      </c>
      <c r="I1334" s="5">
        <v>129</v>
      </c>
      <c r="J1334" s="5">
        <v>102</v>
      </c>
      <c r="K1334" s="5">
        <v>7</v>
      </c>
      <c r="L1334" s="5">
        <v>2</v>
      </c>
      <c r="M1334" s="5">
        <v>2</v>
      </c>
      <c r="N1334" s="7">
        <v>969.93</v>
      </c>
      <c r="O1334" s="7">
        <f t="shared" si="142"/>
        <v>1939.86</v>
      </c>
      <c r="P1334" s="4">
        <v>0</v>
      </c>
      <c r="Q1334" s="7">
        <f t="shared" si="143"/>
        <v>0</v>
      </c>
      <c r="R1334" s="7">
        <f t="shared" si="144"/>
        <v>1939.86</v>
      </c>
      <c r="S1334" s="7">
        <f t="shared" si="145"/>
        <v>969.93</v>
      </c>
      <c r="T1334" s="6">
        <f t="shared" si="146"/>
        <v>1.5503875968992248E-2</v>
      </c>
      <c r="V1334" t="s">
        <v>29</v>
      </c>
    </row>
    <row r="1335" spans="1:22">
      <c r="A1335" s="3">
        <v>45713</v>
      </c>
      <c r="B1335" t="str">
        <f t="shared" si="140"/>
        <v>yyyy-02</v>
      </c>
      <c r="C1335">
        <f t="shared" si="141"/>
        <v>9</v>
      </c>
      <c r="D1335" t="s">
        <v>42</v>
      </c>
      <c r="E1335" t="s">
        <v>51</v>
      </c>
      <c r="F1335" t="s">
        <v>52</v>
      </c>
      <c r="G1335" t="s">
        <v>27</v>
      </c>
      <c r="H1335" t="s">
        <v>28</v>
      </c>
      <c r="I1335" s="5">
        <v>226</v>
      </c>
      <c r="J1335" s="5">
        <v>147</v>
      </c>
      <c r="K1335" s="5">
        <v>7</v>
      </c>
      <c r="L1335" s="5">
        <v>2</v>
      </c>
      <c r="M1335" s="5">
        <v>2</v>
      </c>
      <c r="N1335" s="7">
        <v>604.80999999999995</v>
      </c>
      <c r="O1335" s="7">
        <f t="shared" si="142"/>
        <v>1209.6199999999999</v>
      </c>
      <c r="P1335" s="4">
        <v>0</v>
      </c>
      <c r="Q1335" s="7">
        <f t="shared" si="143"/>
        <v>0</v>
      </c>
      <c r="R1335" s="7">
        <f t="shared" si="144"/>
        <v>1209.6199999999999</v>
      </c>
      <c r="S1335" s="7">
        <f t="shared" si="145"/>
        <v>604.80999999999995</v>
      </c>
      <c r="T1335" s="6">
        <f t="shared" si="146"/>
        <v>8.8495575221238937E-3</v>
      </c>
      <c r="V1335" t="s">
        <v>29</v>
      </c>
    </row>
    <row r="1336" spans="1:22">
      <c r="A1336" s="3">
        <v>45713</v>
      </c>
      <c r="B1336" t="str">
        <f t="shared" si="140"/>
        <v>yyyy-02</v>
      </c>
      <c r="C1336">
        <f t="shared" si="141"/>
        <v>9</v>
      </c>
      <c r="D1336" t="s">
        <v>53</v>
      </c>
      <c r="E1336" t="s">
        <v>54</v>
      </c>
      <c r="F1336" t="s">
        <v>55</v>
      </c>
      <c r="G1336" t="s">
        <v>31</v>
      </c>
      <c r="H1336" t="s">
        <v>32</v>
      </c>
      <c r="I1336" s="5">
        <v>148</v>
      </c>
      <c r="J1336" s="5">
        <v>96</v>
      </c>
      <c r="K1336" s="5">
        <v>9</v>
      </c>
      <c r="L1336" s="5">
        <v>2</v>
      </c>
      <c r="M1336" s="5">
        <v>2</v>
      </c>
      <c r="N1336" s="7">
        <v>1272.5</v>
      </c>
      <c r="O1336" s="7">
        <f t="shared" si="142"/>
        <v>2545</v>
      </c>
      <c r="P1336" s="4">
        <v>0.1</v>
      </c>
      <c r="Q1336" s="7">
        <f t="shared" si="143"/>
        <v>254.5</v>
      </c>
      <c r="R1336" s="7">
        <f t="shared" si="144"/>
        <v>2290.5</v>
      </c>
      <c r="S1336" s="7">
        <f t="shared" si="145"/>
        <v>1145.25</v>
      </c>
      <c r="T1336" s="6">
        <f t="shared" si="146"/>
        <v>1.3513513513513514E-2</v>
      </c>
      <c r="U1336" t="s">
        <v>86</v>
      </c>
      <c r="V1336" t="s">
        <v>29</v>
      </c>
    </row>
    <row r="1337" spans="1:22">
      <c r="A1337" s="3">
        <v>45713</v>
      </c>
      <c r="B1337" t="str">
        <f t="shared" si="140"/>
        <v>yyyy-02</v>
      </c>
      <c r="C1337">
        <f t="shared" si="141"/>
        <v>9</v>
      </c>
      <c r="D1337" t="s">
        <v>53</v>
      </c>
      <c r="E1337" t="s">
        <v>56</v>
      </c>
      <c r="F1337" t="s">
        <v>57</v>
      </c>
      <c r="G1337" t="s">
        <v>36</v>
      </c>
      <c r="H1337" t="s">
        <v>37</v>
      </c>
      <c r="I1337" s="5">
        <v>244</v>
      </c>
      <c r="J1337" s="5">
        <v>194</v>
      </c>
      <c r="K1337" s="5">
        <v>11</v>
      </c>
      <c r="L1337" s="5">
        <v>3</v>
      </c>
      <c r="M1337" s="5">
        <v>3</v>
      </c>
      <c r="N1337" s="7">
        <v>725.7</v>
      </c>
      <c r="O1337" s="7">
        <f t="shared" si="142"/>
        <v>2177.1000000000004</v>
      </c>
      <c r="P1337" s="4">
        <v>0.05</v>
      </c>
      <c r="Q1337" s="7">
        <f t="shared" si="143"/>
        <v>108.85500000000002</v>
      </c>
      <c r="R1337" s="7">
        <f t="shared" si="144"/>
        <v>2068.2450000000003</v>
      </c>
      <c r="S1337" s="7">
        <f t="shared" si="145"/>
        <v>689.41500000000008</v>
      </c>
      <c r="T1337" s="6">
        <f t="shared" si="146"/>
        <v>1.2295081967213115E-2</v>
      </c>
      <c r="V1337" t="s">
        <v>29</v>
      </c>
    </row>
    <row r="1338" spans="1:22">
      <c r="A1338" s="3">
        <v>45713</v>
      </c>
      <c r="B1338" t="str">
        <f t="shared" si="140"/>
        <v>yyyy-02</v>
      </c>
      <c r="C1338">
        <f t="shared" si="141"/>
        <v>9</v>
      </c>
      <c r="D1338" t="s">
        <v>53</v>
      </c>
      <c r="E1338" t="s">
        <v>56</v>
      </c>
      <c r="F1338" t="s">
        <v>58</v>
      </c>
      <c r="G1338" t="s">
        <v>36</v>
      </c>
      <c r="H1338" t="s">
        <v>37</v>
      </c>
      <c r="I1338" s="5">
        <v>147</v>
      </c>
      <c r="J1338" s="5">
        <v>103</v>
      </c>
      <c r="K1338" s="5">
        <v>9</v>
      </c>
      <c r="L1338" s="5">
        <v>1</v>
      </c>
      <c r="M1338" s="5">
        <v>1</v>
      </c>
      <c r="N1338" s="7">
        <v>914.53</v>
      </c>
      <c r="O1338" s="7">
        <f t="shared" si="142"/>
        <v>914.53</v>
      </c>
      <c r="P1338" s="4">
        <v>0</v>
      </c>
      <c r="Q1338" s="7">
        <f t="shared" si="143"/>
        <v>0</v>
      </c>
      <c r="R1338" s="7">
        <f t="shared" si="144"/>
        <v>914.53</v>
      </c>
      <c r="S1338" s="7">
        <f t="shared" si="145"/>
        <v>914.53</v>
      </c>
      <c r="T1338" s="6">
        <f t="shared" si="146"/>
        <v>6.8027210884353739E-3</v>
      </c>
      <c r="V1338" t="s">
        <v>78</v>
      </c>
    </row>
    <row r="1339" spans="1:22">
      <c r="A1339" s="3">
        <v>45713</v>
      </c>
      <c r="B1339" t="str">
        <f t="shared" si="140"/>
        <v>yyyy-02</v>
      </c>
      <c r="C1339">
        <f t="shared" si="141"/>
        <v>9</v>
      </c>
      <c r="D1339" t="s">
        <v>53</v>
      </c>
      <c r="E1339" t="s">
        <v>59</v>
      </c>
      <c r="F1339" t="s">
        <v>60</v>
      </c>
      <c r="G1339" t="s">
        <v>36</v>
      </c>
      <c r="H1339" t="s">
        <v>37</v>
      </c>
      <c r="I1339" s="5">
        <v>147</v>
      </c>
      <c r="J1339" s="5">
        <v>83</v>
      </c>
      <c r="K1339" s="5">
        <v>9</v>
      </c>
      <c r="L1339" s="5">
        <v>2</v>
      </c>
      <c r="M1339" s="5">
        <v>2</v>
      </c>
      <c r="N1339" s="7">
        <v>703.43</v>
      </c>
      <c r="O1339" s="7">
        <f t="shared" si="142"/>
        <v>1406.86</v>
      </c>
      <c r="P1339" s="4">
        <v>0</v>
      </c>
      <c r="Q1339" s="7">
        <f t="shared" si="143"/>
        <v>0</v>
      </c>
      <c r="R1339" s="7">
        <f t="shared" si="144"/>
        <v>1406.86</v>
      </c>
      <c r="S1339" s="7">
        <f t="shared" si="145"/>
        <v>703.43</v>
      </c>
      <c r="T1339" s="6">
        <f t="shared" si="146"/>
        <v>1.3605442176870748E-2</v>
      </c>
      <c r="V1339" t="s">
        <v>29</v>
      </c>
    </row>
    <row r="1340" spans="1:22">
      <c r="A1340" s="3">
        <v>45713</v>
      </c>
      <c r="B1340" t="str">
        <f t="shared" si="140"/>
        <v>yyyy-02</v>
      </c>
      <c r="C1340">
        <f t="shared" si="141"/>
        <v>9</v>
      </c>
      <c r="D1340" t="s">
        <v>53</v>
      </c>
      <c r="E1340" t="s">
        <v>61</v>
      </c>
      <c r="F1340" t="s">
        <v>62</v>
      </c>
      <c r="G1340" t="s">
        <v>31</v>
      </c>
      <c r="H1340" t="s">
        <v>32</v>
      </c>
      <c r="I1340" s="5">
        <v>169</v>
      </c>
      <c r="J1340" s="5">
        <v>137</v>
      </c>
      <c r="K1340" s="5">
        <v>15</v>
      </c>
      <c r="L1340" s="5">
        <v>1</v>
      </c>
      <c r="M1340" s="5">
        <v>1</v>
      </c>
      <c r="N1340" s="7">
        <v>485.29</v>
      </c>
      <c r="O1340" s="7">
        <f t="shared" si="142"/>
        <v>485.29</v>
      </c>
      <c r="P1340" s="4">
        <v>0</v>
      </c>
      <c r="Q1340" s="7">
        <f t="shared" si="143"/>
        <v>0</v>
      </c>
      <c r="R1340" s="7">
        <f t="shared" si="144"/>
        <v>485.29</v>
      </c>
      <c r="S1340" s="7">
        <f t="shared" si="145"/>
        <v>485.29</v>
      </c>
      <c r="T1340" s="6">
        <f t="shared" si="146"/>
        <v>5.9171597633136093E-3</v>
      </c>
      <c r="V1340" t="s">
        <v>29</v>
      </c>
    </row>
    <row r="1341" spans="1:22">
      <c r="A1341" s="3">
        <v>45713</v>
      </c>
      <c r="B1341" t="str">
        <f t="shared" si="140"/>
        <v>yyyy-02</v>
      </c>
      <c r="C1341">
        <f t="shared" si="141"/>
        <v>9</v>
      </c>
      <c r="D1341" t="s">
        <v>53</v>
      </c>
      <c r="E1341" t="s">
        <v>64</v>
      </c>
      <c r="F1341" t="s">
        <v>65</v>
      </c>
      <c r="G1341" t="s">
        <v>31</v>
      </c>
      <c r="H1341" t="s">
        <v>32</v>
      </c>
      <c r="I1341" s="5">
        <v>240</v>
      </c>
      <c r="J1341" s="5">
        <v>185</v>
      </c>
      <c r="K1341" s="5">
        <v>21</v>
      </c>
      <c r="L1341" s="5">
        <v>2</v>
      </c>
      <c r="M1341" s="5">
        <v>2</v>
      </c>
      <c r="N1341" s="7">
        <v>801.77</v>
      </c>
      <c r="O1341" s="7">
        <f t="shared" si="142"/>
        <v>1603.54</v>
      </c>
      <c r="P1341" s="4">
        <v>0</v>
      </c>
      <c r="Q1341" s="7">
        <f t="shared" si="143"/>
        <v>0</v>
      </c>
      <c r="R1341" s="7">
        <f t="shared" si="144"/>
        <v>1603.54</v>
      </c>
      <c r="S1341" s="7">
        <f t="shared" si="145"/>
        <v>801.77</v>
      </c>
      <c r="T1341" s="6">
        <f t="shared" si="146"/>
        <v>8.3333333333333332E-3</v>
      </c>
      <c r="V1341" t="s">
        <v>29</v>
      </c>
    </row>
    <row r="1342" spans="1:22">
      <c r="A1342" s="3">
        <v>45713</v>
      </c>
      <c r="B1342" t="str">
        <f t="shared" si="140"/>
        <v>yyyy-02</v>
      </c>
      <c r="C1342">
        <f t="shared" si="141"/>
        <v>9</v>
      </c>
      <c r="D1342" t="s">
        <v>66</v>
      </c>
      <c r="E1342" t="s">
        <v>67</v>
      </c>
      <c r="F1342" t="s">
        <v>68</v>
      </c>
      <c r="G1342" t="s">
        <v>31</v>
      </c>
      <c r="H1342" t="s">
        <v>32</v>
      </c>
      <c r="I1342" s="5">
        <v>463</v>
      </c>
      <c r="J1342" s="5">
        <v>310</v>
      </c>
      <c r="K1342" s="5">
        <v>38</v>
      </c>
      <c r="L1342" s="5">
        <v>9</v>
      </c>
      <c r="M1342" s="5">
        <v>9</v>
      </c>
      <c r="N1342" s="7">
        <v>679.05</v>
      </c>
      <c r="O1342" s="7">
        <f t="shared" si="142"/>
        <v>6111.45</v>
      </c>
      <c r="P1342" s="4">
        <v>0</v>
      </c>
      <c r="Q1342" s="7">
        <f t="shared" si="143"/>
        <v>0</v>
      </c>
      <c r="R1342" s="7">
        <f t="shared" si="144"/>
        <v>6111.45</v>
      </c>
      <c r="S1342" s="7">
        <f t="shared" si="145"/>
        <v>679.05</v>
      </c>
      <c r="T1342" s="6">
        <f t="shared" si="146"/>
        <v>1.9438444924406047E-2</v>
      </c>
      <c r="V1342" t="s">
        <v>29</v>
      </c>
    </row>
    <row r="1343" spans="1:22">
      <c r="A1343" s="3">
        <v>45713</v>
      </c>
      <c r="B1343" t="str">
        <f t="shared" si="140"/>
        <v>yyyy-02</v>
      </c>
      <c r="C1343">
        <f t="shared" si="141"/>
        <v>9</v>
      </c>
      <c r="D1343" t="s">
        <v>66</v>
      </c>
      <c r="E1343" t="s">
        <v>67</v>
      </c>
      <c r="F1343" t="s">
        <v>69</v>
      </c>
      <c r="G1343" t="s">
        <v>27</v>
      </c>
      <c r="H1343" t="s">
        <v>63</v>
      </c>
      <c r="I1343" s="5">
        <v>243</v>
      </c>
      <c r="J1343" s="5">
        <v>160</v>
      </c>
      <c r="K1343" s="5">
        <v>13</v>
      </c>
      <c r="L1343" s="5">
        <v>3</v>
      </c>
      <c r="M1343" s="5">
        <v>3</v>
      </c>
      <c r="N1343" s="7">
        <v>403.57</v>
      </c>
      <c r="O1343" s="7">
        <f t="shared" si="142"/>
        <v>1210.71</v>
      </c>
      <c r="P1343" s="4">
        <v>0.03</v>
      </c>
      <c r="Q1343" s="7">
        <f t="shared" si="143"/>
        <v>36.321300000000001</v>
      </c>
      <c r="R1343" s="7">
        <f t="shared" si="144"/>
        <v>1174.3887</v>
      </c>
      <c r="S1343" s="7">
        <f t="shared" si="145"/>
        <v>391.46289999999999</v>
      </c>
      <c r="T1343" s="6">
        <f t="shared" si="146"/>
        <v>1.2345679012345678E-2</v>
      </c>
      <c r="V1343" t="s">
        <v>29</v>
      </c>
    </row>
    <row r="1344" spans="1:22">
      <c r="A1344" s="3">
        <v>45713</v>
      </c>
      <c r="B1344" t="str">
        <f t="shared" si="140"/>
        <v>yyyy-02</v>
      </c>
      <c r="C1344">
        <f t="shared" si="141"/>
        <v>9</v>
      </c>
      <c r="D1344" t="s">
        <v>66</v>
      </c>
      <c r="E1344" t="s">
        <v>67</v>
      </c>
      <c r="F1344" t="s">
        <v>70</v>
      </c>
      <c r="G1344" t="s">
        <v>36</v>
      </c>
      <c r="H1344" t="s">
        <v>37</v>
      </c>
      <c r="I1344" s="5">
        <v>400</v>
      </c>
      <c r="J1344" s="5">
        <v>261</v>
      </c>
      <c r="K1344" s="5">
        <v>31</v>
      </c>
      <c r="L1344" s="5">
        <v>9</v>
      </c>
      <c r="M1344" s="5">
        <v>9</v>
      </c>
      <c r="N1344" s="7">
        <v>336.81</v>
      </c>
      <c r="O1344" s="7">
        <f t="shared" si="142"/>
        <v>3031.29</v>
      </c>
      <c r="P1344" s="4">
        <v>0</v>
      </c>
      <c r="Q1344" s="7">
        <f t="shared" si="143"/>
        <v>0</v>
      </c>
      <c r="R1344" s="7">
        <f t="shared" si="144"/>
        <v>3031.29</v>
      </c>
      <c r="S1344" s="7">
        <f t="shared" si="145"/>
        <v>336.81</v>
      </c>
      <c r="T1344" s="6">
        <f t="shared" si="146"/>
        <v>2.2499999999999999E-2</v>
      </c>
      <c r="V1344" t="s">
        <v>29</v>
      </c>
    </row>
    <row r="1345" spans="1:22">
      <c r="A1345" s="3">
        <v>45713</v>
      </c>
      <c r="B1345" t="str">
        <f t="shared" si="140"/>
        <v>yyyy-02</v>
      </c>
      <c r="C1345">
        <f t="shared" si="141"/>
        <v>9</v>
      </c>
      <c r="D1345" t="s">
        <v>66</v>
      </c>
      <c r="E1345" t="s">
        <v>71</v>
      </c>
      <c r="F1345" t="s">
        <v>72</v>
      </c>
      <c r="G1345" t="s">
        <v>27</v>
      </c>
      <c r="H1345" t="s">
        <v>28</v>
      </c>
      <c r="I1345" s="5">
        <v>194</v>
      </c>
      <c r="J1345" s="5">
        <v>117</v>
      </c>
      <c r="K1345" s="5">
        <v>15</v>
      </c>
      <c r="L1345" s="5">
        <v>5</v>
      </c>
      <c r="M1345" s="5">
        <v>6</v>
      </c>
      <c r="N1345" s="7">
        <v>128.21</v>
      </c>
      <c r="O1345" s="7">
        <f t="shared" si="142"/>
        <v>769.26</v>
      </c>
      <c r="P1345" s="4">
        <v>0.15</v>
      </c>
      <c r="Q1345" s="7">
        <f t="shared" si="143"/>
        <v>115.389</v>
      </c>
      <c r="R1345" s="7">
        <f t="shared" si="144"/>
        <v>653.87099999999998</v>
      </c>
      <c r="S1345" s="7">
        <f t="shared" si="145"/>
        <v>130.77420000000001</v>
      </c>
      <c r="T1345" s="6">
        <f t="shared" si="146"/>
        <v>2.5773195876288658E-2</v>
      </c>
      <c r="U1345" t="s">
        <v>87</v>
      </c>
      <c r="V1345" t="s">
        <v>29</v>
      </c>
    </row>
    <row r="1346" spans="1:22">
      <c r="A1346" s="3">
        <v>45713</v>
      </c>
      <c r="B1346" t="str">
        <f t="shared" si="140"/>
        <v>yyyy-02</v>
      </c>
      <c r="C1346">
        <f t="shared" si="141"/>
        <v>9</v>
      </c>
      <c r="D1346" t="s">
        <v>66</v>
      </c>
      <c r="E1346" t="s">
        <v>73</v>
      </c>
      <c r="F1346" t="s">
        <v>74</v>
      </c>
      <c r="G1346" t="s">
        <v>31</v>
      </c>
      <c r="H1346" t="s">
        <v>32</v>
      </c>
      <c r="I1346" s="5">
        <v>250</v>
      </c>
      <c r="J1346" s="5">
        <v>166</v>
      </c>
      <c r="K1346" s="5">
        <v>11</v>
      </c>
      <c r="L1346" s="5">
        <v>3</v>
      </c>
      <c r="M1346" s="5">
        <v>3</v>
      </c>
      <c r="N1346" s="7">
        <v>1204.26</v>
      </c>
      <c r="O1346" s="7">
        <f t="shared" si="142"/>
        <v>3612.7799999999997</v>
      </c>
      <c r="P1346" s="4">
        <v>0</v>
      </c>
      <c r="Q1346" s="7">
        <f t="shared" si="143"/>
        <v>0</v>
      </c>
      <c r="R1346" s="7">
        <f t="shared" si="144"/>
        <v>3612.7799999999997</v>
      </c>
      <c r="S1346" s="7">
        <f t="shared" si="145"/>
        <v>1204.26</v>
      </c>
      <c r="T1346" s="6">
        <f t="shared" si="146"/>
        <v>1.2E-2</v>
      </c>
      <c r="V1346" t="s">
        <v>29</v>
      </c>
    </row>
    <row r="1347" spans="1:22">
      <c r="A1347" s="3">
        <v>45713</v>
      </c>
      <c r="B1347" t="str">
        <f t="shared" si="140"/>
        <v>yyyy-02</v>
      </c>
      <c r="C1347">
        <f t="shared" si="141"/>
        <v>9</v>
      </c>
      <c r="D1347" t="s">
        <v>66</v>
      </c>
      <c r="E1347" t="s">
        <v>71</v>
      </c>
      <c r="F1347" t="s">
        <v>75</v>
      </c>
      <c r="G1347" t="s">
        <v>36</v>
      </c>
      <c r="H1347" t="s">
        <v>37</v>
      </c>
      <c r="I1347" s="5">
        <v>357</v>
      </c>
      <c r="J1347" s="5">
        <v>204</v>
      </c>
      <c r="K1347" s="5">
        <v>21</v>
      </c>
      <c r="L1347" s="5">
        <v>8</v>
      </c>
      <c r="M1347" s="5">
        <v>10</v>
      </c>
      <c r="N1347" s="7">
        <v>38.29</v>
      </c>
      <c r="O1347" s="7">
        <f t="shared" si="142"/>
        <v>382.9</v>
      </c>
      <c r="P1347" s="4">
        <v>0.15</v>
      </c>
      <c r="Q1347" s="7">
        <f t="shared" si="143"/>
        <v>57.434999999999995</v>
      </c>
      <c r="R1347" s="7">
        <f t="shared" si="144"/>
        <v>325.46499999999997</v>
      </c>
      <c r="S1347" s="7">
        <f t="shared" si="145"/>
        <v>40.683124999999997</v>
      </c>
      <c r="T1347" s="6">
        <f t="shared" si="146"/>
        <v>2.2408963585434174E-2</v>
      </c>
      <c r="U1347" t="s">
        <v>87</v>
      </c>
      <c r="V1347" t="s">
        <v>29</v>
      </c>
    </row>
    <row r="1348" spans="1:22">
      <c r="A1348" s="3">
        <v>45713</v>
      </c>
      <c r="B1348" t="str">
        <f t="shared" si="140"/>
        <v>yyyy-02</v>
      </c>
      <c r="C1348">
        <f t="shared" si="141"/>
        <v>9</v>
      </c>
      <c r="D1348" t="s">
        <v>24</v>
      </c>
      <c r="E1348" t="s">
        <v>76</v>
      </c>
      <c r="F1348" t="s">
        <v>77</v>
      </c>
      <c r="G1348" t="s">
        <v>27</v>
      </c>
      <c r="H1348" t="s">
        <v>63</v>
      </c>
      <c r="I1348" s="5">
        <v>320</v>
      </c>
      <c r="J1348" s="5">
        <v>186</v>
      </c>
      <c r="K1348" s="5">
        <v>20</v>
      </c>
      <c r="L1348" s="5">
        <v>5</v>
      </c>
      <c r="M1348" s="5">
        <v>6</v>
      </c>
      <c r="N1348" s="7">
        <v>191.38</v>
      </c>
      <c r="O1348" s="7">
        <f t="shared" si="142"/>
        <v>1148.28</v>
      </c>
      <c r="P1348" s="4">
        <v>0</v>
      </c>
      <c r="Q1348" s="7">
        <f t="shared" si="143"/>
        <v>0</v>
      </c>
      <c r="R1348" s="7">
        <f t="shared" si="144"/>
        <v>1148.28</v>
      </c>
      <c r="S1348" s="7">
        <f t="shared" si="145"/>
        <v>229.65600000000001</v>
      </c>
      <c r="T1348" s="6">
        <f t="shared" si="146"/>
        <v>1.5625E-2</v>
      </c>
      <c r="V1348" t="s">
        <v>78</v>
      </c>
    </row>
    <row r="1349" spans="1:22">
      <c r="A1349" s="3">
        <v>45714</v>
      </c>
      <c r="B1349" t="str">
        <f t="shared" ref="B1349:B1412" si="147">TEXT(A1349,"yyyy-mm")</f>
        <v>yyyy-02</v>
      </c>
      <c r="C1349">
        <f t="shared" ref="C1349:C1412" si="148">WEEKNUM(A1349,2)</f>
        <v>9</v>
      </c>
      <c r="D1349" t="s">
        <v>24</v>
      </c>
      <c r="E1349" t="s">
        <v>25</v>
      </c>
      <c r="F1349" t="s">
        <v>26</v>
      </c>
      <c r="G1349" t="s">
        <v>31</v>
      </c>
      <c r="H1349" t="s">
        <v>32</v>
      </c>
      <c r="I1349" s="5">
        <v>2195</v>
      </c>
      <c r="J1349" s="5">
        <v>1763</v>
      </c>
      <c r="K1349" s="5">
        <v>155</v>
      </c>
      <c r="L1349" s="5">
        <v>34</v>
      </c>
      <c r="M1349" s="5">
        <v>34</v>
      </c>
      <c r="N1349" s="7">
        <v>990.52</v>
      </c>
      <c r="O1349" s="7">
        <f t="shared" ref="O1349:O1412" si="149">M1349*N1349</f>
        <v>33677.68</v>
      </c>
      <c r="P1349" s="4">
        <v>0</v>
      </c>
      <c r="Q1349" s="7">
        <f t="shared" ref="Q1349:Q1412" si="150">O1349*P1349</f>
        <v>0</v>
      </c>
      <c r="R1349" s="7">
        <f t="shared" ref="R1349:R1412" si="151">O1349-Q1349</f>
        <v>33677.68</v>
      </c>
      <c r="S1349" s="7">
        <f t="shared" ref="S1349:S1412" si="152">IFERROR(R1349/L1349,0)</f>
        <v>990.52</v>
      </c>
      <c r="T1349" s="6">
        <f t="shared" ref="T1349:T1412" si="153">IFERROR(L1349/I1349,0)</f>
        <v>1.5489749430523917E-2</v>
      </c>
      <c r="V1349" t="s">
        <v>29</v>
      </c>
    </row>
    <row r="1350" spans="1:22">
      <c r="A1350" s="3">
        <v>45714</v>
      </c>
      <c r="B1350" t="str">
        <f t="shared" si="147"/>
        <v>yyyy-02</v>
      </c>
      <c r="C1350">
        <f t="shared" si="148"/>
        <v>9</v>
      </c>
      <c r="D1350" t="s">
        <v>24</v>
      </c>
      <c r="E1350" t="s">
        <v>25</v>
      </c>
      <c r="F1350" t="s">
        <v>30</v>
      </c>
      <c r="G1350" t="s">
        <v>31</v>
      </c>
      <c r="H1350" t="s">
        <v>32</v>
      </c>
      <c r="I1350" s="5">
        <v>1802</v>
      </c>
      <c r="J1350" s="5">
        <v>1061</v>
      </c>
      <c r="K1350" s="5">
        <v>125</v>
      </c>
      <c r="L1350" s="5">
        <v>35</v>
      </c>
      <c r="M1350" s="5">
        <v>35</v>
      </c>
      <c r="N1350" s="7">
        <v>394.16</v>
      </c>
      <c r="O1350" s="7">
        <f t="shared" si="149"/>
        <v>13795.6</v>
      </c>
      <c r="P1350" s="4">
        <v>0</v>
      </c>
      <c r="Q1350" s="7">
        <f t="shared" si="150"/>
        <v>0</v>
      </c>
      <c r="R1350" s="7">
        <f t="shared" si="151"/>
        <v>13795.6</v>
      </c>
      <c r="S1350" s="7">
        <f t="shared" si="152"/>
        <v>394.16</v>
      </c>
      <c r="T1350" s="6">
        <f t="shared" si="153"/>
        <v>1.9422863485016647E-2</v>
      </c>
      <c r="V1350" t="s">
        <v>29</v>
      </c>
    </row>
    <row r="1351" spans="1:22">
      <c r="A1351" s="3">
        <v>45714</v>
      </c>
      <c r="B1351" t="str">
        <f t="shared" si="147"/>
        <v>yyyy-02</v>
      </c>
      <c r="C1351">
        <f t="shared" si="148"/>
        <v>9</v>
      </c>
      <c r="D1351" t="s">
        <v>24</v>
      </c>
      <c r="E1351" t="s">
        <v>25</v>
      </c>
      <c r="F1351" t="s">
        <v>33</v>
      </c>
      <c r="G1351" t="s">
        <v>36</v>
      </c>
      <c r="H1351" t="s">
        <v>37</v>
      </c>
      <c r="I1351" s="5">
        <v>1821</v>
      </c>
      <c r="J1351" s="5">
        <v>947</v>
      </c>
      <c r="K1351" s="5">
        <v>174</v>
      </c>
      <c r="L1351" s="5">
        <v>37</v>
      </c>
      <c r="M1351" s="5">
        <v>37</v>
      </c>
      <c r="N1351" s="7">
        <v>1761.89</v>
      </c>
      <c r="O1351" s="7">
        <f t="shared" si="149"/>
        <v>65189.93</v>
      </c>
      <c r="P1351" s="4">
        <v>0.03</v>
      </c>
      <c r="Q1351" s="7">
        <f t="shared" si="150"/>
        <v>1955.6978999999999</v>
      </c>
      <c r="R1351" s="7">
        <f t="shared" si="151"/>
        <v>63234.232100000001</v>
      </c>
      <c r="S1351" s="7">
        <f t="shared" si="152"/>
        <v>1709.0333000000001</v>
      </c>
      <c r="T1351" s="6">
        <f t="shared" si="153"/>
        <v>2.0318506315211423E-2</v>
      </c>
      <c r="V1351" t="s">
        <v>29</v>
      </c>
    </row>
    <row r="1352" spans="1:22">
      <c r="A1352" s="3">
        <v>45714</v>
      </c>
      <c r="B1352" t="str">
        <f t="shared" si="147"/>
        <v>yyyy-02</v>
      </c>
      <c r="C1352">
        <f t="shared" si="148"/>
        <v>9</v>
      </c>
      <c r="D1352" t="s">
        <v>24</v>
      </c>
      <c r="E1352" t="s">
        <v>34</v>
      </c>
      <c r="F1352" t="s">
        <v>35</v>
      </c>
      <c r="G1352" t="s">
        <v>27</v>
      </c>
      <c r="H1352" t="s">
        <v>28</v>
      </c>
      <c r="I1352" s="5">
        <v>707</v>
      </c>
      <c r="J1352" s="5">
        <v>388</v>
      </c>
      <c r="K1352" s="5">
        <v>63</v>
      </c>
      <c r="L1352" s="5">
        <v>14</v>
      </c>
      <c r="M1352" s="5">
        <v>14</v>
      </c>
      <c r="N1352" s="7">
        <v>869.83</v>
      </c>
      <c r="O1352" s="7">
        <f t="shared" si="149"/>
        <v>12177.62</v>
      </c>
      <c r="P1352" s="4">
        <v>0.03</v>
      </c>
      <c r="Q1352" s="7">
        <f t="shared" si="150"/>
        <v>365.32859999999999</v>
      </c>
      <c r="R1352" s="7">
        <f t="shared" si="151"/>
        <v>11812.2914</v>
      </c>
      <c r="S1352" s="7">
        <f t="shared" si="152"/>
        <v>843.73509999999999</v>
      </c>
      <c r="T1352" s="6">
        <f t="shared" si="153"/>
        <v>1.9801980198019802E-2</v>
      </c>
      <c r="V1352" t="s">
        <v>29</v>
      </c>
    </row>
    <row r="1353" spans="1:22">
      <c r="A1353" s="3">
        <v>45714</v>
      </c>
      <c r="B1353" t="str">
        <f t="shared" si="147"/>
        <v>yyyy-02</v>
      </c>
      <c r="C1353">
        <f t="shared" si="148"/>
        <v>9</v>
      </c>
      <c r="D1353" t="s">
        <v>24</v>
      </c>
      <c r="E1353" t="s">
        <v>38</v>
      </c>
      <c r="F1353" t="s">
        <v>39</v>
      </c>
      <c r="G1353" t="s">
        <v>27</v>
      </c>
      <c r="H1353" t="s">
        <v>28</v>
      </c>
      <c r="I1353" s="5">
        <v>802</v>
      </c>
      <c r="J1353" s="5">
        <v>517</v>
      </c>
      <c r="K1353" s="5">
        <v>46</v>
      </c>
      <c r="L1353" s="5">
        <v>20</v>
      </c>
      <c r="M1353" s="5">
        <v>20</v>
      </c>
      <c r="N1353" s="7">
        <v>319.48</v>
      </c>
      <c r="O1353" s="7">
        <f t="shared" si="149"/>
        <v>6389.6</v>
      </c>
      <c r="P1353" s="4">
        <v>0</v>
      </c>
      <c r="Q1353" s="7">
        <f t="shared" si="150"/>
        <v>0</v>
      </c>
      <c r="R1353" s="7">
        <f t="shared" si="151"/>
        <v>6389.6</v>
      </c>
      <c r="S1353" s="7">
        <f t="shared" si="152"/>
        <v>319.48</v>
      </c>
      <c r="T1353" s="6">
        <f t="shared" si="153"/>
        <v>2.4937655860349128E-2</v>
      </c>
      <c r="V1353" t="s">
        <v>29</v>
      </c>
    </row>
    <row r="1354" spans="1:22">
      <c r="A1354" s="3">
        <v>45714</v>
      </c>
      <c r="B1354" t="str">
        <f t="shared" si="147"/>
        <v>yyyy-02</v>
      </c>
      <c r="C1354">
        <f t="shared" si="148"/>
        <v>9</v>
      </c>
      <c r="D1354" t="s">
        <v>24</v>
      </c>
      <c r="E1354" t="s">
        <v>40</v>
      </c>
      <c r="F1354" t="s">
        <v>41</v>
      </c>
      <c r="G1354" t="s">
        <v>27</v>
      </c>
      <c r="H1354" t="s">
        <v>28</v>
      </c>
      <c r="I1354" s="5">
        <v>685</v>
      </c>
      <c r="J1354" s="5">
        <v>454</v>
      </c>
      <c r="K1354" s="5">
        <v>54</v>
      </c>
      <c r="L1354" s="5">
        <v>15</v>
      </c>
      <c r="M1354" s="5">
        <v>17</v>
      </c>
      <c r="N1354" s="7">
        <v>181.5</v>
      </c>
      <c r="O1354" s="7">
        <f t="shared" si="149"/>
        <v>3085.5</v>
      </c>
      <c r="P1354" s="4">
        <v>0</v>
      </c>
      <c r="Q1354" s="7">
        <f t="shared" si="150"/>
        <v>0</v>
      </c>
      <c r="R1354" s="7">
        <f t="shared" si="151"/>
        <v>3085.5</v>
      </c>
      <c r="S1354" s="7">
        <f t="shared" si="152"/>
        <v>205.7</v>
      </c>
      <c r="T1354" s="6">
        <f t="shared" si="153"/>
        <v>2.1897810218978103E-2</v>
      </c>
      <c r="V1354" t="s">
        <v>29</v>
      </c>
    </row>
    <row r="1355" spans="1:22">
      <c r="A1355" s="3">
        <v>45714</v>
      </c>
      <c r="B1355" t="str">
        <f t="shared" si="147"/>
        <v>yyyy-02</v>
      </c>
      <c r="C1355">
        <f t="shared" si="148"/>
        <v>9</v>
      </c>
      <c r="D1355" t="s">
        <v>42</v>
      </c>
      <c r="E1355" t="s">
        <v>43</v>
      </c>
      <c r="F1355" t="s">
        <v>44</v>
      </c>
      <c r="G1355" t="s">
        <v>36</v>
      </c>
      <c r="H1355" t="s">
        <v>37</v>
      </c>
      <c r="I1355" s="5">
        <v>349</v>
      </c>
      <c r="J1355" s="5">
        <v>185</v>
      </c>
      <c r="K1355" s="5">
        <v>19</v>
      </c>
      <c r="L1355" s="5">
        <v>6</v>
      </c>
      <c r="M1355" s="5">
        <v>6</v>
      </c>
      <c r="N1355" s="7">
        <v>1262.46</v>
      </c>
      <c r="O1355" s="7">
        <f t="shared" si="149"/>
        <v>7574.76</v>
      </c>
      <c r="P1355" s="4">
        <v>0</v>
      </c>
      <c r="Q1355" s="7">
        <f t="shared" si="150"/>
        <v>0</v>
      </c>
      <c r="R1355" s="7">
        <f t="shared" si="151"/>
        <v>7574.76</v>
      </c>
      <c r="S1355" s="7">
        <f t="shared" si="152"/>
        <v>1262.46</v>
      </c>
      <c r="T1355" s="6">
        <f t="shared" si="153"/>
        <v>1.7191977077363897E-2</v>
      </c>
      <c r="V1355" t="s">
        <v>29</v>
      </c>
    </row>
    <row r="1356" spans="1:22">
      <c r="A1356" s="3">
        <v>45714</v>
      </c>
      <c r="B1356" t="str">
        <f t="shared" si="147"/>
        <v>yyyy-02</v>
      </c>
      <c r="C1356">
        <f t="shared" si="148"/>
        <v>9</v>
      </c>
      <c r="D1356" t="s">
        <v>42</v>
      </c>
      <c r="E1356" t="s">
        <v>43</v>
      </c>
      <c r="F1356" t="s">
        <v>46</v>
      </c>
      <c r="G1356" t="s">
        <v>31</v>
      </c>
      <c r="H1356" t="s">
        <v>32</v>
      </c>
      <c r="I1356" s="5">
        <v>456</v>
      </c>
      <c r="J1356" s="5">
        <v>355</v>
      </c>
      <c r="K1356" s="5">
        <v>19</v>
      </c>
      <c r="L1356" s="5">
        <v>6</v>
      </c>
      <c r="M1356" s="5">
        <v>6</v>
      </c>
      <c r="N1356" s="7">
        <v>2174.4699999999998</v>
      </c>
      <c r="O1356" s="7">
        <f t="shared" si="149"/>
        <v>13046.82</v>
      </c>
      <c r="P1356" s="4">
        <v>0</v>
      </c>
      <c r="Q1356" s="7">
        <f t="shared" si="150"/>
        <v>0</v>
      </c>
      <c r="R1356" s="7">
        <f t="shared" si="151"/>
        <v>13046.82</v>
      </c>
      <c r="S1356" s="7">
        <f t="shared" si="152"/>
        <v>2174.4699999999998</v>
      </c>
      <c r="T1356" s="6">
        <f t="shared" si="153"/>
        <v>1.3157894736842105E-2</v>
      </c>
      <c r="V1356" t="s">
        <v>29</v>
      </c>
    </row>
    <row r="1357" spans="1:22">
      <c r="A1357" s="3">
        <v>45714</v>
      </c>
      <c r="B1357" t="str">
        <f t="shared" si="147"/>
        <v>yyyy-02</v>
      </c>
      <c r="C1357">
        <f t="shared" si="148"/>
        <v>9</v>
      </c>
      <c r="D1357" t="s">
        <v>42</v>
      </c>
      <c r="E1357" t="s">
        <v>43</v>
      </c>
      <c r="F1357" t="s">
        <v>47</v>
      </c>
      <c r="G1357" t="s">
        <v>27</v>
      </c>
      <c r="H1357" t="s">
        <v>48</v>
      </c>
      <c r="I1357" s="5">
        <v>388</v>
      </c>
      <c r="J1357" s="5">
        <v>256</v>
      </c>
      <c r="K1357" s="5">
        <v>21</v>
      </c>
      <c r="L1357" s="5">
        <v>5</v>
      </c>
      <c r="M1357" s="5">
        <v>5</v>
      </c>
      <c r="N1357" s="7">
        <v>579.27</v>
      </c>
      <c r="O1357" s="7">
        <f t="shared" si="149"/>
        <v>2896.35</v>
      </c>
      <c r="P1357" s="4">
        <v>0</v>
      </c>
      <c r="Q1357" s="7">
        <f t="shared" si="150"/>
        <v>0</v>
      </c>
      <c r="R1357" s="7">
        <f t="shared" si="151"/>
        <v>2896.35</v>
      </c>
      <c r="S1357" s="7">
        <f t="shared" si="152"/>
        <v>579.27</v>
      </c>
      <c r="T1357" s="6">
        <f t="shared" si="153"/>
        <v>1.2886597938144329E-2</v>
      </c>
      <c r="V1357" t="s">
        <v>29</v>
      </c>
    </row>
    <row r="1358" spans="1:22">
      <c r="A1358" s="3">
        <v>45714</v>
      </c>
      <c r="B1358" t="str">
        <f t="shared" si="147"/>
        <v>yyyy-02</v>
      </c>
      <c r="C1358">
        <f t="shared" si="148"/>
        <v>9</v>
      </c>
      <c r="D1358" t="s">
        <v>42</v>
      </c>
      <c r="E1358" t="s">
        <v>49</v>
      </c>
      <c r="F1358" t="s">
        <v>50</v>
      </c>
      <c r="G1358" t="s">
        <v>36</v>
      </c>
      <c r="H1358" t="s">
        <v>37</v>
      </c>
      <c r="I1358" s="5">
        <v>131</v>
      </c>
      <c r="J1358" s="5">
        <v>81</v>
      </c>
      <c r="K1358" s="5">
        <v>8</v>
      </c>
      <c r="L1358" s="5">
        <v>2</v>
      </c>
      <c r="M1358" s="5">
        <v>2</v>
      </c>
      <c r="N1358" s="7">
        <v>988.25</v>
      </c>
      <c r="O1358" s="7">
        <f t="shared" si="149"/>
        <v>1976.5</v>
      </c>
      <c r="P1358" s="4">
        <v>0.03</v>
      </c>
      <c r="Q1358" s="7">
        <f t="shared" si="150"/>
        <v>59.294999999999995</v>
      </c>
      <c r="R1358" s="7">
        <f t="shared" si="151"/>
        <v>1917.2049999999999</v>
      </c>
      <c r="S1358" s="7">
        <f t="shared" si="152"/>
        <v>958.60249999999996</v>
      </c>
      <c r="T1358" s="6">
        <f t="shared" si="153"/>
        <v>1.5267175572519083E-2</v>
      </c>
      <c r="V1358" t="s">
        <v>29</v>
      </c>
    </row>
    <row r="1359" spans="1:22">
      <c r="A1359" s="3">
        <v>45714</v>
      </c>
      <c r="B1359" t="str">
        <f t="shared" si="147"/>
        <v>yyyy-02</v>
      </c>
      <c r="C1359">
        <f t="shared" si="148"/>
        <v>9</v>
      </c>
      <c r="D1359" t="s">
        <v>42</v>
      </c>
      <c r="E1359" t="s">
        <v>51</v>
      </c>
      <c r="F1359" t="s">
        <v>52</v>
      </c>
      <c r="G1359" t="s">
        <v>27</v>
      </c>
      <c r="H1359" t="s">
        <v>28</v>
      </c>
      <c r="I1359" s="5">
        <v>290</v>
      </c>
      <c r="J1359" s="5">
        <v>174</v>
      </c>
      <c r="K1359" s="5">
        <v>16</v>
      </c>
      <c r="L1359" s="5">
        <v>5</v>
      </c>
      <c r="M1359" s="5">
        <v>5</v>
      </c>
      <c r="N1359" s="7">
        <v>594.57000000000005</v>
      </c>
      <c r="O1359" s="7">
        <f t="shared" si="149"/>
        <v>2972.8500000000004</v>
      </c>
      <c r="P1359" s="4">
        <v>0.05</v>
      </c>
      <c r="Q1359" s="7">
        <f t="shared" si="150"/>
        <v>148.64250000000001</v>
      </c>
      <c r="R1359" s="7">
        <f t="shared" si="151"/>
        <v>2824.2075000000004</v>
      </c>
      <c r="S1359" s="7">
        <f t="shared" si="152"/>
        <v>564.84150000000011</v>
      </c>
      <c r="T1359" s="6">
        <f t="shared" si="153"/>
        <v>1.7241379310344827E-2</v>
      </c>
      <c r="V1359" t="s">
        <v>29</v>
      </c>
    </row>
    <row r="1360" spans="1:22">
      <c r="A1360" s="3">
        <v>45714</v>
      </c>
      <c r="B1360" t="str">
        <f t="shared" si="147"/>
        <v>yyyy-02</v>
      </c>
      <c r="C1360">
        <f t="shared" si="148"/>
        <v>9</v>
      </c>
      <c r="D1360" t="s">
        <v>53</v>
      </c>
      <c r="E1360" t="s">
        <v>54</v>
      </c>
      <c r="F1360" t="s">
        <v>55</v>
      </c>
      <c r="G1360" t="s">
        <v>31</v>
      </c>
      <c r="H1360" t="s">
        <v>32</v>
      </c>
      <c r="I1360" s="5">
        <v>160</v>
      </c>
      <c r="J1360" s="5">
        <v>124</v>
      </c>
      <c r="K1360" s="5">
        <v>8</v>
      </c>
      <c r="L1360" s="5">
        <v>2</v>
      </c>
      <c r="M1360" s="5">
        <v>2</v>
      </c>
      <c r="N1360" s="7">
        <v>1274.1300000000001</v>
      </c>
      <c r="O1360" s="7">
        <f t="shared" si="149"/>
        <v>2548.2600000000002</v>
      </c>
      <c r="P1360" s="4">
        <v>0.1</v>
      </c>
      <c r="Q1360" s="7">
        <f t="shared" si="150"/>
        <v>254.82600000000002</v>
      </c>
      <c r="R1360" s="7">
        <f t="shared" si="151"/>
        <v>2293.4340000000002</v>
      </c>
      <c r="S1360" s="7">
        <f t="shared" si="152"/>
        <v>1146.7170000000001</v>
      </c>
      <c r="T1360" s="6">
        <f t="shared" si="153"/>
        <v>1.2500000000000001E-2</v>
      </c>
      <c r="U1360" t="s">
        <v>86</v>
      </c>
      <c r="V1360" t="s">
        <v>29</v>
      </c>
    </row>
    <row r="1361" spans="1:22">
      <c r="A1361" s="3">
        <v>45714</v>
      </c>
      <c r="B1361" t="str">
        <f t="shared" si="147"/>
        <v>yyyy-02</v>
      </c>
      <c r="C1361">
        <f t="shared" si="148"/>
        <v>9</v>
      </c>
      <c r="D1361" t="s">
        <v>53</v>
      </c>
      <c r="E1361" t="s">
        <v>56</v>
      </c>
      <c r="F1361" t="s">
        <v>57</v>
      </c>
      <c r="G1361" t="s">
        <v>36</v>
      </c>
      <c r="H1361" t="s">
        <v>37</v>
      </c>
      <c r="I1361" s="5">
        <v>268</v>
      </c>
      <c r="J1361" s="5">
        <v>181</v>
      </c>
      <c r="K1361" s="5">
        <v>22</v>
      </c>
      <c r="L1361" s="5">
        <v>3</v>
      </c>
      <c r="M1361" s="5">
        <v>3</v>
      </c>
      <c r="N1361" s="7">
        <v>727.8</v>
      </c>
      <c r="O1361" s="7">
        <f t="shared" si="149"/>
        <v>2183.3999999999996</v>
      </c>
      <c r="P1361" s="4">
        <v>0.03</v>
      </c>
      <c r="Q1361" s="7">
        <f t="shared" si="150"/>
        <v>65.501999999999981</v>
      </c>
      <c r="R1361" s="7">
        <f t="shared" si="151"/>
        <v>2117.8979999999997</v>
      </c>
      <c r="S1361" s="7">
        <f t="shared" si="152"/>
        <v>705.96599999999989</v>
      </c>
      <c r="T1361" s="6">
        <f t="shared" si="153"/>
        <v>1.1194029850746268E-2</v>
      </c>
      <c r="V1361" t="s">
        <v>29</v>
      </c>
    </row>
    <row r="1362" spans="1:22">
      <c r="A1362" s="3">
        <v>45714</v>
      </c>
      <c r="B1362" t="str">
        <f t="shared" si="147"/>
        <v>yyyy-02</v>
      </c>
      <c r="C1362">
        <f t="shared" si="148"/>
        <v>9</v>
      </c>
      <c r="D1362" t="s">
        <v>53</v>
      </c>
      <c r="E1362" t="s">
        <v>56</v>
      </c>
      <c r="F1362" t="s">
        <v>58</v>
      </c>
      <c r="G1362" t="s">
        <v>27</v>
      </c>
      <c r="H1362" t="s">
        <v>48</v>
      </c>
      <c r="I1362" s="5">
        <v>174</v>
      </c>
      <c r="J1362" s="5">
        <v>101</v>
      </c>
      <c r="K1362" s="5">
        <v>10</v>
      </c>
      <c r="L1362" s="5">
        <v>2</v>
      </c>
      <c r="M1362" s="5">
        <v>2</v>
      </c>
      <c r="N1362" s="7">
        <v>893.4</v>
      </c>
      <c r="O1362" s="7">
        <f t="shared" si="149"/>
        <v>1786.8</v>
      </c>
      <c r="P1362" s="4">
        <v>0</v>
      </c>
      <c r="Q1362" s="7">
        <f t="shared" si="150"/>
        <v>0</v>
      </c>
      <c r="R1362" s="7">
        <f t="shared" si="151"/>
        <v>1786.8</v>
      </c>
      <c r="S1362" s="7">
        <f t="shared" si="152"/>
        <v>893.4</v>
      </c>
      <c r="T1362" s="6">
        <f t="shared" si="153"/>
        <v>1.1494252873563218E-2</v>
      </c>
      <c r="V1362" t="s">
        <v>29</v>
      </c>
    </row>
    <row r="1363" spans="1:22">
      <c r="A1363" s="3">
        <v>45714</v>
      </c>
      <c r="B1363" t="str">
        <f t="shared" si="147"/>
        <v>yyyy-02</v>
      </c>
      <c r="C1363">
        <f t="shared" si="148"/>
        <v>9</v>
      </c>
      <c r="D1363" t="s">
        <v>53</v>
      </c>
      <c r="E1363" t="s">
        <v>59</v>
      </c>
      <c r="F1363" t="s">
        <v>60</v>
      </c>
      <c r="G1363" t="s">
        <v>27</v>
      </c>
      <c r="H1363" t="s">
        <v>28</v>
      </c>
      <c r="I1363" s="5">
        <v>132</v>
      </c>
      <c r="J1363" s="5">
        <v>107</v>
      </c>
      <c r="K1363" s="5">
        <v>6</v>
      </c>
      <c r="L1363" s="5">
        <v>2</v>
      </c>
      <c r="M1363" s="5">
        <v>2</v>
      </c>
      <c r="N1363" s="7">
        <v>677.99</v>
      </c>
      <c r="O1363" s="7">
        <f t="shared" si="149"/>
        <v>1355.98</v>
      </c>
      <c r="P1363" s="4">
        <v>0</v>
      </c>
      <c r="Q1363" s="7">
        <f t="shared" si="150"/>
        <v>0</v>
      </c>
      <c r="R1363" s="7">
        <f t="shared" si="151"/>
        <v>1355.98</v>
      </c>
      <c r="S1363" s="7">
        <f t="shared" si="152"/>
        <v>677.99</v>
      </c>
      <c r="T1363" s="6">
        <f t="shared" si="153"/>
        <v>1.5151515151515152E-2</v>
      </c>
      <c r="V1363" t="s">
        <v>29</v>
      </c>
    </row>
    <row r="1364" spans="1:22">
      <c r="A1364" s="3">
        <v>45714</v>
      </c>
      <c r="B1364" t="str">
        <f t="shared" si="147"/>
        <v>yyyy-02</v>
      </c>
      <c r="C1364">
        <f t="shared" si="148"/>
        <v>9</v>
      </c>
      <c r="D1364" t="s">
        <v>53</v>
      </c>
      <c r="E1364" t="s">
        <v>61</v>
      </c>
      <c r="F1364" t="s">
        <v>62</v>
      </c>
      <c r="G1364" t="s">
        <v>27</v>
      </c>
      <c r="H1364" t="s">
        <v>28</v>
      </c>
      <c r="I1364" s="5">
        <v>168</v>
      </c>
      <c r="J1364" s="5">
        <v>135</v>
      </c>
      <c r="K1364" s="5">
        <v>16</v>
      </c>
      <c r="L1364" s="5">
        <v>2</v>
      </c>
      <c r="M1364" s="5">
        <v>2</v>
      </c>
      <c r="N1364" s="7">
        <v>491.74</v>
      </c>
      <c r="O1364" s="7">
        <f t="shared" si="149"/>
        <v>983.48</v>
      </c>
      <c r="P1364" s="4">
        <v>0.03</v>
      </c>
      <c r="Q1364" s="7">
        <f t="shared" si="150"/>
        <v>29.5044</v>
      </c>
      <c r="R1364" s="7">
        <f t="shared" si="151"/>
        <v>953.97559999999999</v>
      </c>
      <c r="S1364" s="7">
        <f t="shared" si="152"/>
        <v>476.98779999999999</v>
      </c>
      <c r="T1364" s="6">
        <f t="shared" si="153"/>
        <v>1.1904761904761904E-2</v>
      </c>
      <c r="V1364" t="s">
        <v>29</v>
      </c>
    </row>
    <row r="1365" spans="1:22">
      <c r="A1365" s="3">
        <v>45714</v>
      </c>
      <c r="B1365" t="str">
        <f t="shared" si="147"/>
        <v>yyyy-02</v>
      </c>
      <c r="C1365">
        <f t="shared" si="148"/>
        <v>9</v>
      </c>
      <c r="D1365" t="s">
        <v>53</v>
      </c>
      <c r="E1365" t="s">
        <v>64</v>
      </c>
      <c r="F1365" t="s">
        <v>65</v>
      </c>
      <c r="G1365" t="s">
        <v>31</v>
      </c>
      <c r="H1365" t="s">
        <v>32</v>
      </c>
      <c r="I1365" s="5">
        <v>259</v>
      </c>
      <c r="J1365" s="5">
        <v>207</v>
      </c>
      <c r="K1365" s="5">
        <v>19</v>
      </c>
      <c r="L1365" s="5">
        <v>4</v>
      </c>
      <c r="M1365" s="5">
        <v>4</v>
      </c>
      <c r="N1365" s="7">
        <v>773.57</v>
      </c>
      <c r="O1365" s="7">
        <f t="shared" si="149"/>
        <v>3094.28</v>
      </c>
      <c r="P1365" s="4">
        <v>0</v>
      </c>
      <c r="Q1365" s="7">
        <f t="shared" si="150"/>
        <v>0</v>
      </c>
      <c r="R1365" s="7">
        <f t="shared" si="151"/>
        <v>3094.28</v>
      </c>
      <c r="S1365" s="7">
        <f t="shared" si="152"/>
        <v>773.57</v>
      </c>
      <c r="T1365" s="6">
        <f t="shared" si="153"/>
        <v>1.5444015444015444E-2</v>
      </c>
      <c r="V1365" t="s">
        <v>29</v>
      </c>
    </row>
    <row r="1366" spans="1:22">
      <c r="A1366" s="3">
        <v>45714</v>
      </c>
      <c r="B1366" t="str">
        <f t="shared" si="147"/>
        <v>yyyy-02</v>
      </c>
      <c r="C1366">
        <f t="shared" si="148"/>
        <v>9</v>
      </c>
      <c r="D1366" t="s">
        <v>66</v>
      </c>
      <c r="E1366" t="s">
        <v>67</v>
      </c>
      <c r="F1366" t="s">
        <v>68</v>
      </c>
      <c r="G1366" t="s">
        <v>27</v>
      </c>
      <c r="H1366" t="s">
        <v>63</v>
      </c>
      <c r="I1366" s="5">
        <v>234</v>
      </c>
      <c r="J1366" s="5">
        <v>173</v>
      </c>
      <c r="K1366" s="5">
        <v>17</v>
      </c>
      <c r="L1366" s="5">
        <v>4</v>
      </c>
      <c r="M1366" s="5">
        <v>4</v>
      </c>
      <c r="N1366" s="7">
        <v>695.95</v>
      </c>
      <c r="O1366" s="7">
        <f t="shared" si="149"/>
        <v>2783.8</v>
      </c>
      <c r="P1366" s="4">
        <v>0</v>
      </c>
      <c r="Q1366" s="7">
        <f t="shared" si="150"/>
        <v>0</v>
      </c>
      <c r="R1366" s="7">
        <f t="shared" si="151"/>
        <v>2783.8</v>
      </c>
      <c r="S1366" s="7">
        <f t="shared" si="152"/>
        <v>695.95</v>
      </c>
      <c r="T1366" s="6">
        <f t="shared" si="153"/>
        <v>1.7094017094017096E-2</v>
      </c>
      <c r="V1366" t="s">
        <v>78</v>
      </c>
    </row>
    <row r="1367" spans="1:22">
      <c r="A1367" s="3">
        <v>45714</v>
      </c>
      <c r="B1367" t="str">
        <f t="shared" si="147"/>
        <v>yyyy-02</v>
      </c>
      <c r="C1367">
        <f t="shared" si="148"/>
        <v>9</v>
      </c>
      <c r="D1367" t="s">
        <v>66</v>
      </c>
      <c r="E1367" t="s">
        <v>67</v>
      </c>
      <c r="F1367" t="s">
        <v>69</v>
      </c>
      <c r="G1367" t="s">
        <v>31</v>
      </c>
      <c r="H1367" t="s">
        <v>32</v>
      </c>
      <c r="I1367" s="5">
        <v>370</v>
      </c>
      <c r="J1367" s="5">
        <v>303</v>
      </c>
      <c r="K1367" s="5">
        <v>44</v>
      </c>
      <c r="L1367" s="5">
        <v>9</v>
      </c>
      <c r="M1367" s="5">
        <v>9</v>
      </c>
      <c r="N1367" s="7">
        <v>386.86</v>
      </c>
      <c r="O1367" s="7">
        <f t="shared" si="149"/>
        <v>3481.7400000000002</v>
      </c>
      <c r="P1367" s="4">
        <v>0</v>
      </c>
      <c r="Q1367" s="7">
        <f t="shared" si="150"/>
        <v>0</v>
      </c>
      <c r="R1367" s="7">
        <f t="shared" si="151"/>
        <v>3481.7400000000002</v>
      </c>
      <c r="S1367" s="7">
        <f t="shared" si="152"/>
        <v>386.86</v>
      </c>
      <c r="T1367" s="6">
        <f t="shared" si="153"/>
        <v>2.4324324324324326E-2</v>
      </c>
      <c r="V1367" t="s">
        <v>29</v>
      </c>
    </row>
    <row r="1368" spans="1:22">
      <c r="A1368" s="3">
        <v>45714</v>
      </c>
      <c r="B1368" t="str">
        <f t="shared" si="147"/>
        <v>yyyy-02</v>
      </c>
      <c r="C1368">
        <f t="shared" si="148"/>
        <v>9</v>
      </c>
      <c r="D1368" t="s">
        <v>66</v>
      </c>
      <c r="E1368" t="s">
        <v>67</v>
      </c>
      <c r="F1368" t="s">
        <v>70</v>
      </c>
      <c r="G1368" t="s">
        <v>36</v>
      </c>
      <c r="H1368" t="s">
        <v>37</v>
      </c>
      <c r="I1368" s="5">
        <v>377</v>
      </c>
      <c r="J1368" s="5">
        <v>293</v>
      </c>
      <c r="K1368" s="5">
        <v>24</v>
      </c>
      <c r="L1368" s="5">
        <v>5</v>
      </c>
      <c r="M1368" s="5">
        <v>5</v>
      </c>
      <c r="N1368" s="7">
        <v>353.73</v>
      </c>
      <c r="O1368" s="7">
        <f t="shared" si="149"/>
        <v>1768.65</v>
      </c>
      <c r="P1368" s="4">
        <v>0.03</v>
      </c>
      <c r="Q1368" s="7">
        <f t="shared" si="150"/>
        <v>53.0595</v>
      </c>
      <c r="R1368" s="7">
        <f t="shared" si="151"/>
        <v>1715.5905</v>
      </c>
      <c r="S1368" s="7">
        <f t="shared" si="152"/>
        <v>343.11810000000003</v>
      </c>
      <c r="T1368" s="6">
        <f t="shared" si="153"/>
        <v>1.3262599469496022E-2</v>
      </c>
      <c r="V1368" t="s">
        <v>29</v>
      </c>
    </row>
    <row r="1369" spans="1:22">
      <c r="A1369" s="3">
        <v>45714</v>
      </c>
      <c r="B1369" t="str">
        <f t="shared" si="147"/>
        <v>yyyy-02</v>
      </c>
      <c r="C1369">
        <f t="shared" si="148"/>
        <v>9</v>
      </c>
      <c r="D1369" t="s">
        <v>66</v>
      </c>
      <c r="E1369" t="s">
        <v>71</v>
      </c>
      <c r="F1369" t="s">
        <v>72</v>
      </c>
      <c r="G1369" t="s">
        <v>31</v>
      </c>
      <c r="H1369" t="s">
        <v>32</v>
      </c>
      <c r="I1369" s="5">
        <v>392</v>
      </c>
      <c r="J1369" s="5">
        <v>257</v>
      </c>
      <c r="K1369" s="5">
        <v>43</v>
      </c>
      <c r="L1369" s="5">
        <v>10</v>
      </c>
      <c r="M1369" s="5">
        <v>11</v>
      </c>
      <c r="N1369" s="7">
        <v>126.25</v>
      </c>
      <c r="O1369" s="7">
        <f t="shared" si="149"/>
        <v>1388.75</v>
      </c>
      <c r="P1369" s="4">
        <v>0.15</v>
      </c>
      <c r="Q1369" s="7">
        <f t="shared" si="150"/>
        <v>208.3125</v>
      </c>
      <c r="R1369" s="7">
        <f t="shared" si="151"/>
        <v>1180.4375</v>
      </c>
      <c r="S1369" s="7">
        <f t="shared" si="152"/>
        <v>118.04375</v>
      </c>
      <c r="T1369" s="6">
        <f t="shared" si="153"/>
        <v>2.5510204081632654E-2</v>
      </c>
      <c r="U1369" t="s">
        <v>87</v>
      </c>
      <c r="V1369" t="s">
        <v>29</v>
      </c>
    </row>
    <row r="1370" spans="1:22">
      <c r="A1370" s="3">
        <v>45714</v>
      </c>
      <c r="B1370" t="str">
        <f t="shared" si="147"/>
        <v>yyyy-02</v>
      </c>
      <c r="C1370">
        <f t="shared" si="148"/>
        <v>9</v>
      </c>
      <c r="D1370" t="s">
        <v>66</v>
      </c>
      <c r="E1370" t="s">
        <v>73</v>
      </c>
      <c r="F1370" t="s">
        <v>74</v>
      </c>
      <c r="G1370" t="s">
        <v>31</v>
      </c>
      <c r="H1370" t="s">
        <v>32</v>
      </c>
      <c r="I1370" s="5">
        <v>228</v>
      </c>
      <c r="J1370" s="5">
        <v>134</v>
      </c>
      <c r="K1370" s="5">
        <v>18</v>
      </c>
      <c r="L1370" s="5">
        <v>4</v>
      </c>
      <c r="M1370" s="5">
        <v>4</v>
      </c>
      <c r="N1370" s="7">
        <v>1194.93</v>
      </c>
      <c r="O1370" s="7">
        <f t="shared" si="149"/>
        <v>4779.72</v>
      </c>
      <c r="P1370" s="4">
        <v>0.05</v>
      </c>
      <c r="Q1370" s="7">
        <f t="shared" si="150"/>
        <v>238.98600000000002</v>
      </c>
      <c r="R1370" s="7">
        <f t="shared" si="151"/>
        <v>4540.7340000000004</v>
      </c>
      <c r="S1370" s="7">
        <f t="shared" si="152"/>
        <v>1135.1835000000001</v>
      </c>
      <c r="T1370" s="6">
        <f t="shared" si="153"/>
        <v>1.7543859649122806E-2</v>
      </c>
      <c r="V1370" t="s">
        <v>29</v>
      </c>
    </row>
    <row r="1371" spans="1:22">
      <c r="A1371" s="3">
        <v>45714</v>
      </c>
      <c r="B1371" t="str">
        <f t="shared" si="147"/>
        <v>yyyy-02</v>
      </c>
      <c r="C1371">
        <f t="shared" si="148"/>
        <v>9</v>
      </c>
      <c r="D1371" t="s">
        <v>66</v>
      </c>
      <c r="E1371" t="s">
        <v>71</v>
      </c>
      <c r="F1371" t="s">
        <v>75</v>
      </c>
      <c r="G1371" t="s">
        <v>31</v>
      </c>
      <c r="H1371" t="s">
        <v>32</v>
      </c>
      <c r="I1371" s="5">
        <v>365</v>
      </c>
      <c r="J1371" s="5">
        <v>288</v>
      </c>
      <c r="K1371" s="5">
        <v>31</v>
      </c>
      <c r="L1371" s="5">
        <v>10</v>
      </c>
      <c r="M1371" s="5">
        <v>11</v>
      </c>
      <c r="N1371" s="7">
        <v>38.909999999999997</v>
      </c>
      <c r="O1371" s="7">
        <f t="shared" si="149"/>
        <v>428.01</v>
      </c>
      <c r="P1371" s="4">
        <v>0.15</v>
      </c>
      <c r="Q1371" s="7">
        <f t="shared" si="150"/>
        <v>64.201499999999996</v>
      </c>
      <c r="R1371" s="7">
        <f t="shared" si="151"/>
        <v>363.80849999999998</v>
      </c>
      <c r="S1371" s="7">
        <f t="shared" si="152"/>
        <v>36.380849999999995</v>
      </c>
      <c r="T1371" s="6">
        <f t="shared" si="153"/>
        <v>2.7397260273972601E-2</v>
      </c>
      <c r="U1371" t="s">
        <v>87</v>
      </c>
      <c r="V1371" t="s">
        <v>29</v>
      </c>
    </row>
    <row r="1372" spans="1:22">
      <c r="A1372" s="3">
        <v>45714</v>
      </c>
      <c r="B1372" t="str">
        <f t="shared" si="147"/>
        <v>yyyy-02</v>
      </c>
      <c r="C1372">
        <f t="shared" si="148"/>
        <v>9</v>
      </c>
      <c r="D1372" t="s">
        <v>24</v>
      </c>
      <c r="E1372" t="s">
        <v>76</v>
      </c>
      <c r="F1372" t="s">
        <v>77</v>
      </c>
      <c r="G1372" t="s">
        <v>36</v>
      </c>
      <c r="H1372" t="s">
        <v>37</v>
      </c>
      <c r="I1372" s="5">
        <v>434</v>
      </c>
      <c r="J1372" s="5">
        <v>318</v>
      </c>
      <c r="K1372" s="5">
        <v>43</v>
      </c>
      <c r="L1372" s="5">
        <v>10</v>
      </c>
      <c r="M1372" s="5">
        <v>11</v>
      </c>
      <c r="N1372" s="7">
        <v>202.95</v>
      </c>
      <c r="O1372" s="7">
        <f t="shared" si="149"/>
        <v>2232.4499999999998</v>
      </c>
      <c r="P1372" s="4">
        <v>0</v>
      </c>
      <c r="Q1372" s="7">
        <f t="shared" si="150"/>
        <v>0</v>
      </c>
      <c r="R1372" s="7">
        <f t="shared" si="151"/>
        <v>2232.4499999999998</v>
      </c>
      <c r="S1372" s="7">
        <f t="shared" si="152"/>
        <v>223.24499999999998</v>
      </c>
      <c r="T1372" s="6">
        <f t="shared" si="153"/>
        <v>2.3041474654377881E-2</v>
      </c>
      <c r="V1372" t="s">
        <v>29</v>
      </c>
    </row>
    <row r="1373" spans="1:22">
      <c r="A1373" s="3">
        <v>45715</v>
      </c>
      <c r="B1373" t="str">
        <f t="shared" si="147"/>
        <v>yyyy-02</v>
      </c>
      <c r="C1373">
        <f t="shared" si="148"/>
        <v>9</v>
      </c>
      <c r="D1373" t="s">
        <v>24</v>
      </c>
      <c r="E1373" t="s">
        <v>25</v>
      </c>
      <c r="F1373" t="s">
        <v>26</v>
      </c>
      <c r="G1373" t="s">
        <v>27</v>
      </c>
      <c r="H1373" t="s">
        <v>28</v>
      </c>
      <c r="I1373" s="5">
        <v>1444</v>
      </c>
      <c r="J1373" s="5">
        <v>972</v>
      </c>
      <c r="K1373" s="5">
        <v>109</v>
      </c>
      <c r="L1373" s="5">
        <v>33</v>
      </c>
      <c r="M1373" s="5">
        <v>33</v>
      </c>
      <c r="N1373" s="7">
        <v>965.35</v>
      </c>
      <c r="O1373" s="7">
        <f t="shared" si="149"/>
        <v>31856.55</v>
      </c>
      <c r="P1373" s="4">
        <v>0.03</v>
      </c>
      <c r="Q1373" s="7">
        <f t="shared" si="150"/>
        <v>955.6964999999999</v>
      </c>
      <c r="R1373" s="7">
        <f t="shared" si="151"/>
        <v>30900.853500000001</v>
      </c>
      <c r="S1373" s="7">
        <f t="shared" si="152"/>
        <v>936.3895</v>
      </c>
      <c r="T1373" s="6">
        <f t="shared" si="153"/>
        <v>2.2853185595567867E-2</v>
      </c>
      <c r="V1373" t="s">
        <v>29</v>
      </c>
    </row>
    <row r="1374" spans="1:22">
      <c r="A1374" s="3">
        <v>45715</v>
      </c>
      <c r="B1374" t="str">
        <f t="shared" si="147"/>
        <v>yyyy-02</v>
      </c>
      <c r="C1374">
        <f t="shared" si="148"/>
        <v>9</v>
      </c>
      <c r="D1374" t="s">
        <v>24</v>
      </c>
      <c r="E1374" t="s">
        <v>25</v>
      </c>
      <c r="F1374" t="s">
        <v>30</v>
      </c>
      <c r="G1374" t="s">
        <v>27</v>
      </c>
      <c r="H1374" t="s">
        <v>45</v>
      </c>
      <c r="I1374" s="5">
        <v>1661</v>
      </c>
      <c r="J1374" s="5">
        <v>1329</v>
      </c>
      <c r="K1374" s="5">
        <v>124</v>
      </c>
      <c r="L1374" s="5">
        <v>37</v>
      </c>
      <c r="M1374" s="5">
        <v>37</v>
      </c>
      <c r="N1374" s="7">
        <v>389.05</v>
      </c>
      <c r="O1374" s="7">
        <f t="shared" si="149"/>
        <v>14394.85</v>
      </c>
      <c r="P1374" s="4">
        <v>0.05</v>
      </c>
      <c r="Q1374" s="7">
        <f t="shared" si="150"/>
        <v>719.74250000000006</v>
      </c>
      <c r="R1374" s="7">
        <f t="shared" si="151"/>
        <v>13675.1075</v>
      </c>
      <c r="S1374" s="7">
        <f t="shared" si="152"/>
        <v>369.59750000000003</v>
      </c>
      <c r="T1374" s="6">
        <f t="shared" si="153"/>
        <v>2.2275737507525588E-2</v>
      </c>
      <c r="V1374" t="s">
        <v>29</v>
      </c>
    </row>
    <row r="1375" spans="1:22">
      <c r="A1375" s="3">
        <v>45715</v>
      </c>
      <c r="B1375" t="str">
        <f t="shared" si="147"/>
        <v>yyyy-02</v>
      </c>
      <c r="C1375">
        <f t="shared" si="148"/>
        <v>9</v>
      </c>
      <c r="D1375" t="s">
        <v>24</v>
      </c>
      <c r="E1375" t="s">
        <v>25</v>
      </c>
      <c r="F1375" t="s">
        <v>33</v>
      </c>
      <c r="G1375" t="s">
        <v>36</v>
      </c>
      <c r="H1375" t="s">
        <v>37</v>
      </c>
      <c r="I1375" s="5">
        <v>1616</v>
      </c>
      <c r="J1375" s="5">
        <v>1088</v>
      </c>
      <c r="K1375" s="5">
        <v>140</v>
      </c>
      <c r="L1375" s="5">
        <v>35</v>
      </c>
      <c r="M1375" s="5">
        <v>35</v>
      </c>
      <c r="N1375" s="7">
        <v>1811.33</v>
      </c>
      <c r="O1375" s="7">
        <f t="shared" si="149"/>
        <v>63396.549999999996</v>
      </c>
      <c r="P1375" s="4">
        <v>0</v>
      </c>
      <c r="Q1375" s="7">
        <f t="shared" si="150"/>
        <v>0</v>
      </c>
      <c r="R1375" s="7">
        <f t="shared" si="151"/>
        <v>63396.549999999996</v>
      </c>
      <c r="S1375" s="7">
        <f t="shared" si="152"/>
        <v>1811.33</v>
      </c>
      <c r="T1375" s="6">
        <f t="shared" si="153"/>
        <v>2.1658415841584157E-2</v>
      </c>
      <c r="V1375" t="s">
        <v>29</v>
      </c>
    </row>
    <row r="1376" spans="1:22">
      <c r="A1376" s="3">
        <v>45715</v>
      </c>
      <c r="B1376" t="str">
        <f t="shared" si="147"/>
        <v>yyyy-02</v>
      </c>
      <c r="C1376">
        <f t="shared" si="148"/>
        <v>9</v>
      </c>
      <c r="D1376" t="s">
        <v>24</v>
      </c>
      <c r="E1376" t="s">
        <v>34</v>
      </c>
      <c r="F1376" t="s">
        <v>35</v>
      </c>
      <c r="G1376" t="s">
        <v>27</v>
      </c>
      <c r="H1376" t="s">
        <v>45</v>
      </c>
      <c r="I1376" s="5">
        <v>728</v>
      </c>
      <c r="J1376" s="5">
        <v>506</v>
      </c>
      <c r="K1376" s="5">
        <v>74</v>
      </c>
      <c r="L1376" s="5">
        <v>16</v>
      </c>
      <c r="M1376" s="5">
        <v>16</v>
      </c>
      <c r="N1376" s="7">
        <v>865.31</v>
      </c>
      <c r="O1376" s="7">
        <f t="shared" si="149"/>
        <v>13844.96</v>
      </c>
      <c r="P1376" s="4">
        <v>0.03</v>
      </c>
      <c r="Q1376" s="7">
        <f t="shared" si="150"/>
        <v>415.34879999999998</v>
      </c>
      <c r="R1376" s="7">
        <f t="shared" si="151"/>
        <v>13429.611199999999</v>
      </c>
      <c r="S1376" s="7">
        <f t="shared" si="152"/>
        <v>839.35069999999996</v>
      </c>
      <c r="T1376" s="6">
        <f t="shared" si="153"/>
        <v>2.197802197802198E-2</v>
      </c>
      <c r="V1376" t="s">
        <v>29</v>
      </c>
    </row>
    <row r="1377" spans="1:22">
      <c r="A1377" s="3">
        <v>45715</v>
      </c>
      <c r="B1377" t="str">
        <f t="shared" si="147"/>
        <v>yyyy-02</v>
      </c>
      <c r="C1377">
        <f t="shared" si="148"/>
        <v>9</v>
      </c>
      <c r="D1377" t="s">
        <v>24</v>
      </c>
      <c r="E1377" t="s">
        <v>38</v>
      </c>
      <c r="F1377" t="s">
        <v>39</v>
      </c>
      <c r="G1377" t="s">
        <v>31</v>
      </c>
      <c r="H1377" t="s">
        <v>32</v>
      </c>
      <c r="I1377" s="5">
        <v>842</v>
      </c>
      <c r="J1377" s="5">
        <v>637</v>
      </c>
      <c r="K1377" s="5">
        <v>72</v>
      </c>
      <c r="L1377" s="5">
        <v>16</v>
      </c>
      <c r="M1377" s="5">
        <v>16</v>
      </c>
      <c r="N1377" s="7">
        <v>324.17</v>
      </c>
      <c r="O1377" s="7">
        <f t="shared" si="149"/>
        <v>5186.72</v>
      </c>
      <c r="P1377" s="4">
        <v>0.05</v>
      </c>
      <c r="Q1377" s="7">
        <f t="shared" si="150"/>
        <v>259.33600000000001</v>
      </c>
      <c r="R1377" s="7">
        <f t="shared" si="151"/>
        <v>4927.384</v>
      </c>
      <c r="S1377" s="7">
        <f t="shared" si="152"/>
        <v>307.9615</v>
      </c>
      <c r="T1377" s="6">
        <f t="shared" si="153"/>
        <v>1.9002375296912115E-2</v>
      </c>
      <c r="V1377" t="s">
        <v>29</v>
      </c>
    </row>
    <row r="1378" spans="1:22">
      <c r="A1378" s="3">
        <v>45715</v>
      </c>
      <c r="B1378" t="str">
        <f t="shared" si="147"/>
        <v>yyyy-02</v>
      </c>
      <c r="C1378">
        <f t="shared" si="148"/>
        <v>9</v>
      </c>
      <c r="D1378" t="s">
        <v>24</v>
      </c>
      <c r="E1378" t="s">
        <v>40</v>
      </c>
      <c r="F1378" t="s">
        <v>41</v>
      </c>
      <c r="G1378" t="s">
        <v>36</v>
      </c>
      <c r="H1378" t="s">
        <v>37</v>
      </c>
      <c r="I1378" s="5">
        <v>701</v>
      </c>
      <c r="J1378" s="5">
        <v>505</v>
      </c>
      <c r="K1378" s="5">
        <v>55</v>
      </c>
      <c r="L1378" s="5">
        <v>10</v>
      </c>
      <c r="M1378" s="5">
        <v>11</v>
      </c>
      <c r="N1378" s="7">
        <v>176.12</v>
      </c>
      <c r="O1378" s="7">
        <f t="shared" si="149"/>
        <v>1937.3200000000002</v>
      </c>
      <c r="P1378" s="4">
        <v>0.05</v>
      </c>
      <c r="Q1378" s="7">
        <f t="shared" si="150"/>
        <v>96.866000000000014</v>
      </c>
      <c r="R1378" s="7">
        <f t="shared" si="151"/>
        <v>1840.4540000000002</v>
      </c>
      <c r="S1378" s="7">
        <f t="shared" si="152"/>
        <v>184.04540000000003</v>
      </c>
      <c r="T1378" s="6">
        <f t="shared" si="153"/>
        <v>1.4265335235378032E-2</v>
      </c>
      <c r="V1378" t="s">
        <v>78</v>
      </c>
    </row>
    <row r="1379" spans="1:22">
      <c r="A1379" s="3">
        <v>45715</v>
      </c>
      <c r="B1379" t="str">
        <f t="shared" si="147"/>
        <v>yyyy-02</v>
      </c>
      <c r="C1379">
        <f t="shared" si="148"/>
        <v>9</v>
      </c>
      <c r="D1379" t="s">
        <v>42</v>
      </c>
      <c r="E1379" t="s">
        <v>43</v>
      </c>
      <c r="F1379" t="s">
        <v>44</v>
      </c>
      <c r="G1379" t="s">
        <v>27</v>
      </c>
      <c r="H1379" t="s">
        <v>45</v>
      </c>
      <c r="I1379" s="5">
        <v>410</v>
      </c>
      <c r="J1379" s="5">
        <v>285</v>
      </c>
      <c r="K1379" s="5">
        <v>19</v>
      </c>
      <c r="L1379" s="5">
        <v>4</v>
      </c>
      <c r="M1379" s="5">
        <v>4</v>
      </c>
      <c r="N1379" s="7">
        <v>1318.8</v>
      </c>
      <c r="O1379" s="7">
        <f t="shared" si="149"/>
        <v>5275.2</v>
      </c>
      <c r="P1379" s="4">
        <v>0.05</v>
      </c>
      <c r="Q1379" s="7">
        <f t="shared" si="150"/>
        <v>263.76</v>
      </c>
      <c r="R1379" s="7">
        <f t="shared" si="151"/>
        <v>5011.4399999999996</v>
      </c>
      <c r="S1379" s="7">
        <f t="shared" si="152"/>
        <v>1252.8599999999999</v>
      </c>
      <c r="T1379" s="6">
        <f t="shared" si="153"/>
        <v>9.7560975609756097E-3</v>
      </c>
      <c r="V1379" t="s">
        <v>29</v>
      </c>
    </row>
    <row r="1380" spans="1:22">
      <c r="A1380" s="3">
        <v>45715</v>
      </c>
      <c r="B1380" t="str">
        <f t="shared" si="147"/>
        <v>yyyy-02</v>
      </c>
      <c r="C1380">
        <f t="shared" si="148"/>
        <v>9</v>
      </c>
      <c r="D1380" t="s">
        <v>42</v>
      </c>
      <c r="E1380" t="s">
        <v>43</v>
      </c>
      <c r="F1380" t="s">
        <v>46</v>
      </c>
      <c r="G1380" t="s">
        <v>27</v>
      </c>
      <c r="H1380" t="s">
        <v>45</v>
      </c>
      <c r="I1380" s="5">
        <v>404</v>
      </c>
      <c r="J1380" s="5">
        <v>321</v>
      </c>
      <c r="K1380" s="5">
        <v>22</v>
      </c>
      <c r="L1380" s="5">
        <v>5</v>
      </c>
      <c r="M1380" s="5">
        <v>5</v>
      </c>
      <c r="N1380" s="7">
        <v>2238.44</v>
      </c>
      <c r="O1380" s="7">
        <f t="shared" si="149"/>
        <v>11192.2</v>
      </c>
      <c r="P1380" s="4">
        <v>0.05</v>
      </c>
      <c r="Q1380" s="7">
        <f t="shared" si="150"/>
        <v>559.61</v>
      </c>
      <c r="R1380" s="7">
        <f t="shared" si="151"/>
        <v>10632.59</v>
      </c>
      <c r="S1380" s="7">
        <f t="shared" si="152"/>
        <v>2126.518</v>
      </c>
      <c r="T1380" s="6">
        <f t="shared" si="153"/>
        <v>1.2376237623762377E-2</v>
      </c>
      <c r="V1380" t="s">
        <v>29</v>
      </c>
    </row>
    <row r="1381" spans="1:22">
      <c r="A1381" s="3">
        <v>45715</v>
      </c>
      <c r="B1381" t="str">
        <f t="shared" si="147"/>
        <v>yyyy-02</v>
      </c>
      <c r="C1381">
        <f t="shared" si="148"/>
        <v>9</v>
      </c>
      <c r="D1381" t="s">
        <v>42</v>
      </c>
      <c r="E1381" t="s">
        <v>43</v>
      </c>
      <c r="F1381" t="s">
        <v>47</v>
      </c>
      <c r="G1381" t="s">
        <v>36</v>
      </c>
      <c r="H1381" t="s">
        <v>37</v>
      </c>
      <c r="I1381" s="5">
        <v>470</v>
      </c>
      <c r="J1381" s="5">
        <v>356</v>
      </c>
      <c r="K1381" s="5">
        <v>39</v>
      </c>
      <c r="L1381" s="5">
        <v>6</v>
      </c>
      <c r="M1381" s="5">
        <v>6</v>
      </c>
      <c r="N1381" s="7">
        <v>598.34</v>
      </c>
      <c r="O1381" s="7">
        <f t="shared" si="149"/>
        <v>3590.04</v>
      </c>
      <c r="P1381" s="4">
        <v>0</v>
      </c>
      <c r="Q1381" s="7">
        <f t="shared" si="150"/>
        <v>0</v>
      </c>
      <c r="R1381" s="7">
        <f t="shared" si="151"/>
        <v>3590.04</v>
      </c>
      <c r="S1381" s="7">
        <f t="shared" si="152"/>
        <v>598.34</v>
      </c>
      <c r="T1381" s="6">
        <f t="shared" si="153"/>
        <v>1.276595744680851E-2</v>
      </c>
      <c r="V1381" t="s">
        <v>29</v>
      </c>
    </row>
    <row r="1382" spans="1:22">
      <c r="A1382" s="3">
        <v>45715</v>
      </c>
      <c r="B1382" t="str">
        <f t="shared" si="147"/>
        <v>yyyy-02</v>
      </c>
      <c r="C1382">
        <f t="shared" si="148"/>
        <v>9</v>
      </c>
      <c r="D1382" t="s">
        <v>42</v>
      </c>
      <c r="E1382" t="s">
        <v>49</v>
      </c>
      <c r="F1382" t="s">
        <v>50</v>
      </c>
      <c r="G1382" t="s">
        <v>27</v>
      </c>
      <c r="H1382" t="s">
        <v>45</v>
      </c>
      <c r="I1382" s="5">
        <v>105</v>
      </c>
      <c r="J1382" s="5">
        <v>60</v>
      </c>
      <c r="K1382" s="5">
        <v>5</v>
      </c>
      <c r="L1382" s="5">
        <v>2</v>
      </c>
      <c r="M1382" s="5">
        <v>2</v>
      </c>
      <c r="N1382" s="7">
        <v>991.3</v>
      </c>
      <c r="O1382" s="7">
        <f t="shared" si="149"/>
        <v>1982.6</v>
      </c>
      <c r="P1382" s="4">
        <v>0</v>
      </c>
      <c r="Q1382" s="7">
        <f t="shared" si="150"/>
        <v>0</v>
      </c>
      <c r="R1382" s="7">
        <f t="shared" si="151"/>
        <v>1982.6</v>
      </c>
      <c r="S1382" s="7">
        <f t="shared" si="152"/>
        <v>991.3</v>
      </c>
      <c r="T1382" s="6">
        <f t="shared" si="153"/>
        <v>1.9047619047619049E-2</v>
      </c>
      <c r="V1382" t="s">
        <v>29</v>
      </c>
    </row>
    <row r="1383" spans="1:22">
      <c r="A1383" s="3">
        <v>45715</v>
      </c>
      <c r="B1383" t="str">
        <f t="shared" si="147"/>
        <v>yyyy-02</v>
      </c>
      <c r="C1383">
        <f t="shared" si="148"/>
        <v>9</v>
      </c>
      <c r="D1383" t="s">
        <v>42</v>
      </c>
      <c r="E1383" t="s">
        <v>51</v>
      </c>
      <c r="F1383" t="s">
        <v>52</v>
      </c>
      <c r="G1383" t="s">
        <v>27</v>
      </c>
      <c r="H1383" t="s">
        <v>45</v>
      </c>
      <c r="I1383" s="5">
        <v>201</v>
      </c>
      <c r="J1383" s="5">
        <v>110</v>
      </c>
      <c r="K1383" s="5">
        <v>12</v>
      </c>
      <c r="L1383" s="5">
        <v>3</v>
      </c>
      <c r="M1383" s="5">
        <v>3</v>
      </c>
      <c r="N1383" s="7">
        <v>602.23</v>
      </c>
      <c r="O1383" s="7">
        <f t="shared" si="149"/>
        <v>1806.69</v>
      </c>
      <c r="P1383" s="4">
        <v>0</v>
      </c>
      <c r="Q1383" s="7">
        <f t="shared" si="150"/>
        <v>0</v>
      </c>
      <c r="R1383" s="7">
        <f t="shared" si="151"/>
        <v>1806.69</v>
      </c>
      <c r="S1383" s="7">
        <f t="shared" si="152"/>
        <v>602.23</v>
      </c>
      <c r="T1383" s="6">
        <f t="shared" si="153"/>
        <v>1.4925373134328358E-2</v>
      </c>
      <c r="V1383" t="s">
        <v>29</v>
      </c>
    </row>
    <row r="1384" spans="1:22">
      <c r="A1384" s="3">
        <v>45715</v>
      </c>
      <c r="B1384" t="str">
        <f t="shared" si="147"/>
        <v>yyyy-02</v>
      </c>
      <c r="C1384">
        <f t="shared" si="148"/>
        <v>9</v>
      </c>
      <c r="D1384" t="s">
        <v>53</v>
      </c>
      <c r="E1384" t="s">
        <v>54</v>
      </c>
      <c r="F1384" t="s">
        <v>55</v>
      </c>
      <c r="G1384" t="s">
        <v>31</v>
      </c>
      <c r="H1384" t="s">
        <v>32</v>
      </c>
      <c r="I1384" s="5">
        <v>263</v>
      </c>
      <c r="J1384" s="5">
        <v>176</v>
      </c>
      <c r="K1384" s="5">
        <v>12</v>
      </c>
      <c r="L1384" s="5">
        <v>3</v>
      </c>
      <c r="M1384" s="5">
        <v>3</v>
      </c>
      <c r="N1384" s="7">
        <v>1259.45</v>
      </c>
      <c r="O1384" s="7">
        <f t="shared" si="149"/>
        <v>3778.3500000000004</v>
      </c>
      <c r="P1384" s="4">
        <v>0.1</v>
      </c>
      <c r="Q1384" s="7">
        <f t="shared" si="150"/>
        <v>377.83500000000004</v>
      </c>
      <c r="R1384" s="7">
        <f t="shared" si="151"/>
        <v>3400.5150000000003</v>
      </c>
      <c r="S1384" s="7">
        <f t="shared" si="152"/>
        <v>1133.5050000000001</v>
      </c>
      <c r="T1384" s="6">
        <f t="shared" si="153"/>
        <v>1.1406844106463879E-2</v>
      </c>
      <c r="U1384" t="s">
        <v>86</v>
      </c>
      <c r="V1384" t="s">
        <v>29</v>
      </c>
    </row>
    <row r="1385" spans="1:22">
      <c r="A1385" s="3">
        <v>45715</v>
      </c>
      <c r="B1385" t="str">
        <f t="shared" si="147"/>
        <v>yyyy-02</v>
      </c>
      <c r="C1385">
        <f t="shared" si="148"/>
        <v>9</v>
      </c>
      <c r="D1385" t="s">
        <v>53</v>
      </c>
      <c r="E1385" t="s">
        <v>56</v>
      </c>
      <c r="F1385" t="s">
        <v>57</v>
      </c>
      <c r="G1385" t="s">
        <v>31</v>
      </c>
      <c r="H1385" t="s">
        <v>32</v>
      </c>
      <c r="I1385" s="5">
        <v>165</v>
      </c>
      <c r="J1385" s="5">
        <v>121</v>
      </c>
      <c r="K1385" s="5">
        <v>10</v>
      </c>
      <c r="L1385" s="5">
        <v>2</v>
      </c>
      <c r="M1385" s="5">
        <v>2</v>
      </c>
      <c r="N1385" s="7">
        <v>736.92</v>
      </c>
      <c r="O1385" s="7">
        <f t="shared" si="149"/>
        <v>1473.84</v>
      </c>
      <c r="P1385" s="4">
        <v>0</v>
      </c>
      <c r="Q1385" s="7">
        <f t="shared" si="150"/>
        <v>0</v>
      </c>
      <c r="R1385" s="7">
        <f t="shared" si="151"/>
        <v>1473.84</v>
      </c>
      <c r="S1385" s="7">
        <f t="shared" si="152"/>
        <v>736.92</v>
      </c>
      <c r="T1385" s="6">
        <f t="shared" si="153"/>
        <v>1.2121212121212121E-2</v>
      </c>
      <c r="V1385" t="s">
        <v>29</v>
      </c>
    </row>
    <row r="1386" spans="1:22">
      <c r="A1386" s="3">
        <v>45715</v>
      </c>
      <c r="B1386" t="str">
        <f t="shared" si="147"/>
        <v>yyyy-02</v>
      </c>
      <c r="C1386">
        <f t="shared" si="148"/>
        <v>9</v>
      </c>
      <c r="D1386" t="s">
        <v>53</v>
      </c>
      <c r="E1386" t="s">
        <v>56</v>
      </c>
      <c r="F1386" t="s">
        <v>58</v>
      </c>
      <c r="G1386" t="s">
        <v>27</v>
      </c>
      <c r="H1386" t="s">
        <v>45</v>
      </c>
      <c r="I1386" s="5">
        <v>147</v>
      </c>
      <c r="J1386" s="5">
        <v>108</v>
      </c>
      <c r="K1386" s="5">
        <v>12</v>
      </c>
      <c r="L1386" s="5">
        <v>2</v>
      </c>
      <c r="M1386" s="5">
        <v>2</v>
      </c>
      <c r="N1386" s="7">
        <v>870.9</v>
      </c>
      <c r="O1386" s="7">
        <f t="shared" si="149"/>
        <v>1741.8</v>
      </c>
      <c r="P1386" s="4">
        <v>0</v>
      </c>
      <c r="Q1386" s="7">
        <f t="shared" si="150"/>
        <v>0</v>
      </c>
      <c r="R1386" s="7">
        <f t="shared" si="151"/>
        <v>1741.8</v>
      </c>
      <c r="S1386" s="7">
        <f t="shared" si="152"/>
        <v>870.9</v>
      </c>
      <c r="T1386" s="6">
        <f t="shared" si="153"/>
        <v>1.3605442176870748E-2</v>
      </c>
      <c r="V1386" t="s">
        <v>29</v>
      </c>
    </row>
    <row r="1387" spans="1:22">
      <c r="A1387" s="3">
        <v>45715</v>
      </c>
      <c r="B1387" t="str">
        <f t="shared" si="147"/>
        <v>yyyy-02</v>
      </c>
      <c r="C1387">
        <f t="shared" si="148"/>
        <v>9</v>
      </c>
      <c r="D1387" t="s">
        <v>53</v>
      </c>
      <c r="E1387" t="s">
        <v>59</v>
      </c>
      <c r="F1387" t="s">
        <v>60</v>
      </c>
      <c r="G1387" t="s">
        <v>36</v>
      </c>
      <c r="H1387" t="s">
        <v>37</v>
      </c>
      <c r="I1387" s="5">
        <v>165</v>
      </c>
      <c r="J1387" s="5">
        <v>134</v>
      </c>
      <c r="K1387" s="5">
        <v>9</v>
      </c>
      <c r="L1387" s="5">
        <v>2</v>
      </c>
      <c r="M1387" s="5">
        <v>2</v>
      </c>
      <c r="N1387" s="7">
        <v>694.95</v>
      </c>
      <c r="O1387" s="7">
        <f t="shared" si="149"/>
        <v>1389.9</v>
      </c>
      <c r="P1387" s="4">
        <v>0</v>
      </c>
      <c r="Q1387" s="7">
        <f t="shared" si="150"/>
        <v>0</v>
      </c>
      <c r="R1387" s="7">
        <f t="shared" si="151"/>
        <v>1389.9</v>
      </c>
      <c r="S1387" s="7">
        <f t="shared" si="152"/>
        <v>694.95</v>
      </c>
      <c r="T1387" s="6">
        <f t="shared" si="153"/>
        <v>1.2121212121212121E-2</v>
      </c>
      <c r="V1387" t="s">
        <v>29</v>
      </c>
    </row>
    <row r="1388" spans="1:22">
      <c r="A1388" s="3">
        <v>45715</v>
      </c>
      <c r="B1388" t="str">
        <f t="shared" si="147"/>
        <v>yyyy-02</v>
      </c>
      <c r="C1388">
        <f t="shared" si="148"/>
        <v>9</v>
      </c>
      <c r="D1388" t="s">
        <v>53</v>
      </c>
      <c r="E1388" t="s">
        <v>61</v>
      </c>
      <c r="F1388" t="s">
        <v>62</v>
      </c>
      <c r="G1388" t="s">
        <v>31</v>
      </c>
      <c r="H1388" t="s">
        <v>32</v>
      </c>
      <c r="I1388" s="5">
        <v>179</v>
      </c>
      <c r="J1388" s="5">
        <v>95</v>
      </c>
      <c r="K1388" s="5">
        <v>8</v>
      </c>
      <c r="L1388" s="5">
        <v>2</v>
      </c>
      <c r="M1388" s="5">
        <v>2</v>
      </c>
      <c r="N1388" s="7">
        <v>493.85</v>
      </c>
      <c r="O1388" s="7">
        <f t="shared" si="149"/>
        <v>987.7</v>
      </c>
      <c r="P1388" s="4">
        <v>0</v>
      </c>
      <c r="Q1388" s="7">
        <f t="shared" si="150"/>
        <v>0</v>
      </c>
      <c r="R1388" s="7">
        <f t="shared" si="151"/>
        <v>987.7</v>
      </c>
      <c r="S1388" s="7">
        <f t="shared" si="152"/>
        <v>493.85</v>
      </c>
      <c r="T1388" s="6">
        <f t="shared" si="153"/>
        <v>1.11731843575419E-2</v>
      </c>
      <c r="V1388" t="s">
        <v>29</v>
      </c>
    </row>
    <row r="1389" spans="1:22">
      <c r="A1389" s="3">
        <v>45715</v>
      </c>
      <c r="B1389" t="str">
        <f t="shared" si="147"/>
        <v>yyyy-02</v>
      </c>
      <c r="C1389">
        <f t="shared" si="148"/>
        <v>9</v>
      </c>
      <c r="D1389" t="s">
        <v>53</v>
      </c>
      <c r="E1389" t="s">
        <v>64</v>
      </c>
      <c r="F1389" t="s">
        <v>65</v>
      </c>
      <c r="G1389" t="s">
        <v>27</v>
      </c>
      <c r="H1389" t="s">
        <v>48</v>
      </c>
      <c r="I1389" s="5">
        <v>156</v>
      </c>
      <c r="J1389" s="5">
        <v>91</v>
      </c>
      <c r="K1389" s="5">
        <v>4</v>
      </c>
      <c r="L1389" s="5">
        <v>1</v>
      </c>
      <c r="M1389" s="5">
        <v>1</v>
      </c>
      <c r="N1389" s="7">
        <v>796.39</v>
      </c>
      <c r="O1389" s="7">
        <f t="shared" si="149"/>
        <v>796.39</v>
      </c>
      <c r="P1389" s="4">
        <v>0</v>
      </c>
      <c r="Q1389" s="7">
        <f t="shared" si="150"/>
        <v>0</v>
      </c>
      <c r="R1389" s="7">
        <f t="shared" si="151"/>
        <v>796.39</v>
      </c>
      <c r="S1389" s="7">
        <f t="shared" si="152"/>
        <v>796.39</v>
      </c>
      <c r="T1389" s="6">
        <f t="shared" si="153"/>
        <v>6.41025641025641E-3</v>
      </c>
      <c r="V1389" t="s">
        <v>29</v>
      </c>
    </row>
    <row r="1390" spans="1:22">
      <c r="A1390" s="3">
        <v>45715</v>
      </c>
      <c r="B1390" t="str">
        <f t="shared" si="147"/>
        <v>yyyy-02</v>
      </c>
      <c r="C1390">
        <f t="shared" si="148"/>
        <v>9</v>
      </c>
      <c r="D1390" t="s">
        <v>66</v>
      </c>
      <c r="E1390" t="s">
        <v>67</v>
      </c>
      <c r="F1390" t="s">
        <v>68</v>
      </c>
      <c r="G1390" t="s">
        <v>27</v>
      </c>
      <c r="H1390" t="s">
        <v>48</v>
      </c>
      <c r="I1390" s="5">
        <v>323</v>
      </c>
      <c r="J1390" s="5">
        <v>267</v>
      </c>
      <c r="K1390" s="5">
        <v>22</v>
      </c>
      <c r="L1390" s="5">
        <v>5</v>
      </c>
      <c r="M1390" s="5">
        <v>5</v>
      </c>
      <c r="N1390" s="7">
        <v>687.8</v>
      </c>
      <c r="O1390" s="7">
        <f t="shared" si="149"/>
        <v>3439</v>
      </c>
      <c r="P1390" s="4">
        <v>0</v>
      </c>
      <c r="Q1390" s="7">
        <f t="shared" si="150"/>
        <v>0</v>
      </c>
      <c r="R1390" s="7">
        <f t="shared" si="151"/>
        <v>3439</v>
      </c>
      <c r="S1390" s="7">
        <f t="shared" si="152"/>
        <v>687.8</v>
      </c>
      <c r="T1390" s="6">
        <f t="shared" si="153"/>
        <v>1.5479876160990712E-2</v>
      </c>
      <c r="V1390" t="s">
        <v>29</v>
      </c>
    </row>
    <row r="1391" spans="1:22">
      <c r="A1391" s="3">
        <v>45715</v>
      </c>
      <c r="B1391" t="str">
        <f t="shared" si="147"/>
        <v>yyyy-02</v>
      </c>
      <c r="C1391">
        <f t="shared" si="148"/>
        <v>9</v>
      </c>
      <c r="D1391" t="s">
        <v>66</v>
      </c>
      <c r="E1391" t="s">
        <v>67</v>
      </c>
      <c r="F1391" t="s">
        <v>69</v>
      </c>
      <c r="G1391" t="s">
        <v>27</v>
      </c>
      <c r="H1391" t="s">
        <v>28</v>
      </c>
      <c r="I1391" s="5">
        <v>302</v>
      </c>
      <c r="J1391" s="5">
        <v>232</v>
      </c>
      <c r="K1391" s="5">
        <v>26</v>
      </c>
      <c r="L1391" s="5">
        <v>5</v>
      </c>
      <c r="M1391" s="5">
        <v>5</v>
      </c>
      <c r="N1391" s="7">
        <v>405.47</v>
      </c>
      <c r="O1391" s="7">
        <f t="shared" si="149"/>
        <v>2027.3500000000001</v>
      </c>
      <c r="P1391" s="4">
        <v>0</v>
      </c>
      <c r="Q1391" s="7">
        <f t="shared" si="150"/>
        <v>0</v>
      </c>
      <c r="R1391" s="7">
        <f t="shared" si="151"/>
        <v>2027.3500000000001</v>
      </c>
      <c r="S1391" s="7">
        <f t="shared" si="152"/>
        <v>405.47</v>
      </c>
      <c r="T1391" s="6">
        <f t="shared" si="153"/>
        <v>1.6556291390728478E-2</v>
      </c>
      <c r="V1391" t="s">
        <v>29</v>
      </c>
    </row>
    <row r="1392" spans="1:22">
      <c r="A1392" s="3">
        <v>45715</v>
      </c>
      <c r="B1392" t="str">
        <f t="shared" si="147"/>
        <v>yyyy-02</v>
      </c>
      <c r="C1392">
        <f t="shared" si="148"/>
        <v>9</v>
      </c>
      <c r="D1392" t="s">
        <v>66</v>
      </c>
      <c r="E1392" t="s">
        <v>67</v>
      </c>
      <c r="F1392" t="s">
        <v>70</v>
      </c>
      <c r="G1392" t="s">
        <v>36</v>
      </c>
      <c r="H1392" t="s">
        <v>37</v>
      </c>
      <c r="I1392" s="5">
        <v>220</v>
      </c>
      <c r="J1392" s="5">
        <v>161</v>
      </c>
      <c r="K1392" s="5">
        <v>15</v>
      </c>
      <c r="L1392" s="5">
        <v>3</v>
      </c>
      <c r="M1392" s="5">
        <v>3</v>
      </c>
      <c r="N1392" s="7">
        <v>351.7</v>
      </c>
      <c r="O1392" s="7">
        <f t="shared" si="149"/>
        <v>1055.0999999999999</v>
      </c>
      <c r="P1392" s="4">
        <v>0</v>
      </c>
      <c r="Q1392" s="7">
        <f t="shared" si="150"/>
        <v>0</v>
      </c>
      <c r="R1392" s="7">
        <f t="shared" si="151"/>
        <v>1055.0999999999999</v>
      </c>
      <c r="S1392" s="7">
        <f t="shared" si="152"/>
        <v>351.7</v>
      </c>
      <c r="T1392" s="6">
        <f t="shared" si="153"/>
        <v>1.3636363636363636E-2</v>
      </c>
      <c r="V1392" t="s">
        <v>78</v>
      </c>
    </row>
    <row r="1393" spans="1:22">
      <c r="A1393" s="3">
        <v>45715</v>
      </c>
      <c r="B1393" t="str">
        <f t="shared" si="147"/>
        <v>yyyy-02</v>
      </c>
      <c r="C1393">
        <f t="shared" si="148"/>
        <v>9</v>
      </c>
      <c r="D1393" t="s">
        <v>66</v>
      </c>
      <c r="E1393" t="s">
        <v>71</v>
      </c>
      <c r="F1393" t="s">
        <v>72</v>
      </c>
      <c r="G1393" t="s">
        <v>27</v>
      </c>
      <c r="H1393" t="s">
        <v>28</v>
      </c>
      <c r="I1393" s="5">
        <v>420</v>
      </c>
      <c r="J1393" s="5">
        <v>310</v>
      </c>
      <c r="K1393" s="5">
        <v>33</v>
      </c>
      <c r="L1393" s="5">
        <v>10</v>
      </c>
      <c r="M1393" s="5">
        <v>11</v>
      </c>
      <c r="N1393" s="7">
        <v>126.54</v>
      </c>
      <c r="O1393" s="7">
        <f t="shared" si="149"/>
        <v>1391.94</v>
      </c>
      <c r="P1393" s="4">
        <v>0.15</v>
      </c>
      <c r="Q1393" s="7">
        <f t="shared" si="150"/>
        <v>208.791</v>
      </c>
      <c r="R1393" s="7">
        <f t="shared" si="151"/>
        <v>1183.1490000000001</v>
      </c>
      <c r="S1393" s="7">
        <f t="shared" si="152"/>
        <v>118.31490000000001</v>
      </c>
      <c r="T1393" s="6">
        <f t="shared" si="153"/>
        <v>2.3809523809523808E-2</v>
      </c>
      <c r="U1393" t="s">
        <v>87</v>
      </c>
      <c r="V1393" t="s">
        <v>29</v>
      </c>
    </row>
    <row r="1394" spans="1:22">
      <c r="A1394" s="3">
        <v>45715</v>
      </c>
      <c r="B1394" t="str">
        <f t="shared" si="147"/>
        <v>yyyy-02</v>
      </c>
      <c r="C1394">
        <f t="shared" si="148"/>
        <v>9</v>
      </c>
      <c r="D1394" t="s">
        <v>66</v>
      </c>
      <c r="E1394" t="s">
        <v>73</v>
      </c>
      <c r="F1394" t="s">
        <v>74</v>
      </c>
      <c r="G1394" t="s">
        <v>27</v>
      </c>
      <c r="H1394" t="s">
        <v>45</v>
      </c>
      <c r="I1394" s="5">
        <v>140</v>
      </c>
      <c r="J1394" s="5">
        <v>82</v>
      </c>
      <c r="K1394" s="5">
        <v>9</v>
      </c>
      <c r="L1394" s="5">
        <v>2</v>
      </c>
      <c r="M1394" s="5">
        <v>2</v>
      </c>
      <c r="N1394" s="7">
        <v>1182.54</v>
      </c>
      <c r="O1394" s="7">
        <f t="shared" si="149"/>
        <v>2365.08</v>
      </c>
      <c r="P1394" s="4">
        <v>0.03</v>
      </c>
      <c r="Q1394" s="7">
        <f t="shared" si="150"/>
        <v>70.952399999999997</v>
      </c>
      <c r="R1394" s="7">
        <f t="shared" si="151"/>
        <v>2294.1275999999998</v>
      </c>
      <c r="S1394" s="7">
        <f t="shared" si="152"/>
        <v>1147.0637999999999</v>
      </c>
      <c r="T1394" s="6">
        <f t="shared" si="153"/>
        <v>1.4285714285714285E-2</v>
      </c>
      <c r="V1394" t="s">
        <v>29</v>
      </c>
    </row>
    <row r="1395" spans="1:22">
      <c r="A1395" s="3">
        <v>45715</v>
      </c>
      <c r="B1395" t="str">
        <f t="shared" si="147"/>
        <v>yyyy-02</v>
      </c>
      <c r="C1395">
        <f t="shared" si="148"/>
        <v>9</v>
      </c>
      <c r="D1395" t="s">
        <v>66</v>
      </c>
      <c r="E1395" t="s">
        <v>71</v>
      </c>
      <c r="F1395" t="s">
        <v>75</v>
      </c>
      <c r="G1395" t="s">
        <v>27</v>
      </c>
      <c r="H1395" t="s">
        <v>28</v>
      </c>
      <c r="I1395" s="5">
        <v>314</v>
      </c>
      <c r="J1395" s="5">
        <v>206</v>
      </c>
      <c r="K1395" s="5">
        <v>28</v>
      </c>
      <c r="L1395" s="5">
        <v>6</v>
      </c>
      <c r="M1395" s="5">
        <v>8</v>
      </c>
      <c r="N1395" s="7">
        <v>37.590000000000003</v>
      </c>
      <c r="O1395" s="7">
        <f t="shared" si="149"/>
        <v>300.72000000000003</v>
      </c>
      <c r="P1395" s="4">
        <v>0.15</v>
      </c>
      <c r="Q1395" s="7">
        <f t="shared" si="150"/>
        <v>45.108000000000004</v>
      </c>
      <c r="R1395" s="7">
        <f t="shared" si="151"/>
        <v>255.61200000000002</v>
      </c>
      <c r="S1395" s="7">
        <f t="shared" si="152"/>
        <v>42.602000000000004</v>
      </c>
      <c r="T1395" s="6">
        <f t="shared" si="153"/>
        <v>1.9108280254777069E-2</v>
      </c>
      <c r="U1395" t="s">
        <v>87</v>
      </c>
      <c r="V1395" t="s">
        <v>78</v>
      </c>
    </row>
    <row r="1396" spans="1:22">
      <c r="A1396" s="3">
        <v>45715</v>
      </c>
      <c r="B1396" t="str">
        <f t="shared" si="147"/>
        <v>yyyy-02</v>
      </c>
      <c r="C1396">
        <f t="shared" si="148"/>
        <v>9</v>
      </c>
      <c r="D1396" t="s">
        <v>24</v>
      </c>
      <c r="E1396" t="s">
        <v>76</v>
      </c>
      <c r="F1396" t="s">
        <v>77</v>
      </c>
      <c r="G1396" t="s">
        <v>36</v>
      </c>
      <c r="H1396" t="s">
        <v>37</v>
      </c>
      <c r="I1396" s="5">
        <v>570</v>
      </c>
      <c r="J1396" s="5">
        <v>340</v>
      </c>
      <c r="K1396" s="5">
        <v>30</v>
      </c>
      <c r="L1396" s="5">
        <v>14</v>
      </c>
      <c r="M1396" s="5">
        <v>17</v>
      </c>
      <c r="N1396" s="7">
        <v>200.17</v>
      </c>
      <c r="O1396" s="7">
        <f t="shared" si="149"/>
        <v>3402.89</v>
      </c>
      <c r="P1396" s="4">
        <v>0.05</v>
      </c>
      <c r="Q1396" s="7">
        <f t="shared" si="150"/>
        <v>170.14449999999999</v>
      </c>
      <c r="R1396" s="7">
        <f t="shared" si="151"/>
        <v>3232.7455</v>
      </c>
      <c r="S1396" s="7">
        <f t="shared" si="152"/>
        <v>230.91039285714285</v>
      </c>
      <c r="T1396" s="6">
        <f t="shared" si="153"/>
        <v>2.456140350877193E-2</v>
      </c>
      <c r="V1396" t="s">
        <v>29</v>
      </c>
    </row>
    <row r="1397" spans="1:22">
      <c r="A1397" s="3">
        <v>45716</v>
      </c>
      <c r="B1397" t="str">
        <f t="shared" si="147"/>
        <v>yyyy-02</v>
      </c>
      <c r="C1397">
        <f t="shared" si="148"/>
        <v>9</v>
      </c>
      <c r="D1397" t="s">
        <v>24</v>
      </c>
      <c r="E1397" t="s">
        <v>25</v>
      </c>
      <c r="F1397" t="s">
        <v>26</v>
      </c>
      <c r="G1397" t="s">
        <v>31</v>
      </c>
      <c r="H1397" t="s">
        <v>32</v>
      </c>
      <c r="I1397" s="5">
        <v>1390</v>
      </c>
      <c r="J1397" s="5">
        <v>1013</v>
      </c>
      <c r="K1397" s="5">
        <v>112</v>
      </c>
      <c r="L1397" s="5">
        <v>26</v>
      </c>
      <c r="M1397" s="5">
        <v>26</v>
      </c>
      <c r="N1397" s="7">
        <v>1015.76</v>
      </c>
      <c r="O1397" s="7">
        <f t="shared" si="149"/>
        <v>26409.759999999998</v>
      </c>
      <c r="P1397" s="4">
        <v>0</v>
      </c>
      <c r="Q1397" s="7">
        <f t="shared" si="150"/>
        <v>0</v>
      </c>
      <c r="R1397" s="7">
        <f t="shared" si="151"/>
        <v>26409.759999999998</v>
      </c>
      <c r="S1397" s="7">
        <f t="shared" si="152"/>
        <v>1015.76</v>
      </c>
      <c r="T1397" s="6">
        <f t="shared" si="153"/>
        <v>1.870503597122302E-2</v>
      </c>
      <c r="V1397" t="s">
        <v>29</v>
      </c>
    </row>
    <row r="1398" spans="1:22">
      <c r="A1398" s="3">
        <v>45716</v>
      </c>
      <c r="B1398" t="str">
        <f t="shared" si="147"/>
        <v>yyyy-02</v>
      </c>
      <c r="C1398">
        <f t="shared" si="148"/>
        <v>9</v>
      </c>
      <c r="D1398" t="s">
        <v>24</v>
      </c>
      <c r="E1398" t="s">
        <v>25</v>
      </c>
      <c r="F1398" t="s">
        <v>30</v>
      </c>
      <c r="G1398" t="s">
        <v>31</v>
      </c>
      <c r="H1398" t="s">
        <v>32</v>
      </c>
      <c r="I1398" s="5">
        <v>1785</v>
      </c>
      <c r="J1398" s="5">
        <v>1252</v>
      </c>
      <c r="K1398" s="5">
        <v>216</v>
      </c>
      <c r="L1398" s="5">
        <v>44</v>
      </c>
      <c r="M1398" s="5">
        <v>44</v>
      </c>
      <c r="N1398" s="7">
        <v>401.1</v>
      </c>
      <c r="O1398" s="7">
        <f t="shared" si="149"/>
        <v>17648.400000000001</v>
      </c>
      <c r="P1398" s="4">
        <v>0.03</v>
      </c>
      <c r="Q1398" s="7">
        <f t="shared" si="150"/>
        <v>529.452</v>
      </c>
      <c r="R1398" s="7">
        <f t="shared" si="151"/>
        <v>17118.948</v>
      </c>
      <c r="S1398" s="7">
        <f t="shared" si="152"/>
        <v>389.06700000000001</v>
      </c>
      <c r="T1398" s="6">
        <f t="shared" si="153"/>
        <v>2.464985994397759E-2</v>
      </c>
      <c r="V1398" t="s">
        <v>29</v>
      </c>
    </row>
    <row r="1399" spans="1:22">
      <c r="A1399" s="3">
        <v>45716</v>
      </c>
      <c r="B1399" t="str">
        <f t="shared" si="147"/>
        <v>yyyy-02</v>
      </c>
      <c r="C1399">
        <f t="shared" si="148"/>
        <v>9</v>
      </c>
      <c r="D1399" t="s">
        <v>24</v>
      </c>
      <c r="E1399" t="s">
        <v>25</v>
      </c>
      <c r="F1399" t="s">
        <v>33</v>
      </c>
      <c r="G1399" t="s">
        <v>27</v>
      </c>
      <c r="H1399" t="s">
        <v>28</v>
      </c>
      <c r="I1399" s="5">
        <v>1082</v>
      </c>
      <c r="J1399" s="5">
        <v>808</v>
      </c>
      <c r="K1399" s="5">
        <v>81</v>
      </c>
      <c r="L1399" s="5">
        <v>19</v>
      </c>
      <c r="M1399" s="5">
        <v>19</v>
      </c>
      <c r="N1399" s="7">
        <v>1746.4</v>
      </c>
      <c r="O1399" s="7">
        <f t="shared" si="149"/>
        <v>33181.599999999999</v>
      </c>
      <c r="P1399" s="4">
        <v>0</v>
      </c>
      <c r="Q1399" s="7">
        <f t="shared" si="150"/>
        <v>0</v>
      </c>
      <c r="R1399" s="7">
        <f t="shared" si="151"/>
        <v>33181.599999999999</v>
      </c>
      <c r="S1399" s="7">
        <f t="shared" si="152"/>
        <v>1746.3999999999999</v>
      </c>
      <c r="T1399" s="6">
        <f t="shared" si="153"/>
        <v>1.756007393715342E-2</v>
      </c>
      <c r="V1399" t="s">
        <v>29</v>
      </c>
    </row>
    <row r="1400" spans="1:22">
      <c r="A1400" s="3">
        <v>45716</v>
      </c>
      <c r="B1400" t="str">
        <f t="shared" si="147"/>
        <v>yyyy-02</v>
      </c>
      <c r="C1400">
        <f t="shared" si="148"/>
        <v>9</v>
      </c>
      <c r="D1400" t="s">
        <v>24</v>
      </c>
      <c r="E1400" t="s">
        <v>34</v>
      </c>
      <c r="F1400" t="s">
        <v>35</v>
      </c>
      <c r="G1400" t="s">
        <v>31</v>
      </c>
      <c r="H1400" t="s">
        <v>32</v>
      </c>
      <c r="I1400" s="5">
        <v>1023</v>
      </c>
      <c r="J1400" s="5">
        <v>763</v>
      </c>
      <c r="K1400" s="5">
        <v>55</v>
      </c>
      <c r="L1400" s="5">
        <v>19</v>
      </c>
      <c r="M1400" s="5">
        <v>19</v>
      </c>
      <c r="N1400" s="7">
        <v>900.85</v>
      </c>
      <c r="O1400" s="7">
        <f t="shared" si="149"/>
        <v>17116.150000000001</v>
      </c>
      <c r="P1400" s="4">
        <v>0.05</v>
      </c>
      <c r="Q1400" s="7">
        <f t="shared" si="150"/>
        <v>855.80750000000012</v>
      </c>
      <c r="R1400" s="7">
        <f t="shared" si="151"/>
        <v>16260.342500000001</v>
      </c>
      <c r="S1400" s="7">
        <f t="shared" si="152"/>
        <v>855.8075</v>
      </c>
      <c r="T1400" s="6">
        <f t="shared" si="153"/>
        <v>1.8572825024437929E-2</v>
      </c>
      <c r="V1400" t="s">
        <v>29</v>
      </c>
    </row>
    <row r="1401" spans="1:22">
      <c r="A1401" s="3">
        <v>45716</v>
      </c>
      <c r="B1401" t="str">
        <f t="shared" si="147"/>
        <v>yyyy-02</v>
      </c>
      <c r="C1401">
        <f t="shared" si="148"/>
        <v>9</v>
      </c>
      <c r="D1401" t="s">
        <v>24</v>
      </c>
      <c r="E1401" t="s">
        <v>38</v>
      </c>
      <c r="F1401" t="s">
        <v>39</v>
      </c>
      <c r="G1401" t="s">
        <v>27</v>
      </c>
      <c r="H1401" t="s">
        <v>45</v>
      </c>
      <c r="I1401" s="5">
        <v>489</v>
      </c>
      <c r="J1401" s="5">
        <v>282</v>
      </c>
      <c r="K1401" s="5">
        <v>23</v>
      </c>
      <c r="L1401" s="5">
        <v>9</v>
      </c>
      <c r="M1401" s="5">
        <v>9</v>
      </c>
      <c r="N1401" s="7">
        <v>320.81</v>
      </c>
      <c r="O1401" s="7">
        <f t="shared" si="149"/>
        <v>2887.29</v>
      </c>
      <c r="P1401" s="4">
        <v>0</v>
      </c>
      <c r="Q1401" s="7">
        <f t="shared" si="150"/>
        <v>0</v>
      </c>
      <c r="R1401" s="7">
        <f t="shared" si="151"/>
        <v>2887.29</v>
      </c>
      <c r="S1401" s="7">
        <f t="shared" si="152"/>
        <v>320.81</v>
      </c>
      <c r="T1401" s="6">
        <f t="shared" si="153"/>
        <v>1.8404907975460124E-2</v>
      </c>
      <c r="V1401" t="s">
        <v>29</v>
      </c>
    </row>
    <row r="1402" spans="1:22">
      <c r="A1402" s="3">
        <v>45716</v>
      </c>
      <c r="B1402" t="str">
        <f t="shared" si="147"/>
        <v>yyyy-02</v>
      </c>
      <c r="C1402">
        <f t="shared" si="148"/>
        <v>9</v>
      </c>
      <c r="D1402" t="s">
        <v>24</v>
      </c>
      <c r="E1402" t="s">
        <v>40</v>
      </c>
      <c r="F1402" t="s">
        <v>41</v>
      </c>
      <c r="G1402" t="s">
        <v>31</v>
      </c>
      <c r="H1402" t="s">
        <v>32</v>
      </c>
      <c r="I1402" s="5">
        <v>826</v>
      </c>
      <c r="J1402" s="5">
        <v>487</v>
      </c>
      <c r="K1402" s="5">
        <v>82</v>
      </c>
      <c r="L1402" s="5">
        <v>21</v>
      </c>
      <c r="M1402" s="5">
        <v>27</v>
      </c>
      <c r="N1402" s="7">
        <v>177.47</v>
      </c>
      <c r="O1402" s="7">
        <f t="shared" si="149"/>
        <v>4791.6899999999996</v>
      </c>
      <c r="P1402" s="4">
        <v>0</v>
      </c>
      <c r="Q1402" s="7">
        <f t="shared" si="150"/>
        <v>0</v>
      </c>
      <c r="R1402" s="7">
        <f t="shared" si="151"/>
        <v>4791.6899999999996</v>
      </c>
      <c r="S1402" s="7">
        <f t="shared" si="152"/>
        <v>228.17571428571426</v>
      </c>
      <c r="T1402" s="6">
        <f t="shared" si="153"/>
        <v>2.5423728813559324E-2</v>
      </c>
      <c r="V1402" t="s">
        <v>29</v>
      </c>
    </row>
    <row r="1403" spans="1:22">
      <c r="A1403" s="3">
        <v>45716</v>
      </c>
      <c r="B1403" t="str">
        <f t="shared" si="147"/>
        <v>yyyy-02</v>
      </c>
      <c r="C1403">
        <f t="shared" si="148"/>
        <v>9</v>
      </c>
      <c r="D1403" t="s">
        <v>42</v>
      </c>
      <c r="E1403" t="s">
        <v>43</v>
      </c>
      <c r="F1403" t="s">
        <v>44</v>
      </c>
      <c r="G1403" t="s">
        <v>31</v>
      </c>
      <c r="H1403" t="s">
        <v>32</v>
      </c>
      <c r="I1403" s="5">
        <v>431</v>
      </c>
      <c r="J1403" s="5">
        <v>236</v>
      </c>
      <c r="K1403" s="5">
        <v>15</v>
      </c>
      <c r="L1403" s="5">
        <v>3</v>
      </c>
      <c r="M1403" s="5">
        <v>3</v>
      </c>
      <c r="N1403" s="7">
        <v>1272.52</v>
      </c>
      <c r="O1403" s="7">
        <f t="shared" si="149"/>
        <v>3817.56</v>
      </c>
      <c r="P1403" s="4">
        <v>0.03</v>
      </c>
      <c r="Q1403" s="7">
        <f t="shared" si="150"/>
        <v>114.52679999999999</v>
      </c>
      <c r="R1403" s="7">
        <f t="shared" si="151"/>
        <v>3703.0331999999999</v>
      </c>
      <c r="S1403" s="7">
        <f t="shared" si="152"/>
        <v>1234.3444</v>
      </c>
      <c r="T1403" s="6">
        <f t="shared" si="153"/>
        <v>6.9605568445475635E-3</v>
      </c>
      <c r="V1403" t="s">
        <v>78</v>
      </c>
    </row>
    <row r="1404" spans="1:22">
      <c r="A1404" s="3">
        <v>45716</v>
      </c>
      <c r="B1404" t="str">
        <f t="shared" si="147"/>
        <v>yyyy-02</v>
      </c>
      <c r="C1404">
        <f t="shared" si="148"/>
        <v>9</v>
      </c>
      <c r="D1404" t="s">
        <v>42</v>
      </c>
      <c r="E1404" t="s">
        <v>43</v>
      </c>
      <c r="F1404" t="s">
        <v>46</v>
      </c>
      <c r="G1404" t="s">
        <v>36</v>
      </c>
      <c r="H1404" t="s">
        <v>37</v>
      </c>
      <c r="I1404" s="5">
        <v>464</v>
      </c>
      <c r="J1404" s="5">
        <v>364</v>
      </c>
      <c r="K1404" s="5">
        <v>33</v>
      </c>
      <c r="L1404" s="5">
        <v>8</v>
      </c>
      <c r="M1404" s="5">
        <v>8</v>
      </c>
      <c r="N1404" s="7">
        <v>2135.02</v>
      </c>
      <c r="O1404" s="7">
        <f t="shared" si="149"/>
        <v>17080.16</v>
      </c>
      <c r="P1404" s="4">
        <v>0.03</v>
      </c>
      <c r="Q1404" s="7">
        <f t="shared" si="150"/>
        <v>512.40480000000002</v>
      </c>
      <c r="R1404" s="7">
        <f t="shared" si="151"/>
        <v>16567.7552</v>
      </c>
      <c r="S1404" s="7">
        <f t="shared" si="152"/>
        <v>2070.9694</v>
      </c>
      <c r="T1404" s="6">
        <f t="shared" si="153"/>
        <v>1.7241379310344827E-2</v>
      </c>
      <c r="V1404" t="s">
        <v>29</v>
      </c>
    </row>
    <row r="1405" spans="1:22">
      <c r="A1405" s="3">
        <v>45716</v>
      </c>
      <c r="B1405" t="str">
        <f t="shared" si="147"/>
        <v>yyyy-02</v>
      </c>
      <c r="C1405">
        <f t="shared" si="148"/>
        <v>9</v>
      </c>
      <c r="D1405" t="s">
        <v>42</v>
      </c>
      <c r="E1405" t="s">
        <v>43</v>
      </c>
      <c r="F1405" t="s">
        <v>47</v>
      </c>
      <c r="G1405" t="s">
        <v>31</v>
      </c>
      <c r="H1405" t="s">
        <v>32</v>
      </c>
      <c r="I1405" s="5">
        <v>529</v>
      </c>
      <c r="J1405" s="5">
        <v>336</v>
      </c>
      <c r="K1405" s="5">
        <v>36</v>
      </c>
      <c r="L1405" s="5">
        <v>6</v>
      </c>
      <c r="M1405" s="5">
        <v>6</v>
      </c>
      <c r="N1405" s="7">
        <v>602.79</v>
      </c>
      <c r="O1405" s="7">
        <f t="shared" si="149"/>
        <v>3616.74</v>
      </c>
      <c r="P1405" s="4">
        <v>0</v>
      </c>
      <c r="Q1405" s="7">
        <f t="shared" si="150"/>
        <v>0</v>
      </c>
      <c r="R1405" s="7">
        <f t="shared" si="151"/>
        <v>3616.74</v>
      </c>
      <c r="S1405" s="7">
        <f t="shared" si="152"/>
        <v>602.79</v>
      </c>
      <c r="T1405" s="6">
        <f t="shared" si="153"/>
        <v>1.1342155009451797E-2</v>
      </c>
      <c r="V1405" t="s">
        <v>29</v>
      </c>
    </row>
    <row r="1406" spans="1:22">
      <c r="A1406" s="3">
        <v>45716</v>
      </c>
      <c r="B1406" t="str">
        <f t="shared" si="147"/>
        <v>yyyy-02</v>
      </c>
      <c r="C1406">
        <f t="shared" si="148"/>
        <v>9</v>
      </c>
      <c r="D1406" t="s">
        <v>42</v>
      </c>
      <c r="E1406" t="s">
        <v>49</v>
      </c>
      <c r="F1406" t="s">
        <v>50</v>
      </c>
      <c r="G1406" t="s">
        <v>27</v>
      </c>
      <c r="H1406" t="s">
        <v>28</v>
      </c>
      <c r="I1406" s="5">
        <v>134</v>
      </c>
      <c r="J1406" s="5">
        <v>71</v>
      </c>
      <c r="K1406" s="5">
        <v>8</v>
      </c>
      <c r="L1406" s="5">
        <v>1</v>
      </c>
      <c r="M1406" s="5">
        <v>1</v>
      </c>
      <c r="N1406" s="7">
        <v>1007.42</v>
      </c>
      <c r="O1406" s="7">
        <f t="shared" si="149"/>
        <v>1007.42</v>
      </c>
      <c r="P1406" s="4">
        <v>0</v>
      </c>
      <c r="Q1406" s="7">
        <f t="shared" si="150"/>
        <v>0</v>
      </c>
      <c r="R1406" s="7">
        <f t="shared" si="151"/>
        <v>1007.42</v>
      </c>
      <c r="S1406" s="7">
        <f t="shared" si="152"/>
        <v>1007.42</v>
      </c>
      <c r="T1406" s="6">
        <f t="shared" si="153"/>
        <v>7.462686567164179E-3</v>
      </c>
      <c r="V1406" t="s">
        <v>78</v>
      </c>
    </row>
    <row r="1407" spans="1:22">
      <c r="A1407" s="3">
        <v>45716</v>
      </c>
      <c r="B1407" t="str">
        <f t="shared" si="147"/>
        <v>yyyy-02</v>
      </c>
      <c r="C1407">
        <f t="shared" si="148"/>
        <v>9</v>
      </c>
      <c r="D1407" t="s">
        <v>42</v>
      </c>
      <c r="E1407" t="s">
        <v>51</v>
      </c>
      <c r="F1407" t="s">
        <v>52</v>
      </c>
      <c r="G1407" t="s">
        <v>36</v>
      </c>
      <c r="H1407" t="s">
        <v>37</v>
      </c>
      <c r="I1407" s="5">
        <v>252</v>
      </c>
      <c r="J1407" s="5">
        <v>144</v>
      </c>
      <c r="K1407" s="5">
        <v>8</v>
      </c>
      <c r="L1407" s="5">
        <v>3</v>
      </c>
      <c r="M1407" s="5">
        <v>3</v>
      </c>
      <c r="N1407" s="7">
        <v>597.08000000000004</v>
      </c>
      <c r="O1407" s="7">
        <f t="shared" si="149"/>
        <v>1791.2400000000002</v>
      </c>
      <c r="P1407" s="4">
        <v>0</v>
      </c>
      <c r="Q1407" s="7">
        <f t="shared" si="150"/>
        <v>0</v>
      </c>
      <c r="R1407" s="7">
        <f t="shared" si="151"/>
        <v>1791.2400000000002</v>
      </c>
      <c r="S1407" s="7">
        <f t="shared" si="152"/>
        <v>597.08000000000004</v>
      </c>
      <c r="T1407" s="6">
        <f t="shared" si="153"/>
        <v>1.1904761904761904E-2</v>
      </c>
      <c r="V1407" t="s">
        <v>29</v>
      </c>
    </row>
    <row r="1408" spans="1:22">
      <c r="A1408" s="3">
        <v>45716</v>
      </c>
      <c r="B1408" t="str">
        <f t="shared" si="147"/>
        <v>yyyy-02</v>
      </c>
      <c r="C1408">
        <f t="shared" si="148"/>
        <v>9</v>
      </c>
      <c r="D1408" t="s">
        <v>53</v>
      </c>
      <c r="E1408" t="s">
        <v>54</v>
      </c>
      <c r="F1408" t="s">
        <v>55</v>
      </c>
      <c r="G1408" t="s">
        <v>36</v>
      </c>
      <c r="H1408" t="s">
        <v>37</v>
      </c>
      <c r="I1408" s="5">
        <v>150</v>
      </c>
      <c r="J1408" s="5">
        <v>108</v>
      </c>
      <c r="K1408" s="5">
        <v>12</v>
      </c>
      <c r="L1408" s="5">
        <v>2</v>
      </c>
      <c r="M1408" s="5">
        <v>2</v>
      </c>
      <c r="N1408" s="7">
        <v>1299.1600000000001</v>
      </c>
      <c r="O1408" s="7">
        <f t="shared" si="149"/>
        <v>2598.3200000000002</v>
      </c>
      <c r="P1408" s="4">
        <v>0.1</v>
      </c>
      <c r="Q1408" s="7">
        <f t="shared" si="150"/>
        <v>259.83200000000005</v>
      </c>
      <c r="R1408" s="7">
        <f t="shared" si="151"/>
        <v>2338.4880000000003</v>
      </c>
      <c r="S1408" s="7">
        <f t="shared" si="152"/>
        <v>1169.2440000000001</v>
      </c>
      <c r="T1408" s="6">
        <f t="shared" si="153"/>
        <v>1.3333333333333334E-2</v>
      </c>
      <c r="U1408" t="s">
        <v>86</v>
      </c>
      <c r="V1408" t="s">
        <v>29</v>
      </c>
    </row>
    <row r="1409" spans="1:22">
      <c r="A1409" s="3">
        <v>45716</v>
      </c>
      <c r="B1409" t="str">
        <f t="shared" si="147"/>
        <v>yyyy-02</v>
      </c>
      <c r="C1409">
        <f t="shared" si="148"/>
        <v>9</v>
      </c>
      <c r="D1409" t="s">
        <v>53</v>
      </c>
      <c r="E1409" t="s">
        <v>56</v>
      </c>
      <c r="F1409" t="s">
        <v>57</v>
      </c>
      <c r="G1409" t="s">
        <v>31</v>
      </c>
      <c r="H1409" t="s">
        <v>32</v>
      </c>
      <c r="I1409" s="5">
        <v>235</v>
      </c>
      <c r="J1409" s="5">
        <v>135</v>
      </c>
      <c r="K1409" s="5">
        <v>15</v>
      </c>
      <c r="L1409" s="5">
        <v>3</v>
      </c>
      <c r="M1409" s="5">
        <v>3</v>
      </c>
      <c r="N1409" s="7">
        <v>760.44</v>
      </c>
      <c r="O1409" s="7">
        <f t="shared" si="149"/>
        <v>2281.3200000000002</v>
      </c>
      <c r="P1409" s="4">
        <v>0</v>
      </c>
      <c r="Q1409" s="7">
        <f t="shared" si="150"/>
        <v>0</v>
      </c>
      <c r="R1409" s="7">
        <f t="shared" si="151"/>
        <v>2281.3200000000002</v>
      </c>
      <c r="S1409" s="7">
        <f t="shared" si="152"/>
        <v>760.44</v>
      </c>
      <c r="T1409" s="6">
        <f t="shared" si="153"/>
        <v>1.276595744680851E-2</v>
      </c>
      <c r="V1409" t="s">
        <v>29</v>
      </c>
    </row>
    <row r="1410" spans="1:22">
      <c r="A1410" s="3">
        <v>45716</v>
      </c>
      <c r="B1410" t="str">
        <f t="shared" si="147"/>
        <v>yyyy-02</v>
      </c>
      <c r="C1410">
        <f t="shared" si="148"/>
        <v>9</v>
      </c>
      <c r="D1410" t="s">
        <v>53</v>
      </c>
      <c r="E1410" t="s">
        <v>56</v>
      </c>
      <c r="F1410" t="s">
        <v>58</v>
      </c>
      <c r="G1410" t="s">
        <v>27</v>
      </c>
      <c r="H1410" t="s">
        <v>45</v>
      </c>
      <c r="I1410" s="5">
        <v>224</v>
      </c>
      <c r="J1410" s="5">
        <v>174</v>
      </c>
      <c r="K1410" s="5">
        <v>16</v>
      </c>
      <c r="L1410" s="5">
        <v>2</v>
      </c>
      <c r="M1410" s="5">
        <v>2</v>
      </c>
      <c r="N1410" s="7">
        <v>880.33</v>
      </c>
      <c r="O1410" s="7">
        <f t="shared" si="149"/>
        <v>1760.66</v>
      </c>
      <c r="P1410" s="4">
        <v>0.05</v>
      </c>
      <c r="Q1410" s="7">
        <f t="shared" si="150"/>
        <v>88.033000000000015</v>
      </c>
      <c r="R1410" s="7">
        <f t="shared" si="151"/>
        <v>1672.627</v>
      </c>
      <c r="S1410" s="7">
        <f t="shared" si="152"/>
        <v>836.31349999999998</v>
      </c>
      <c r="T1410" s="6">
        <f t="shared" si="153"/>
        <v>8.9285714285714281E-3</v>
      </c>
      <c r="V1410" t="s">
        <v>29</v>
      </c>
    </row>
    <row r="1411" spans="1:22">
      <c r="A1411" s="3">
        <v>45716</v>
      </c>
      <c r="B1411" t="str">
        <f t="shared" si="147"/>
        <v>yyyy-02</v>
      </c>
      <c r="C1411">
        <f t="shared" si="148"/>
        <v>9</v>
      </c>
      <c r="D1411" t="s">
        <v>53</v>
      </c>
      <c r="E1411" t="s">
        <v>59</v>
      </c>
      <c r="F1411" t="s">
        <v>60</v>
      </c>
      <c r="G1411" t="s">
        <v>27</v>
      </c>
      <c r="H1411" t="s">
        <v>28</v>
      </c>
      <c r="I1411" s="5">
        <v>106</v>
      </c>
      <c r="J1411" s="5">
        <v>76</v>
      </c>
      <c r="K1411" s="5">
        <v>8</v>
      </c>
      <c r="L1411" s="5">
        <v>1</v>
      </c>
      <c r="M1411" s="5">
        <v>1</v>
      </c>
      <c r="N1411" s="7">
        <v>683.33</v>
      </c>
      <c r="O1411" s="7">
        <f t="shared" si="149"/>
        <v>683.33</v>
      </c>
      <c r="P1411" s="4">
        <v>0.03</v>
      </c>
      <c r="Q1411" s="7">
        <f t="shared" si="150"/>
        <v>20.4999</v>
      </c>
      <c r="R1411" s="7">
        <f t="shared" si="151"/>
        <v>662.83010000000002</v>
      </c>
      <c r="S1411" s="7">
        <f t="shared" si="152"/>
        <v>662.83010000000002</v>
      </c>
      <c r="T1411" s="6">
        <f t="shared" si="153"/>
        <v>9.433962264150943E-3</v>
      </c>
      <c r="V1411" t="s">
        <v>29</v>
      </c>
    </row>
    <row r="1412" spans="1:22">
      <c r="A1412" s="3">
        <v>45716</v>
      </c>
      <c r="B1412" t="str">
        <f t="shared" si="147"/>
        <v>yyyy-02</v>
      </c>
      <c r="C1412">
        <f t="shared" si="148"/>
        <v>9</v>
      </c>
      <c r="D1412" t="s">
        <v>53</v>
      </c>
      <c r="E1412" t="s">
        <v>61</v>
      </c>
      <c r="F1412" t="s">
        <v>62</v>
      </c>
      <c r="G1412" t="s">
        <v>27</v>
      </c>
      <c r="H1412" t="s">
        <v>28</v>
      </c>
      <c r="I1412" s="5">
        <v>150</v>
      </c>
      <c r="J1412" s="5">
        <v>81</v>
      </c>
      <c r="K1412" s="5">
        <v>7</v>
      </c>
      <c r="L1412" s="5">
        <v>1</v>
      </c>
      <c r="M1412" s="5">
        <v>1</v>
      </c>
      <c r="N1412" s="7">
        <v>497.29</v>
      </c>
      <c r="O1412" s="7">
        <f t="shared" si="149"/>
        <v>497.29</v>
      </c>
      <c r="P1412" s="4">
        <v>0</v>
      </c>
      <c r="Q1412" s="7">
        <f t="shared" si="150"/>
        <v>0</v>
      </c>
      <c r="R1412" s="7">
        <f t="shared" si="151"/>
        <v>497.29</v>
      </c>
      <c r="S1412" s="7">
        <f t="shared" si="152"/>
        <v>497.29</v>
      </c>
      <c r="T1412" s="6">
        <f t="shared" si="153"/>
        <v>6.6666666666666671E-3</v>
      </c>
      <c r="V1412" t="s">
        <v>29</v>
      </c>
    </row>
    <row r="1413" spans="1:22">
      <c r="A1413" s="3">
        <v>45716</v>
      </c>
      <c r="B1413" t="str">
        <f t="shared" ref="B1413:B1476" si="154">TEXT(A1413,"yyyy-mm")</f>
        <v>yyyy-02</v>
      </c>
      <c r="C1413">
        <f t="shared" ref="C1413:C1476" si="155">WEEKNUM(A1413,2)</f>
        <v>9</v>
      </c>
      <c r="D1413" t="s">
        <v>53</v>
      </c>
      <c r="E1413" t="s">
        <v>64</v>
      </c>
      <c r="F1413" t="s">
        <v>65</v>
      </c>
      <c r="G1413" t="s">
        <v>36</v>
      </c>
      <c r="H1413" t="s">
        <v>37</v>
      </c>
      <c r="I1413" s="5">
        <v>200</v>
      </c>
      <c r="J1413" s="5">
        <v>106</v>
      </c>
      <c r="K1413" s="5">
        <v>9</v>
      </c>
      <c r="L1413" s="5">
        <v>3</v>
      </c>
      <c r="M1413" s="5">
        <v>3</v>
      </c>
      <c r="N1413" s="7">
        <v>810.2</v>
      </c>
      <c r="O1413" s="7">
        <f t="shared" ref="O1413:O1476" si="156">M1413*N1413</f>
        <v>2430.6000000000004</v>
      </c>
      <c r="P1413" s="4">
        <v>0</v>
      </c>
      <c r="Q1413" s="7">
        <f t="shared" ref="Q1413:Q1476" si="157">O1413*P1413</f>
        <v>0</v>
      </c>
      <c r="R1413" s="7">
        <f t="shared" ref="R1413:R1476" si="158">O1413-Q1413</f>
        <v>2430.6000000000004</v>
      </c>
      <c r="S1413" s="7">
        <f t="shared" ref="S1413:S1476" si="159">IFERROR(R1413/L1413,0)</f>
        <v>810.20000000000016</v>
      </c>
      <c r="T1413" s="6">
        <f t="shared" ref="T1413:T1476" si="160">IFERROR(L1413/I1413,0)</f>
        <v>1.4999999999999999E-2</v>
      </c>
      <c r="V1413" t="s">
        <v>29</v>
      </c>
    </row>
    <row r="1414" spans="1:22">
      <c r="A1414" s="3">
        <v>45716</v>
      </c>
      <c r="B1414" t="str">
        <f t="shared" si="154"/>
        <v>yyyy-02</v>
      </c>
      <c r="C1414">
        <f t="shared" si="155"/>
        <v>9</v>
      </c>
      <c r="D1414" t="s">
        <v>66</v>
      </c>
      <c r="E1414" t="s">
        <v>67</v>
      </c>
      <c r="F1414" t="s">
        <v>68</v>
      </c>
      <c r="G1414" t="s">
        <v>27</v>
      </c>
      <c r="H1414" t="s">
        <v>28</v>
      </c>
      <c r="I1414" s="5">
        <v>281</v>
      </c>
      <c r="J1414" s="5">
        <v>150</v>
      </c>
      <c r="K1414" s="5">
        <v>20</v>
      </c>
      <c r="L1414" s="5">
        <v>4</v>
      </c>
      <c r="M1414" s="5">
        <v>4</v>
      </c>
      <c r="N1414" s="7">
        <v>685.79</v>
      </c>
      <c r="O1414" s="7">
        <f t="shared" si="156"/>
        <v>2743.16</v>
      </c>
      <c r="P1414" s="4">
        <v>0.05</v>
      </c>
      <c r="Q1414" s="7">
        <f t="shared" si="157"/>
        <v>137.15799999999999</v>
      </c>
      <c r="R1414" s="7">
        <f t="shared" si="158"/>
        <v>2606.002</v>
      </c>
      <c r="S1414" s="7">
        <f t="shared" si="159"/>
        <v>651.50049999999999</v>
      </c>
      <c r="T1414" s="6">
        <f t="shared" si="160"/>
        <v>1.4234875444839857E-2</v>
      </c>
      <c r="V1414" t="s">
        <v>29</v>
      </c>
    </row>
    <row r="1415" spans="1:22">
      <c r="A1415" s="3">
        <v>45716</v>
      </c>
      <c r="B1415" t="str">
        <f t="shared" si="154"/>
        <v>yyyy-02</v>
      </c>
      <c r="C1415">
        <f t="shared" si="155"/>
        <v>9</v>
      </c>
      <c r="D1415" t="s">
        <v>66</v>
      </c>
      <c r="E1415" t="s">
        <v>67</v>
      </c>
      <c r="F1415" t="s">
        <v>69</v>
      </c>
      <c r="G1415" t="s">
        <v>27</v>
      </c>
      <c r="H1415" t="s">
        <v>28</v>
      </c>
      <c r="I1415" s="5">
        <v>336</v>
      </c>
      <c r="J1415" s="5">
        <v>193</v>
      </c>
      <c r="K1415" s="5">
        <v>25</v>
      </c>
      <c r="L1415" s="5">
        <v>6</v>
      </c>
      <c r="M1415" s="5">
        <v>6</v>
      </c>
      <c r="N1415" s="7">
        <v>385.4</v>
      </c>
      <c r="O1415" s="7">
        <f t="shared" si="156"/>
        <v>2312.3999999999996</v>
      </c>
      <c r="P1415" s="4">
        <v>0.05</v>
      </c>
      <c r="Q1415" s="7">
        <f t="shared" si="157"/>
        <v>115.61999999999999</v>
      </c>
      <c r="R1415" s="7">
        <f t="shared" si="158"/>
        <v>2196.7799999999997</v>
      </c>
      <c r="S1415" s="7">
        <f t="shared" si="159"/>
        <v>366.12999999999994</v>
      </c>
      <c r="T1415" s="6">
        <f t="shared" si="160"/>
        <v>1.7857142857142856E-2</v>
      </c>
      <c r="V1415" t="s">
        <v>29</v>
      </c>
    </row>
    <row r="1416" spans="1:22">
      <c r="A1416" s="3">
        <v>45716</v>
      </c>
      <c r="B1416" t="str">
        <f t="shared" si="154"/>
        <v>yyyy-02</v>
      </c>
      <c r="C1416">
        <f t="shared" si="155"/>
        <v>9</v>
      </c>
      <c r="D1416" t="s">
        <v>66</v>
      </c>
      <c r="E1416" t="s">
        <v>67</v>
      </c>
      <c r="F1416" t="s">
        <v>70</v>
      </c>
      <c r="G1416" t="s">
        <v>27</v>
      </c>
      <c r="H1416" t="s">
        <v>63</v>
      </c>
      <c r="I1416" s="5">
        <v>199</v>
      </c>
      <c r="J1416" s="5">
        <v>107</v>
      </c>
      <c r="K1416" s="5">
        <v>10</v>
      </c>
      <c r="L1416" s="5">
        <v>3</v>
      </c>
      <c r="M1416" s="5">
        <v>3</v>
      </c>
      <c r="N1416" s="7">
        <v>335.37</v>
      </c>
      <c r="O1416" s="7">
        <f t="shared" si="156"/>
        <v>1006.11</v>
      </c>
      <c r="P1416" s="4">
        <v>0</v>
      </c>
      <c r="Q1416" s="7">
        <f t="shared" si="157"/>
        <v>0</v>
      </c>
      <c r="R1416" s="7">
        <f t="shared" si="158"/>
        <v>1006.11</v>
      </c>
      <c r="S1416" s="7">
        <f t="shared" si="159"/>
        <v>335.37</v>
      </c>
      <c r="T1416" s="6">
        <f t="shared" si="160"/>
        <v>1.507537688442211E-2</v>
      </c>
      <c r="V1416" t="s">
        <v>29</v>
      </c>
    </row>
    <row r="1417" spans="1:22">
      <c r="A1417" s="3">
        <v>45716</v>
      </c>
      <c r="B1417" t="str">
        <f t="shared" si="154"/>
        <v>yyyy-02</v>
      </c>
      <c r="C1417">
        <f t="shared" si="155"/>
        <v>9</v>
      </c>
      <c r="D1417" t="s">
        <v>66</v>
      </c>
      <c r="E1417" t="s">
        <v>71</v>
      </c>
      <c r="F1417" t="s">
        <v>72</v>
      </c>
      <c r="G1417" t="s">
        <v>27</v>
      </c>
      <c r="H1417" t="s">
        <v>63</v>
      </c>
      <c r="I1417" s="5">
        <v>190</v>
      </c>
      <c r="J1417" s="5">
        <v>99</v>
      </c>
      <c r="K1417" s="5">
        <v>18</v>
      </c>
      <c r="L1417" s="5">
        <v>4</v>
      </c>
      <c r="M1417" s="5">
        <v>5</v>
      </c>
      <c r="N1417" s="7">
        <v>131.47999999999999</v>
      </c>
      <c r="O1417" s="7">
        <f t="shared" si="156"/>
        <v>657.4</v>
      </c>
      <c r="P1417" s="4">
        <v>0.15</v>
      </c>
      <c r="Q1417" s="7">
        <f t="shared" si="157"/>
        <v>98.61</v>
      </c>
      <c r="R1417" s="7">
        <f t="shared" si="158"/>
        <v>558.79</v>
      </c>
      <c r="S1417" s="7">
        <f t="shared" si="159"/>
        <v>139.69749999999999</v>
      </c>
      <c r="T1417" s="6">
        <f t="shared" si="160"/>
        <v>2.1052631578947368E-2</v>
      </c>
      <c r="U1417" t="s">
        <v>87</v>
      </c>
      <c r="V1417" t="s">
        <v>29</v>
      </c>
    </row>
    <row r="1418" spans="1:22">
      <c r="A1418" s="3">
        <v>45716</v>
      </c>
      <c r="B1418" t="str">
        <f t="shared" si="154"/>
        <v>yyyy-02</v>
      </c>
      <c r="C1418">
        <f t="shared" si="155"/>
        <v>9</v>
      </c>
      <c r="D1418" t="s">
        <v>66</v>
      </c>
      <c r="E1418" t="s">
        <v>73</v>
      </c>
      <c r="F1418" t="s">
        <v>74</v>
      </c>
      <c r="G1418" t="s">
        <v>27</v>
      </c>
      <c r="H1418" t="s">
        <v>48</v>
      </c>
      <c r="I1418" s="5">
        <v>105</v>
      </c>
      <c r="J1418" s="5">
        <v>67</v>
      </c>
      <c r="K1418" s="5">
        <v>8</v>
      </c>
      <c r="L1418" s="5">
        <v>2</v>
      </c>
      <c r="M1418" s="5">
        <v>2</v>
      </c>
      <c r="N1418" s="7">
        <v>1169.6099999999999</v>
      </c>
      <c r="O1418" s="7">
        <f t="shared" si="156"/>
        <v>2339.2199999999998</v>
      </c>
      <c r="P1418" s="4">
        <v>0</v>
      </c>
      <c r="Q1418" s="7">
        <f t="shared" si="157"/>
        <v>0</v>
      </c>
      <c r="R1418" s="7">
        <f t="shared" si="158"/>
        <v>2339.2199999999998</v>
      </c>
      <c r="S1418" s="7">
        <f t="shared" si="159"/>
        <v>1169.6099999999999</v>
      </c>
      <c r="T1418" s="6">
        <f t="shared" si="160"/>
        <v>1.9047619047619049E-2</v>
      </c>
      <c r="V1418" t="s">
        <v>29</v>
      </c>
    </row>
    <row r="1419" spans="1:22">
      <c r="A1419" s="3">
        <v>45716</v>
      </c>
      <c r="B1419" t="str">
        <f t="shared" si="154"/>
        <v>yyyy-02</v>
      </c>
      <c r="C1419">
        <f t="shared" si="155"/>
        <v>9</v>
      </c>
      <c r="D1419" t="s">
        <v>66</v>
      </c>
      <c r="E1419" t="s">
        <v>71</v>
      </c>
      <c r="F1419" t="s">
        <v>75</v>
      </c>
      <c r="G1419" t="s">
        <v>27</v>
      </c>
      <c r="H1419" t="s">
        <v>63</v>
      </c>
      <c r="I1419" s="5">
        <v>200</v>
      </c>
      <c r="J1419" s="5">
        <v>123</v>
      </c>
      <c r="K1419" s="5">
        <v>24</v>
      </c>
      <c r="L1419" s="5">
        <v>6</v>
      </c>
      <c r="M1419" s="5">
        <v>7</v>
      </c>
      <c r="N1419" s="7">
        <v>37.46</v>
      </c>
      <c r="O1419" s="7">
        <f t="shared" si="156"/>
        <v>262.22000000000003</v>
      </c>
      <c r="P1419" s="4">
        <v>0.15</v>
      </c>
      <c r="Q1419" s="7">
        <f t="shared" si="157"/>
        <v>39.333000000000006</v>
      </c>
      <c r="R1419" s="7">
        <f t="shared" si="158"/>
        <v>222.88700000000003</v>
      </c>
      <c r="S1419" s="7">
        <f t="shared" si="159"/>
        <v>37.147833333333338</v>
      </c>
      <c r="T1419" s="6">
        <f t="shared" si="160"/>
        <v>0.03</v>
      </c>
      <c r="U1419" t="s">
        <v>87</v>
      </c>
      <c r="V1419" t="s">
        <v>29</v>
      </c>
    </row>
    <row r="1420" spans="1:22">
      <c r="A1420" s="3">
        <v>45716</v>
      </c>
      <c r="B1420" t="str">
        <f t="shared" si="154"/>
        <v>yyyy-02</v>
      </c>
      <c r="C1420">
        <f t="shared" si="155"/>
        <v>9</v>
      </c>
      <c r="D1420" t="s">
        <v>24</v>
      </c>
      <c r="E1420" t="s">
        <v>76</v>
      </c>
      <c r="F1420" t="s">
        <v>77</v>
      </c>
      <c r="G1420" t="s">
        <v>27</v>
      </c>
      <c r="H1420" t="s">
        <v>48</v>
      </c>
      <c r="I1420" s="5">
        <v>279</v>
      </c>
      <c r="J1420" s="5">
        <v>223</v>
      </c>
      <c r="K1420" s="5">
        <v>24</v>
      </c>
      <c r="L1420" s="5">
        <v>7</v>
      </c>
      <c r="M1420" s="5">
        <v>9</v>
      </c>
      <c r="N1420" s="7">
        <v>195.76</v>
      </c>
      <c r="O1420" s="7">
        <f t="shared" si="156"/>
        <v>1761.84</v>
      </c>
      <c r="P1420" s="4">
        <v>0</v>
      </c>
      <c r="Q1420" s="7">
        <f t="shared" si="157"/>
        <v>0</v>
      </c>
      <c r="R1420" s="7">
        <f t="shared" si="158"/>
        <v>1761.84</v>
      </c>
      <c r="S1420" s="7">
        <f t="shared" si="159"/>
        <v>251.69142857142856</v>
      </c>
      <c r="T1420" s="6">
        <f t="shared" si="160"/>
        <v>2.5089605734767026E-2</v>
      </c>
      <c r="V1420" t="s">
        <v>29</v>
      </c>
    </row>
    <row r="1421" spans="1:22">
      <c r="A1421" s="3">
        <v>45717</v>
      </c>
      <c r="B1421" t="str">
        <f t="shared" si="154"/>
        <v>yyyy-03</v>
      </c>
      <c r="C1421">
        <f t="shared" si="155"/>
        <v>9</v>
      </c>
      <c r="D1421" t="s">
        <v>24</v>
      </c>
      <c r="E1421" t="s">
        <v>25</v>
      </c>
      <c r="F1421" t="s">
        <v>26</v>
      </c>
      <c r="G1421" t="s">
        <v>27</v>
      </c>
      <c r="H1421" t="s">
        <v>45</v>
      </c>
      <c r="I1421" s="5">
        <v>1483</v>
      </c>
      <c r="J1421" s="5">
        <v>823</v>
      </c>
      <c r="K1421" s="5">
        <v>109</v>
      </c>
      <c r="L1421" s="5">
        <v>25</v>
      </c>
      <c r="M1421" s="5">
        <v>25</v>
      </c>
      <c r="N1421" s="7">
        <v>991.22</v>
      </c>
      <c r="O1421" s="7">
        <f t="shared" si="156"/>
        <v>24780.5</v>
      </c>
      <c r="P1421" s="4">
        <v>0</v>
      </c>
      <c r="Q1421" s="7">
        <f t="shared" si="157"/>
        <v>0</v>
      </c>
      <c r="R1421" s="7">
        <f t="shared" si="158"/>
        <v>24780.5</v>
      </c>
      <c r="S1421" s="7">
        <f t="shared" si="159"/>
        <v>991.22</v>
      </c>
      <c r="T1421" s="6">
        <f t="shared" si="160"/>
        <v>1.6857720836142953E-2</v>
      </c>
      <c r="V1421" t="s">
        <v>29</v>
      </c>
    </row>
    <row r="1422" spans="1:22">
      <c r="A1422" s="3">
        <v>45717</v>
      </c>
      <c r="B1422" t="str">
        <f t="shared" si="154"/>
        <v>yyyy-03</v>
      </c>
      <c r="C1422">
        <f t="shared" si="155"/>
        <v>9</v>
      </c>
      <c r="D1422" t="s">
        <v>24</v>
      </c>
      <c r="E1422" t="s">
        <v>25</v>
      </c>
      <c r="F1422" t="s">
        <v>30</v>
      </c>
      <c r="G1422" t="s">
        <v>31</v>
      </c>
      <c r="H1422" t="s">
        <v>32</v>
      </c>
      <c r="I1422" s="5">
        <v>1888</v>
      </c>
      <c r="J1422" s="5">
        <v>1380</v>
      </c>
      <c r="K1422" s="5">
        <v>153</v>
      </c>
      <c r="L1422" s="5">
        <v>48</v>
      </c>
      <c r="M1422" s="5">
        <v>48</v>
      </c>
      <c r="N1422" s="7">
        <v>389.86</v>
      </c>
      <c r="O1422" s="7">
        <f t="shared" si="156"/>
        <v>18713.28</v>
      </c>
      <c r="P1422" s="4">
        <v>0.05</v>
      </c>
      <c r="Q1422" s="7">
        <f t="shared" si="157"/>
        <v>935.66399999999999</v>
      </c>
      <c r="R1422" s="7">
        <f t="shared" si="158"/>
        <v>17777.615999999998</v>
      </c>
      <c r="S1422" s="7">
        <f t="shared" si="159"/>
        <v>370.36699999999996</v>
      </c>
      <c r="T1422" s="6">
        <f t="shared" si="160"/>
        <v>2.5423728813559324E-2</v>
      </c>
      <c r="V1422" t="s">
        <v>29</v>
      </c>
    </row>
    <row r="1423" spans="1:22">
      <c r="A1423" s="3">
        <v>45717</v>
      </c>
      <c r="B1423" t="str">
        <f t="shared" si="154"/>
        <v>yyyy-03</v>
      </c>
      <c r="C1423">
        <f t="shared" si="155"/>
        <v>9</v>
      </c>
      <c r="D1423" t="s">
        <v>24</v>
      </c>
      <c r="E1423" t="s">
        <v>25</v>
      </c>
      <c r="F1423" t="s">
        <v>33</v>
      </c>
      <c r="G1423" t="s">
        <v>27</v>
      </c>
      <c r="H1423" t="s">
        <v>28</v>
      </c>
      <c r="I1423" s="5">
        <v>1262</v>
      </c>
      <c r="J1423" s="5">
        <v>735</v>
      </c>
      <c r="K1423" s="5">
        <v>91</v>
      </c>
      <c r="L1423" s="5">
        <v>20</v>
      </c>
      <c r="M1423" s="5">
        <v>20</v>
      </c>
      <c r="N1423" s="7">
        <v>1782.98</v>
      </c>
      <c r="O1423" s="7">
        <f t="shared" si="156"/>
        <v>35659.599999999999</v>
      </c>
      <c r="P1423" s="4">
        <v>0</v>
      </c>
      <c r="Q1423" s="7">
        <f t="shared" si="157"/>
        <v>0</v>
      </c>
      <c r="R1423" s="7">
        <f t="shared" si="158"/>
        <v>35659.599999999999</v>
      </c>
      <c r="S1423" s="7">
        <f t="shared" si="159"/>
        <v>1782.98</v>
      </c>
      <c r="T1423" s="6">
        <f t="shared" si="160"/>
        <v>1.5847860538827259E-2</v>
      </c>
      <c r="V1423" t="s">
        <v>29</v>
      </c>
    </row>
    <row r="1424" spans="1:22">
      <c r="A1424" s="3">
        <v>45717</v>
      </c>
      <c r="B1424" t="str">
        <f t="shared" si="154"/>
        <v>yyyy-03</v>
      </c>
      <c r="C1424">
        <f t="shared" si="155"/>
        <v>9</v>
      </c>
      <c r="D1424" t="s">
        <v>24</v>
      </c>
      <c r="E1424" t="s">
        <v>34</v>
      </c>
      <c r="F1424" t="s">
        <v>35</v>
      </c>
      <c r="G1424" t="s">
        <v>31</v>
      </c>
      <c r="H1424" t="s">
        <v>32</v>
      </c>
      <c r="I1424" s="5">
        <v>1505</v>
      </c>
      <c r="J1424" s="5">
        <v>889</v>
      </c>
      <c r="K1424" s="5">
        <v>92</v>
      </c>
      <c r="L1424" s="5">
        <v>36</v>
      </c>
      <c r="M1424" s="5">
        <v>36</v>
      </c>
      <c r="N1424" s="7">
        <v>906.54</v>
      </c>
      <c r="O1424" s="7">
        <f t="shared" si="156"/>
        <v>32635.439999999999</v>
      </c>
      <c r="P1424" s="4">
        <v>0</v>
      </c>
      <c r="Q1424" s="7">
        <f t="shared" si="157"/>
        <v>0</v>
      </c>
      <c r="R1424" s="7">
        <f t="shared" si="158"/>
        <v>32635.439999999999</v>
      </c>
      <c r="S1424" s="7">
        <f t="shared" si="159"/>
        <v>906.54</v>
      </c>
      <c r="T1424" s="6">
        <f t="shared" si="160"/>
        <v>2.3920265780730896E-2</v>
      </c>
      <c r="V1424" t="s">
        <v>29</v>
      </c>
    </row>
    <row r="1425" spans="1:22">
      <c r="A1425" s="3">
        <v>45717</v>
      </c>
      <c r="B1425" t="str">
        <f t="shared" si="154"/>
        <v>yyyy-03</v>
      </c>
      <c r="C1425">
        <f t="shared" si="155"/>
        <v>9</v>
      </c>
      <c r="D1425" t="s">
        <v>24</v>
      </c>
      <c r="E1425" t="s">
        <v>38</v>
      </c>
      <c r="F1425" t="s">
        <v>39</v>
      </c>
      <c r="G1425" t="s">
        <v>31</v>
      </c>
      <c r="H1425" t="s">
        <v>32</v>
      </c>
      <c r="I1425" s="5">
        <v>1051</v>
      </c>
      <c r="J1425" s="5">
        <v>797</v>
      </c>
      <c r="K1425" s="5">
        <v>94</v>
      </c>
      <c r="L1425" s="5">
        <v>23</v>
      </c>
      <c r="M1425" s="5">
        <v>23</v>
      </c>
      <c r="N1425" s="7">
        <v>331.01</v>
      </c>
      <c r="O1425" s="7">
        <f t="shared" si="156"/>
        <v>7613.23</v>
      </c>
      <c r="P1425" s="4">
        <v>0.03</v>
      </c>
      <c r="Q1425" s="7">
        <f t="shared" si="157"/>
        <v>228.39689999999999</v>
      </c>
      <c r="R1425" s="7">
        <f t="shared" si="158"/>
        <v>7384.8330999999998</v>
      </c>
      <c r="S1425" s="7">
        <f t="shared" si="159"/>
        <v>321.0797</v>
      </c>
      <c r="T1425" s="6">
        <f t="shared" si="160"/>
        <v>2.1883920076117985E-2</v>
      </c>
      <c r="V1425" t="s">
        <v>29</v>
      </c>
    </row>
    <row r="1426" spans="1:22">
      <c r="A1426" s="3">
        <v>45717</v>
      </c>
      <c r="B1426" t="str">
        <f t="shared" si="154"/>
        <v>yyyy-03</v>
      </c>
      <c r="C1426">
        <f t="shared" si="155"/>
        <v>9</v>
      </c>
      <c r="D1426" t="s">
        <v>24</v>
      </c>
      <c r="E1426" t="s">
        <v>40</v>
      </c>
      <c r="F1426" t="s">
        <v>41</v>
      </c>
      <c r="G1426" t="s">
        <v>27</v>
      </c>
      <c r="H1426" t="s">
        <v>45</v>
      </c>
      <c r="I1426" s="5">
        <v>593</v>
      </c>
      <c r="J1426" s="5">
        <v>482</v>
      </c>
      <c r="K1426" s="5">
        <v>55</v>
      </c>
      <c r="L1426" s="5">
        <v>11</v>
      </c>
      <c r="M1426" s="5">
        <v>13</v>
      </c>
      <c r="N1426" s="7">
        <v>173.99</v>
      </c>
      <c r="O1426" s="7">
        <f t="shared" si="156"/>
        <v>2261.87</v>
      </c>
      <c r="P1426" s="4">
        <v>0</v>
      </c>
      <c r="Q1426" s="7">
        <f t="shared" si="157"/>
        <v>0</v>
      </c>
      <c r="R1426" s="7">
        <f t="shared" si="158"/>
        <v>2261.87</v>
      </c>
      <c r="S1426" s="7">
        <f t="shared" si="159"/>
        <v>205.62454545454545</v>
      </c>
      <c r="T1426" s="6">
        <f t="shared" si="160"/>
        <v>1.8549747048903879E-2</v>
      </c>
      <c r="V1426" t="s">
        <v>29</v>
      </c>
    </row>
    <row r="1427" spans="1:22">
      <c r="A1427" s="3">
        <v>45717</v>
      </c>
      <c r="B1427" t="str">
        <f t="shared" si="154"/>
        <v>yyyy-03</v>
      </c>
      <c r="C1427">
        <f t="shared" si="155"/>
        <v>9</v>
      </c>
      <c r="D1427" t="s">
        <v>42</v>
      </c>
      <c r="E1427" t="s">
        <v>43</v>
      </c>
      <c r="F1427" t="s">
        <v>44</v>
      </c>
      <c r="G1427" t="s">
        <v>27</v>
      </c>
      <c r="H1427" t="s">
        <v>28</v>
      </c>
      <c r="I1427" s="5">
        <v>634</v>
      </c>
      <c r="J1427" s="5">
        <v>373</v>
      </c>
      <c r="K1427" s="5">
        <v>36</v>
      </c>
      <c r="L1427" s="5">
        <v>10</v>
      </c>
      <c r="M1427" s="5">
        <v>10</v>
      </c>
      <c r="N1427" s="7">
        <v>1249.01</v>
      </c>
      <c r="O1427" s="7">
        <f t="shared" si="156"/>
        <v>12490.1</v>
      </c>
      <c r="P1427" s="4">
        <v>0</v>
      </c>
      <c r="Q1427" s="7">
        <f t="shared" si="157"/>
        <v>0</v>
      </c>
      <c r="R1427" s="7">
        <f t="shared" si="158"/>
        <v>12490.1</v>
      </c>
      <c r="S1427" s="7">
        <f t="shared" si="159"/>
        <v>1249.01</v>
      </c>
      <c r="T1427" s="6">
        <f t="shared" si="160"/>
        <v>1.5772870662460567E-2</v>
      </c>
      <c r="V1427" t="s">
        <v>29</v>
      </c>
    </row>
    <row r="1428" spans="1:22">
      <c r="A1428" s="3">
        <v>45717</v>
      </c>
      <c r="B1428" t="str">
        <f t="shared" si="154"/>
        <v>yyyy-03</v>
      </c>
      <c r="C1428">
        <f t="shared" si="155"/>
        <v>9</v>
      </c>
      <c r="D1428" t="s">
        <v>42</v>
      </c>
      <c r="E1428" t="s">
        <v>43</v>
      </c>
      <c r="F1428" t="s">
        <v>46</v>
      </c>
      <c r="G1428" t="s">
        <v>36</v>
      </c>
      <c r="H1428" t="s">
        <v>37</v>
      </c>
      <c r="I1428" s="5">
        <v>560</v>
      </c>
      <c r="J1428" s="5">
        <v>341</v>
      </c>
      <c r="K1428" s="5">
        <v>25</v>
      </c>
      <c r="L1428" s="5">
        <v>7</v>
      </c>
      <c r="M1428" s="5">
        <v>7</v>
      </c>
      <c r="N1428" s="7">
        <v>2125.73</v>
      </c>
      <c r="O1428" s="7">
        <f t="shared" si="156"/>
        <v>14880.11</v>
      </c>
      <c r="P1428" s="4">
        <v>0</v>
      </c>
      <c r="Q1428" s="7">
        <f t="shared" si="157"/>
        <v>0</v>
      </c>
      <c r="R1428" s="7">
        <f t="shared" si="158"/>
        <v>14880.11</v>
      </c>
      <c r="S1428" s="7">
        <f t="shared" si="159"/>
        <v>2125.73</v>
      </c>
      <c r="T1428" s="6">
        <f t="shared" si="160"/>
        <v>1.2500000000000001E-2</v>
      </c>
      <c r="V1428" t="s">
        <v>29</v>
      </c>
    </row>
    <row r="1429" spans="1:22">
      <c r="A1429" s="3">
        <v>45717</v>
      </c>
      <c r="B1429" t="str">
        <f t="shared" si="154"/>
        <v>yyyy-03</v>
      </c>
      <c r="C1429">
        <f t="shared" si="155"/>
        <v>9</v>
      </c>
      <c r="D1429" t="s">
        <v>42</v>
      </c>
      <c r="E1429" t="s">
        <v>43</v>
      </c>
      <c r="F1429" t="s">
        <v>47</v>
      </c>
      <c r="G1429" t="s">
        <v>31</v>
      </c>
      <c r="H1429" t="s">
        <v>32</v>
      </c>
      <c r="I1429" s="5">
        <v>603</v>
      </c>
      <c r="J1429" s="5">
        <v>487</v>
      </c>
      <c r="K1429" s="5">
        <v>24</v>
      </c>
      <c r="L1429" s="5">
        <v>8</v>
      </c>
      <c r="M1429" s="5">
        <v>8</v>
      </c>
      <c r="N1429" s="7">
        <v>583.44000000000005</v>
      </c>
      <c r="O1429" s="7">
        <f t="shared" si="156"/>
        <v>4667.5200000000004</v>
      </c>
      <c r="P1429" s="4">
        <v>0.03</v>
      </c>
      <c r="Q1429" s="7">
        <f t="shared" si="157"/>
        <v>140.0256</v>
      </c>
      <c r="R1429" s="7">
        <f t="shared" si="158"/>
        <v>4527.4944000000005</v>
      </c>
      <c r="S1429" s="7">
        <f t="shared" si="159"/>
        <v>565.93680000000006</v>
      </c>
      <c r="T1429" s="6">
        <f t="shared" si="160"/>
        <v>1.3266998341625208E-2</v>
      </c>
      <c r="V1429" t="s">
        <v>29</v>
      </c>
    </row>
    <row r="1430" spans="1:22">
      <c r="A1430" s="3">
        <v>45717</v>
      </c>
      <c r="B1430" t="str">
        <f t="shared" si="154"/>
        <v>yyyy-03</v>
      </c>
      <c r="C1430">
        <f t="shared" si="155"/>
        <v>9</v>
      </c>
      <c r="D1430" t="s">
        <v>42</v>
      </c>
      <c r="E1430" t="s">
        <v>49</v>
      </c>
      <c r="F1430" t="s">
        <v>50</v>
      </c>
      <c r="G1430" t="s">
        <v>36</v>
      </c>
      <c r="H1430" t="s">
        <v>37</v>
      </c>
      <c r="I1430" s="5">
        <v>177</v>
      </c>
      <c r="J1430" s="5">
        <v>113</v>
      </c>
      <c r="K1430" s="5">
        <v>11</v>
      </c>
      <c r="L1430" s="5">
        <v>2</v>
      </c>
      <c r="M1430" s="5">
        <v>2</v>
      </c>
      <c r="N1430" s="7">
        <v>961.15</v>
      </c>
      <c r="O1430" s="7">
        <f t="shared" si="156"/>
        <v>1922.3</v>
      </c>
      <c r="P1430" s="4">
        <v>0.03</v>
      </c>
      <c r="Q1430" s="7">
        <f t="shared" si="157"/>
        <v>57.668999999999997</v>
      </c>
      <c r="R1430" s="7">
        <f t="shared" si="158"/>
        <v>1864.6309999999999</v>
      </c>
      <c r="S1430" s="7">
        <f t="shared" si="159"/>
        <v>932.31549999999993</v>
      </c>
      <c r="T1430" s="6">
        <f t="shared" si="160"/>
        <v>1.1299435028248588E-2</v>
      </c>
      <c r="V1430" t="s">
        <v>78</v>
      </c>
    </row>
    <row r="1431" spans="1:22">
      <c r="A1431" s="3">
        <v>45717</v>
      </c>
      <c r="B1431" t="str">
        <f t="shared" si="154"/>
        <v>yyyy-03</v>
      </c>
      <c r="C1431">
        <f t="shared" si="155"/>
        <v>9</v>
      </c>
      <c r="D1431" t="s">
        <v>42</v>
      </c>
      <c r="E1431" t="s">
        <v>51</v>
      </c>
      <c r="F1431" t="s">
        <v>52</v>
      </c>
      <c r="G1431" t="s">
        <v>27</v>
      </c>
      <c r="H1431" t="s">
        <v>28</v>
      </c>
      <c r="I1431" s="5">
        <v>384</v>
      </c>
      <c r="J1431" s="5">
        <v>276</v>
      </c>
      <c r="K1431" s="5">
        <v>21</v>
      </c>
      <c r="L1431" s="5">
        <v>5</v>
      </c>
      <c r="M1431" s="5">
        <v>5</v>
      </c>
      <c r="N1431" s="7">
        <v>601.92999999999995</v>
      </c>
      <c r="O1431" s="7">
        <f t="shared" si="156"/>
        <v>3009.6499999999996</v>
      </c>
      <c r="P1431" s="4">
        <v>0</v>
      </c>
      <c r="Q1431" s="7">
        <f t="shared" si="157"/>
        <v>0</v>
      </c>
      <c r="R1431" s="7">
        <f t="shared" si="158"/>
        <v>3009.6499999999996</v>
      </c>
      <c r="S1431" s="7">
        <f t="shared" si="159"/>
        <v>601.92999999999995</v>
      </c>
      <c r="T1431" s="6">
        <f t="shared" si="160"/>
        <v>1.3020833333333334E-2</v>
      </c>
      <c r="V1431" t="s">
        <v>29</v>
      </c>
    </row>
    <row r="1432" spans="1:22">
      <c r="A1432" s="3">
        <v>45717</v>
      </c>
      <c r="B1432" t="str">
        <f t="shared" si="154"/>
        <v>yyyy-03</v>
      </c>
      <c r="C1432">
        <f t="shared" si="155"/>
        <v>9</v>
      </c>
      <c r="D1432" t="s">
        <v>53</v>
      </c>
      <c r="E1432" t="s">
        <v>54</v>
      </c>
      <c r="F1432" t="s">
        <v>55</v>
      </c>
      <c r="G1432" t="s">
        <v>27</v>
      </c>
      <c r="H1432" t="s">
        <v>45</v>
      </c>
      <c r="I1432" s="5">
        <v>146</v>
      </c>
      <c r="J1432" s="5">
        <v>91</v>
      </c>
      <c r="K1432" s="5">
        <v>10</v>
      </c>
      <c r="L1432" s="5">
        <v>3</v>
      </c>
      <c r="M1432" s="5">
        <v>3</v>
      </c>
      <c r="N1432" s="7">
        <v>1258.98</v>
      </c>
      <c r="O1432" s="7">
        <f t="shared" si="156"/>
        <v>3776.94</v>
      </c>
      <c r="P1432" s="4">
        <v>0.1</v>
      </c>
      <c r="Q1432" s="7">
        <f t="shared" si="157"/>
        <v>377.69400000000002</v>
      </c>
      <c r="R1432" s="7">
        <f t="shared" si="158"/>
        <v>3399.2460000000001</v>
      </c>
      <c r="S1432" s="7">
        <f t="shared" si="159"/>
        <v>1133.0820000000001</v>
      </c>
      <c r="T1432" s="6">
        <f t="shared" si="160"/>
        <v>2.0547945205479451E-2</v>
      </c>
      <c r="U1432" t="s">
        <v>86</v>
      </c>
      <c r="V1432" t="s">
        <v>29</v>
      </c>
    </row>
    <row r="1433" spans="1:22">
      <c r="A1433" s="3">
        <v>45717</v>
      </c>
      <c r="B1433" t="str">
        <f t="shared" si="154"/>
        <v>yyyy-03</v>
      </c>
      <c r="C1433">
        <f t="shared" si="155"/>
        <v>9</v>
      </c>
      <c r="D1433" t="s">
        <v>53</v>
      </c>
      <c r="E1433" t="s">
        <v>56</v>
      </c>
      <c r="F1433" t="s">
        <v>57</v>
      </c>
      <c r="G1433" t="s">
        <v>27</v>
      </c>
      <c r="H1433" t="s">
        <v>28</v>
      </c>
      <c r="I1433" s="5">
        <v>216</v>
      </c>
      <c r="J1433" s="5">
        <v>176</v>
      </c>
      <c r="K1433" s="5">
        <v>9</v>
      </c>
      <c r="L1433" s="5">
        <v>2</v>
      </c>
      <c r="M1433" s="5">
        <v>2</v>
      </c>
      <c r="N1433" s="7">
        <v>752.3</v>
      </c>
      <c r="O1433" s="7">
        <f t="shared" si="156"/>
        <v>1504.6</v>
      </c>
      <c r="P1433" s="4">
        <v>0</v>
      </c>
      <c r="Q1433" s="7">
        <f t="shared" si="157"/>
        <v>0</v>
      </c>
      <c r="R1433" s="7">
        <f t="shared" si="158"/>
        <v>1504.6</v>
      </c>
      <c r="S1433" s="7">
        <f t="shared" si="159"/>
        <v>752.3</v>
      </c>
      <c r="T1433" s="6">
        <f t="shared" si="160"/>
        <v>9.2592592592592587E-3</v>
      </c>
      <c r="V1433" t="s">
        <v>29</v>
      </c>
    </row>
    <row r="1434" spans="1:22">
      <c r="A1434" s="3">
        <v>45717</v>
      </c>
      <c r="B1434" t="str">
        <f t="shared" si="154"/>
        <v>yyyy-03</v>
      </c>
      <c r="C1434">
        <f t="shared" si="155"/>
        <v>9</v>
      </c>
      <c r="D1434" t="s">
        <v>53</v>
      </c>
      <c r="E1434" t="s">
        <v>56</v>
      </c>
      <c r="F1434" t="s">
        <v>58</v>
      </c>
      <c r="G1434" t="s">
        <v>36</v>
      </c>
      <c r="H1434" t="s">
        <v>37</v>
      </c>
      <c r="I1434" s="5">
        <v>310</v>
      </c>
      <c r="J1434" s="5">
        <v>205</v>
      </c>
      <c r="K1434" s="5">
        <v>14</v>
      </c>
      <c r="L1434" s="5">
        <v>4</v>
      </c>
      <c r="M1434" s="5">
        <v>4</v>
      </c>
      <c r="N1434" s="7">
        <v>884.74</v>
      </c>
      <c r="O1434" s="7">
        <f t="shared" si="156"/>
        <v>3538.96</v>
      </c>
      <c r="P1434" s="4">
        <v>0</v>
      </c>
      <c r="Q1434" s="7">
        <f t="shared" si="157"/>
        <v>0</v>
      </c>
      <c r="R1434" s="7">
        <f t="shared" si="158"/>
        <v>3538.96</v>
      </c>
      <c r="S1434" s="7">
        <f t="shared" si="159"/>
        <v>884.74</v>
      </c>
      <c r="T1434" s="6">
        <f t="shared" si="160"/>
        <v>1.2903225806451613E-2</v>
      </c>
      <c r="V1434" t="s">
        <v>29</v>
      </c>
    </row>
    <row r="1435" spans="1:22">
      <c r="A1435" s="3">
        <v>45717</v>
      </c>
      <c r="B1435" t="str">
        <f t="shared" si="154"/>
        <v>yyyy-03</v>
      </c>
      <c r="C1435">
        <f t="shared" si="155"/>
        <v>9</v>
      </c>
      <c r="D1435" t="s">
        <v>53</v>
      </c>
      <c r="E1435" t="s">
        <v>59</v>
      </c>
      <c r="F1435" t="s">
        <v>60</v>
      </c>
      <c r="G1435" t="s">
        <v>27</v>
      </c>
      <c r="H1435" t="s">
        <v>48</v>
      </c>
      <c r="I1435" s="5">
        <v>97</v>
      </c>
      <c r="J1435" s="5">
        <v>64</v>
      </c>
      <c r="K1435" s="5">
        <v>5</v>
      </c>
      <c r="L1435" s="5">
        <v>1</v>
      </c>
      <c r="M1435" s="5">
        <v>1</v>
      </c>
      <c r="N1435" s="7">
        <v>685.21</v>
      </c>
      <c r="O1435" s="7">
        <f t="shared" si="156"/>
        <v>685.21</v>
      </c>
      <c r="P1435" s="4">
        <v>0</v>
      </c>
      <c r="Q1435" s="7">
        <f t="shared" si="157"/>
        <v>0</v>
      </c>
      <c r="R1435" s="7">
        <f t="shared" si="158"/>
        <v>685.21</v>
      </c>
      <c r="S1435" s="7">
        <f t="shared" si="159"/>
        <v>685.21</v>
      </c>
      <c r="T1435" s="6">
        <f t="shared" si="160"/>
        <v>1.0309278350515464E-2</v>
      </c>
      <c r="V1435" t="s">
        <v>29</v>
      </c>
    </row>
    <row r="1436" spans="1:22">
      <c r="A1436" s="3">
        <v>45717</v>
      </c>
      <c r="B1436" t="str">
        <f t="shared" si="154"/>
        <v>yyyy-03</v>
      </c>
      <c r="C1436">
        <f t="shared" si="155"/>
        <v>9</v>
      </c>
      <c r="D1436" t="s">
        <v>53</v>
      </c>
      <c r="E1436" t="s">
        <v>61</v>
      </c>
      <c r="F1436" t="s">
        <v>62</v>
      </c>
      <c r="G1436" t="s">
        <v>27</v>
      </c>
      <c r="H1436" t="s">
        <v>45</v>
      </c>
      <c r="I1436" s="5">
        <v>194</v>
      </c>
      <c r="J1436" s="5">
        <v>113</v>
      </c>
      <c r="K1436" s="5">
        <v>6</v>
      </c>
      <c r="L1436" s="5">
        <v>2</v>
      </c>
      <c r="M1436" s="5">
        <v>2</v>
      </c>
      <c r="N1436" s="7">
        <v>505.2</v>
      </c>
      <c r="O1436" s="7">
        <f t="shared" si="156"/>
        <v>1010.4</v>
      </c>
      <c r="P1436" s="4">
        <v>0</v>
      </c>
      <c r="Q1436" s="7">
        <f t="shared" si="157"/>
        <v>0</v>
      </c>
      <c r="R1436" s="7">
        <f t="shared" si="158"/>
        <v>1010.4</v>
      </c>
      <c r="S1436" s="7">
        <f t="shared" si="159"/>
        <v>505.2</v>
      </c>
      <c r="T1436" s="6">
        <f t="shared" si="160"/>
        <v>1.0309278350515464E-2</v>
      </c>
      <c r="V1436" t="s">
        <v>29</v>
      </c>
    </row>
    <row r="1437" spans="1:22">
      <c r="A1437" s="3">
        <v>45717</v>
      </c>
      <c r="B1437" t="str">
        <f t="shared" si="154"/>
        <v>yyyy-03</v>
      </c>
      <c r="C1437">
        <f t="shared" si="155"/>
        <v>9</v>
      </c>
      <c r="D1437" t="s">
        <v>53</v>
      </c>
      <c r="E1437" t="s">
        <v>64</v>
      </c>
      <c r="F1437" t="s">
        <v>65</v>
      </c>
      <c r="G1437" t="s">
        <v>27</v>
      </c>
      <c r="H1437" t="s">
        <v>28</v>
      </c>
      <c r="I1437" s="5">
        <v>162</v>
      </c>
      <c r="J1437" s="5">
        <v>124</v>
      </c>
      <c r="K1437" s="5">
        <v>9</v>
      </c>
      <c r="L1437" s="5">
        <v>2</v>
      </c>
      <c r="M1437" s="5">
        <v>2</v>
      </c>
      <c r="N1437" s="7">
        <v>789.58</v>
      </c>
      <c r="O1437" s="7">
        <f t="shared" si="156"/>
        <v>1579.16</v>
      </c>
      <c r="P1437" s="4">
        <v>0.03</v>
      </c>
      <c r="Q1437" s="7">
        <f t="shared" si="157"/>
        <v>47.3748</v>
      </c>
      <c r="R1437" s="7">
        <f t="shared" si="158"/>
        <v>1531.7852</v>
      </c>
      <c r="S1437" s="7">
        <f t="shared" si="159"/>
        <v>765.89260000000002</v>
      </c>
      <c r="T1437" s="6">
        <f t="shared" si="160"/>
        <v>1.2345679012345678E-2</v>
      </c>
      <c r="V1437" t="s">
        <v>29</v>
      </c>
    </row>
    <row r="1438" spans="1:22">
      <c r="A1438" s="3">
        <v>45717</v>
      </c>
      <c r="B1438" t="str">
        <f t="shared" si="154"/>
        <v>yyyy-03</v>
      </c>
      <c r="C1438">
        <f t="shared" si="155"/>
        <v>9</v>
      </c>
      <c r="D1438" t="s">
        <v>66</v>
      </c>
      <c r="E1438" t="s">
        <v>67</v>
      </c>
      <c r="F1438" t="s">
        <v>68</v>
      </c>
      <c r="G1438" t="s">
        <v>27</v>
      </c>
      <c r="H1438" t="s">
        <v>28</v>
      </c>
      <c r="I1438" s="5">
        <v>429</v>
      </c>
      <c r="J1438" s="5">
        <v>333</v>
      </c>
      <c r="K1438" s="5">
        <v>35</v>
      </c>
      <c r="L1438" s="5">
        <v>9</v>
      </c>
      <c r="M1438" s="5">
        <v>9</v>
      </c>
      <c r="N1438" s="7">
        <v>680.15</v>
      </c>
      <c r="O1438" s="7">
        <f t="shared" si="156"/>
        <v>6121.3499999999995</v>
      </c>
      <c r="P1438" s="4">
        <v>0</v>
      </c>
      <c r="Q1438" s="7">
        <f t="shared" si="157"/>
        <v>0</v>
      </c>
      <c r="R1438" s="7">
        <f t="shared" si="158"/>
        <v>6121.3499999999995</v>
      </c>
      <c r="S1438" s="7">
        <f t="shared" si="159"/>
        <v>680.15</v>
      </c>
      <c r="T1438" s="6">
        <f t="shared" si="160"/>
        <v>2.097902097902098E-2</v>
      </c>
      <c r="V1438" t="s">
        <v>29</v>
      </c>
    </row>
    <row r="1439" spans="1:22">
      <c r="A1439" s="3">
        <v>45717</v>
      </c>
      <c r="B1439" t="str">
        <f t="shared" si="154"/>
        <v>yyyy-03</v>
      </c>
      <c r="C1439">
        <f t="shared" si="155"/>
        <v>9</v>
      </c>
      <c r="D1439" t="s">
        <v>66</v>
      </c>
      <c r="E1439" t="s">
        <v>67</v>
      </c>
      <c r="F1439" t="s">
        <v>69</v>
      </c>
      <c r="G1439" t="s">
        <v>27</v>
      </c>
      <c r="H1439" t="s">
        <v>28</v>
      </c>
      <c r="I1439" s="5">
        <v>461</v>
      </c>
      <c r="J1439" s="5">
        <v>374</v>
      </c>
      <c r="K1439" s="5">
        <v>32</v>
      </c>
      <c r="L1439" s="5">
        <v>6</v>
      </c>
      <c r="M1439" s="5">
        <v>6</v>
      </c>
      <c r="N1439" s="7">
        <v>387.17</v>
      </c>
      <c r="O1439" s="7">
        <f t="shared" si="156"/>
        <v>2323.02</v>
      </c>
      <c r="P1439" s="4">
        <v>0</v>
      </c>
      <c r="Q1439" s="7">
        <f t="shared" si="157"/>
        <v>0</v>
      </c>
      <c r="R1439" s="7">
        <f t="shared" si="158"/>
        <v>2323.02</v>
      </c>
      <c r="S1439" s="7">
        <f t="shared" si="159"/>
        <v>387.17</v>
      </c>
      <c r="T1439" s="6">
        <f t="shared" si="160"/>
        <v>1.3015184381778741E-2</v>
      </c>
      <c r="V1439" t="s">
        <v>29</v>
      </c>
    </row>
    <row r="1440" spans="1:22">
      <c r="A1440" s="3">
        <v>45717</v>
      </c>
      <c r="B1440" t="str">
        <f t="shared" si="154"/>
        <v>yyyy-03</v>
      </c>
      <c r="C1440">
        <f t="shared" si="155"/>
        <v>9</v>
      </c>
      <c r="D1440" t="s">
        <v>66</v>
      </c>
      <c r="E1440" t="s">
        <v>67</v>
      </c>
      <c r="F1440" t="s">
        <v>70</v>
      </c>
      <c r="G1440" t="s">
        <v>27</v>
      </c>
      <c r="H1440" t="s">
        <v>63</v>
      </c>
      <c r="I1440" s="5">
        <v>269</v>
      </c>
      <c r="J1440" s="5">
        <v>152</v>
      </c>
      <c r="K1440" s="5">
        <v>22</v>
      </c>
      <c r="L1440" s="5">
        <v>5</v>
      </c>
      <c r="M1440" s="5">
        <v>5</v>
      </c>
      <c r="N1440" s="7">
        <v>343.65</v>
      </c>
      <c r="O1440" s="7">
        <f t="shared" si="156"/>
        <v>1718.25</v>
      </c>
      <c r="P1440" s="4">
        <v>0.05</v>
      </c>
      <c r="Q1440" s="7">
        <f t="shared" si="157"/>
        <v>85.912500000000009</v>
      </c>
      <c r="R1440" s="7">
        <f t="shared" si="158"/>
        <v>1632.3375000000001</v>
      </c>
      <c r="S1440" s="7">
        <f t="shared" si="159"/>
        <v>326.46750000000003</v>
      </c>
      <c r="T1440" s="6">
        <f t="shared" si="160"/>
        <v>1.858736059479554E-2</v>
      </c>
      <c r="V1440" t="s">
        <v>29</v>
      </c>
    </row>
    <row r="1441" spans="1:22">
      <c r="A1441" s="3">
        <v>45717</v>
      </c>
      <c r="B1441" t="str">
        <f t="shared" si="154"/>
        <v>yyyy-03</v>
      </c>
      <c r="C1441">
        <f t="shared" si="155"/>
        <v>9</v>
      </c>
      <c r="D1441" t="s">
        <v>66</v>
      </c>
      <c r="E1441" t="s">
        <v>71</v>
      </c>
      <c r="F1441" t="s">
        <v>72</v>
      </c>
      <c r="G1441" t="s">
        <v>36</v>
      </c>
      <c r="H1441" t="s">
        <v>37</v>
      </c>
      <c r="I1441" s="5">
        <v>487</v>
      </c>
      <c r="J1441" s="5">
        <v>300</v>
      </c>
      <c r="K1441" s="5">
        <v>54</v>
      </c>
      <c r="L1441" s="5">
        <v>14</v>
      </c>
      <c r="M1441" s="5">
        <v>18</v>
      </c>
      <c r="N1441" s="7">
        <v>129.07</v>
      </c>
      <c r="O1441" s="7">
        <f t="shared" si="156"/>
        <v>2323.2599999999998</v>
      </c>
      <c r="P1441" s="4">
        <v>0.15</v>
      </c>
      <c r="Q1441" s="7">
        <f t="shared" si="157"/>
        <v>348.48899999999998</v>
      </c>
      <c r="R1441" s="7">
        <f t="shared" si="158"/>
        <v>1974.7709999999997</v>
      </c>
      <c r="S1441" s="7">
        <f t="shared" si="159"/>
        <v>141.05507142857141</v>
      </c>
      <c r="T1441" s="6">
        <f t="shared" si="160"/>
        <v>2.8747433264887063E-2</v>
      </c>
      <c r="U1441" t="s">
        <v>87</v>
      </c>
      <c r="V1441" t="s">
        <v>29</v>
      </c>
    </row>
    <row r="1442" spans="1:22">
      <c r="A1442" s="3">
        <v>45717</v>
      </c>
      <c r="B1442" t="str">
        <f t="shared" si="154"/>
        <v>yyyy-03</v>
      </c>
      <c r="C1442">
        <f t="shared" si="155"/>
        <v>9</v>
      </c>
      <c r="D1442" t="s">
        <v>66</v>
      </c>
      <c r="E1442" t="s">
        <v>73</v>
      </c>
      <c r="F1442" t="s">
        <v>74</v>
      </c>
      <c r="G1442" t="s">
        <v>27</v>
      </c>
      <c r="H1442" t="s">
        <v>45</v>
      </c>
      <c r="I1442" s="5">
        <v>264</v>
      </c>
      <c r="J1442" s="5">
        <v>212</v>
      </c>
      <c r="K1442" s="5">
        <v>12</v>
      </c>
      <c r="L1442" s="5">
        <v>4</v>
      </c>
      <c r="M1442" s="5">
        <v>4</v>
      </c>
      <c r="N1442" s="7">
        <v>1218.06</v>
      </c>
      <c r="O1442" s="7">
        <f t="shared" si="156"/>
        <v>4872.24</v>
      </c>
      <c r="P1442" s="4">
        <v>0</v>
      </c>
      <c r="Q1442" s="7">
        <f t="shared" si="157"/>
        <v>0</v>
      </c>
      <c r="R1442" s="7">
        <f t="shared" si="158"/>
        <v>4872.24</v>
      </c>
      <c r="S1442" s="7">
        <f t="shared" si="159"/>
        <v>1218.06</v>
      </c>
      <c r="T1442" s="6">
        <f t="shared" si="160"/>
        <v>1.5151515151515152E-2</v>
      </c>
      <c r="V1442" t="s">
        <v>78</v>
      </c>
    </row>
    <row r="1443" spans="1:22">
      <c r="A1443" s="3">
        <v>45717</v>
      </c>
      <c r="B1443" t="str">
        <f t="shared" si="154"/>
        <v>yyyy-03</v>
      </c>
      <c r="C1443">
        <f t="shared" si="155"/>
        <v>9</v>
      </c>
      <c r="D1443" t="s">
        <v>66</v>
      </c>
      <c r="E1443" t="s">
        <v>71</v>
      </c>
      <c r="F1443" t="s">
        <v>75</v>
      </c>
      <c r="G1443" t="s">
        <v>36</v>
      </c>
      <c r="H1443" t="s">
        <v>37</v>
      </c>
      <c r="I1443" s="5">
        <v>443</v>
      </c>
      <c r="J1443" s="5">
        <v>239</v>
      </c>
      <c r="K1443" s="5">
        <v>32</v>
      </c>
      <c r="L1443" s="5">
        <v>11</v>
      </c>
      <c r="M1443" s="5">
        <v>13</v>
      </c>
      <c r="N1443" s="7">
        <v>38.229999999999997</v>
      </c>
      <c r="O1443" s="7">
        <f t="shared" si="156"/>
        <v>496.98999999999995</v>
      </c>
      <c r="P1443" s="4">
        <v>0.15</v>
      </c>
      <c r="Q1443" s="7">
        <f t="shared" si="157"/>
        <v>74.54849999999999</v>
      </c>
      <c r="R1443" s="7">
        <f t="shared" si="158"/>
        <v>422.44149999999996</v>
      </c>
      <c r="S1443" s="7">
        <f t="shared" si="159"/>
        <v>38.403772727272724</v>
      </c>
      <c r="T1443" s="6">
        <f t="shared" si="160"/>
        <v>2.4830699774266364E-2</v>
      </c>
      <c r="U1443" t="s">
        <v>87</v>
      </c>
      <c r="V1443" t="s">
        <v>29</v>
      </c>
    </row>
    <row r="1444" spans="1:22">
      <c r="A1444" s="3">
        <v>45717</v>
      </c>
      <c r="B1444" t="str">
        <f t="shared" si="154"/>
        <v>yyyy-03</v>
      </c>
      <c r="C1444">
        <f t="shared" si="155"/>
        <v>9</v>
      </c>
      <c r="D1444" t="s">
        <v>24</v>
      </c>
      <c r="E1444" t="s">
        <v>76</v>
      </c>
      <c r="F1444" t="s">
        <v>77</v>
      </c>
      <c r="G1444" t="s">
        <v>31</v>
      </c>
      <c r="H1444" t="s">
        <v>32</v>
      </c>
      <c r="I1444" s="5">
        <v>706</v>
      </c>
      <c r="J1444" s="5">
        <v>490</v>
      </c>
      <c r="K1444" s="5">
        <v>44</v>
      </c>
      <c r="L1444" s="5">
        <v>18</v>
      </c>
      <c r="M1444" s="5">
        <v>22</v>
      </c>
      <c r="N1444" s="7">
        <v>198.42</v>
      </c>
      <c r="O1444" s="7">
        <f t="shared" si="156"/>
        <v>4365.24</v>
      </c>
      <c r="P1444" s="4">
        <v>0</v>
      </c>
      <c r="Q1444" s="7">
        <f t="shared" si="157"/>
        <v>0</v>
      </c>
      <c r="R1444" s="7">
        <f t="shared" si="158"/>
        <v>4365.24</v>
      </c>
      <c r="S1444" s="7">
        <f t="shared" si="159"/>
        <v>242.51333333333332</v>
      </c>
      <c r="T1444" s="6">
        <f t="shared" si="160"/>
        <v>2.5495750708215296E-2</v>
      </c>
      <c r="V1444" t="s">
        <v>29</v>
      </c>
    </row>
    <row r="1445" spans="1:22">
      <c r="A1445" s="3">
        <v>45718</v>
      </c>
      <c r="B1445" t="str">
        <f t="shared" si="154"/>
        <v>yyyy-03</v>
      </c>
      <c r="C1445">
        <f t="shared" si="155"/>
        <v>9</v>
      </c>
      <c r="D1445" t="s">
        <v>24</v>
      </c>
      <c r="E1445" t="s">
        <v>25</v>
      </c>
      <c r="F1445" t="s">
        <v>26</v>
      </c>
      <c r="G1445" t="s">
        <v>31</v>
      </c>
      <c r="H1445" t="s">
        <v>32</v>
      </c>
      <c r="I1445" s="5">
        <v>1919</v>
      </c>
      <c r="J1445" s="5">
        <v>1502</v>
      </c>
      <c r="K1445" s="5">
        <v>174</v>
      </c>
      <c r="L1445" s="5">
        <v>34</v>
      </c>
      <c r="M1445" s="5">
        <v>34</v>
      </c>
      <c r="N1445" s="7">
        <v>1013.54</v>
      </c>
      <c r="O1445" s="7">
        <f t="shared" si="156"/>
        <v>34460.36</v>
      </c>
      <c r="P1445" s="4">
        <v>0.03</v>
      </c>
      <c r="Q1445" s="7">
        <f t="shared" si="157"/>
        <v>1033.8108</v>
      </c>
      <c r="R1445" s="7">
        <f t="shared" si="158"/>
        <v>33426.549200000001</v>
      </c>
      <c r="S1445" s="7">
        <f t="shared" si="159"/>
        <v>983.13380000000006</v>
      </c>
      <c r="T1445" s="6">
        <f t="shared" si="160"/>
        <v>1.771756122980719E-2</v>
      </c>
      <c r="V1445" t="s">
        <v>29</v>
      </c>
    </row>
    <row r="1446" spans="1:22">
      <c r="A1446" s="3">
        <v>45718</v>
      </c>
      <c r="B1446" t="str">
        <f t="shared" si="154"/>
        <v>yyyy-03</v>
      </c>
      <c r="C1446">
        <f t="shared" si="155"/>
        <v>9</v>
      </c>
      <c r="D1446" t="s">
        <v>24</v>
      </c>
      <c r="E1446" t="s">
        <v>25</v>
      </c>
      <c r="F1446" t="s">
        <v>30</v>
      </c>
      <c r="G1446" t="s">
        <v>31</v>
      </c>
      <c r="H1446" t="s">
        <v>32</v>
      </c>
      <c r="I1446" s="5">
        <v>1763</v>
      </c>
      <c r="J1446" s="5">
        <v>1124</v>
      </c>
      <c r="K1446" s="5">
        <v>85</v>
      </c>
      <c r="L1446" s="5">
        <v>34</v>
      </c>
      <c r="M1446" s="5">
        <v>34</v>
      </c>
      <c r="N1446" s="7">
        <v>399.51</v>
      </c>
      <c r="O1446" s="7">
        <f t="shared" si="156"/>
        <v>13583.34</v>
      </c>
      <c r="P1446" s="4">
        <v>0</v>
      </c>
      <c r="Q1446" s="7">
        <f t="shared" si="157"/>
        <v>0</v>
      </c>
      <c r="R1446" s="7">
        <f t="shared" si="158"/>
        <v>13583.34</v>
      </c>
      <c r="S1446" s="7">
        <f t="shared" si="159"/>
        <v>399.51</v>
      </c>
      <c r="T1446" s="6">
        <f t="shared" si="160"/>
        <v>1.9285309132161088E-2</v>
      </c>
      <c r="V1446" t="s">
        <v>29</v>
      </c>
    </row>
    <row r="1447" spans="1:22">
      <c r="A1447" s="3">
        <v>45718</v>
      </c>
      <c r="B1447" t="str">
        <f t="shared" si="154"/>
        <v>yyyy-03</v>
      </c>
      <c r="C1447">
        <f t="shared" si="155"/>
        <v>9</v>
      </c>
      <c r="D1447" t="s">
        <v>24</v>
      </c>
      <c r="E1447" t="s">
        <v>25</v>
      </c>
      <c r="F1447" t="s">
        <v>33</v>
      </c>
      <c r="G1447" t="s">
        <v>27</v>
      </c>
      <c r="H1447" t="s">
        <v>45</v>
      </c>
      <c r="I1447" s="5">
        <v>1716</v>
      </c>
      <c r="J1447" s="5">
        <v>1408</v>
      </c>
      <c r="K1447" s="5">
        <v>163</v>
      </c>
      <c r="L1447" s="5">
        <v>44</v>
      </c>
      <c r="M1447" s="5">
        <v>44</v>
      </c>
      <c r="N1447" s="7">
        <v>1833.66</v>
      </c>
      <c r="O1447" s="7">
        <f t="shared" si="156"/>
        <v>80681.040000000008</v>
      </c>
      <c r="P1447" s="4">
        <v>0</v>
      </c>
      <c r="Q1447" s="7">
        <f t="shared" si="157"/>
        <v>0</v>
      </c>
      <c r="R1447" s="7">
        <f t="shared" si="158"/>
        <v>80681.040000000008</v>
      </c>
      <c r="S1447" s="7">
        <f t="shared" si="159"/>
        <v>1833.66</v>
      </c>
      <c r="T1447" s="6">
        <f t="shared" si="160"/>
        <v>2.564102564102564E-2</v>
      </c>
      <c r="V1447" t="s">
        <v>29</v>
      </c>
    </row>
    <row r="1448" spans="1:22">
      <c r="A1448" s="3">
        <v>45718</v>
      </c>
      <c r="B1448" t="str">
        <f t="shared" si="154"/>
        <v>yyyy-03</v>
      </c>
      <c r="C1448">
        <f t="shared" si="155"/>
        <v>9</v>
      </c>
      <c r="D1448" t="s">
        <v>24</v>
      </c>
      <c r="E1448" t="s">
        <v>34</v>
      </c>
      <c r="F1448" t="s">
        <v>35</v>
      </c>
      <c r="G1448" t="s">
        <v>27</v>
      </c>
      <c r="H1448" t="s">
        <v>48</v>
      </c>
      <c r="I1448" s="5">
        <v>1068</v>
      </c>
      <c r="J1448" s="5">
        <v>761</v>
      </c>
      <c r="K1448" s="5">
        <v>114</v>
      </c>
      <c r="L1448" s="5">
        <v>24</v>
      </c>
      <c r="M1448" s="5">
        <v>24</v>
      </c>
      <c r="N1448" s="7">
        <v>913.48</v>
      </c>
      <c r="O1448" s="7">
        <f t="shared" si="156"/>
        <v>21923.52</v>
      </c>
      <c r="P1448" s="4">
        <v>0</v>
      </c>
      <c r="Q1448" s="7">
        <f t="shared" si="157"/>
        <v>0</v>
      </c>
      <c r="R1448" s="7">
        <f t="shared" si="158"/>
        <v>21923.52</v>
      </c>
      <c r="S1448" s="7">
        <f t="shared" si="159"/>
        <v>913.48</v>
      </c>
      <c r="T1448" s="6">
        <f t="shared" si="160"/>
        <v>2.247191011235955E-2</v>
      </c>
      <c r="V1448" t="s">
        <v>29</v>
      </c>
    </row>
    <row r="1449" spans="1:22">
      <c r="A1449" s="3">
        <v>45718</v>
      </c>
      <c r="B1449" t="str">
        <f t="shared" si="154"/>
        <v>yyyy-03</v>
      </c>
      <c r="C1449">
        <f t="shared" si="155"/>
        <v>9</v>
      </c>
      <c r="D1449" t="s">
        <v>24</v>
      </c>
      <c r="E1449" t="s">
        <v>38</v>
      </c>
      <c r="F1449" t="s">
        <v>39</v>
      </c>
      <c r="G1449" t="s">
        <v>27</v>
      </c>
      <c r="H1449" t="s">
        <v>63</v>
      </c>
      <c r="I1449" s="5">
        <v>573</v>
      </c>
      <c r="J1449" s="5">
        <v>466</v>
      </c>
      <c r="K1449" s="5">
        <v>48</v>
      </c>
      <c r="L1449" s="5">
        <v>9</v>
      </c>
      <c r="M1449" s="5">
        <v>9</v>
      </c>
      <c r="N1449" s="7">
        <v>316.14999999999998</v>
      </c>
      <c r="O1449" s="7">
        <f t="shared" si="156"/>
        <v>2845.35</v>
      </c>
      <c r="P1449" s="4">
        <v>0</v>
      </c>
      <c r="Q1449" s="7">
        <f t="shared" si="157"/>
        <v>0</v>
      </c>
      <c r="R1449" s="7">
        <f t="shared" si="158"/>
        <v>2845.35</v>
      </c>
      <c r="S1449" s="7">
        <f t="shared" si="159"/>
        <v>316.14999999999998</v>
      </c>
      <c r="T1449" s="6">
        <f t="shared" si="160"/>
        <v>1.5706806282722512E-2</v>
      </c>
      <c r="V1449" t="s">
        <v>29</v>
      </c>
    </row>
    <row r="1450" spans="1:22">
      <c r="A1450" s="3">
        <v>45718</v>
      </c>
      <c r="B1450" t="str">
        <f t="shared" si="154"/>
        <v>yyyy-03</v>
      </c>
      <c r="C1450">
        <f t="shared" si="155"/>
        <v>9</v>
      </c>
      <c r="D1450" t="s">
        <v>24</v>
      </c>
      <c r="E1450" t="s">
        <v>40</v>
      </c>
      <c r="F1450" t="s">
        <v>41</v>
      </c>
      <c r="G1450" t="s">
        <v>27</v>
      </c>
      <c r="H1450" t="s">
        <v>48</v>
      </c>
      <c r="I1450" s="5">
        <v>741</v>
      </c>
      <c r="J1450" s="5">
        <v>469</v>
      </c>
      <c r="K1450" s="5">
        <v>56</v>
      </c>
      <c r="L1450" s="5">
        <v>13</v>
      </c>
      <c r="M1450" s="5">
        <v>17</v>
      </c>
      <c r="N1450" s="7">
        <v>172.09</v>
      </c>
      <c r="O1450" s="7">
        <f t="shared" si="156"/>
        <v>2925.53</v>
      </c>
      <c r="P1450" s="4">
        <v>0</v>
      </c>
      <c r="Q1450" s="7">
        <f t="shared" si="157"/>
        <v>0</v>
      </c>
      <c r="R1450" s="7">
        <f t="shared" si="158"/>
        <v>2925.53</v>
      </c>
      <c r="S1450" s="7">
        <f t="shared" si="159"/>
        <v>225.04076923076926</v>
      </c>
      <c r="T1450" s="6">
        <f t="shared" si="160"/>
        <v>1.7543859649122806E-2</v>
      </c>
      <c r="V1450" t="s">
        <v>29</v>
      </c>
    </row>
    <row r="1451" spans="1:22">
      <c r="A1451" s="3">
        <v>45718</v>
      </c>
      <c r="B1451" t="str">
        <f t="shared" si="154"/>
        <v>yyyy-03</v>
      </c>
      <c r="C1451">
        <f t="shared" si="155"/>
        <v>9</v>
      </c>
      <c r="D1451" t="s">
        <v>42</v>
      </c>
      <c r="E1451" t="s">
        <v>43</v>
      </c>
      <c r="F1451" t="s">
        <v>44</v>
      </c>
      <c r="G1451" t="s">
        <v>36</v>
      </c>
      <c r="H1451" t="s">
        <v>37</v>
      </c>
      <c r="I1451" s="5">
        <v>600</v>
      </c>
      <c r="J1451" s="5">
        <v>395</v>
      </c>
      <c r="K1451" s="5">
        <v>39</v>
      </c>
      <c r="L1451" s="5">
        <v>6</v>
      </c>
      <c r="M1451" s="5">
        <v>6</v>
      </c>
      <c r="N1451" s="7">
        <v>1306.26</v>
      </c>
      <c r="O1451" s="7">
        <f t="shared" si="156"/>
        <v>7837.5599999999995</v>
      </c>
      <c r="P1451" s="4">
        <v>0</v>
      </c>
      <c r="Q1451" s="7">
        <f t="shared" si="157"/>
        <v>0</v>
      </c>
      <c r="R1451" s="7">
        <f t="shared" si="158"/>
        <v>7837.5599999999995</v>
      </c>
      <c r="S1451" s="7">
        <f t="shared" si="159"/>
        <v>1306.26</v>
      </c>
      <c r="T1451" s="6">
        <f t="shared" si="160"/>
        <v>0.01</v>
      </c>
      <c r="V1451" t="s">
        <v>78</v>
      </c>
    </row>
    <row r="1452" spans="1:22">
      <c r="A1452" s="3">
        <v>45718</v>
      </c>
      <c r="B1452" t="str">
        <f t="shared" si="154"/>
        <v>yyyy-03</v>
      </c>
      <c r="C1452">
        <f t="shared" si="155"/>
        <v>9</v>
      </c>
      <c r="D1452" t="s">
        <v>42</v>
      </c>
      <c r="E1452" t="s">
        <v>43</v>
      </c>
      <c r="F1452" t="s">
        <v>46</v>
      </c>
      <c r="G1452" t="s">
        <v>36</v>
      </c>
      <c r="H1452" t="s">
        <v>37</v>
      </c>
      <c r="I1452" s="5">
        <v>671</v>
      </c>
      <c r="J1452" s="5">
        <v>355</v>
      </c>
      <c r="K1452" s="5">
        <v>57</v>
      </c>
      <c r="L1452" s="5">
        <v>12</v>
      </c>
      <c r="M1452" s="5">
        <v>12</v>
      </c>
      <c r="N1452" s="7">
        <v>2186.73</v>
      </c>
      <c r="O1452" s="7">
        <f t="shared" si="156"/>
        <v>26240.760000000002</v>
      </c>
      <c r="P1452" s="4">
        <v>0</v>
      </c>
      <c r="Q1452" s="7">
        <f t="shared" si="157"/>
        <v>0</v>
      </c>
      <c r="R1452" s="7">
        <f t="shared" si="158"/>
        <v>26240.760000000002</v>
      </c>
      <c r="S1452" s="7">
        <f t="shared" si="159"/>
        <v>2186.73</v>
      </c>
      <c r="T1452" s="6">
        <f t="shared" si="160"/>
        <v>1.7883755588673621E-2</v>
      </c>
      <c r="V1452" t="s">
        <v>29</v>
      </c>
    </row>
    <row r="1453" spans="1:22">
      <c r="A1453" s="3">
        <v>45718</v>
      </c>
      <c r="B1453" t="str">
        <f t="shared" si="154"/>
        <v>yyyy-03</v>
      </c>
      <c r="C1453">
        <f t="shared" si="155"/>
        <v>9</v>
      </c>
      <c r="D1453" t="s">
        <v>42</v>
      </c>
      <c r="E1453" t="s">
        <v>43</v>
      </c>
      <c r="F1453" t="s">
        <v>47</v>
      </c>
      <c r="G1453" t="s">
        <v>36</v>
      </c>
      <c r="H1453" t="s">
        <v>37</v>
      </c>
      <c r="I1453" s="5">
        <v>577</v>
      </c>
      <c r="J1453" s="5">
        <v>420</v>
      </c>
      <c r="K1453" s="5">
        <v>44</v>
      </c>
      <c r="L1453" s="5">
        <v>9</v>
      </c>
      <c r="M1453" s="5">
        <v>9</v>
      </c>
      <c r="N1453" s="7">
        <v>605.72</v>
      </c>
      <c r="O1453" s="7">
        <f t="shared" si="156"/>
        <v>5451.4800000000005</v>
      </c>
      <c r="P1453" s="4">
        <v>0</v>
      </c>
      <c r="Q1453" s="7">
        <f t="shared" si="157"/>
        <v>0</v>
      </c>
      <c r="R1453" s="7">
        <f t="shared" si="158"/>
        <v>5451.4800000000005</v>
      </c>
      <c r="S1453" s="7">
        <f t="shared" si="159"/>
        <v>605.72</v>
      </c>
      <c r="T1453" s="6">
        <f t="shared" si="160"/>
        <v>1.5597920277296361E-2</v>
      </c>
      <c r="V1453" t="s">
        <v>29</v>
      </c>
    </row>
    <row r="1454" spans="1:22">
      <c r="A1454" s="3">
        <v>45718</v>
      </c>
      <c r="B1454" t="str">
        <f t="shared" si="154"/>
        <v>yyyy-03</v>
      </c>
      <c r="C1454">
        <f t="shared" si="155"/>
        <v>9</v>
      </c>
      <c r="D1454" t="s">
        <v>42</v>
      </c>
      <c r="E1454" t="s">
        <v>49</v>
      </c>
      <c r="F1454" t="s">
        <v>50</v>
      </c>
      <c r="G1454" t="s">
        <v>27</v>
      </c>
      <c r="H1454" t="s">
        <v>45</v>
      </c>
      <c r="I1454" s="5">
        <v>160</v>
      </c>
      <c r="J1454" s="5">
        <v>89</v>
      </c>
      <c r="K1454" s="5">
        <v>6</v>
      </c>
      <c r="L1454" s="5">
        <v>2</v>
      </c>
      <c r="M1454" s="5">
        <v>2</v>
      </c>
      <c r="N1454" s="7">
        <v>975.92</v>
      </c>
      <c r="O1454" s="7">
        <f t="shared" si="156"/>
        <v>1951.84</v>
      </c>
      <c r="P1454" s="4">
        <v>0</v>
      </c>
      <c r="Q1454" s="7">
        <f t="shared" si="157"/>
        <v>0</v>
      </c>
      <c r="R1454" s="7">
        <f t="shared" si="158"/>
        <v>1951.84</v>
      </c>
      <c r="S1454" s="7">
        <f t="shared" si="159"/>
        <v>975.92</v>
      </c>
      <c r="T1454" s="6">
        <f t="shared" si="160"/>
        <v>1.2500000000000001E-2</v>
      </c>
      <c r="V1454" t="s">
        <v>29</v>
      </c>
    </row>
    <row r="1455" spans="1:22">
      <c r="A1455" s="3">
        <v>45718</v>
      </c>
      <c r="B1455" t="str">
        <f t="shared" si="154"/>
        <v>yyyy-03</v>
      </c>
      <c r="C1455">
        <f t="shared" si="155"/>
        <v>9</v>
      </c>
      <c r="D1455" t="s">
        <v>42</v>
      </c>
      <c r="E1455" t="s">
        <v>51</v>
      </c>
      <c r="F1455" t="s">
        <v>52</v>
      </c>
      <c r="G1455" t="s">
        <v>31</v>
      </c>
      <c r="H1455" t="s">
        <v>32</v>
      </c>
      <c r="I1455" s="5">
        <v>420</v>
      </c>
      <c r="J1455" s="5">
        <v>259</v>
      </c>
      <c r="K1455" s="5">
        <v>27</v>
      </c>
      <c r="L1455" s="5">
        <v>6</v>
      </c>
      <c r="M1455" s="5">
        <v>6</v>
      </c>
      <c r="N1455" s="7">
        <v>604.02</v>
      </c>
      <c r="O1455" s="7">
        <f t="shared" si="156"/>
        <v>3624.12</v>
      </c>
      <c r="P1455" s="4">
        <v>0</v>
      </c>
      <c r="Q1455" s="7">
        <f t="shared" si="157"/>
        <v>0</v>
      </c>
      <c r="R1455" s="7">
        <f t="shared" si="158"/>
        <v>3624.12</v>
      </c>
      <c r="S1455" s="7">
        <f t="shared" si="159"/>
        <v>604.02</v>
      </c>
      <c r="T1455" s="6">
        <f t="shared" si="160"/>
        <v>1.4285714285714285E-2</v>
      </c>
      <c r="V1455" t="s">
        <v>29</v>
      </c>
    </row>
    <row r="1456" spans="1:22">
      <c r="A1456" s="3">
        <v>45718</v>
      </c>
      <c r="B1456" t="str">
        <f t="shared" si="154"/>
        <v>yyyy-03</v>
      </c>
      <c r="C1456">
        <f t="shared" si="155"/>
        <v>9</v>
      </c>
      <c r="D1456" t="s">
        <v>53</v>
      </c>
      <c r="E1456" t="s">
        <v>54</v>
      </c>
      <c r="F1456" t="s">
        <v>55</v>
      </c>
      <c r="G1456" t="s">
        <v>31</v>
      </c>
      <c r="H1456" t="s">
        <v>32</v>
      </c>
      <c r="I1456" s="5">
        <v>263</v>
      </c>
      <c r="J1456" s="5">
        <v>167</v>
      </c>
      <c r="K1456" s="5">
        <v>17</v>
      </c>
      <c r="L1456" s="5">
        <v>2</v>
      </c>
      <c r="M1456" s="5">
        <v>2</v>
      </c>
      <c r="N1456" s="7">
        <v>1314.36</v>
      </c>
      <c r="O1456" s="7">
        <f t="shared" si="156"/>
        <v>2628.72</v>
      </c>
      <c r="P1456" s="4">
        <v>0.1</v>
      </c>
      <c r="Q1456" s="7">
        <f t="shared" si="157"/>
        <v>262.87200000000001</v>
      </c>
      <c r="R1456" s="7">
        <f t="shared" si="158"/>
        <v>2365.848</v>
      </c>
      <c r="S1456" s="7">
        <f t="shared" si="159"/>
        <v>1182.924</v>
      </c>
      <c r="T1456" s="6">
        <f t="shared" si="160"/>
        <v>7.6045627376425855E-3</v>
      </c>
      <c r="U1456" t="s">
        <v>86</v>
      </c>
      <c r="V1456" t="s">
        <v>78</v>
      </c>
    </row>
    <row r="1457" spans="1:22">
      <c r="A1457" s="3">
        <v>45718</v>
      </c>
      <c r="B1457" t="str">
        <f t="shared" si="154"/>
        <v>yyyy-03</v>
      </c>
      <c r="C1457">
        <f t="shared" si="155"/>
        <v>9</v>
      </c>
      <c r="D1457" t="s">
        <v>53</v>
      </c>
      <c r="E1457" t="s">
        <v>56</v>
      </c>
      <c r="F1457" t="s">
        <v>57</v>
      </c>
      <c r="G1457" t="s">
        <v>31</v>
      </c>
      <c r="H1457" t="s">
        <v>32</v>
      </c>
      <c r="I1457" s="5">
        <v>224</v>
      </c>
      <c r="J1457" s="5">
        <v>121</v>
      </c>
      <c r="K1457" s="5">
        <v>15</v>
      </c>
      <c r="L1457" s="5">
        <v>3</v>
      </c>
      <c r="M1457" s="5">
        <v>3</v>
      </c>
      <c r="N1457" s="7">
        <v>747.4</v>
      </c>
      <c r="O1457" s="7">
        <f t="shared" si="156"/>
        <v>2242.1999999999998</v>
      </c>
      <c r="P1457" s="4">
        <v>0</v>
      </c>
      <c r="Q1457" s="7">
        <f t="shared" si="157"/>
        <v>0</v>
      </c>
      <c r="R1457" s="7">
        <f t="shared" si="158"/>
        <v>2242.1999999999998</v>
      </c>
      <c r="S1457" s="7">
        <f t="shared" si="159"/>
        <v>747.4</v>
      </c>
      <c r="T1457" s="6">
        <f t="shared" si="160"/>
        <v>1.3392857142857142E-2</v>
      </c>
      <c r="V1457" t="s">
        <v>29</v>
      </c>
    </row>
    <row r="1458" spans="1:22">
      <c r="A1458" s="3">
        <v>45718</v>
      </c>
      <c r="B1458" t="str">
        <f t="shared" si="154"/>
        <v>yyyy-03</v>
      </c>
      <c r="C1458">
        <f t="shared" si="155"/>
        <v>9</v>
      </c>
      <c r="D1458" t="s">
        <v>53</v>
      </c>
      <c r="E1458" t="s">
        <v>56</v>
      </c>
      <c r="F1458" t="s">
        <v>58</v>
      </c>
      <c r="G1458" t="s">
        <v>36</v>
      </c>
      <c r="H1458" t="s">
        <v>37</v>
      </c>
      <c r="I1458" s="5">
        <v>320</v>
      </c>
      <c r="J1458" s="5">
        <v>178</v>
      </c>
      <c r="K1458" s="5">
        <v>18</v>
      </c>
      <c r="L1458" s="5">
        <v>4</v>
      </c>
      <c r="M1458" s="5">
        <v>4</v>
      </c>
      <c r="N1458" s="7">
        <v>867.42</v>
      </c>
      <c r="O1458" s="7">
        <f t="shared" si="156"/>
        <v>3469.68</v>
      </c>
      <c r="P1458" s="4">
        <v>0.05</v>
      </c>
      <c r="Q1458" s="7">
        <f t="shared" si="157"/>
        <v>173.48400000000001</v>
      </c>
      <c r="R1458" s="7">
        <f t="shared" si="158"/>
        <v>3296.1959999999999</v>
      </c>
      <c r="S1458" s="7">
        <f t="shared" si="159"/>
        <v>824.04899999999998</v>
      </c>
      <c r="T1458" s="6">
        <f t="shared" si="160"/>
        <v>1.2500000000000001E-2</v>
      </c>
      <c r="V1458" t="s">
        <v>29</v>
      </c>
    </row>
    <row r="1459" spans="1:22">
      <c r="A1459" s="3">
        <v>45718</v>
      </c>
      <c r="B1459" t="str">
        <f t="shared" si="154"/>
        <v>yyyy-03</v>
      </c>
      <c r="C1459">
        <f t="shared" si="155"/>
        <v>9</v>
      </c>
      <c r="D1459" t="s">
        <v>53</v>
      </c>
      <c r="E1459" t="s">
        <v>59</v>
      </c>
      <c r="F1459" t="s">
        <v>60</v>
      </c>
      <c r="G1459" t="s">
        <v>31</v>
      </c>
      <c r="H1459" t="s">
        <v>32</v>
      </c>
      <c r="I1459" s="5">
        <v>75</v>
      </c>
      <c r="J1459" s="5">
        <v>40</v>
      </c>
      <c r="K1459" s="5">
        <v>1</v>
      </c>
      <c r="L1459" s="5">
        <v>0</v>
      </c>
      <c r="M1459" s="5">
        <v>0</v>
      </c>
      <c r="N1459" s="7">
        <v>679.31</v>
      </c>
      <c r="O1459" s="7">
        <f t="shared" si="156"/>
        <v>0</v>
      </c>
      <c r="P1459" s="4">
        <v>0</v>
      </c>
      <c r="Q1459" s="7">
        <f t="shared" si="157"/>
        <v>0</v>
      </c>
      <c r="R1459" s="7">
        <f t="shared" si="158"/>
        <v>0</v>
      </c>
      <c r="S1459" s="7">
        <f t="shared" si="159"/>
        <v>0</v>
      </c>
      <c r="T1459" s="6">
        <f t="shared" si="160"/>
        <v>0</v>
      </c>
      <c r="V1459" t="s">
        <v>81</v>
      </c>
    </row>
    <row r="1460" spans="1:22">
      <c r="A1460" s="3">
        <v>45718</v>
      </c>
      <c r="B1460" t="str">
        <f t="shared" si="154"/>
        <v>yyyy-03</v>
      </c>
      <c r="C1460">
        <f t="shared" si="155"/>
        <v>9</v>
      </c>
      <c r="D1460" t="s">
        <v>53</v>
      </c>
      <c r="E1460" t="s">
        <v>61</v>
      </c>
      <c r="F1460" t="s">
        <v>62</v>
      </c>
      <c r="G1460" t="s">
        <v>27</v>
      </c>
      <c r="H1460" t="s">
        <v>63</v>
      </c>
      <c r="I1460" s="5">
        <v>117</v>
      </c>
      <c r="J1460" s="5">
        <v>77</v>
      </c>
      <c r="K1460" s="5">
        <v>8</v>
      </c>
      <c r="L1460" s="5">
        <v>1</v>
      </c>
      <c r="M1460" s="5">
        <v>1</v>
      </c>
      <c r="N1460" s="7">
        <v>492.29</v>
      </c>
      <c r="O1460" s="7">
        <f t="shared" si="156"/>
        <v>492.29</v>
      </c>
      <c r="P1460" s="4">
        <v>0.03</v>
      </c>
      <c r="Q1460" s="7">
        <f t="shared" si="157"/>
        <v>14.768700000000001</v>
      </c>
      <c r="R1460" s="7">
        <f t="shared" si="158"/>
        <v>477.5213</v>
      </c>
      <c r="S1460" s="7">
        <f t="shared" si="159"/>
        <v>477.5213</v>
      </c>
      <c r="T1460" s="6">
        <f t="shared" si="160"/>
        <v>8.5470085470085479E-3</v>
      </c>
      <c r="V1460" t="s">
        <v>29</v>
      </c>
    </row>
    <row r="1461" spans="1:22">
      <c r="A1461" s="3">
        <v>45718</v>
      </c>
      <c r="B1461" t="str">
        <f t="shared" si="154"/>
        <v>yyyy-03</v>
      </c>
      <c r="C1461">
        <f t="shared" si="155"/>
        <v>9</v>
      </c>
      <c r="D1461" t="s">
        <v>53</v>
      </c>
      <c r="E1461" t="s">
        <v>64</v>
      </c>
      <c r="F1461" t="s">
        <v>65</v>
      </c>
      <c r="G1461" t="s">
        <v>27</v>
      </c>
      <c r="H1461" t="s">
        <v>28</v>
      </c>
      <c r="I1461" s="5">
        <v>235</v>
      </c>
      <c r="J1461" s="5">
        <v>161</v>
      </c>
      <c r="K1461" s="5">
        <v>15</v>
      </c>
      <c r="L1461" s="5">
        <v>3</v>
      </c>
      <c r="M1461" s="5">
        <v>3</v>
      </c>
      <c r="N1461" s="7">
        <v>770.67</v>
      </c>
      <c r="O1461" s="7">
        <f t="shared" si="156"/>
        <v>2312.0099999999998</v>
      </c>
      <c r="P1461" s="4">
        <v>0</v>
      </c>
      <c r="Q1461" s="7">
        <f t="shared" si="157"/>
        <v>0</v>
      </c>
      <c r="R1461" s="7">
        <f t="shared" si="158"/>
        <v>2312.0099999999998</v>
      </c>
      <c r="S1461" s="7">
        <f t="shared" si="159"/>
        <v>770.67</v>
      </c>
      <c r="T1461" s="6">
        <f t="shared" si="160"/>
        <v>1.276595744680851E-2</v>
      </c>
      <c r="V1461" t="s">
        <v>29</v>
      </c>
    </row>
    <row r="1462" spans="1:22">
      <c r="A1462" s="3">
        <v>45718</v>
      </c>
      <c r="B1462" t="str">
        <f t="shared" si="154"/>
        <v>yyyy-03</v>
      </c>
      <c r="C1462">
        <f t="shared" si="155"/>
        <v>9</v>
      </c>
      <c r="D1462" t="s">
        <v>66</v>
      </c>
      <c r="E1462" t="s">
        <v>67</v>
      </c>
      <c r="F1462" t="s">
        <v>68</v>
      </c>
      <c r="G1462" t="s">
        <v>31</v>
      </c>
      <c r="H1462" t="s">
        <v>32</v>
      </c>
      <c r="I1462" s="5">
        <v>516</v>
      </c>
      <c r="J1462" s="5">
        <v>304</v>
      </c>
      <c r="K1462" s="5">
        <v>41</v>
      </c>
      <c r="L1462" s="5">
        <v>9</v>
      </c>
      <c r="M1462" s="5">
        <v>9</v>
      </c>
      <c r="N1462" s="7">
        <v>688.33</v>
      </c>
      <c r="O1462" s="7">
        <f t="shared" si="156"/>
        <v>6194.97</v>
      </c>
      <c r="P1462" s="4">
        <v>0</v>
      </c>
      <c r="Q1462" s="7">
        <f t="shared" si="157"/>
        <v>0</v>
      </c>
      <c r="R1462" s="7">
        <f t="shared" si="158"/>
        <v>6194.97</v>
      </c>
      <c r="S1462" s="7">
        <f t="shared" si="159"/>
        <v>688.33</v>
      </c>
      <c r="T1462" s="6">
        <f t="shared" si="160"/>
        <v>1.7441860465116279E-2</v>
      </c>
      <c r="V1462" t="s">
        <v>29</v>
      </c>
    </row>
    <row r="1463" spans="1:22">
      <c r="A1463" s="3">
        <v>45718</v>
      </c>
      <c r="B1463" t="str">
        <f t="shared" si="154"/>
        <v>yyyy-03</v>
      </c>
      <c r="C1463">
        <f t="shared" si="155"/>
        <v>9</v>
      </c>
      <c r="D1463" t="s">
        <v>66</v>
      </c>
      <c r="E1463" t="s">
        <v>67</v>
      </c>
      <c r="F1463" t="s">
        <v>69</v>
      </c>
      <c r="G1463" t="s">
        <v>27</v>
      </c>
      <c r="H1463" t="s">
        <v>28</v>
      </c>
      <c r="I1463" s="5">
        <v>446</v>
      </c>
      <c r="J1463" s="5">
        <v>305</v>
      </c>
      <c r="K1463" s="5">
        <v>44</v>
      </c>
      <c r="L1463" s="5">
        <v>9</v>
      </c>
      <c r="M1463" s="5">
        <v>9</v>
      </c>
      <c r="N1463" s="7">
        <v>401.1</v>
      </c>
      <c r="O1463" s="7">
        <f t="shared" si="156"/>
        <v>3609.9</v>
      </c>
      <c r="P1463" s="4">
        <v>0</v>
      </c>
      <c r="Q1463" s="7">
        <f t="shared" si="157"/>
        <v>0</v>
      </c>
      <c r="R1463" s="7">
        <f t="shared" si="158"/>
        <v>3609.9</v>
      </c>
      <c r="S1463" s="7">
        <f t="shared" si="159"/>
        <v>401.1</v>
      </c>
      <c r="T1463" s="6">
        <f t="shared" si="160"/>
        <v>2.0179372197309416E-2</v>
      </c>
      <c r="V1463" t="s">
        <v>29</v>
      </c>
    </row>
    <row r="1464" spans="1:22">
      <c r="A1464" s="3">
        <v>45718</v>
      </c>
      <c r="B1464" t="str">
        <f t="shared" si="154"/>
        <v>yyyy-03</v>
      </c>
      <c r="C1464">
        <f t="shared" si="155"/>
        <v>9</v>
      </c>
      <c r="D1464" t="s">
        <v>66</v>
      </c>
      <c r="E1464" t="s">
        <v>67</v>
      </c>
      <c r="F1464" t="s">
        <v>70</v>
      </c>
      <c r="G1464" t="s">
        <v>31</v>
      </c>
      <c r="H1464" t="s">
        <v>32</v>
      </c>
      <c r="I1464" s="5">
        <v>374</v>
      </c>
      <c r="J1464" s="5">
        <v>299</v>
      </c>
      <c r="K1464" s="5">
        <v>22</v>
      </c>
      <c r="L1464" s="5">
        <v>5</v>
      </c>
      <c r="M1464" s="5">
        <v>5</v>
      </c>
      <c r="N1464" s="7">
        <v>349.15</v>
      </c>
      <c r="O1464" s="7">
        <f t="shared" si="156"/>
        <v>1745.75</v>
      </c>
      <c r="P1464" s="4">
        <v>0</v>
      </c>
      <c r="Q1464" s="7">
        <f t="shared" si="157"/>
        <v>0</v>
      </c>
      <c r="R1464" s="7">
        <f t="shared" si="158"/>
        <v>1745.75</v>
      </c>
      <c r="S1464" s="7">
        <f t="shared" si="159"/>
        <v>349.15</v>
      </c>
      <c r="T1464" s="6">
        <f t="shared" si="160"/>
        <v>1.3368983957219251E-2</v>
      </c>
      <c r="V1464" t="s">
        <v>29</v>
      </c>
    </row>
    <row r="1465" spans="1:22">
      <c r="A1465" s="3">
        <v>45718</v>
      </c>
      <c r="B1465" t="str">
        <f t="shared" si="154"/>
        <v>yyyy-03</v>
      </c>
      <c r="C1465">
        <f t="shared" si="155"/>
        <v>9</v>
      </c>
      <c r="D1465" t="s">
        <v>66</v>
      </c>
      <c r="E1465" t="s">
        <v>71</v>
      </c>
      <c r="F1465" t="s">
        <v>72</v>
      </c>
      <c r="G1465" t="s">
        <v>27</v>
      </c>
      <c r="H1465" t="s">
        <v>48</v>
      </c>
      <c r="I1465" s="5">
        <v>343</v>
      </c>
      <c r="J1465" s="5">
        <v>212</v>
      </c>
      <c r="K1465" s="5">
        <v>43</v>
      </c>
      <c r="L1465" s="5">
        <v>9</v>
      </c>
      <c r="M1465" s="5">
        <v>11</v>
      </c>
      <c r="N1465" s="7">
        <v>131.26</v>
      </c>
      <c r="O1465" s="7">
        <f t="shared" si="156"/>
        <v>1443.86</v>
      </c>
      <c r="P1465" s="4">
        <v>0.15</v>
      </c>
      <c r="Q1465" s="7">
        <f t="shared" si="157"/>
        <v>216.57899999999998</v>
      </c>
      <c r="R1465" s="7">
        <f t="shared" si="158"/>
        <v>1227.2809999999999</v>
      </c>
      <c r="S1465" s="7">
        <f t="shared" si="159"/>
        <v>136.36455555555554</v>
      </c>
      <c r="T1465" s="6">
        <f t="shared" si="160"/>
        <v>2.6239067055393587E-2</v>
      </c>
      <c r="U1465" t="s">
        <v>87</v>
      </c>
      <c r="V1465" t="s">
        <v>29</v>
      </c>
    </row>
    <row r="1466" spans="1:22">
      <c r="A1466" s="3">
        <v>45718</v>
      </c>
      <c r="B1466" t="str">
        <f t="shared" si="154"/>
        <v>yyyy-03</v>
      </c>
      <c r="C1466">
        <f t="shared" si="155"/>
        <v>9</v>
      </c>
      <c r="D1466" t="s">
        <v>66</v>
      </c>
      <c r="E1466" t="s">
        <v>73</v>
      </c>
      <c r="F1466" t="s">
        <v>74</v>
      </c>
      <c r="G1466" t="s">
        <v>27</v>
      </c>
      <c r="H1466" t="s">
        <v>28</v>
      </c>
      <c r="I1466" s="5">
        <v>225</v>
      </c>
      <c r="J1466" s="5">
        <v>148</v>
      </c>
      <c r="K1466" s="5">
        <v>17</v>
      </c>
      <c r="L1466" s="5">
        <v>5</v>
      </c>
      <c r="M1466" s="5">
        <v>5</v>
      </c>
      <c r="N1466" s="7">
        <v>1205.96</v>
      </c>
      <c r="O1466" s="7">
        <f t="shared" si="156"/>
        <v>6029.8</v>
      </c>
      <c r="P1466" s="4">
        <v>0.05</v>
      </c>
      <c r="Q1466" s="7">
        <f t="shared" si="157"/>
        <v>301.49</v>
      </c>
      <c r="R1466" s="7">
        <f t="shared" si="158"/>
        <v>5728.31</v>
      </c>
      <c r="S1466" s="7">
        <f t="shared" si="159"/>
        <v>1145.662</v>
      </c>
      <c r="T1466" s="6">
        <f t="shared" si="160"/>
        <v>2.2222222222222223E-2</v>
      </c>
      <c r="V1466" t="s">
        <v>29</v>
      </c>
    </row>
    <row r="1467" spans="1:22">
      <c r="A1467" s="3">
        <v>45718</v>
      </c>
      <c r="B1467" t="str">
        <f t="shared" si="154"/>
        <v>yyyy-03</v>
      </c>
      <c r="C1467">
        <f t="shared" si="155"/>
        <v>9</v>
      </c>
      <c r="D1467" t="s">
        <v>66</v>
      </c>
      <c r="E1467" t="s">
        <v>71</v>
      </c>
      <c r="F1467" t="s">
        <v>75</v>
      </c>
      <c r="G1467" t="s">
        <v>36</v>
      </c>
      <c r="H1467" t="s">
        <v>37</v>
      </c>
      <c r="I1467" s="5">
        <v>422</v>
      </c>
      <c r="J1467" s="5">
        <v>225</v>
      </c>
      <c r="K1467" s="5">
        <v>31</v>
      </c>
      <c r="L1467" s="5">
        <v>9</v>
      </c>
      <c r="M1467" s="5">
        <v>12</v>
      </c>
      <c r="N1467" s="7">
        <v>39.42</v>
      </c>
      <c r="O1467" s="7">
        <f t="shared" si="156"/>
        <v>473.04</v>
      </c>
      <c r="P1467" s="4">
        <v>0.15</v>
      </c>
      <c r="Q1467" s="7">
        <f t="shared" si="157"/>
        <v>70.956000000000003</v>
      </c>
      <c r="R1467" s="7">
        <f t="shared" si="158"/>
        <v>402.084</v>
      </c>
      <c r="S1467" s="7">
        <f t="shared" si="159"/>
        <v>44.676000000000002</v>
      </c>
      <c r="T1467" s="6">
        <f t="shared" si="160"/>
        <v>2.132701421800948E-2</v>
      </c>
      <c r="U1467" t="s">
        <v>87</v>
      </c>
      <c r="V1467" t="s">
        <v>29</v>
      </c>
    </row>
    <row r="1468" spans="1:22">
      <c r="A1468" s="3">
        <v>45718</v>
      </c>
      <c r="B1468" t="str">
        <f t="shared" si="154"/>
        <v>yyyy-03</v>
      </c>
      <c r="C1468">
        <f t="shared" si="155"/>
        <v>9</v>
      </c>
      <c r="D1468" t="s">
        <v>24</v>
      </c>
      <c r="E1468" t="s">
        <v>76</v>
      </c>
      <c r="F1468" t="s">
        <v>77</v>
      </c>
      <c r="G1468" t="s">
        <v>27</v>
      </c>
      <c r="H1468" t="s">
        <v>63</v>
      </c>
      <c r="I1468" s="5">
        <v>520</v>
      </c>
      <c r="J1468" s="5">
        <v>345</v>
      </c>
      <c r="K1468" s="5">
        <v>38</v>
      </c>
      <c r="L1468" s="5">
        <v>9</v>
      </c>
      <c r="M1468" s="5">
        <v>12</v>
      </c>
      <c r="N1468" s="7">
        <v>201.47</v>
      </c>
      <c r="O1468" s="7">
        <f t="shared" si="156"/>
        <v>2417.64</v>
      </c>
      <c r="P1468" s="4">
        <v>0</v>
      </c>
      <c r="Q1468" s="7">
        <f t="shared" si="157"/>
        <v>0</v>
      </c>
      <c r="R1468" s="7">
        <f t="shared" si="158"/>
        <v>2417.64</v>
      </c>
      <c r="S1468" s="7">
        <f t="shared" si="159"/>
        <v>268.62666666666667</v>
      </c>
      <c r="T1468" s="6">
        <f t="shared" si="160"/>
        <v>1.7307692307692309E-2</v>
      </c>
      <c r="V1468" t="s">
        <v>29</v>
      </c>
    </row>
    <row r="1469" spans="1:22">
      <c r="A1469" s="3">
        <v>45719</v>
      </c>
      <c r="B1469" t="str">
        <f t="shared" si="154"/>
        <v>yyyy-03</v>
      </c>
      <c r="C1469">
        <f t="shared" si="155"/>
        <v>10</v>
      </c>
      <c r="D1469" t="s">
        <v>24</v>
      </c>
      <c r="E1469" t="s">
        <v>25</v>
      </c>
      <c r="F1469" t="s">
        <v>26</v>
      </c>
      <c r="G1469" t="s">
        <v>27</v>
      </c>
      <c r="H1469" t="s">
        <v>45</v>
      </c>
      <c r="I1469" s="5">
        <v>1432</v>
      </c>
      <c r="J1469" s="5">
        <v>906</v>
      </c>
      <c r="K1469" s="5">
        <v>156</v>
      </c>
      <c r="L1469" s="5">
        <v>35</v>
      </c>
      <c r="M1469" s="5">
        <v>35</v>
      </c>
      <c r="N1469" s="7">
        <v>968.09</v>
      </c>
      <c r="O1469" s="7">
        <f t="shared" si="156"/>
        <v>33883.15</v>
      </c>
      <c r="P1469" s="4">
        <v>0.13</v>
      </c>
      <c r="Q1469" s="7">
        <f t="shared" si="157"/>
        <v>4404.8095000000003</v>
      </c>
      <c r="R1469" s="7">
        <f t="shared" si="158"/>
        <v>29478.340500000002</v>
      </c>
      <c r="S1469" s="7">
        <f t="shared" si="159"/>
        <v>842.23830000000009</v>
      </c>
      <c r="T1469" s="6">
        <f t="shared" si="160"/>
        <v>2.4441340782122904E-2</v>
      </c>
      <c r="U1469" t="s">
        <v>88</v>
      </c>
      <c r="V1469" t="s">
        <v>29</v>
      </c>
    </row>
    <row r="1470" spans="1:22">
      <c r="A1470" s="3">
        <v>45719</v>
      </c>
      <c r="B1470" t="str">
        <f t="shared" si="154"/>
        <v>yyyy-03</v>
      </c>
      <c r="C1470">
        <f t="shared" si="155"/>
        <v>10</v>
      </c>
      <c r="D1470" t="s">
        <v>24</v>
      </c>
      <c r="E1470" t="s">
        <v>25</v>
      </c>
      <c r="F1470" t="s">
        <v>30</v>
      </c>
      <c r="G1470" t="s">
        <v>27</v>
      </c>
      <c r="H1470" t="s">
        <v>63</v>
      </c>
      <c r="I1470" s="5">
        <v>1002</v>
      </c>
      <c r="J1470" s="5">
        <v>526</v>
      </c>
      <c r="K1470" s="5">
        <v>70</v>
      </c>
      <c r="L1470" s="5">
        <v>25</v>
      </c>
      <c r="M1470" s="5">
        <v>25</v>
      </c>
      <c r="N1470" s="7">
        <v>394.95</v>
      </c>
      <c r="O1470" s="7">
        <f t="shared" si="156"/>
        <v>9873.75</v>
      </c>
      <c r="P1470" s="4">
        <v>0.13</v>
      </c>
      <c r="Q1470" s="7">
        <f t="shared" si="157"/>
        <v>1283.5875000000001</v>
      </c>
      <c r="R1470" s="7">
        <f t="shared" si="158"/>
        <v>8590.1625000000004</v>
      </c>
      <c r="S1470" s="7">
        <f t="shared" si="159"/>
        <v>343.60650000000004</v>
      </c>
      <c r="T1470" s="6">
        <f t="shared" si="160"/>
        <v>2.4950099800399202E-2</v>
      </c>
      <c r="U1470" t="s">
        <v>88</v>
      </c>
      <c r="V1470" t="s">
        <v>29</v>
      </c>
    </row>
    <row r="1471" spans="1:22">
      <c r="A1471" s="3">
        <v>45719</v>
      </c>
      <c r="B1471" t="str">
        <f t="shared" si="154"/>
        <v>yyyy-03</v>
      </c>
      <c r="C1471">
        <f t="shared" si="155"/>
        <v>10</v>
      </c>
      <c r="D1471" t="s">
        <v>24</v>
      </c>
      <c r="E1471" t="s">
        <v>25</v>
      </c>
      <c r="F1471" t="s">
        <v>33</v>
      </c>
      <c r="G1471" t="s">
        <v>31</v>
      </c>
      <c r="H1471" t="s">
        <v>32</v>
      </c>
      <c r="I1471" s="5">
        <v>1912</v>
      </c>
      <c r="J1471" s="5">
        <v>1106</v>
      </c>
      <c r="K1471" s="5">
        <v>178</v>
      </c>
      <c r="L1471" s="5">
        <v>51</v>
      </c>
      <c r="M1471" s="5">
        <v>51</v>
      </c>
      <c r="N1471" s="7">
        <v>1818.96</v>
      </c>
      <c r="O1471" s="7">
        <f t="shared" si="156"/>
        <v>92766.96</v>
      </c>
      <c r="P1471" s="4">
        <v>0.13</v>
      </c>
      <c r="Q1471" s="7">
        <f t="shared" si="157"/>
        <v>12059.704800000001</v>
      </c>
      <c r="R1471" s="7">
        <f t="shared" si="158"/>
        <v>80707.2552</v>
      </c>
      <c r="S1471" s="7">
        <f t="shared" si="159"/>
        <v>1582.4952000000001</v>
      </c>
      <c r="T1471" s="6">
        <f t="shared" si="160"/>
        <v>2.6673640167364017E-2</v>
      </c>
      <c r="U1471" t="s">
        <v>88</v>
      </c>
      <c r="V1471" t="s">
        <v>29</v>
      </c>
    </row>
    <row r="1472" spans="1:22">
      <c r="A1472" s="3">
        <v>45719</v>
      </c>
      <c r="B1472" t="str">
        <f t="shared" si="154"/>
        <v>yyyy-03</v>
      </c>
      <c r="C1472">
        <f t="shared" si="155"/>
        <v>10</v>
      </c>
      <c r="D1472" t="s">
        <v>24</v>
      </c>
      <c r="E1472" t="s">
        <v>34</v>
      </c>
      <c r="F1472" t="s">
        <v>35</v>
      </c>
      <c r="G1472" t="s">
        <v>27</v>
      </c>
      <c r="H1472" t="s">
        <v>28</v>
      </c>
      <c r="I1472" s="5">
        <v>856</v>
      </c>
      <c r="J1472" s="5">
        <v>700</v>
      </c>
      <c r="K1472" s="5">
        <v>55</v>
      </c>
      <c r="L1472" s="5">
        <v>10</v>
      </c>
      <c r="M1472" s="5">
        <v>10</v>
      </c>
      <c r="N1472" s="7">
        <v>878.65</v>
      </c>
      <c r="O1472" s="7">
        <f t="shared" si="156"/>
        <v>8786.5</v>
      </c>
      <c r="P1472" s="4">
        <v>0.05</v>
      </c>
      <c r="Q1472" s="7">
        <f t="shared" si="157"/>
        <v>439.32500000000005</v>
      </c>
      <c r="R1472" s="7">
        <f t="shared" si="158"/>
        <v>8347.1749999999993</v>
      </c>
      <c r="S1472" s="7">
        <f t="shared" si="159"/>
        <v>834.71749999999997</v>
      </c>
      <c r="T1472" s="6">
        <f t="shared" si="160"/>
        <v>1.1682242990654205E-2</v>
      </c>
      <c r="V1472" t="s">
        <v>78</v>
      </c>
    </row>
    <row r="1473" spans="1:22">
      <c r="A1473" s="3">
        <v>45719</v>
      </c>
      <c r="B1473" t="str">
        <f t="shared" si="154"/>
        <v>yyyy-03</v>
      </c>
      <c r="C1473">
        <f t="shared" si="155"/>
        <v>10</v>
      </c>
      <c r="D1473" t="s">
        <v>24</v>
      </c>
      <c r="E1473" t="s">
        <v>38</v>
      </c>
      <c r="F1473" t="s">
        <v>39</v>
      </c>
      <c r="G1473" t="s">
        <v>31</v>
      </c>
      <c r="H1473" t="s">
        <v>32</v>
      </c>
      <c r="I1473" s="5">
        <v>930</v>
      </c>
      <c r="J1473" s="5">
        <v>572</v>
      </c>
      <c r="K1473" s="5">
        <v>62</v>
      </c>
      <c r="L1473" s="5">
        <v>16</v>
      </c>
      <c r="M1473" s="5">
        <v>16</v>
      </c>
      <c r="N1473" s="7">
        <v>324.31</v>
      </c>
      <c r="O1473" s="7">
        <f t="shared" si="156"/>
        <v>5188.96</v>
      </c>
      <c r="P1473" s="4">
        <v>0</v>
      </c>
      <c r="Q1473" s="7">
        <f t="shared" si="157"/>
        <v>0</v>
      </c>
      <c r="R1473" s="7">
        <f t="shared" si="158"/>
        <v>5188.96</v>
      </c>
      <c r="S1473" s="7">
        <f t="shared" si="159"/>
        <v>324.31</v>
      </c>
      <c r="T1473" s="6">
        <f t="shared" si="160"/>
        <v>1.7204301075268817E-2</v>
      </c>
      <c r="V1473" t="s">
        <v>29</v>
      </c>
    </row>
    <row r="1474" spans="1:22">
      <c r="A1474" s="3">
        <v>45719</v>
      </c>
      <c r="B1474" t="str">
        <f t="shared" si="154"/>
        <v>yyyy-03</v>
      </c>
      <c r="C1474">
        <f t="shared" si="155"/>
        <v>10</v>
      </c>
      <c r="D1474" t="s">
        <v>24</v>
      </c>
      <c r="E1474" t="s">
        <v>40</v>
      </c>
      <c r="F1474" t="s">
        <v>41</v>
      </c>
      <c r="G1474" t="s">
        <v>31</v>
      </c>
      <c r="H1474" t="s">
        <v>32</v>
      </c>
      <c r="I1474" s="5">
        <v>841</v>
      </c>
      <c r="J1474" s="5">
        <v>526</v>
      </c>
      <c r="K1474" s="5">
        <v>65</v>
      </c>
      <c r="L1474" s="5">
        <v>16</v>
      </c>
      <c r="M1474" s="5">
        <v>20</v>
      </c>
      <c r="N1474" s="7">
        <v>176.93</v>
      </c>
      <c r="O1474" s="7">
        <f t="shared" si="156"/>
        <v>3538.6000000000004</v>
      </c>
      <c r="P1474" s="4">
        <v>0</v>
      </c>
      <c r="Q1474" s="7">
        <f t="shared" si="157"/>
        <v>0</v>
      </c>
      <c r="R1474" s="7">
        <f t="shared" si="158"/>
        <v>3538.6000000000004</v>
      </c>
      <c r="S1474" s="7">
        <f t="shared" si="159"/>
        <v>221.16250000000002</v>
      </c>
      <c r="T1474" s="6">
        <f t="shared" si="160"/>
        <v>1.9024970273483946E-2</v>
      </c>
      <c r="V1474" t="s">
        <v>29</v>
      </c>
    </row>
    <row r="1475" spans="1:22">
      <c r="A1475" s="3">
        <v>45719</v>
      </c>
      <c r="B1475" t="str">
        <f t="shared" si="154"/>
        <v>yyyy-03</v>
      </c>
      <c r="C1475">
        <f t="shared" si="155"/>
        <v>10</v>
      </c>
      <c r="D1475" t="s">
        <v>42</v>
      </c>
      <c r="E1475" t="s">
        <v>43</v>
      </c>
      <c r="F1475" t="s">
        <v>44</v>
      </c>
      <c r="G1475" t="s">
        <v>31</v>
      </c>
      <c r="H1475" t="s">
        <v>32</v>
      </c>
      <c r="I1475" s="5">
        <v>596</v>
      </c>
      <c r="J1475" s="5">
        <v>353</v>
      </c>
      <c r="K1475" s="5">
        <v>40</v>
      </c>
      <c r="L1475" s="5">
        <v>10</v>
      </c>
      <c r="M1475" s="5">
        <v>10</v>
      </c>
      <c r="N1475" s="7">
        <v>1322.84</v>
      </c>
      <c r="O1475" s="7">
        <f t="shared" si="156"/>
        <v>13228.4</v>
      </c>
      <c r="P1475" s="4">
        <v>0</v>
      </c>
      <c r="Q1475" s="7">
        <f t="shared" si="157"/>
        <v>0</v>
      </c>
      <c r="R1475" s="7">
        <f t="shared" si="158"/>
        <v>13228.4</v>
      </c>
      <c r="S1475" s="7">
        <f t="shared" si="159"/>
        <v>1322.84</v>
      </c>
      <c r="T1475" s="6">
        <f t="shared" si="160"/>
        <v>1.6778523489932886E-2</v>
      </c>
      <c r="V1475" t="s">
        <v>29</v>
      </c>
    </row>
    <row r="1476" spans="1:22">
      <c r="A1476" s="3">
        <v>45719</v>
      </c>
      <c r="B1476" t="str">
        <f t="shared" si="154"/>
        <v>yyyy-03</v>
      </c>
      <c r="C1476">
        <f t="shared" si="155"/>
        <v>10</v>
      </c>
      <c r="D1476" t="s">
        <v>42</v>
      </c>
      <c r="E1476" t="s">
        <v>43</v>
      </c>
      <c r="F1476" t="s">
        <v>46</v>
      </c>
      <c r="G1476" t="s">
        <v>27</v>
      </c>
      <c r="H1476" t="s">
        <v>45</v>
      </c>
      <c r="I1476" s="5">
        <v>495</v>
      </c>
      <c r="J1476" s="5">
        <v>379</v>
      </c>
      <c r="K1476" s="5">
        <v>44</v>
      </c>
      <c r="L1476" s="5">
        <v>8</v>
      </c>
      <c r="M1476" s="5">
        <v>8</v>
      </c>
      <c r="N1476" s="7">
        <v>2214.16</v>
      </c>
      <c r="O1476" s="7">
        <f t="shared" si="156"/>
        <v>17713.28</v>
      </c>
      <c r="P1476" s="4">
        <v>0.03</v>
      </c>
      <c r="Q1476" s="7">
        <f t="shared" si="157"/>
        <v>531.39839999999992</v>
      </c>
      <c r="R1476" s="7">
        <f t="shared" si="158"/>
        <v>17181.881600000001</v>
      </c>
      <c r="S1476" s="7">
        <f t="shared" si="159"/>
        <v>2147.7352000000001</v>
      </c>
      <c r="T1476" s="6">
        <f t="shared" si="160"/>
        <v>1.6161616161616162E-2</v>
      </c>
      <c r="V1476" t="s">
        <v>29</v>
      </c>
    </row>
    <row r="1477" spans="1:22">
      <c r="A1477" s="3">
        <v>45719</v>
      </c>
      <c r="B1477" t="str">
        <f t="shared" ref="B1477:B1540" si="161">TEXT(A1477,"yyyy-mm")</f>
        <v>yyyy-03</v>
      </c>
      <c r="C1477">
        <f t="shared" ref="C1477:C1540" si="162">WEEKNUM(A1477,2)</f>
        <v>10</v>
      </c>
      <c r="D1477" t="s">
        <v>42</v>
      </c>
      <c r="E1477" t="s">
        <v>43</v>
      </c>
      <c r="F1477" t="s">
        <v>47</v>
      </c>
      <c r="G1477" t="s">
        <v>27</v>
      </c>
      <c r="H1477" t="s">
        <v>28</v>
      </c>
      <c r="I1477" s="5">
        <v>382</v>
      </c>
      <c r="J1477" s="5">
        <v>228</v>
      </c>
      <c r="K1477" s="5">
        <v>28</v>
      </c>
      <c r="L1477" s="5">
        <v>6</v>
      </c>
      <c r="M1477" s="5">
        <v>6</v>
      </c>
      <c r="N1477" s="7">
        <v>606.69000000000005</v>
      </c>
      <c r="O1477" s="7">
        <f t="shared" ref="O1477:O1540" si="163">M1477*N1477</f>
        <v>3640.1400000000003</v>
      </c>
      <c r="P1477" s="4">
        <v>0</v>
      </c>
      <c r="Q1477" s="7">
        <f t="shared" ref="Q1477:Q1540" si="164">O1477*P1477</f>
        <v>0</v>
      </c>
      <c r="R1477" s="7">
        <f t="shared" ref="R1477:R1540" si="165">O1477-Q1477</f>
        <v>3640.1400000000003</v>
      </c>
      <c r="S1477" s="7">
        <f t="shared" ref="S1477:S1540" si="166">IFERROR(R1477/L1477,0)</f>
        <v>606.69000000000005</v>
      </c>
      <c r="T1477" s="6">
        <f t="shared" ref="T1477:T1540" si="167">IFERROR(L1477/I1477,0)</f>
        <v>1.5706806282722512E-2</v>
      </c>
      <c r="V1477" t="s">
        <v>29</v>
      </c>
    </row>
    <row r="1478" spans="1:22">
      <c r="A1478" s="3">
        <v>45719</v>
      </c>
      <c r="B1478" t="str">
        <f t="shared" si="161"/>
        <v>yyyy-03</v>
      </c>
      <c r="C1478">
        <f t="shared" si="162"/>
        <v>10</v>
      </c>
      <c r="D1478" t="s">
        <v>42</v>
      </c>
      <c r="E1478" t="s">
        <v>49</v>
      </c>
      <c r="F1478" t="s">
        <v>50</v>
      </c>
      <c r="G1478" t="s">
        <v>36</v>
      </c>
      <c r="H1478" t="s">
        <v>37</v>
      </c>
      <c r="I1478" s="5">
        <v>139</v>
      </c>
      <c r="J1478" s="5">
        <v>75</v>
      </c>
      <c r="K1478" s="5">
        <v>8</v>
      </c>
      <c r="L1478" s="5">
        <v>2</v>
      </c>
      <c r="M1478" s="5">
        <v>2</v>
      </c>
      <c r="N1478" s="7">
        <v>1016.48</v>
      </c>
      <c r="O1478" s="7">
        <f t="shared" si="163"/>
        <v>2032.96</v>
      </c>
      <c r="P1478" s="4">
        <v>0</v>
      </c>
      <c r="Q1478" s="7">
        <f t="shared" si="164"/>
        <v>0</v>
      </c>
      <c r="R1478" s="7">
        <f t="shared" si="165"/>
        <v>2032.96</v>
      </c>
      <c r="S1478" s="7">
        <f t="shared" si="166"/>
        <v>1016.48</v>
      </c>
      <c r="T1478" s="6">
        <f t="shared" si="167"/>
        <v>1.4388489208633094E-2</v>
      </c>
      <c r="V1478" t="s">
        <v>29</v>
      </c>
    </row>
    <row r="1479" spans="1:22">
      <c r="A1479" s="3">
        <v>45719</v>
      </c>
      <c r="B1479" t="str">
        <f t="shared" si="161"/>
        <v>yyyy-03</v>
      </c>
      <c r="C1479">
        <f t="shared" si="162"/>
        <v>10</v>
      </c>
      <c r="D1479" t="s">
        <v>42</v>
      </c>
      <c r="E1479" t="s">
        <v>51</v>
      </c>
      <c r="F1479" t="s">
        <v>52</v>
      </c>
      <c r="G1479" t="s">
        <v>36</v>
      </c>
      <c r="H1479" t="s">
        <v>37</v>
      </c>
      <c r="I1479" s="5">
        <v>315</v>
      </c>
      <c r="J1479" s="5">
        <v>233</v>
      </c>
      <c r="K1479" s="5">
        <v>18</v>
      </c>
      <c r="L1479" s="5">
        <v>4</v>
      </c>
      <c r="M1479" s="5">
        <v>4</v>
      </c>
      <c r="N1479" s="7">
        <v>583.07000000000005</v>
      </c>
      <c r="O1479" s="7">
        <f t="shared" si="163"/>
        <v>2332.2800000000002</v>
      </c>
      <c r="P1479" s="4">
        <v>0</v>
      </c>
      <c r="Q1479" s="7">
        <f t="shared" si="164"/>
        <v>0</v>
      </c>
      <c r="R1479" s="7">
        <f t="shared" si="165"/>
        <v>2332.2800000000002</v>
      </c>
      <c r="S1479" s="7">
        <f t="shared" si="166"/>
        <v>583.07000000000005</v>
      </c>
      <c r="T1479" s="6">
        <f t="shared" si="167"/>
        <v>1.2698412698412698E-2</v>
      </c>
      <c r="V1479" t="s">
        <v>29</v>
      </c>
    </row>
    <row r="1480" spans="1:22">
      <c r="A1480" s="3">
        <v>45719</v>
      </c>
      <c r="B1480" t="str">
        <f t="shared" si="161"/>
        <v>yyyy-03</v>
      </c>
      <c r="C1480">
        <f t="shared" si="162"/>
        <v>10</v>
      </c>
      <c r="D1480" t="s">
        <v>53</v>
      </c>
      <c r="E1480" t="s">
        <v>54</v>
      </c>
      <c r="F1480" t="s">
        <v>55</v>
      </c>
      <c r="G1480" t="s">
        <v>31</v>
      </c>
      <c r="H1480" t="s">
        <v>32</v>
      </c>
      <c r="I1480" s="5">
        <v>262</v>
      </c>
      <c r="J1480" s="5">
        <v>175</v>
      </c>
      <c r="K1480" s="5">
        <v>11</v>
      </c>
      <c r="L1480" s="5">
        <v>2</v>
      </c>
      <c r="M1480" s="5">
        <v>2</v>
      </c>
      <c r="N1480" s="7">
        <v>1323.83</v>
      </c>
      <c r="O1480" s="7">
        <f t="shared" si="163"/>
        <v>2647.66</v>
      </c>
      <c r="P1480" s="4">
        <v>0</v>
      </c>
      <c r="Q1480" s="7">
        <f t="shared" si="164"/>
        <v>0</v>
      </c>
      <c r="R1480" s="7">
        <f t="shared" si="165"/>
        <v>2647.66</v>
      </c>
      <c r="S1480" s="7">
        <f t="shared" si="166"/>
        <v>1323.83</v>
      </c>
      <c r="T1480" s="6">
        <f t="shared" si="167"/>
        <v>7.6335877862595417E-3</v>
      </c>
      <c r="V1480" t="s">
        <v>29</v>
      </c>
    </row>
    <row r="1481" spans="1:22">
      <c r="A1481" s="3">
        <v>45719</v>
      </c>
      <c r="B1481" t="str">
        <f t="shared" si="161"/>
        <v>yyyy-03</v>
      </c>
      <c r="C1481">
        <f t="shared" si="162"/>
        <v>10</v>
      </c>
      <c r="D1481" t="s">
        <v>53</v>
      </c>
      <c r="E1481" t="s">
        <v>56</v>
      </c>
      <c r="F1481" t="s">
        <v>57</v>
      </c>
      <c r="G1481" t="s">
        <v>27</v>
      </c>
      <c r="H1481" t="s">
        <v>28</v>
      </c>
      <c r="I1481" s="5">
        <v>212</v>
      </c>
      <c r="J1481" s="5">
        <v>170</v>
      </c>
      <c r="K1481" s="5">
        <v>9</v>
      </c>
      <c r="L1481" s="5">
        <v>3</v>
      </c>
      <c r="M1481" s="5">
        <v>3</v>
      </c>
      <c r="N1481" s="7">
        <v>758.8</v>
      </c>
      <c r="O1481" s="7">
        <f t="shared" si="163"/>
        <v>2276.3999999999996</v>
      </c>
      <c r="P1481" s="4">
        <v>0.03</v>
      </c>
      <c r="Q1481" s="7">
        <f t="shared" si="164"/>
        <v>68.291999999999987</v>
      </c>
      <c r="R1481" s="7">
        <f t="shared" si="165"/>
        <v>2208.1079999999997</v>
      </c>
      <c r="S1481" s="7">
        <f t="shared" si="166"/>
        <v>736.03599999999994</v>
      </c>
      <c r="T1481" s="6">
        <f t="shared" si="167"/>
        <v>1.4150943396226415E-2</v>
      </c>
      <c r="V1481" t="s">
        <v>29</v>
      </c>
    </row>
    <row r="1482" spans="1:22">
      <c r="A1482" s="3">
        <v>45719</v>
      </c>
      <c r="B1482" t="str">
        <f t="shared" si="161"/>
        <v>yyyy-03</v>
      </c>
      <c r="C1482">
        <f t="shared" si="162"/>
        <v>10</v>
      </c>
      <c r="D1482" t="s">
        <v>53</v>
      </c>
      <c r="E1482" t="s">
        <v>56</v>
      </c>
      <c r="F1482" t="s">
        <v>58</v>
      </c>
      <c r="G1482" t="s">
        <v>27</v>
      </c>
      <c r="H1482" t="s">
        <v>28</v>
      </c>
      <c r="I1482" s="5">
        <v>186</v>
      </c>
      <c r="J1482" s="5">
        <v>142</v>
      </c>
      <c r="K1482" s="5">
        <v>9</v>
      </c>
      <c r="L1482" s="5">
        <v>2</v>
      </c>
      <c r="M1482" s="5">
        <v>2</v>
      </c>
      <c r="N1482" s="7">
        <v>877.12</v>
      </c>
      <c r="O1482" s="7">
        <f t="shared" si="163"/>
        <v>1754.24</v>
      </c>
      <c r="P1482" s="4">
        <v>0.03</v>
      </c>
      <c r="Q1482" s="7">
        <f t="shared" si="164"/>
        <v>52.627199999999995</v>
      </c>
      <c r="R1482" s="7">
        <f t="shared" si="165"/>
        <v>1701.6128000000001</v>
      </c>
      <c r="S1482" s="7">
        <f t="shared" si="166"/>
        <v>850.80640000000005</v>
      </c>
      <c r="T1482" s="6">
        <f t="shared" si="167"/>
        <v>1.0752688172043012E-2</v>
      </c>
      <c r="V1482" t="s">
        <v>29</v>
      </c>
    </row>
    <row r="1483" spans="1:22">
      <c r="A1483" s="3">
        <v>45719</v>
      </c>
      <c r="B1483" t="str">
        <f t="shared" si="161"/>
        <v>yyyy-03</v>
      </c>
      <c r="C1483">
        <f t="shared" si="162"/>
        <v>10</v>
      </c>
      <c r="D1483" t="s">
        <v>53</v>
      </c>
      <c r="E1483" t="s">
        <v>59</v>
      </c>
      <c r="F1483" t="s">
        <v>60</v>
      </c>
      <c r="G1483" t="s">
        <v>31</v>
      </c>
      <c r="H1483" t="s">
        <v>32</v>
      </c>
      <c r="I1483" s="5">
        <v>161</v>
      </c>
      <c r="J1483" s="5">
        <v>102</v>
      </c>
      <c r="K1483" s="5">
        <v>10</v>
      </c>
      <c r="L1483" s="5">
        <v>2</v>
      </c>
      <c r="M1483" s="5">
        <v>2</v>
      </c>
      <c r="N1483" s="7">
        <v>687.06</v>
      </c>
      <c r="O1483" s="7">
        <f t="shared" si="163"/>
        <v>1374.12</v>
      </c>
      <c r="P1483" s="4">
        <v>0</v>
      </c>
      <c r="Q1483" s="7">
        <f t="shared" si="164"/>
        <v>0</v>
      </c>
      <c r="R1483" s="7">
        <f t="shared" si="165"/>
        <v>1374.12</v>
      </c>
      <c r="S1483" s="7">
        <f t="shared" si="166"/>
        <v>687.06</v>
      </c>
      <c r="T1483" s="6">
        <f t="shared" si="167"/>
        <v>1.2422360248447204E-2</v>
      </c>
      <c r="V1483" t="s">
        <v>78</v>
      </c>
    </row>
    <row r="1484" spans="1:22">
      <c r="A1484" s="3">
        <v>45719</v>
      </c>
      <c r="B1484" t="str">
        <f t="shared" si="161"/>
        <v>yyyy-03</v>
      </c>
      <c r="C1484">
        <f t="shared" si="162"/>
        <v>10</v>
      </c>
      <c r="D1484" t="s">
        <v>53</v>
      </c>
      <c r="E1484" t="s">
        <v>61</v>
      </c>
      <c r="F1484" t="s">
        <v>62</v>
      </c>
      <c r="G1484" t="s">
        <v>31</v>
      </c>
      <c r="H1484" t="s">
        <v>32</v>
      </c>
      <c r="I1484" s="5">
        <v>170</v>
      </c>
      <c r="J1484" s="5">
        <v>94</v>
      </c>
      <c r="K1484" s="5">
        <v>9</v>
      </c>
      <c r="L1484" s="5">
        <v>2</v>
      </c>
      <c r="M1484" s="5">
        <v>2</v>
      </c>
      <c r="N1484" s="7">
        <v>492.61</v>
      </c>
      <c r="O1484" s="7">
        <f t="shared" si="163"/>
        <v>985.22</v>
      </c>
      <c r="P1484" s="4">
        <v>0</v>
      </c>
      <c r="Q1484" s="7">
        <f t="shared" si="164"/>
        <v>0</v>
      </c>
      <c r="R1484" s="7">
        <f t="shared" si="165"/>
        <v>985.22</v>
      </c>
      <c r="S1484" s="7">
        <f t="shared" si="166"/>
        <v>492.61</v>
      </c>
      <c r="T1484" s="6">
        <f t="shared" si="167"/>
        <v>1.1764705882352941E-2</v>
      </c>
      <c r="V1484" t="s">
        <v>29</v>
      </c>
    </row>
    <row r="1485" spans="1:22">
      <c r="A1485" s="3">
        <v>45719</v>
      </c>
      <c r="B1485" t="str">
        <f t="shared" si="161"/>
        <v>yyyy-03</v>
      </c>
      <c r="C1485">
        <f t="shared" si="162"/>
        <v>10</v>
      </c>
      <c r="D1485" t="s">
        <v>53</v>
      </c>
      <c r="E1485" t="s">
        <v>64</v>
      </c>
      <c r="F1485" t="s">
        <v>65</v>
      </c>
      <c r="G1485" t="s">
        <v>31</v>
      </c>
      <c r="H1485" t="s">
        <v>32</v>
      </c>
      <c r="I1485" s="5">
        <v>255</v>
      </c>
      <c r="J1485" s="5">
        <v>158</v>
      </c>
      <c r="K1485" s="5">
        <v>17</v>
      </c>
      <c r="L1485" s="5">
        <v>3</v>
      </c>
      <c r="M1485" s="5">
        <v>3</v>
      </c>
      <c r="N1485" s="7">
        <v>785.02</v>
      </c>
      <c r="O1485" s="7">
        <f t="shared" si="163"/>
        <v>2355.06</v>
      </c>
      <c r="P1485" s="4">
        <v>0</v>
      </c>
      <c r="Q1485" s="7">
        <f t="shared" si="164"/>
        <v>0</v>
      </c>
      <c r="R1485" s="7">
        <f t="shared" si="165"/>
        <v>2355.06</v>
      </c>
      <c r="S1485" s="7">
        <f t="shared" si="166"/>
        <v>785.02</v>
      </c>
      <c r="T1485" s="6">
        <f t="shared" si="167"/>
        <v>1.1764705882352941E-2</v>
      </c>
      <c r="V1485" t="s">
        <v>29</v>
      </c>
    </row>
    <row r="1486" spans="1:22">
      <c r="A1486" s="3">
        <v>45719</v>
      </c>
      <c r="B1486" t="str">
        <f t="shared" si="161"/>
        <v>yyyy-03</v>
      </c>
      <c r="C1486">
        <f t="shared" si="162"/>
        <v>10</v>
      </c>
      <c r="D1486" t="s">
        <v>66</v>
      </c>
      <c r="E1486" t="s">
        <v>67</v>
      </c>
      <c r="F1486" t="s">
        <v>68</v>
      </c>
      <c r="G1486" t="s">
        <v>31</v>
      </c>
      <c r="H1486" t="s">
        <v>32</v>
      </c>
      <c r="I1486" s="5">
        <v>429</v>
      </c>
      <c r="J1486" s="5">
        <v>275</v>
      </c>
      <c r="K1486" s="5">
        <v>32</v>
      </c>
      <c r="L1486" s="5">
        <v>7</v>
      </c>
      <c r="M1486" s="5">
        <v>7</v>
      </c>
      <c r="N1486" s="7">
        <v>682.91</v>
      </c>
      <c r="O1486" s="7">
        <f t="shared" si="163"/>
        <v>4780.37</v>
      </c>
      <c r="P1486" s="4">
        <v>0</v>
      </c>
      <c r="Q1486" s="7">
        <f t="shared" si="164"/>
        <v>0</v>
      </c>
      <c r="R1486" s="7">
        <f t="shared" si="165"/>
        <v>4780.37</v>
      </c>
      <c r="S1486" s="7">
        <f t="shared" si="166"/>
        <v>682.91</v>
      </c>
      <c r="T1486" s="6">
        <f t="shared" si="167"/>
        <v>1.6317016317016316E-2</v>
      </c>
      <c r="V1486" t="s">
        <v>29</v>
      </c>
    </row>
    <row r="1487" spans="1:22">
      <c r="A1487" s="3">
        <v>45719</v>
      </c>
      <c r="B1487" t="str">
        <f t="shared" si="161"/>
        <v>yyyy-03</v>
      </c>
      <c r="C1487">
        <f t="shared" si="162"/>
        <v>10</v>
      </c>
      <c r="D1487" t="s">
        <v>66</v>
      </c>
      <c r="E1487" t="s">
        <v>67</v>
      </c>
      <c r="F1487" t="s">
        <v>69</v>
      </c>
      <c r="G1487" t="s">
        <v>27</v>
      </c>
      <c r="H1487" t="s">
        <v>28</v>
      </c>
      <c r="I1487" s="5">
        <v>273</v>
      </c>
      <c r="J1487" s="5">
        <v>202</v>
      </c>
      <c r="K1487" s="5">
        <v>19</v>
      </c>
      <c r="L1487" s="5">
        <v>4</v>
      </c>
      <c r="M1487" s="5">
        <v>4</v>
      </c>
      <c r="N1487" s="7">
        <v>385.49</v>
      </c>
      <c r="O1487" s="7">
        <f t="shared" si="163"/>
        <v>1541.96</v>
      </c>
      <c r="P1487" s="4">
        <v>0.03</v>
      </c>
      <c r="Q1487" s="7">
        <f t="shared" si="164"/>
        <v>46.258800000000001</v>
      </c>
      <c r="R1487" s="7">
        <f t="shared" si="165"/>
        <v>1495.7012</v>
      </c>
      <c r="S1487" s="7">
        <f t="shared" si="166"/>
        <v>373.92529999999999</v>
      </c>
      <c r="T1487" s="6">
        <f t="shared" si="167"/>
        <v>1.4652014652014652E-2</v>
      </c>
      <c r="V1487" t="s">
        <v>78</v>
      </c>
    </row>
    <row r="1488" spans="1:22">
      <c r="A1488" s="3">
        <v>45719</v>
      </c>
      <c r="B1488" t="str">
        <f t="shared" si="161"/>
        <v>yyyy-03</v>
      </c>
      <c r="C1488">
        <f t="shared" si="162"/>
        <v>10</v>
      </c>
      <c r="D1488" t="s">
        <v>66</v>
      </c>
      <c r="E1488" t="s">
        <v>67</v>
      </c>
      <c r="F1488" t="s">
        <v>70</v>
      </c>
      <c r="G1488" t="s">
        <v>31</v>
      </c>
      <c r="H1488" t="s">
        <v>32</v>
      </c>
      <c r="I1488" s="5">
        <v>419</v>
      </c>
      <c r="J1488" s="5">
        <v>315</v>
      </c>
      <c r="K1488" s="5">
        <v>30</v>
      </c>
      <c r="L1488" s="5">
        <v>10</v>
      </c>
      <c r="M1488" s="5">
        <v>10</v>
      </c>
      <c r="N1488" s="7">
        <v>350.76</v>
      </c>
      <c r="O1488" s="7">
        <f t="shared" si="163"/>
        <v>3507.6</v>
      </c>
      <c r="P1488" s="4">
        <v>0.05</v>
      </c>
      <c r="Q1488" s="7">
        <f t="shared" si="164"/>
        <v>175.38</v>
      </c>
      <c r="R1488" s="7">
        <f t="shared" si="165"/>
        <v>3332.22</v>
      </c>
      <c r="S1488" s="7">
        <f t="shared" si="166"/>
        <v>333.22199999999998</v>
      </c>
      <c r="T1488" s="6">
        <f t="shared" si="167"/>
        <v>2.386634844868735E-2</v>
      </c>
      <c r="V1488" t="s">
        <v>29</v>
      </c>
    </row>
    <row r="1489" spans="1:22">
      <c r="A1489" s="3">
        <v>45719</v>
      </c>
      <c r="B1489" t="str">
        <f t="shared" si="161"/>
        <v>yyyy-03</v>
      </c>
      <c r="C1489">
        <f t="shared" si="162"/>
        <v>10</v>
      </c>
      <c r="D1489" t="s">
        <v>66</v>
      </c>
      <c r="E1489" t="s">
        <v>71</v>
      </c>
      <c r="F1489" t="s">
        <v>72</v>
      </c>
      <c r="G1489" t="s">
        <v>27</v>
      </c>
      <c r="H1489" t="s">
        <v>28</v>
      </c>
      <c r="I1489" s="5">
        <v>253</v>
      </c>
      <c r="J1489" s="5">
        <v>162</v>
      </c>
      <c r="K1489" s="5">
        <v>22</v>
      </c>
      <c r="L1489" s="5">
        <v>5</v>
      </c>
      <c r="M1489" s="5">
        <v>6</v>
      </c>
      <c r="N1489" s="7">
        <v>124.73</v>
      </c>
      <c r="O1489" s="7">
        <f t="shared" si="163"/>
        <v>748.38</v>
      </c>
      <c r="P1489" s="4">
        <v>0.15</v>
      </c>
      <c r="Q1489" s="7">
        <f t="shared" si="164"/>
        <v>112.25699999999999</v>
      </c>
      <c r="R1489" s="7">
        <f t="shared" si="165"/>
        <v>636.12300000000005</v>
      </c>
      <c r="S1489" s="7">
        <f t="shared" si="166"/>
        <v>127.22460000000001</v>
      </c>
      <c r="T1489" s="6">
        <f t="shared" si="167"/>
        <v>1.9762845849802372E-2</v>
      </c>
      <c r="U1489" t="s">
        <v>87</v>
      </c>
      <c r="V1489" t="s">
        <v>29</v>
      </c>
    </row>
    <row r="1490" spans="1:22">
      <c r="A1490" s="3">
        <v>45719</v>
      </c>
      <c r="B1490" t="str">
        <f t="shared" si="161"/>
        <v>yyyy-03</v>
      </c>
      <c r="C1490">
        <f t="shared" si="162"/>
        <v>10</v>
      </c>
      <c r="D1490" t="s">
        <v>66</v>
      </c>
      <c r="E1490" t="s">
        <v>73</v>
      </c>
      <c r="F1490" t="s">
        <v>74</v>
      </c>
      <c r="G1490" t="s">
        <v>27</v>
      </c>
      <c r="H1490" t="s">
        <v>48</v>
      </c>
      <c r="I1490" s="5">
        <v>156</v>
      </c>
      <c r="J1490" s="5">
        <v>83</v>
      </c>
      <c r="K1490" s="5">
        <v>8</v>
      </c>
      <c r="L1490" s="5">
        <v>3</v>
      </c>
      <c r="M1490" s="5">
        <v>3</v>
      </c>
      <c r="N1490" s="7">
        <v>1201.2</v>
      </c>
      <c r="O1490" s="7">
        <f t="shared" si="163"/>
        <v>3603.6000000000004</v>
      </c>
      <c r="P1490" s="4">
        <v>0</v>
      </c>
      <c r="Q1490" s="7">
        <f t="shared" si="164"/>
        <v>0</v>
      </c>
      <c r="R1490" s="7">
        <f t="shared" si="165"/>
        <v>3603.6000000000004</v>
      </c>
      <c r="S1490" s="7">
        <f t="shared" si="166"/>
        <v>1201.2</v>
      </c>
      <c r="T1490" s="6">
        <f t="shared" si="167"/>
        <v>1.9230769230769232E-2</v>
      </c>
      <c r="V1490" t="s">
        <v>29</v>
      </c>
    </row>
    <row r="1491" spans="1:22">
      <c r="A1491" s="3">
        <v>45719</v>
      </c>
      <c r="B1491" t="str">
        <f t="shared" si="161"/>
        <v>yyyy-03</v>
      </c>
      <c r="C1491">
        <f t="shared" si="162"/>
        <v>10</v>
      </c>
      <c r="D1491" t="s">
        <v>66</v>
      </c>
      <c r="E1491" t="s">
        <v>71</v>
      </c>
      <c r="F1491" t="s">
        <v>75</v>
      </c>
      <c r="G1491" t="s">
        <v>36</v>
      </c>
      <c r="H1491" t="s">
        <v>37</v>
      </c>
      <c r="I1491" s="5">
        <v>358</v>
      </c>
      <c r="J1491" s="5">
        <v>292</v>
      </c>
      <c r="K1491" s="5">
        <v>21</v>
      </c>
      <c r="L1491" s="5">
        <v>5</v>
      </c>
      <c r="M1491" s="5">
        <v>6</v>
      </c>
      <c r="N1491" s="7">
        <v>38.369999999999997</v>
      </c>
      <c r="O1491" s="7">
        <f t="shared" si="163"/>
        <v>230.21999999999997</v>
      </c>
      <c r="P1491" s="4">
        <v>0.15</v>
      </c>
      <c r="Q1491" s="7">
        <f t="shared" si="164"/>
        <v>34.532999999999994</v>
      </c>
      <c r="R1491" s="7">
        <f t="shared" si="165"/>
        <v>195.68699999999998</v>
      </c>
      <c r="S1491" s="7">
        <f t="shared" si="166"/>
        <v>39.1374</v>
      </c>
      <c r="T1491" s="6">
        <f t="shared" si="167"/>
        <v>1.3966480446927373E-2</v>
      </c>
      <c r="U1491" t="s">
        <v>87</v>
      </c>
      <c r="V1491" t="s">
        <v>78</v>
      </c>
    </row>
    <row r="1492" spans="1:22">
      <c r="A1492" s="3">
        <v>45719</v>
      </c>
      <c r="B1492" t="str">
        <f t="shared" si="161"/>
        <v>yyyy-03</v>
      </c>
      <c r="C1492">
        <f t="shared" si="162"/>
        <v>10</v>
      </c>
      <c r="D1492" t="s">
        <v>24</v>
      </c>
      <c r="E1492" t="s">
        <v>76</v>
      </c>
      <c r="F1492" t="s">
        <v>77</v>
      </c>
      <c r="G1492" t="s">
        <v>27</v>
      </c>
      <c r="H1492" t="s">
        <v>28</v>
      </c>
      <c r="I1492" s="5">
        <v>347</v>
      </c>
      <c r="J1492" s="5">
        <v>252</v>
      </c>
      <c r="K1492" s="5">
        <v>29</v>
      </c>
      <c r="L1492" s="5">
        <v>8</v>
      </c>
      <c r="M1492" s="5">
        <v>10</v>
      </c>
      <c r="N1492" s="7">
        <v>193.53</v>
      </c>
      <c r="O1492" s="7">
        <f t="shared" si="163"/>
        <v>1935.3</v>
      </c>
      <c r="P1492" s="4">
        <v>0</v>
      </c>
      <c r="Q1492" s="7">
        <f t="shared" si="164"/>
        <v>0</v>
      </c>
      <c r="R1492" s="7">
        <f t="shared" si="165"/>
        <v>1935.3</v>
      </c>
      <c r="S1492" s="7">
        <f t="shared" si="166"/>
        <v>241.91249999999999</v>
      </c>
      <c r="T1492" s="6">
        <f t="shared" si="167"/>
        <v>2.3054755043227664E-2</v>
      </c>
      <c r="V1492" t="s">
        <v>29</v>
      </c>
    </row>
    <row r="1493" spans="1:22">
      <c r="A1493" s="3">
        <v>45720</v>
      </c>
      <c r="B1493" t="str">
        <f t="shared" si="161"/>
        <v>yyyy-03</v>
      </c>
      <c r="C1493">
        <f t="shared" si="162"/>
        <v>10</v>
      </c>
      <c r="D1493" t="s">
        <v>24</v>
      </c>
      <c r="E1493" t="s">
        <v>25</v>
      </c>
      <c r="F1493" t="s">
        <v>26</v>
      </c>
      <c r="G1493" t="s">
        <v>27</v>
      </c>
      <c r="H1493" t="s">
        <v>28</v>
      </c>
      <c r="I1493" s="5">
        <v>673</v>
      </c>
      <c r="J1493" s="5">
        <v>537</v>
      </c>
      <c r="K1493" s="5">
        <v>16</v>
      </c>
      <c r="L1493" s="5">
        <v>0</v>
      </c>
      <c r="M1493" s="5">
        <v>0</v>
      </c>
      <c r="N1493" s="7">
        <v>1013.9</v>
      </c>
      <c r="O1493" s="7">
        <f t="shared" si="163"/>
        <v>0</v>
      </c>
      <c r="P1493" s="4">
        <v>0.13</v>
      </c>
      <c r="Q1493" s="7">
        <f t="shared" si="164"/>
        <v>0</v>
      </c>
      <c r="R1493" s="7">
        <f t="shared" si="165"/>
        <v>0</v>
      </c>
      <c r="S1493" s="7">
        <f t="shared" si="166"/>
        <v>0</v>
      </c>
      <c r="T1493" s="6">
        <f t="shared" si="167"/>
        <v>0</v>
      </c>
      <c r="U1493" t="s">
        <v>88</v>
      </c>
      <c r="V1493" t="s">
        <v>81</v>
      </c>
    </row>
    <row r="1494" spans="1:22">
      <c r="A1494" s="3">
        <v>45720</v>
      </c>
      <c r="B1494" t="str">
        <f t="shared" si="161"/>
        <v>yyyy-03</v>
      </c>
      <c r="C1494">
        <f t="shared" si="162"/>
        <v>10</v>
      </c>
      <c r="D1494" t="s">
        <v>24</v>
      </c>
      <c r="E1494" t="s">
        <v>25</v>
      </c>
      <c r="F1494" t="s">
        <v>30</v>
      </c>
      <c r="G1494" t="s">
        <v>27</v>
      </c>
      <c r="H1494" t="s">
        <v>45</v>
      </c>
      <c r="I1494" s="5">
        <v>1097</v>
      </c>
      <c r="J1494" s="5">
        <v>759</v>
      </c>
      <c r="K1494" s="5">
        <v>69</v>
      </c>
      <c r="L1494" s="5">
        <v>28</v>
      </c>
      <c r="M1494" s="5">
        <v>28</v>
      </c>
      <c r="N1494" s="7">
        <v>397.59</v>
      </c>
      <c r="O1494" s="7">
        <f t="shared" si="163"/>
        <v>11132.519999999999</v>
      </c>
      <c r="P1494" s="4">
        <v>0.13</v>
      </c>
      <c r="Q1494" s="7">
        <f t="shared" si="164"/>
        <v>1447.2275999999999</v>
      </c>
      <c r="R1494" s="7">
        <f t="shared" si="165"/>
        <v>9685.2923999999985</v>
      </c>
      <c r="S1494" s="7">
        <f t="shared" si="166"/>
        <v>345.90329999999994</v>
      </c>
      <c r="T1494" s="6">
        <f t="shared" si="167"/>
        <v>2.5524156791248861E-2</v>
      </c>
      <c r="U1494" t="s">
        <v>88</v>
      </c>
      <c r="V1494" t="s">
        <v>29</v>
      </c>
    </row>
    <row r="1495" spans="1:22">
      <c r="A1495" s="3">
        <v>45720</v>
      </c>
      <c r="B1495" t="str">
        <f t="shared" si="161"/>
        <v>yyyy-03</v>
      </c>
      <c r="C1495">
        <f t="shared" si="162"/>
        <v>10</v>
      </c>
      <c r="D1495" t="s">
        <v>24</v>
      </c>
      <c r="E1495" t="s">
        <v>25</v>
      </c>
      <c r="F1495" t="s">
        <v>33</v>
      </c>
      <c r="G1495" t="s">
        <v>36</v>
      </c>
      <c r="H1495" t="s">
        <v>37</v>
      </c>
      <c r="I1495" s="5">
        <v>1630</v>
      </c>
      <c r="J1495" s="5">
        <v>991</v>
      </c>
      <c r="K1495" s="5">
        <v>114</v>
      </c>
      <c r="L1495" s="5">
        <v>30</v>
      </c>
      <c r="M1495" s="5">
        <v>30</v>
      </c>
      <c r="N1495" s="7">
        <v>1782.28</v>
      </c>
      <c r="O1495" s="7">
        <f t="shared" si="163"/>
        <v>53468.4</v>
      </c>
      <c r="P1495" s="4">
        <v>0.13</v>
      </c>
      <c r="Q1495" s="7">
        <f t="shared" si="164"/>
        <v>6950.8920000000007</v>
      </c>
      <c r="R1495" s="7">
        <f t="shared" si="165"/>
        <v>46517.508000000002</v>
      </c>
      <c r="S1495" s="7">
        <f t="shared" si="166"/>
        <v>1550.5836000000002</v>
      </c>
      <c r="T1495" s="6">
        <f t="shared" si="167"/>
        <v>1.8404907975460124E-2</v>
      </c>
      <c r="U1495" t="s">
        <v>88</v>
      </c>
      <c r="V1495" t="s">
        <v>29</v>
      </c>
    </row>
    <row r="1496" spans="1:22">
      <c r="A1496" s="3">
        <v>45720</v>
      </c>
      <c r="B1496" t="str">
        <f t="shared" si="161"/>
        <v>yyyy-03</v>
      </c>
      <c r="C1496">
        <f t="shared" si="162"/>
        <v>10</v>
      </c>
      <c r="D1496" t="s">
        <v>24</v>
      </c>
      <c r="E1496" t="s">
        <v>34</v>
      </c>
      <c r="F1496" t="s">
        <v>35</v>
      </c>
      <c r="G1496" t="s">
        <v>36</v>
      </c>
      <c r="H1496" t="s">
        <v>37</v>
      </c>
      <c r="I1496" s="5">
        <v>1116</v>
      </c>
      <c r="J1496" s="5">
        <v>714</v>
      </c>
      <c r="K1496" s="5">
        <v>86</v>
      </c>
      <c r="L1496" s="5">
        <v>18</v>
      </c>
      <c r="M1496" s="5">
        <v>18</v>
      </c>
      <c r="N1496" s="7">
        <v>904.02</v>
      </c>
      <c r="O1496" s="7">
        <f t="shared" si="163"/>
        <v>16272.36</v>
      </c>
      <c r="P1496" s="4">
        <v>0</v>
      </c>
      <c r="Q1496" s="7">
        <f t="shared" si="164"/>
        <v>0</v>
      </c>
      <c r="R1496" s="7">
        <f t="shared" si="165"/>
        <v>16272.36</v>
      </c>
      <c r="S1496" s="7">
        <f t="shared" si="166"/>
        <v>904.02</v>
      </c>
      <c r="T1496" s="6">
        <f t="shared" si="167"/>
        <v>1.6129032258064516E-2</v>
      </c>
      <c r="V1496" t="s">
        <v>29</v>
      </c>
    </row>
    <row r="1497" spans="1:22">
      <c r="A1497" s="3">
        <v>45720</v>
      </c>
      <c r="B1497" t="str">
        <f t="shared" si="161"/>
        <v>yyyy-03</v>
      </c>
      <c r="C1497">
        <f t="shared" si="162"/>
        <v>10</v>
      </c>
      <c r="D1497" t="s">
        <v>24</v>
      </c>
      <c r="E1497" t="s">
        <v>38</v>
      </c>
      <c r="F1497" t="s">
        <v>39</v>
      </c>
      <c r="G1497" t="s">
        <v>27</v>
      </c>
      <c r="H1497" t="s">
        <v>45</v>
      </c>
      <c r="I1497" s="5">
        <v>618</v>
      </c>
      <c r="J1497" s="5">
        <v>478</v>
      </c>
      <c r="K1497" s="5">
        <v>43</v>
      </c>
      <c r="L1497" s="5">
        <v>12</v>
      </c>
      <c r="M1497" s="5">
        <v>12</v>
      </c>
      <c r="N1497" s="7">
        <v>327.02999999999997</v>
      </c>
      <c r="O1497" s="7">
        <f t="shared" si="163"/>
        <v>3924.3599999999997</v>
      </c>
      <c r="P1497" s="4">
        <v>0</v>
      </c>
      <c r="Q1497" s="7">
        <f t="shared" si="164"/>
        <v>0</v>
      </c>
      <c r="R1497" s="7">
        <f t="shared" si="165"/>
        <v>3924.3599999999997</v>
      </c>
      <c r="S1497" s="7">
        <f t="shared" si="166"/>
        <v>327.02999999999997</v>
      </c>
      <c r="T1497" s="6">
        <f t="shared" si="167"/>
        <v>1.9417475728155338E-2</v>
      </c>
      <c r="V1497" t="s">
        <v>29</v>
      </c>
    </row>
    <row r="1498" spans="1:22">
      <c r="A1498" s="3">
        <v>45720</v>
      </c>
      <c r="B1498" t="str">
        <f t="shared" si="161"/>
        <v>yyyy-03</v>
      </c>
      <c r="C1498">
        <f t="shared" si="162"/>
        <v>10</v>
      </c>
      <c r="D1498" t="s">
        <v>24</v>
      </c>
      <c r="E1498" t="s">
        <v>40</v>
      </c>
      <c r="F1498" t="s">
        <v>41</v>
      </c>
      <c r="G1498" t="s">
        <v>27</v>
      </c>
      <c r="H1498" t="s">
        <v>48</v>
      </c>
      <c r="I1498" s="5">
        <v>393</v>
      </c>
      <c r="J1498" s="5">
        <v>207</v>
      </c>
      <c r="K1498" s="5">
        <v>27</v>
      </c>
      <c r="L1498" s="5">
        <v>6</v>
      </c>
      <c r="M1498" s="5">
        <v>7</v>
      </c>
      <c r="N1498" s="7">
        <v>182.01</v>
      </c>
      <c r="O1498" s="7">
        <f t="shared" si="163"/>
        <v>1274.07</v>
      </c>
      <c r="P1498" s="4">
        <v>0</v>
      </c>
      <c r="Q1498" s="7">
        <f t="shared" si="164"/>
        <v>0</v>
      </c>
      <c r="R1498" s="7">
        <f t="shared" si="165"/>
        <v>1274.07</v>
      </c>
      <c r="S1498" s="7">
        <f t="shared" si="166"/>
        <v>212.345</v>
      </c>
      <c r="T1498" s="6">
        <f t="shared" si="167"/>
        <v>1.5267175572519083E-2</v>
      </c>
      <c r="V1498" t="s">
        <v>29</v>
      </c>
    </row>
    <row r="1499" spans="1:22">
      <c r="A1499" s="3">
        <v>45720</v>
      </c>
      <c r="B1499" t="str">
        <f t="shared" si="161"/>
        <v>yyyy-03</v>
      </c>
      <c r="C1499">
        <f t="shared" si="162"/>
        <v>10</v>
      </c>
      <c r="D1499" t="s">
        <v>42</v>
      </c>
      <c r="E1499" t="s">
        <v>43</v>
      </c>
      <c r="F1499" t="s">
        <v>44</v>
      </c>
      <c r="G1499" t="s">
        <v>36</v>
      </c>
      <c r="H1499" t="s">
        <v>37</v>
      </c>
      <c r="I1499" s="5">
        <v>428</v>
      </c>
      <c r="J1499" s="5">
        <v>344</v>
      </c>
      <c r="K1499" s="5">
        <v>36</v>
      </c>
      <c r="L1499" s="5">
        <v>6</v>
      </c>
      <c r="M1499" s="5">
        <v>6</v>
      </c>
      <c r="N1499" s="7">
        <v>1299.03</v>
      </c>
      <c r="O1499" s="7">
        <f t="shared" si="163"/>
        <v>7794.18</v>
      </c>
      <c r="P1499" s="4">
        <v>0</v>
      </c>
      <c r="Q1499" s="7">
        <f t="shared" si="164"/>
        <v>0</v>
      </c>
      <c r="R1499" s="7">
        <f t="shared" si="165"/>
        <v>7794.18</v>
      </c>
      <c r="S1499" s="7">
        <f t="shared" si="166"/>
        <v>1299.03</v>
      </c>
      <c r="T1499" s="6">
        <f t="shared" si="167"/>
        <v>1.4018691588785047E-2</v>
      </c>
      <c r="V1499" t="s">
        <v>29</v>
      </c>
    </row>
    <row r="1500" spans="1:22">
      <c r="A1500" s="3">
        <v>45720</v>
      </c>
      <c r="B1500" t="str">
        <f t="shared" si="161"/>
        <v>yyyy-03</v>
      </c>
      <c r="C1500">
        <f t="shared" si="162"/>
        <v>10</v>
      </c>
      <c r="D1500" t="s">
        <v>42</v>
      </c>
      <c r="E1500" t="s">
        <v>43</v>
      </c>
      <c r="F1500" t="s">
        <v>46</v>
      </c>
      <c r="G1500" t="s">
        <v>27</v>
      </c>
      <c r="H1500" t="s">
        <v>63</v>
      </c>
      <c r="I1500" s="5">
        <v>401</v>
      </c>
      <c r="J1500" s="5">
        <v>318</v>
      </c>
      <c r="K1500" s="5">
        <v>35</v>
      </c>
      <c r="L1500" s="5">
        <v>7</v>
      </c>
      <c r="M1500" s="5">
        <v>7</v>
      </c>
      <c r="N1500" s="7">
        <v>2235.96</v>
      </c>
      <c r="O1500" s="7">
        <f t="shared" si="163"/>
        <v>15651.720000000001</v>
      </c>
      <c r="P1500" s="4">
        <v>0</v>
      </c>
      <c r="Q1500" s="7">
        <f t="shared" si="164"/>
        <v>0</v>
      </c>
      <c r="R1500" s="7">
        <f t="shared" si="165"/>
        <v>15651.720000000001</v>
      </c>
      <c r="S1500" s="7">
        <f t="shared" si="166"/>
        <v>2235.96</v>
      </c>
      <c r="T1500" s="6">
        <f t="shared" si="167"/>
        <v>1.7456359102244388E-2</v>
      </c>
      <c r="V1500" t="s">
        <v>29</v>
      </c>
    </row>
    <row r="1501" spans="1:22">
      <c r="A1501" s="3">
        <v>45720</v>
      </c>
      <c r="B1501" t="str">
        <f t="shared" si="161"/>
        <v>yyyy-03</v>
      </c>
      <c r="C1501">
        <f t="shared" si="162"/>
        <v>10</v>
      </c>
      <c r="D1501" t="s">
        <v>42</v>
      </c>
      <c r="E1501" t="s">
        <v>43</v>
      </c>
      <c r="F1501" t="s">
        <v>47</v>
      </c>
      <c r="G1501" t="s">
        <v>27</v>
      </c>
      <c r="H1501" t="s">
        <v>63</v>
      </c>
      <c r="I1501" s="5">
        <v>328</v>
      </c>
      <c r="J1501" s="5">
        <v>180</v>
      </c>
      <c r="K1501" s="5">
        <v>21</v>
      </c>
      <c r="L1501" s="5">
        <v>4</v>
      </c>
      <c r="M1501" s="5">
        <v>4</v>
      </c>
      <c r="N1501" s="7">
        <v>601.70000000000005</v>
      </c>
      <c r="O1501" s="7">
        <f t="shared" si="163"/>
        <v>2406.8000000000002</v>
      </c>
      <c r="P1501" s="4">
        <v>0</v>
      </c>
      <c r="Q1501" s="7">
        <f t="shared" si="164"/>
        <v>0</v>
      </c>
      <c r="R1501" s="7">
        <f t="shared" si="165"/>
        <v>2406.8000000000002</v>
      </c>
      <c r="S1501" s="7">
        <f t="shared" si="166"/>
        <v>601.70000000000005</v>
      </c>
      <c r="T1501" s="6">
        <f t="shared" si="167"/>
        <v>1.2195121951219513E-2</v>
      </c>
      <c r="V1501" t="s">
        <v>29</v>
      </c>
    </row>
    <row r="1502" spans="1:22">
      <c r="A1502" s="3">
        <v>45720</v>
      </c>
      <c r="B1502" t="str">
        <f t="shared" si="161"/>
        <v>yyyy-03</v>
      </c>
      <c r="C1502">
        <f t="shared" si="162"/>
        <v>10</v>
      </c>
      <c r="D1502" t="s">
        <v>42</v>
      </c>
      <c r="E1502" t="s">
        <v>49</v>
      </c>
      <c r="F1502" t="s">
        <v>50</v>
      </c>
      <c r="G1502" t="s">
        <v>36</v>
      </c>
      <c r="H1502" t="s">
        <v>37</v>
      </c>
      <c r="I1502" s="5">
        <v>104</v>
      </c>
      <c r="J1502" s="5">
        <v>54</v>
      </c>
      <c r="K1502" s="5">
        <v>9</v>
      </c>
      <c r="L1502" s="5">
        <v>2</v>
      </c>
      <c r="M1502" s="5">
        <v>2</v>
      </c>
      <c r="N1502" s="7">
        <v>974.79</v>
      </c>
      <c r="O1502" s="7">
        <f t="shared" si="163"/>
        <v>1949.58</v>
      </c>
      <c r="P1502" s="4">
        <v>0</v>
      </c>
      <c r="Q1502" s="7">
        <f t="shared" si="164"/>
        <v>0</v>
      </c>
      <c r="R1502" s="7">
        <f t="shared" si="165"/>
        <v>1949.58</v>
      </c>
      <c r="S1502" s="7">
        <f t="shared" si="166"/>
        <v>974.79</v>
      </c>
      <c r="T1502" s="6">
        <f t="shared" si="167"/>
        <v>1.9230769230769232E-2</v>
      </c>
      <c r="V1502" t="s">
        <v>29</v>
      </c>
    </row>
    <row r="1503" spans="1:22">
      <c r="A1503" s="3">
        <v>45720</v>
      </c>
      <c r="B1503" t="str">
        <f t="shared" si="161"/>
        <v>yyyy-03</v>
      </c>
      <c r="C1503">
        <f t="shared" si="162"/>
        <v>10</v>
      </c>
      <c r="D1503" t="s">
        <v>42</v>
      </c>
      <c r="E1503" t="s">
        <v>51</v>
      </c>
      <c r="F1503" t="s">
        <v>52</v>
      </c>
      <c r="G1503" t="s">
        <v>27</v>
      </c>
      <c r="H1503" t="s">
        <v>63</v>
      </c>
      <c r="I1503" s="5">
        <v>143</v>
      </c>
      <c r="J1503" s="5">
        <v>109</v>
      </c>
      <c r="K1503" s="5">
        <v>10</v>
      </c>
      <c r="L1503" s="5">
        <v>2</v>
      </c>
      <c r="M1503" s="5">
        <v>2</v>
      </c>
      <c r="N1503" s="7">
        <v>579.09</v>
      </c>
      <c r="O1503" s="7">
        <f t="shared" si="163"/>
        <v>1158.18</v>
      </c>
      <c r="P1503" s="4">
        <v>0</v>
      </c>
      <c r="Q1503" s="7">
        <f t="shared" si="164"/>
        <v>0</v>
      </c>
      <c r="R1503" s="7">
        <f t="shared" si="165"/>
        <v>1158.18</v>
      </c>
      <c r="S1503" s="7">
        <f t="shared" si="166"/>
        <v>579.09</v>
      </c>
      <c r="T1503" s="6">
        <f t="shared" si="167"/>
        <v>1.3986013986013986E-2</v>
      </c>
      <c r="V1503" t="s">
        <v>29</v>
      </c>
    </row>
    <row r="1504" spans="1:22">
      <c r="A1504" s="3">
        <v>45720</v>
      </c>
      <c r="B1504" t="str">
        <f t="shared" si="161"/>
        <v>yyyy-03</v>
      </c>
      <c r="C1504">
        <f t="shared" si="162"/>
        <v>10</v>
      </c>
      <c r="D1504" t="s">
        <v>53</v>
      </c>
      <c r="E1504" t="s">
        <v>54</v>
      </c>
      <c r="F1504" t="s">
        <v>55</v>
      </c>
      <c r="G1504" t="s">
        <v>27</v>
      </c>
      <c r="H1504" t="s">
        <v>45</v>
      </c>
      <c r="I1504" s="5">
        <v>115</v>
      </c>
      <c r="J1504" s="5">
        <v>80</v>
      </c>
      <c r="K1504" s="5">
        <v>8</v>
      </c>
      <c r="L1504" s="5">
        <v>1</v>
      </c>
      <c r="M1504" s="5">
        <v>1</v>
      </c>
      <c r="N1504" s="7">
        <v>1284.43</v>
      </c>
      <c r="O1504" s="7">
        <f t="shared" si="163"/>
        <v>1284.43</v>
      </c>
      <c r="P1504" s="4">
        <v>0</v>
      </c>
      <c r="Q1504" s="7">
        <f t="shared" si="164"/>
        <v>0</v>
      </c>
      <c r="R1504" s="7">
        <f t="shared" si="165"/>
        <v>1284.43</v>
      </c>
      <c r="S1504" s="7">
        <f t="shared" si="166"/>
        <v>1284.43</v>
      </c>
      <c r="T1504" s="6">
        <f t="shared" si="167"/>
        <v>8.6956521739130436E-3</v>
      </c>
      <c r="V1504" t="s">
        <v>29</v>
      </c>
    </row>
    <row r="1505" spans="1:22">
      <c r="A1505" s="3">
        <v>45720</v>
      </c>
      <c r="B1505" t="str">
        <f t="shared" si="161"/>
        <v>yyyy-03</v>
      </c>
      <c r="C1505">
        <f t="shared" si="162"/>
        <v>10</v>
      </c>
      <c r="D1505" t="s">
        <v>53</v>
      </c>
      <c r="E1505" t="s">
        <v>56</v>
      </c>
      <c r="F1505" t="s">
        <v>57</v>
      </c>
      <c r="G1505" t="s">
        <v>27</v>
      </c>
      <c r="H1505" t="s">
        <v>45</v>
      </c>
      <c r="I1505" s="5">
        <v>163</v>
      </c>
      <c r="J1505" s="5">
        <v>86</v>
      </c>
      <c r="K1505" s="5">
        <v>7</v>
      </c>
      <c r="L1505" s="5">
        <v>2</v>
      </c>
      <c r="M1505" s="5">
        <v>2</v>
      </c>
      <c r="N1505" s="7">
        <v>719.64</v>
      </c>
      <c r="O1505" s="7">
        <f t="shared" si="163"/>
        <v>1439.28</v>
      </c>
      <c r="P1505" s="4">
        <v>0</v>
      </c>
      <c r="Q1505" s="7">
        <f t="shared" si="164"/>
        <v>0</v>
      </c>
      <c r="R1505" s="7">
        <f t="shared" si="165"/>
        <v>1439.28</v>
      </c>
      <c r="S1505" s="7">
        <f t="shared" si="166"/>
        <v>719.64</v>
      </c>
      <c r="T1505" s="6">
        <f t="shared" si="167"/>
        <v>1.2269938650306749E-2</v>
      </c>
      <c r="V1505" t="s">
        <v>29</v>
      </c>
    </row>
    <row r="1506" spans="1:22">
      <c r="A1506" s="3">
        <v>45720</v>
      </c>
      <c r="B1506" t="str">
        <f t="shared" si="161"/>
        <v>yyyy-03</v>
      </c>
      <c r="C1506">
        <f t="shared" si="162"/>
        <v>10</v>
      </c>
      <c r="D1506" t="s">
        <v>53</v>
      </c>
      <c r="E1506" t="s">
        <v>56</v>
      </c>
      <c r="F1506" t="s">
        <v>58</v>
      </c>
      <c r="G1506" t="s">
        <v>27</v>
      </c>
      <c r="H1506" t="s">
        <v>48</v>
      </c>
      <c r="I1506" s="5">
        <v>173</v>
      </c>
      <c r="J1506" s="5">
        <v>131</v>
      </c>
      <c r="K1506" s="5">
        <v>10</v>
      </c>
      <c r="L1506" s="5">
        <v>1</v>
      </c>
      <c r="M1506" s="5">
        <v>1</v>
      </c>
      <c r="N1506" s="7">
        <v>906.3</v>
      </c>
      <c r="O1506" s="7">
        <f t="shared" si="163"/>
        <v>906.3</v>
      </c>
      <c r="P1506" s="4">
        <v>0.05</v>
      </c>
      <c r="Q1506" s="7">
        <f t="shared" si="164"/>
        <v>45.314999999999998</v>
      </c>
      <c r="R1506" s="7">
        <f t="shared" si="165"/>
        <v>860.9849999999999</v>
      </c>
      <c r="S1506" s="7">
        <f t="shared" si="166"/>
        <v>860.9849999999999</v>
      </c>
      <c r="T1506" s="6">
        <f t="shared" si="167"/>
        <v>5.7803468208092483E-3</v>
      </c>
      <c r="V1506" t="s">
        <v>78</v>
      </c>
    </row>
    <row r="1507" spans="1:22">
      <c r="A1507" s="3">
        <v>45720</v>
      </c>
      <c r="B1507" t="str">
        <f t="shared" si="161"/>
        <v>yyyy-03</v>
      </c>
      <c r="C1507">
        <f t="shared" si="162"/>
        <v>10</v>
      </c>
      <c r="D1507" t="s">
        <v>53</v>
      </c>
      <c r="E1507" t="s">
        <v>59</v>
      </c>
      <c r="F1507" t="s">
        <v>60</v>
      </c>
      <c r="G1507" t="s">
        <v>31</v>
      </c>
      <c r="H1507" t="s">
        <v>32</v>
      </c>
      <c r="I1507" s="5">
        <v>194</v>
      </c>
      <c r="J1507" s="5">
        <v>149</v>
      </c>
      <c r="K1507" s="5">
        <v>13</v>
      </c>
      <c r="L1507" s="5">
        <v>3</v>
      </c>
      <c r="M1507" s="5">
        <v>3</v>
      </c>
      <c r="N1507" s="7">
        <v>706.98</v>
      </c>
      <c r="O1507" s="7">
        <f t="shared" si="163"/>
        <v>2120.94</v>
      </c>
      <c r="P1507" s="4">
        <v>0</v>
      </c>
      <c r="Q1507" s="7">
        <f t="shared" si="164"/>
        <v>0</v>
      </c>
      <c r="R1507" s="7">
        <f t="shared" si="165"/>
        <v>2120.94</v>
      </c>
      <c r="S1507" s="7">
        <f t="shared" si="166"/>
        <v>706.98</v>
      </c>
      <c r="T1507" s="6">
        <f t="shared" si="167"/>
        <v>1.5463917525773196E-2</v>
      </c>
      <c r="V1507" t="s">
        <v>29</v>
      </c>
    </row>
    <row r="1508" spans="1:22">
      <c r="A1508" s="3">
        <v>45720</v>
      </c>
      <c r="B1508" t="str">
        <f t="shared" si="161"/>
        <v>yyyy-03</v>
      </c>
      <c r="C1508">
        <f t="shared" si="162"/>
        <v>10</v>
      </c>
      <c r="D1508" t="s">
        <v>53</v>
      </c>
      <c r="E1508" t="s">
        <v>61</v>
      </c>
      <c r="F1508" t="s">
        <v>62</v>
      </c>
      <c r="G1508" t="s">
        <v>27</v>
      </c>
      <c r="H1508" t="s">
        <v>28</v>
      </c>
      <c r="I1508" s="5">
        <v>198</v>
      </c>
      <c r="J1508" s="5">
        <v>117</v>
      </c>
      <c r="K1508" s="5">
        <v>8</v>
      </c>
      <c r="L1508" s="5">
        <v>3</v>
      </c>
      <c r="M1508" s="5">
        <v>3</v>
      </c>
      <c r="N1508" s="7">
        <v>496.95</v>
      </c>
      <c r="O1508" s="7">
        <f t="shared" si="163"/>
        <v>1490.85</v>
      </c>
      <c r="P1508" s="4">
        <v>0.05</v>
      </c>
      <c r="Q1508" s="7">
        <f t="shared" si="164"/>
        <v>74.542500000000004</v>
      </c>
      <c r="R1508" s="7">
        <f t="shared" si="165"/>
        <v>1416.3074999999999</v>
      </c>
      <c r="S1508" s="7">
        <f t="shared" si="166"/>
        <v>472.10249999999996</v>
      </c>
      <c r="T1508" s="6">
        <f t="shared" si="167"/>
        <v>1.5151515151515152E-2</v>
      </c>
      <c r="V1508" t="s">
        <v>29</v>
      </c>
    </row>
    <row r="1509" spans="1:22">
      <c r="A1509" s="3">
        <v>45720</v>
      </c>
      <c r="B1509" t="str">
        <f t="shared" si="161"/>
        <v>yyyy-03</v>
      </c>
      <c r="C1509">
        <f t="shared" si="162"/>
        <v>10</v>
      </c>
      <c r="D1509" t="s">
        <v>53</v>
      </c>
      <c r="E1509" t="s">
        <v>64</v>
      </c>
      <c r="F1509" t="s">
        <v>65</v>
      </c>
      <c r="G1509" t="s">
        <v>36</v>
      </c>
      <c r="H1509" t="s">
        <v>37</v>
      </c>
      <c r="I1509" s="5">
        <v>173</v>
      </c>
      <c r="J1509" s="5">
        <v>128</v>
      </c>
      <c r="K1509" s="5">
        <v>12</v>
      </c>
      <c r="L1509" s="5">
        <v>2</v>
      </c>
      <c r="M1509" s="5">
        <v>2</v>
      </c>
      <c r="N1509" s="7">
        <v>786.55</v>
      </c>
      <c r="O1509" s="7">
        <f t="shared" si="163"/>
        <v>1573.1</v>
      </c>
      <c r="P1509" s="4">
        <v>0</v>
      </c>
      <c r="Q1509" s="7">
        <f t="shared" si="164"/>
        <v>0</v>
      </c>
      <c r="R1509" s="7">
        <f t="shared" si="165"/>
        <v>1573.1</v>
      </c>
      <c r="S1509" s="7">
        <f t="shared" si="166"/>
        <v>786.55</v>
      </c>
      <c r="T1509" s="6">
        <f t="shared" si="167"/>
        <v>1.1560693641618497E-2</v>
      </c>
      <c r="V1509" t="s">
        <v>29</v>
      </c>
    </row>
    <row r="1510" spans="1:22">
      <c r="A1510" s="3">
        <v>45720</v>
      </c>
      <c r="B1510" t="str">
        <f t="shared" si="161"/>
        <v>yyyy-03</v>
      </c>
      <c r="C1510">
        <f t="shared" si="162"/>
        <v>10</v>
      </c>
      <c r="D1510" t="s">
        <v>66</v>
      </c>
      <c r="E1510" t="s">
        <v>67</v>
      </c>
      <c r="F1510" t="s">
        <v>68</v>
      </c>
      <c r="G1510" t="s">
        <v>27</v>
      </c>
      <c r="H1510" t="s">
        <v>28</v>
      </c>
      <c r="I1510" s="5">
        <v>442</v>
      </c>
      <c r="J1510" s="5">
        <v>277</v>
      </c>
      <c r="K1510" s="5">
        <v>31</v>
      </c>
      <c r="L1510" s="5">
        <v>7</v>
      </c>
      <c r="M1510" s="5">
        <v>7</v>
      </c>
      <c r="N1510" s="7">
        <v>691.78</v>
      </c>
      <c r="O1510" s="7">
        <f t="shared" si="163"/>
        <v>4842.46</v>
      </c>
      <c r="P1510" s="4">
        <v>0</v>
      </c>
      <c r="Q1510" s="7">
        <f t="shared" si="164"/>
        <v>0</v>
      </c>
      <c r="R1510" s="7">
        <f t="shared" si="165"/>
        <v>4842.46</v>
      </c>
      <c r="S1510" s="7">
        <f t="shared" si="166"/>
        <v>691.78</v>
      </c>
      <c r="T1510" s="6">
        <f t="shared" si="167"/>
        <v>1.5837104072398189E-2</v>
      </c>
      <c r="V1510" t="s">
        <v>29</v>
      </c>
    </row>
    <row r="1511" spans="1:22">
      <c r="A1511" s="3">
        <v>45720</v>
      </c>
      <c r="B1511" t="str">
        <f t="shared" si="161"/>
        <v>yyyy-03</v>
      </c>
      <c r="C1511">
        <f t="shared" si="162"/>
        <v>10</v>
      </c>
      <c r="D1511" t="s">
        <v>66</v>
      </c>
      <c r="E1511" t="s">
        <v>67</v>
      </c>
      <c r="F1511" t="s">
        <v>69</v>
      </c>
      <c r="G1511" t="s">
        <v>27</v>
      </c>
      <c r="H1511" t="s">
        <v>28</v>
      </c>
      <c r="I1511" s="5">
        <v>394</v>
      </c>
      <c r="J1511" s="5">
        <v>221</v>
      </c>
      <c r="K1511" s="5">
        <v>35</v>
      </c>
      <c r="L1511" s="5">
        <v>9</v>
      </c>
      <c r="M1511" s="5">
        <v>9</v>
      </c>
      <c r="N1511" s="7">
        <v>395.95</v>
      </c>
      <c r="O1511" s="7">
        <f t="shared" si="163"/>
        <v>3563.5499999999997</v>
      </c>
      <c r="P1511" s="4">
        <v>0</v>
      </c>
      <c r="Q1511" s="7">
        <f t="shared" si="164"/>
        <v>0</v>
      </c>
      <c r="R1511" s="7">
        <f t="shared" si="165"/>
        <v>3563.5499999999997</v>
      </c>
      <c r="S1511" s="7">
        <f t="shared" si="166"/>
        <v>395.95</v>
      </c>
      <c r="T1511" s="6">
        <f t="shared" si="167"/>
        <v>2.2842639593908629E-2</v>
      </c>
      <c r="V1511" t="s">
        <v>29</v>
      </c>
    </row>
    <row r="1512" spans="1:22">
      <c r="A1512" s="3">
        <v>45720</v>
      </c>
      <c r="B1512" t="str">
        <f t="shared" si="161"/>
        <v>yyyy-03</v>
      </c>
      <c r="C1512">
        <f t="shared" si="162"/>
        <v>10</v>
      </c>
      <c r="D1512" t="s">
        <v>66</v>
      </c>
      <c r="E1512" t="s">
        <v>67</v>
      </c>
      <c r="F1512" t="s">
        <v>70</v>
      </c>
      <c r="G1512" t="s">
        <v>27</v>
      </c>
      <c r="H1512" t="s">
        <v>45</v>
      </c>
      <c r="I1512" s="5">
        <v>344</v>
      </c>
      <c r="J1512" s="5">
        <v>276</v>
      </c>
      <c r="K1512" s="5">
        <v>19</v>
      </c>
      <c r="L1512" s="5">
        <v>8</v>
      </c>
      <c r="M1512" s="5">
        <v>8</v>
      </c>
      <c r="N1512" s="7">
        <v>348.29</v>
      </c>
      <c r="O1512" s="7">
        <f t="shared" si="163"/>
        <v>2786.32</v>
      </c>
      <c r="P1512" s="4">
        <v>0</v>
      </c>
      <c r="Q1512" s="7">
        <f t="shared" si="164"/>
        <v>0</v>
      </c>
      <c r="R1512" s="7">
        <f t="shared" si="165"/>
        <v>2786.32</v>
      </c>
      <c r="S1512" s="7">
        <f t="shared" si="166"/>
        <v>348.29</v>
      </c>
      <c r="T1512" s="6">
        <f t="shared" si="167"/>
        <v>2.3255813953488372E-2</v>
      </c>
      <c r="V1512" t="s">
        <v>29</v>
      </c>
    </row>
    <row r="1513" spans="1:22">
      <c r="A1513" s="3">
        <v>45720</v>
      </c>
      <c r="B1513" t="str">
        <f t="shared" si="161"/>
        <v>yyyy-03</v>
      </c>
      <c r="C1513">
        <f t="shared" si="162"/>
        <v>10</v>
      </c>
      <c r="D1513" t="s">
        <v>66</v>
      </c>
      <c r="E1513" t="s">
        <v>71</v>
      </c>
      <c r="F1513" t="s">
        <v>72</v>
      </c>
      <c r="G1513" t="s">
        <v>27</v>
      </c>
      <c r="H1513" t="s">
        <v>45</v>
      </c>
      <c r="I1513" s="5">
        <v>183</v>
      </c>
      <c r="J1513" s="5">
        <v>140</v>
      </c>
      <c r="K1513" s="5">
        <v>16</v>
      </c>
      <c r="L1513" s="5">
        <v>5</v>
      </c>
      <c r="M1513" s="5">
        <v>7</v>
      </c>
      <c r="N1513" s="7">
        <v>131.51</v>
      </c>
      <c r="O1513" s="7">
        <f t="shared" si="163"/>
        <v>920.56999999999994</v>
      </c>
      <c r="P1513" s="4">
        <v>0.15</v>
      </c>
      <c r="Q1513" s="7">
        <f t="shared" si="164"/>
        <v>138.0855</v>
      </c>
      <c r="R1513" s="7">
        <f t="shared" si="165"/>
        <v>782.48449999999991</v>
      </c>
      <c r="S1513" s="7">
        <f t="shared" si="166"/>
        <v>156.49689999999998</v>
      </c>
      <c r="T1513" s="6">
        <f t="shared" si="167"/>
        <v>2.7322404371584699E-2</v>
      </c>
      <c r="U1513" t="s">
        <v>87</v>
      </c>
      <c r="V1513" t="s">
        <v>29</v>
      </c>
    </row>
    <row r="1514" spans="1:22">
      <c r="A1514" s="3">
        <v>45720</v>
      </c>
      <c r="B1514" t="str">
        <f t="shared" si="161"/>
        <v>yyyy-03</v>
      </c>
      <c r="C1514">
        <f t="shared" si="162"/>
        <v>10</v>
      </c>
      <c r="D1514" t="s">
        <v>66</v>
      </c>
      <c r="E1514" t="s">
        <v>73</v>
      </c>
      <c r="F1514" t="s">
        <v>74</v>
      </c>
      <c r="G1514" t="s">
        <v>27</v>
      </c>
      <c r="H1514" t="s">
        <v>28</v>
      </c>
      <c r="I1514" s="5">
        <v>169</v>
      </c>
      <c r="J1514" s="5">
        <v>88</v>
      </c>
      <c r="K1514" s="5">
        <v>16</v>
      </c>
      <c r="L1514" s="5">
        <v>4</v>
      </c>
      <c r="M1514" s="5">
        <v>4</v>
      </c>
      <c r="N1514" s="7">
        <v>1167.3499999999999</v>
      </c>
      <c r="O1514" s="7">
        <f t="shared" si="163"/>
        <v>4669.3999999999996</v>
      </c>
      <c r="P1514" s="4">
        <v>0.03</v>
      </c>
      <c r="Q1514" s="7">
        <f t="shared" si="164"/>
        <v>140.08199999999999</v>
      </c>
      <c r="R1514" s="7">
        <f t="shared" si="165"/>
        <v>4529.3179999999993</v>
      </c>
      <c r="S1514" s="7">
        <f t="shared" si="166"/>
        <v>1132.3294999999998</v>
      </c>
      <c r="T1514" s="6">
        <f t="shared" si="167"/>
        <v>2.3668639053254437E-2</v>
      </c>
      <c r="V1514" t="s">
        <v>29</v>
      </c>
    </row>
    <row r="1515" spans="1:22">
      <c r="A1515" s="3">
        <v>45720</v>
      </c>
      <c r="B1515" t="str">
        <f t="shared" si="161"/>
        <v>yyyy-03</v>
      </c>
      <c r="C1515">
        <f t="shared" si="162"/>
        <v>10</v>
      </c>
      <c r="D1515" t="s">
        <v>66</v>
      </c>
      <c r="E1515" t="s">
        <v>71</v>
      </c>
      <c r="F1515" t="s">
        <v>75</v>
      </c>
      <c r="G1515" t="s">
        <v>27</v>
      </c>
      <c r="H1515" t="s">
        <v>45</v>
      </c>
      <c r="I1515" s="5">
        <v>343</v>
      </c>
      <c r="J1515" s="5">
        <v>263</v>
      </c>
      <c r="K1515" s="5">
        <v>25</v>
      </c>
      <c r="L1515" s="5">
        <v>8</v>
      </c>
      <c r="M1515" s="5">
        <v>9</v>
      </c>
      <c r="N1515" s="7">
        <v>38.79</v>
      </c>
      <c r="O1515" s="7">
        <f t="shared" si="163"/>
        <v>349.11</v>
      </c>
      <c r="P1515" s="4">
        <v>0.15</v>
      </c>
      <c r="Q1515" s="7">
        <f t="shared" si="164"/>
        <v>52.366500000000002</v>
      </c>
      <c r="R1515" s="7">
        <f t="shared" si="165"/>
        <v>296.74350000000004</v>
      </c>
      <c r="S1515" s="7">
        <f t="shared" si="166"/>
        <v>37.092937500000005</v>
      </c>
      <c r="T1515" s="6">
        <f t="shared" si="167"/>
        <v>2.3323615160349854E-2</v>
      </c>
      <c r="U1515" t="s">
        <v>87</v>
      </c>
      <c r="V1515" t="s">
        <v>29</v>
      </c>
    </row>
    <row r="1516" spans="1:22">
      <c r="A1516" s="3">
        <v>45720</v>
      </c>
      <c r="B1516" t="str">
        <f t="shared" si="161"/>
        <v>yyyy-03</v>
      </c>
      <c r="C1516">
        <f t="shared" si="162"/>
        <v>10</v>
      </c>
      <c r="D1516" t="s">
        <v>24</v>
      </c>
      <c r="E1516" t="s">
        <v>76</v>
      </c>
      <c r="F1516" t="s">
        <v>77</v>
      </c>
      <c r="G1516" t="s">
        <v>27</v>
      </c>
      <c r="H1516" t="s">
        <v>45</v>
      </c>
      <c r="I1516" s="5">
        <v>577</v>
      </c>
      <c r="J1516" s="5">
        <v>319</v>
      </c>
      <c r="K1516" s="5">
        <v>44</v>
      </c>
      <c r="L1516" s="5">
        <v>13</v>
      </c>
      <c r="M1516" s="5">
        <v>17</v>
      </c>
      <c r="N1516" s="7">
        <v>193.29</v>
      </c>
      <c r="O1516" s="7">
        <f t="shared" si="163"/>
        <v>3285.93</v>
      </c>
      <c r="P1516" s="4">
        <v>0.05</v>
      </c>
      <c r="Q1516" s="7">
        <f t="shared" si="164"/>
        <v>164.29650000000001</v>
      </c>
      <c r="R1516" s="7">
        <f t="shared" si="165"/>
        <v>3121.6334999999999</v>
      </c>
      <c r="S1516" s="7">
        <f t="shared" si="166"/>
        <v>240.12565384615385</v>
      </c>
      <c r="T1516" s="6">
        <f t="shared" si="167"/>
        <v>2.2530329289428077E-2</v>
      </c>
      <c r="V1516" t="s">
        <v>29</v>
      </c>
    </row>
    <row r="1517" spans="1:22">
      <c r="A1517" s="3">
        <v>45721</v>
      </c>
      <c r="B1517" t="str">
        <f t="shared" si="161"/>
        <v>yyyy-03</v>
      </c>
      <c r="C1517">
        <f t="shared" si="162"/>
        <v>10</v>
      </c>
      <c r="D1517" t="s">
        <v>24</v>
      </c>
      <c r="E1517" t="s">
        <v>25</v>
      </c>
      <c r="F1517" t="s">
        <v>26</v>
      </c>
      <c r="G1517" t="s">
        <v>31</v>
      </c>
      <c r="H1517" t="s">
        <v>32</v>
      </c>
      <c r="I1517" s="5">
        <v>1653</v>
      </c>
      <c r="J1517" s="5">
        <v>933</v>
      </c>
      <c r="K1517" s="5">
        <v>155</v>
      </c>
      <c r="L1517" s="5">
        <v>32</v>
      </c>
      <c r="M1517" s="5">
        <v>32</v>
      </c>
      <c r="N1517" s="7">
        <v>983.38</v>
      </c>
      <c r="O1517" s="7">
        <f t="shared" si="163"/>
        <v>31468.16</v>
      </c>
      <c r="P1517" s="4">
        <v>0.13</v>
      </c>
      <c r="Q1517" s="7">
        <f t="shared" si="164"/>
        <v>4090.8607999999999</v>
      </c>
      <c r="R1517" s="7">
        <f t="shared" si="165"/>
        <v>27377.299200000001</v>
      </c>
      <c r="S1517" s="7">
        <f t="shared" si="166"/>
        <v>855.54060000000004</v>
      </c>
      <c r="T1517" s="6">
        <f t="shared" si="167"/>
        <v>1.9358741681790685E-2</v>
      </c>
      <c r="U1517" t="s">
        <v>88</v>
      </c>
      <c r="V1517" t="s">
        <v>29</v>
      </c>
    </row>
    <row r="1518" spans="1:22">
      <c r="A1518" s="3">
        <v>45721</v>
      </c>
      <c r="B1518" t="str">
        <f t="shared" si="161"/>
        <v>yyyy-03</v>
      </c>
      <c r="C1518">
        <f t="shared" si="162"/>
        <v>10</v>
      </c>
      <c r="D1518" t="s">
        <v>24</v>
      </c>
      <c r="E1518" t="s">
        <v>25</v>
      </c>
      <c r="F1518" t="s">
        <v>30</v>
      </c>
      <c r="G1518" t="s">
        <v>27</v>
      </c>
      <c r="H1518" t="s">
        <v>48</v>
      </c>
      <c r="I1518" s="5">
        <v>1166</v>
      </c>
      <c r="J1518" s="5">
        <v>641</v>
      </c>
      <c r="K1518" s="5">
        <v>70</v>
      </c>
      <c r="L1518" s="5">
        <v>34</v>
      </c>
      <c r="M1518" s="5">
        <v>34</v>
      </c>
      <c r="N1518" s="7">
        <v>385.94</v>
      </c>
      <c r="O1518" s="7">
        <f t="shared" si="163"/>
        <v>13121.96</v>
      </c>
      <c r="P1518" s="4">
        <v>0.13</v>
      </c>
      <c r="Q1518" s="7">
        <f t="shared" si="164"/>
        <v>1705.8547999999998</v>
      </c>
      <c r="R1518" s="7">
        <f t="shared" si="165"/>
        <v>11416.1052</v>
      </c>
      <c r="S1518" s="7">
        <f t="shared" si="166"/>
        <v>335.76780000000002</v>
      </c>
      <c r="T1518" s="6">
        <f t="shared" si="167"/>
        <v>2.9159519725557463E-2</v>
      </c>
      <c r="U1518" t="s">
        <v>88</v>
      </c>
      <c r="V1518" t="s">
        <v>29</v>
      </c>
    </row>
    <row r="1519" spans="1:22">
      <c r="A1519" s="3">
        <v>45721</v>
      </c>
      <c r="B1519" t="str">
        <f t="shared" si="161"/>
        <v>yyyy-03</v>
      </c>
      <c r="C1519">
        <f t="shared" si="162"/>
        <v>10</v>
      </c>
      <c r="D1519" t="s">
        <v>24</v>
      </c>
      <c r="E1519" t="s">
        <v>25</v>
      </c>
      <c r="F1519" t="s">
        <v>33</v>
      </c>
      <c r="G1519" t="s">
        <v>31</v>
      </c>
      <c r="H1519" t="s">
        <v>32</v>
      </c>
      <c r="I1519" s="5">
        <v>1965</v>
      </c>
      <c r="J1519" s="5">
        <v>1601</v>
      </c>
      <c r="K1519" s="5">
        <v>144</v>
      </c>
      <c r="L1519" s="5">
        <v>47</v>
      </c>
      <c r="M1519" s="5">
        <v>47</v>
      </c>
      <c r="N1519" s="7">
        <v>1802.36</v>
      </c>
      <c r="O1519" s="7">
        <f t="shared" si="163"/>
        <v>84710.92</v>
      </c>
      <c r="P1519" s="4">
        <v>0.13</v>
      </c>
      <c r="Q1519" s="7">
        <f t="shared" si="164"/>
        <v>11012.419599999999</v>
      </c>
      <c r="R1519" s="7">
        <f t="shared" si="165"/>
        <v>73698.500400000004</v>
      </c>
      <c r="S1519" s="7">
        <f t="shared" si="166"/>
        <v>1568.0532000000001</v>
      </c>
      <c r="T1519" s="6">
        <f t="shared" si="167"/>
        <v>2.391857506361323E-2</v>
      </c>
      <c r="U1519" t="s">
        <v>88</v>
      </c>
      <c r="V1519" t="s">
        <v>29</v>
      </c>
    </row>
    <row r="1520" spans="1:22">
      <c r="A1520" s="3">
        <v>45721</v>
      </c>
      <c r="B1520" t="str">
        <f t="shared" si="161"/>
        <v>yyyy-03</v>
      </c>
      <c r="C1520">
        <f t="shared" si="162"/>
        <v>10</v>
      </c>
      <c r="D1520" t="s">
        <v>24</v>
      </c>
      <c r="E1520" t="s">
        <v>34</v>
      </c>
      <c r="F1520" t="s">
        <v>35</v>
      </c>
      <c r="G1520" t="s">
        <v>36</v>
      </c>
      <c r="H1520" t="s">
        <v>37</v>
      </c>
      <c r="I1520" s="5">
        <v>1089</v>
      </c>
      <c r="J1520" s="5">
        <v>668</v>
      </c>
      <c r="K1520" s="5">
        <v>114</v>
      </c>
      <c r="L1520" s="5">
        <v>24</v>
      </c>
      <c r="M1520" s="5">
        <v>24</v>
      </c>
      <c r="N1520" s="7">
        <v>895.04</v>
      </c>
      <c r="O1520" s="7">
        <f t="shared" si="163"/>
        <v>21480.959999999999</v>
      </c>
      <c r="P1520" s="4">
        <v>0</v>
      </c>
      <c r="Q1520" s="7">
        <f t="shared" si="164"/>
        <v>0</v>
      </c>
      <c r="R1520" s="7">
        <f t="shared" si="165"/>
        <v>21480.959999999999</v>
      </c>
      <c r="S1520" s="7">
        <f t="shared" si="166"/>
        <v>895.04</v>
      </c>
      <c r="T1520" s="6">
        <f t="shared" si="167"/>
        <v>2.2038567493112948E-2</v>
      </c>
      <c r="V1520" t="s">
        <v>29</v>
      </c>
    </row>
    <row r="1521" spans="1:22">
      <c r="A1521" s="3">
        <v>45721</v>
      </c>
      <c r="B1521" t="str">
        <f t="shared" si="161"/>
        <v>yyyy-03</v>
      </c>
      <c r="C1521">
        <f t="shared" si="162"/>
        <v>10</v>
      </c>
      <c r="D1521" t="s">
        <v>24</v>
      </c>
      <c r="E1521" t="s">
        <v>38</v>
      </c>
      <c r="F1521" t="s">
        <v>39</v>
      </c>
      <c r="G1521" t="s">
        <v>27</v>
      </c>
      <c r="H1521" t="s">
        <v>45</v>
      </c>
      <c r="I1521" s="5">
        <v>672</v>
      </c>
      <c r="J1521" s="5">
        <v>448</v>
      </c>
      <c r="K1521" s="5">
        <v>68</v>
      </c>
      <c r="L1521" s="5">
        <v>16</v>
      </c>
      <c r="M1521" s="5">
        <v>16</v>
      </c>
      <c r="N1521" s="7">
        <v>324.18</v>
      </c>
      <c r="O1521" s="7">
        <f t="shared" si="163"/>
        <v>5186.88</v>
      </c>
      <c r="P1521" s="4">
        <v>0</v>
      </c>
      <c r="Q1521" s="7">
        <f t="shared" si="164"/>
        <v>0</v>
      </c>
      <c r="R1521" s="7">
        <f t="shared" si="165"/>
        <v>5186.88</v>
      </c>
      <c r="S1521" s="7">
        <f t="shared" si="166"/>
        <v>324.18</v>
      </c>
      <c r="T1521" s="6">
        <f t="shared" si="167"/>
        <v>2.3809523809523808E-2</v>
      </c>
      <c r="V1521" t="s">
        <v>29</v>
      </c>
    </row>
    <row r="1522" spans="1:22">
      <c r="A1522" s="3">
        <v>45721</v>
      </c>
      <c r="B1522" t="str">
        <f t="shared" si="161"/>
        <v>yyyy-03</v>
      </c>
      <c r="C1522">
        <f t="shared" si="162"/>
        <v>10</v>
      </c>
      <c r="D1522" t="s">
        <v>24</v>
      </c>
      <c r="E1522" t="s">
        <v>40</v>
      </c>
      <c r="F1522" t="s">
        <v>41</v>
      </c>
      <c r="G1522" t="s">
        <v>27</v>
      </c>
      <c r="H1522" t="s">
        <v>28</v>
      </c>
      <c r="I1522" s="5">
        <v>762</v>
      </c>
      <c r="J1522" s="5">
        <v>558</v>
      </c>
      <c r="K1522" s="5">
        <v>65</v>
      </c>
      <c r="L1522" s="5">
        <v>20</v>
      </c>
      <c r="M1522" s="5">
        <v>26</v>
      </c>
      <c r="N1522" s="7">
        <v>172.77</v>
      </c>
      <c r="O1522" s="7">
        <f t="shared" si="163"/>
        <v>4492.0200000000004</v>
      </c>
      <c r="P1522" s="4">
        <v>0</v>
      </c>
      <c r="Q1522" s="7">
        <f t="shared" si="164"/>
        <v>0</v>
      </c>
      <c r="R1522" s="7">
        <f t="shared" si="165"/>
        <v>4492.0200000000004</v>
      </c>
      <c r="S1522" s="7">
        <f t="shared" si="166"/>
        <v>224.60100000000003</v>
      </c>
      <c r="T1522" s="6">
        <f t="shared" si="167"/>
        <v>2.6246719160104987E-2</v>
      </c>
      <c r="V1522" t="s">
        <v>29</v>
      </c>
    </row>
    <row r="1523" spans="1:22">
      <c r="A1523" s="3">
        <v>45721</v>
      </c>
      <c r="B1523" t="str">
        <f t="shared" si="161"/>
        <v>yyyy-03</v>
      </c>
      <c r="C1523">
        <f t="shared" si="162"/>
        <v>10</v>
      </c>
      <c r="D1523" t="s">
        <v>42</v>
      </c>
      <c r="E1523" t="s">
        <v>43</v>
      </c>
      <c r="F1523" t="s">
        <v>44</v>
      </c>
      <c r="G1523" t="s">
        <v>36</v>
      </c>
      <c r="H1523" t="s">
        <v>37</v>
      </c>
      <c r="I1523" s="5">
        <v>510</v>
      </c>
      <c r="J1523" s="5">
        <v>411</v>
      </c>
      <c r="K1523" s="5">
        <v>30</v>
      </c>
      <c r="L1523" s="5">
        <v>7</v>
      </c>
      <c r="M1523" s="5">
        <v>7</v>
      </c>
      <c r="N1523" s="7">
        <v>1323.73</v>
      </c>
      <c r="O1523" s="7">
        <f t="shared" si="163"/>
        <v>9266.11</v>
      </c>
      <c r="P1523" s="4">
        <v>0</v>
      </c>
      <c r="Q1523" s="7">
        <f t="shared" si="164"/>
        <v>0</v>
      </c>
      <c r="R1523" s="7">
        <f t="shared" si="165"/>
        <v>9266.11</v>
      </c>
      <c r="S1523" s="7">
        <f t="shared" si="166"/>
        <v>1323.73</v>
      </c>
      <c r="T1523" s="6">
        <f t="shared" si="167"/>
        <v>1.3725490196078431E-2</v>
      </c>
      <c r="V1523" t="s">
        <v>29</v>
      </c>
    </row>
    <row r="1524" spans="1:22">
      <c r="A1524" s="3">
        <v>45721</v>
      </c>
      <c r="B1524" t="str">
        <f t="shared" si="161"/>
        <v>yyyy-03</v>
      </c>
      <c r="C1524">
        <f t="shared" si="162"/>
        <v>10</v>
      </c>
      <c r="D1524" t="s">
        <v>42</v>
      </c>
      <c r="E1524" t="s">
        <v>43</v>
      </c>
      <c r="F1524" t="s">
        <v>46</v>
      </c>
      <c r="G1524" t="s">
        <v>31</v>
      </c>
      <c r="H1524" t="s">
        <v>32</v>
      </c>
      <c r="I1524" s="5">
        <v>441</v>
      </c>
      <c r="J1524" s="5">
        <v>325</v>
      </c>
      <c r="K1524" s="5">
        <v>23</v>
      </c>
      <c r="L1524" s="5">
        <v>6</v>
      </c>
      <c r="M1524" s="5">
        <v>6</v>
      </c>
      <c r="N1524" s="7">
        <v>2201.2600000000002</v>
      </c>
      <c r="O1524" s="7">
        <f t="shared" si="163"/>
        <v>13207.560000000001</v>
      </c>
      <c r="P1524" s="4">
        <v>0</v>
      </c>
      <c r="Q1524" s="7">
        <f t="shared" si="164"/>
        <v>0</v>
      </c>
      <c r="R1524" s="7">
        <f t="shared" si="165"/>
        <v>13207.560000000001</v>
      </c>
      <c r="S1524" s="7">
        <f t="shared" si="166"/>
        <v>2201.2600000000002</v>
      </c>
      <c r="T1524" s="6">
        <f t="shared" si="167"/>
        <v>1.3605442176870748E-2</v>
      </c>
      <c r="V1524" t="s">
        <v>29</v>
      </c>
    </row>
    <row r="1525" spans="1:22">
      <c r="A1525" s="3">
        <v>45721</v>
      </c>
      <c r="B1525" t="str">
        <f t="shared" si="161"/>
        <v>yyyy-03</v>
      </c>
      <c r="C1525">
        <f t="shared" si="162"/>
        <v>10</v>
      </c>
      <c r="D1525" t="s">
        <v>42</v>
      </c>
      <c r="E1525" t="s">
        <v>43</v>
      </c>
      <c r="F1525" t="s">
        <v>47</v>
      </c>
      <c r="G1525" t="s">
        <v>27</v>
      </c>
      <c r="H1525" t="s">
        <v>28</v>
      </c>
      <c r="I1525" s="5">
        <v>557</v>
      </c>
      <c r="J1525" s="5">
        <v>376</v>
      </c>
      <c r="K1525" s="5">
        <v>33</v>
      </c>
      <c r="L1525" s="5">
        <v>8</v>
      </c>
      <c r="M1525" s="5">
        <v>8</v>
      </c>
      <c r="N1525" s="7">
        <v>608.28</v>
      </c>
      <c r="O1525" s="7">
        <f t="shared" si="163"/>
        <v>4866.24</v>
      </c>
      <c r="P1525" s="4">
        <v>0.05</v>
      </c>
      <c r="Q1525" s="7">
        <f t="shared" si="164"/>
        <v>243.31200000000001</v>
      </c>
      <c r="R1525" s="7">
        <f t="shared" si="165"/>
        <v>4622.9279999999999</v>
      </c>
      <c r="S1525" s="7">
        <f t="shared" si="166"/>
        <v>577.86599999999999</v>
      </c>
      <c r="T1525" s="6">
        <f t="shared" si="167"/>
        <v>1.4362657091561939E-2</v>
      </c>
      <c r="V1525" t="s">
        <v>29</v>
      </c>
    </row>
    <row r="1526" spans="1:22">
      <c r="A1526" s="3">
        <v>45721</v>
      </c>
      <c r="B1526" t="str">
        <f t="shared" si="161"/>
        <v>yyyy-03</v>
      </c>
      <c r="C1526">
        <f t="shared" si="162"/>
        <v>10</v>
      </c>
      <c r="D1526" t="s">
        <v>42</v>
      </c>
      <c r="E1526" t="s">
        <v>49</v>
      </c>
      <c r="F1526" t="s">
        <v>50</v>
      </c>
      <c r="G1526" t="s">
        <v>27</v>
      </c>
      <c r="H1526" t="s">
        <v>28</v>
      </c>
      <c r="I1526" s="5">
        <v>144</v>
      </c>
      <c r="J1526" s="5">
        <v>80</v>
      </c>
      <c r="K1526" s="5">
        <v>6</v>
      </c>
      <c r="L1526" s="5">
        <v>2</v>
      </c>
      <c r="M1526" s="5">
        <v>2</v>
      </c>
      <c r="N1526" s="7">
        <v>1010.2</v>
      </c>
      <c r="O1526" s="7">
        <f t="shared" si="163"/>
        <v>2020.4</v>
      </c>
      <c r="P1526" s="4">
        <v>0</v>
      </c>
      <c r="Q1526" s="7">
        <f t="shared" si="164"/>
        <v>0</v>
      </c>
      <c r="R1526" s="7">
        <f t="shared" si="165"/>
        <v>2020.4</v>
      </c>
      <c r="S1526" s="7">
        <f t="shared" si="166"/>
        <v>1010.2</v>
      </c>
      <c r="T1526" s="6">
        <f t="shared" si="167"/>
        <v>1.3888888888888888E-2</v>
      </c>
      <c r="V1526" t="s">
        <v>29</v>
      </c>
    </row>
    <row r="1527" spans="1:22">
      <c r="A1527" s="3">
        <v>45721</v>
      </c>
      <c r="B1527" t="str">
        <f t="shared" si="161"/>
        <v>yyyy-03</v>
      </c>
      <c r="C1527">
        <f t="shared" si="162"/>
        <v>10</v>
      </c>
      <c r="D1527" t="s">
        <v>42</v>
      </c>
      <c r="E1527" t="s">
        <v>51</v>
      </c>
      <c r="F1527" t="s">
        <v>52</v>
      </c>
      <c r="G1527" t="s">
        <v>31</v>
      </c>
      <c r="H1527" t="s">
        <v>32</v>
      </c>
      <c r="I1527" s="5">
        <v>336</v>
      </c>
      <c r="J1527" s="5">
        <v>261</v>
      </c>
      <c r="K1527" s="5">
        <v>14</v>
      </c>
      <c r="L1527" s="5">
        <v>4</v>
      </c>
      <c r="M1527" s="5">
        <v>4</v>
      </c>
      <c r="N1527" s="7">
        <v>602.91999999999996</v>
      </c>
      <c r="O1527" s="7">
        <f t="shared" si="163"/>
        <v>2411.6799999999998</v>
      </c>
      <c r="P1527" s="4">
        <v>0.03</v>
      </c>
      <c r="Q1527" s="7">
        <f t="shared" si="164"/>
        <v>72.350399999999993</v>
      </c>
      <c r="R1527" s="7">
        <f t="shared" si="165"/>
        <v>2339.3296</v>
      </c>
      <c r="S1527" s="7">
        <f t="shared" si="166"/>
        <v>584.83240000000001</v>
      </c>
      <c r="T1527" s="6">
        <f t="shared" si="167"/>
        <v>1.1904761904761904E-2</v>
      </c>
      <c r="V1527" t="s">
        <v>29</v>
      </c>
    </row>
    <row r="1528" spans="1:22">
      <c r="A1528" s="3">
        <v>45721</v>
      </c>
      <c r="B1528" t="str">
        <f t="shared" si="161"/>
        <v>yyyy-03</v>
      </c>
      <c r="C1528">
        <f t="shared" si="162"/>
        <v>10</v>
      </c>
      <c r="D1528" t="s">
        <v>53</v>
      </c>
      <c r="E1528" t="s">
        <v>54</v>
      </c>
      <c r="F1528" t="s">
        <v>55</v>
      </c>
      <c r="G1528" t="s">
        <v>27</v>
      </c>
      <c r="H1528" t="s">
        <v>45</v>
      </c>
      <c r="I1528" s="5">
        <v>169</v>
      </c>
      <c r="J1528" s="5">
        <v>90</v>
      </c>
      <c r="K1528" s="5">
        <v>9</v>
      </c>
      <c r="L1528" s="5">
        <v>2</v>
      </c>
      <c r="M1528" s="5">
        <v>2</v>
      </c>
      <c r="N1528" s="7">
        <v>1312.94</v>
      </c>
      <c r="O1528" s="7">
        <f t="shared" si="163"/>
        <v>2625.88</v>
      </c>
      <c r="P1528" s="4">
        <v>0</v>
      </c>
      <c r="Q1528" s="7">
        <f t="shared" si="164"/>
        <v>0</v>
      </c>
      <c r="R1528" s="7">
        <f t="shared" si="165"/>
        <v>2625.88</v>
      </c>
      <c r="S1528" s="7">
        <f t="shared" si="166"/>
        <v>1312.94</v>
      </c>
      <c r="T1528" s="6">
        <f t="shared" si="167"/>
        <v>1.1834319526627219E-2</v>
      </c>
      <c r="V1528" t="s">
        <v>29</v>
      </c>
    </row>
    <row r="1529" spans="1:22">
      <c r="A1529" s="3">
        <v>45721</v>
      </c>
      <c r="B1529" t="str">
        <f t="shared" si="161"/>
        <v>yyyy-03</v>
      </c>
      <c r="C1529">
        <f t="shared" si="162"/>
        <v>10</v>
      </c>
      <c r="D1529" t="s">
        <v>53</v>
      </c>
      <c r="E1529" t="s">
        <v>56</v>
      </c>
      <c r="F1529" t="s">
        <v>57</v>
      </c>
      <c r="G1529" t="s">
        <v>31</v>
      </c>
      <c r="H1529" t="s">
        <v>32</v>
      </c>
      <c r="I1529" s="5">
        <v>260</v>
      </c>
      <c r="J1529" s="5">
        <v>148</v>
      </c>
      <c r="K1529" s="5">
        <v>13</v>
      </c>
      <c r="L1529" s="5">
        <v>2</v>
      </c>
      <c r="M1529" s="5">
        <v>2</v>
      </c>
      <c r="N1529" s="7">
        <v>720.1</v>
      </c>
      <c r="O1529" s="7">
        <f t="shared" si="163"/>
        <v>1440.2</v>
      </c>
      <c r="P1529" s="4">
        <v>0</v>
      </c>
      <c r="Q1529" s="7">
        <f t="shared" si="164"/>
        <v>0</v>
      </c>
      <c r="R1529" s="7">
        <f t="shared" si="165"/>
        <v>1440.2</v>
      </c>
      <c r="S1529" s="7">
        <f t="shared" si="166"/>
        <v>720.1</v>
      </c>
      <c r="T1529" s="6">
        <f t="shared" si="167"/>
        <v>7.6923076923076927E-3</v>
      </c>
      <c r="V1529" t="s">
        <v>29</v>
      </c>
    </row>
    <row r="1530" spans="1:22">
      <c r="A1530" s="3">
        <v>45721</v>
      </c>
      <c r="B1530" t="str">
        <f t="shared" si="161"/>
        <v>yyyy-03</v>
      </c>
      <c r="C1530">
        <f t="shared" si="162"/>
        <v>10</v>
      </c>
      <c r="D1530" t="s">
        <v>53</v>
      </c>
      <c r="E1530" t="s">
        <v>56</v>
      </c>
      <c r="F1530" t="s">
        <v>58</v>
      </c>
      <c r="G1530" t="s">
        <v>27</v>
      </c>
      <c r="H1530" t="s">
        <v>28</v>
      </c>
      <c r="I1530" s="5">
        <v>199</v>
      </c>
      <c r="J1530" s="5">
        <v>147</v>
      </c>
      <c r="K1530" s="5">
        <v>12</v>
      </c>
      <c r="L1530" s="5">
        <v>3</v>
      </c>
      <c r="M1530" s="5">
        <v>3</v>
      </c>
      <c r="N1530" s="7">
        <v>885.62</v>
      </c>
      <c r="O1530" s="7">
        <f t="shared" si="163"/>
        <v>2656.86</v>
      </c>
      <c r="P1530" s="4">
        <v>0.05</v>
      </c>
      <c r="Q1530" s="7">
        <f t="shared" si="164"/>
        <v>132.84300000000002</v>
      </c>
      <c r="R1530" s="7">
        <f t="shared" si="165"/>
        <v>2524.0170000000003</v>
      </c>
      <c r="S1530" s="7">
        <f t="shared" si="166"/>
        <v>841.33900000000006</v>
      </c>
      <c r="T1530" s="6">
        <f t="shared" si="167"/>
        <v>1.507537688442211E-2</v>
      </c>
      <c r="V1530" t="s">
        <v>29</v>
      </c>
    </row>
    <row r="1531" spans="1:22">
      <c r="A1531" s="3">
        <v>45721</v>
      </c>
      <c r="B1531" t="str">
        <f t="shared" si="161"/>
        <v>yyyy-03</v>
      </c>
      <c r="C1531">
        <f t="shared" si="162"/>
        <v>10</v>
      </c>
      <c r="D1531" t="s">
        <v>53</v>
      </c>
      <c r="E1531" t="s">
        <v>59</v>
      </c>
      <c r="F1531" t="s">
        <v>60</v>
      </c>
      <c r="G1531" t="s">
        <v>31</v>
      </c>
      <c r="H1531" t="s">
        <v>32</v>
      </c>
      <c r="I1531" s="5">
        <v>170</v>
      </c>
      <c r="J1531" s="5">
        <v>102</v>
      </c>
      <c r="K1531" s="5">
        <v>7</v>
      </c>
      <c r="L1531" s="5">
        <v>2</v>
      </c>
      <c r="M1531" s="5">
        <v>2</v>
      </c>
      <c r="N1531" s="7">
        <v>709.59</v>
      </c>
      <c r="O1531" s="7">
        <f t="shared" si="163"/>
        <v>1419.18</v>
      </c>
      <c r="P1531" s="4">
        <v>0</v>
      </c>
      <c r="Q1531" s="7">
        <f t="shared" si="164"/>
        <v>0</v>
      </c>
      <c r="R1531" s="7">
        <f t="shared" si="165"/>
        <v>1419.18</v>
      </c>
      <c r="S1531" s="7">
        <f t="shared" si="166"/>
        <v>709.59</v>
      </c>
      <c r="T1531" s="6">
        <f t="shared" si="167"/>
        <v>1.1764705882352941E-2</v>
      </c>
      <c r="V1531" t="s">
        <v>29</v>
      </c>
    </row>
    <row r="1532" spans="1:22">
      <c r="A1532" s="3">
        <v>45721</v>
      </c>
      <c r="B1532" t="str">
        <f t="shared" si="161"/>
        <v>yyyy-03</v>
      </c>
      <c r="C1532">
        <f t="shared" si="162"/>
        <v>10</v>
      </c>
      <c r="D1532" t="s">
        <v>53</v>
      </c>
      <c r="E1532" t="s">
        <v>61</v>
      </c>
      <c r="F1532" t="s">
        <v>62</v>
      </c>
      <c r="G1532" t="s">
        <v>27</v>
      </c>
      <c r="H1532" t="s">
        <v>48</v>
      </c>
      <c r="I1532" s="5">
        <v>131</v>
      </c>
      <c r="J1532" s="5">
        <v>74</v>
      </c>
      <c r="K1532" s="5">
        <v>8</v>
      </c>
      <c r="L1532" s="5">
        <v>2</v>
      </c>
      <c r="M1532" s="5">
        <v>2</v>
      </c>
      <c r="N1532" s="7">
        <v>508.88</v>
      </c>
      <c r="O1532" s="7">
        <f t="shared" si="163"/>
        <v>1017.76</v>
      </c>
      <c r="P1532" s="4">
        <v>0</v>
      </c>
      <c r="Q1532" s="7">
        <f t="shared" si="164"/>
        <v>0</v>
      </c>
      <c r="R1532" s="7">
        <f t="shared" si="165"/>
        <v>1017.76</v>
      </c>
      <c r="S1532" s="7">
        <f t="shared" si="166"/>
        <v>508.88</v>
      </c>
      <c r="T1532" s="6">
        <f t="shared" si="167"/>
        <v>1.5267175572519083E-2</v>
      </c>
      <c r="V1532" t="s">
        <v>29</v>
      </c>
    </row>
    <row r="1533" spans="1:22">
      <c r="A1533" s="3">
        <v>45721</v>
      </c>
      <c r="B1533" t="str">
        <f t="shared" si="161"/>
        <v>yyyy-03</v>
      </c>
      <c r="C1533">
        <f t="shared" si="162"/>
        <v>10</v>
      </c>
      <c r="D1533" t="s">
        <v>53</v>
      </c>
      <c r="E1533" t="s">
        <v>64</v>
      </c>
      <c r="F1533" t="s">
        <v>65</v>
      </c>
      <c r="G1533" t="s">
        <v>36</v>
      </c>
      <c r="H1533" t="s">
        <v>37</v>
      </c>
      <c r="I1533" s="5">
        <v>272</v>
      </c>
      <c r="J1533" s="5">
        <v>190</v>
      </c>
      <c r="K1533" s="5">
        <v>11</v>
      </c>
      <c r="L1533" s="5">
        <v>2</v>
      </c>
      <c r="M1533" s="5">
        <v>2</v>
      </c>
      <c r="N1533" s="7">
        <v>781.44</v>
      </c>
      <c r="O1533" s="7">
        <f t="shared" si="163"/>
        <v>1562.88</v>
      </c>
      <c r="P1533" s="4">
        <v>0</v>
      </c>
      <c r="Q1533" s="7">
        <f t="shared" si="164"/>
        <v>0</v>
      </c>
      <c r="R1533" s="7">
        <f t="shared" si="165"/>
        <v>1562.88</v>
      </c>
      <c r="S1533" s="7">
        <f t="shared" si="166"/>
        <v>781.44</v>
      </c>
      <c r="T1533" s="6">
        <f t="shared" si="167"/>
        <v>7.3529411764705881E-3</v>
      </c>
      <c r="V1533" t="s">
        <v>29</v>
      </c>
    </row>
    <row r="1534" spans="1:22">
      <c r="A1534" s="3">
        <v>45721</v>
      </c>
      <c r="B1534" t="str">
        <f t="shared" si="161"/>
        <v>yyyy-03</v>
      </c>
      <c r="C1534">
        <f t="shared" si="162"/>
        <v>10</v>
      </c>
      <c r="D1534" t="s">
        <v>66</v>
      </c>
      <c r="E1534" t="s">
        <v>67</v>
      </c>
      <c r="F1534" t="s">
        <v>68</v>
      </c>
      <c r="G1534" t="s">
        <v>27</v>
      </c>
      <c r="H1534" t="s">
        <v>45</v>
      </c>
      <c r="I1534" s="5">
        <v>115</v>
      </c>
      <c r="J1534" s="5">
        <v>87</v>
      </c>
      <c r="K1534" s="5">
        <v>2</v>
      </c>
      <c r="L1534" s="5">
        <v>0</v>
      </c>
      <c r="M1534" s="5">
        <v>0</v>
      </c>
      <c r="N1534" s="7">
        <v>671.41</v>
      </c>
      <c r="O1534" s="7">
        <f t="shared" si="163"/>
        <v>0</v>
      </c>
      <c r="P1534" s="4">
        <v>0</v>
      </c>
      <c r="Q1534" s="7">
        <f t="shared" si="164"/>
        <v>0</v>
      </c>
      <c r="R1534" s="7">
        <f t="shared" si="165"/>
        <v>0</v>
      </c>
      <c r="S1534" s="7">
        <f t="shared" si="166"/>
        <v>0</v>
      </c>
      <c r="T1534" s="6">
        <f t="shared" si="167"/>
        <v>0</v>
      </c>
      <c r="V1534" t="s">
        <v>81</v>
      </c>
    </row>
    <row r="1535" spans="1:22">
      <c r="A1535" s="3">
        <v>45721</v>
      </c>
      <c r="B1535" t="str">
        <f t="shared" si="161"/>
        <v>yyyy-03</v>
      </c>
      <c r="C1535">
        <f t="shared" si="162"/>
        <v>10</v>
      </c>
      <c r="D1535" t="s">
        <v>66</v>
      </c>
      <c r="E1535" t="s">
        <v>67</v>
      </c>
      <c r="F1535" t="s">
        <v>69</v>
      </c>
      <c r="G1535" t="s">
        <v>27</v>
      </c>
      <c r="H1535" t="s">
        <v>48</v>
      </c>
      <c r="I1535" s="5">
        <v>282</v>
      </c>
      <c r="J1535" s="5">
        <v>165</v>
      </c>
      <c r="K1535" s="5">
        <v>21</v>
      </c>
      <c r="L1535" s="5">
        <v>6</v>
      </c>
      <c r="M1535" s="5">
        <v>6</v>
      </c>
      <c r="N1535" s="7">
        <v>387.17</v>
      </c>
      <c r="O1535" s="7">
        <f t="shared" si="163"/>
        <v>2323.02</v>
      </c>
      <c r="P1535" s="4">
        <v>0</v>
      </c>
      <c r="Q1535" s="7">
        <f t="shared" si="164"/>
        <v>0</v>
      </c>
      <c r="R1535" s="7">
        <f t="shared" si="165"/>
        <v>2323.02</v>
      </c>
      <c r="S1535" s="7">
        <f t="shared" si="166"/>
        <v>387.17</v>
      </c>
      <c r="T1535" s="6">
        <f t="shared" si="167"/>
        <v>2.1276595744680851E-2</v>
      </c>
      <c r="V1535" t="s">
        <v>29</v>
      </c>
    </row>
    <row r="1536" spans="1:22">
      <c r="A1536" s="3">
        <v>45721</v>
      </c>
      <c r="B1536" t="str">
        <f t="shared" si="161"/>
        <v>yyyy-03</v>
      </c>
      <c r="C1536">
        <f t="shared" si="162"/>
        <v>10</v>
      </c>
      <c r="D1536" t="s">
        <v>66</v>
      </c>
      <c r="E1536" t="s">
        <v>67</v>
      </c>
      <c r="F1536" t="s">
        <v>70</v>
      </c>
      <c r="G1536" t="s">
        <v>27</v>
      </c>
      <c r="H1536" t="s">
        <v>28</v>
      </c>
      <c r="I1536" s="5">
        <v>420</v>
      </c>
      <c r="J1536" s="5">
        <v>323</v>
      </c>
      <c r="K1536" s="5">
        <v>26</v>
      </c>
      <c r="L1536" s="5">
        <v>6</v>
      </c>
      <c r="M1536" s="5">
        <v>6</v>
      </c>
      <c r="N1536" s="7">
        <v>353.07</v>
      </c>
      <c r="O1536" s="7">
        <f t="shared" si="163"/>
        <v>2118.42</v>
      </c>
      <c r="P1536" s="4">
        <v>0.05</v>
      </c>
      <c r="Q1536" s="7">
        <f t="shared" si="164"/>
        <v>105.92100000000001</v>
      </c>
      <c r="R1536" s="7">
        <f t="shared" si="165"/>
        <v>2012.499</v>
      </c>
      <c r="S1536" s="7">
        <f t="shared" si="166"/>
        <v>335.41649999999998</v>
      </c>
      <c r="T1536" s="6">
        <f t="shared" si="167"/>
        <v>1.4285714285714285E-2</v>
      </c>
      <c r="V1536" t="s">
        <v>29</v>
      </c>
    </row>
    <row r="1537" spans="1:22">
      <c r="A1537" s="3">
        <v>45721</v>
      </c>
      <c r="B1537" t="str">
        <f t="shared" si="161"/>
        <v>yyyy-03</v>
      </c>
      <c r="C1537">
        <f t="shared" si="162"/>
        <v>10</v>
      </c>
      <c r="D1537" t="s">
        <v>66</v>
      </c>
      <c r="E1537" t="s">
        <v>71</v>
      </c>
      <c r="F1537" t="s">
        <v>72</v>
      </c>
      <c r="G1537" t="s">
        <v>31</v>
      </c>
      <c r="H1537" t="s">
        <v>32</v>
      </c>
      <c r="I1537" s="5">
        <v>456</v>
      </c>
      <c r="J1537" s="5">
        <v>272</v>
      </c>
      <c r="K1537" s="5">
        <v>54</v>
      </c>
      <c r="L1537" s="5">
        <v>12</v>
      </c>
      <c r="M1537" s="5">
        <v>13</v>
      </c>
      <c r="N1537" s="7">
        <v>125.87</v>
      </c>
      <c r="O1537" s="7">
        <f t="shared" si="163"/>
        <v>1636.31</v>
      </c>
      <c r="P1537" s="4">
        <v>0.15</v>
      </c>
      <c r="Q1537" s="7">
        <f t="shared" si="164"/>
        <v>245.44649999999999</v>
      </c>
      <c r="R1537" s="7">
        <f t="shared" si="165"/>
        <v>1390.8634999999999</v>
      </c>
      <c r="S1537" s="7">
        <f t="shared" si="166"/>
        <v>115.90529166666666</v>
      </c>
      <c r="T1537" s="6">
        <f t="shared" si="167"/>
        <v>2.6315789473684209E-2</v>
      </c>
      <c r="U1537" t="s">
        <v>87</v>
      </c>
      <c r="V1537" t="s">
        <v>29</v>
      </c>
    </row>
    <row r="1538" spans="1:22">
      <c r="A1538" s="3">
        <v>45721</v>
      </c>
      <c r="B1538" t="str">
        <f t="shared" si="161"/>
        <v>yyyy-03</v>
      </c>
      <c r="C1538">
        <f t="shared" si="162"/>
        <v>10</v>
      </c>
      <c r="D1538" t="s">
        <v>66</v>
      </c>
      <c r="E1538" t="s">
        <v>73</v>
      </c>
      <c r="F1538" t="s">
        <v>74</v>
      </c>
      <c r="G1538" t="s">
        <v>31</v>
      </c>
      <c r="H1538" t="s">
        <v>32</v>
      </c>
      <c r="I1538" s="5">
        <v>243</v>
      </c>
      <c r="J1538" s="5">
        <v>150</v>
      </c>
      <c r="K1538" s="5">
        <v>15</v>
      </c>
      <c r="L1538" s="5">
        <v>3</v>
      </c>
      <c r="M1538" s="5">
        <v>3</v>
      </c>
      <c r="N1538" s="7">
        <v>1177.92</v>
      </c>
      <c r="O1538" s="7">
        <f t="shared" si="163"/>
        <v>3533.76</v>
      </c>
      <c r="P1538" s="4">
        <v>0</v>
      </c>
      <c r="Q1538" s="7">
        <f t="shared" si="164"/>
        <v>0</v>
      </c>
      <c r="R1538" s="7">
        <f t="shared" si="165"/>
        <v>3533.76</v>
      </c>
      <c r="S1538" s="7">
        <f t="shared" si="166"/>
        <v>1177.92</v>
      </c>
      <c r="T1538" s="6">
        <f t="shared" si="167"/>
        <v>1.2345679012345678E-2</v>
      </c>
      <c r="V1538" t="s">
        <v>78</v>
      </c>
    </row>
    <row r="1539" spans="1:22">
      <c r="A1539" s="3">
        <v>45721</v>
      </c>
      <c r="B1539" t="str">
        <f t="shared" si="161"/>
        <v>yyyy-03</v>
      </c>
      <c r="C1539">
        <f t="shared" si="162"/>
        <v>10</v>
      </c>
      <c r="D1539" t="s">
        <v>66</v>
      </c>
      <c r="E1539" t="s">
        <v>71</v>
      </c>
      <c r="F1539" t="s">
        <v>75</v>
      </c>
      <c r="G1539" t="s">
        <v>36</v>
      </c>
      <c r="H1539" t="s">
        <v>37</v>
      </c>
      <c r="I1539" s="5">
        <v>370</v>
      </c>
      <c r="J1539" s="5">
        <v>247</v>
      </c>
      <c r="K1539" s="5">
        <v>35</v>
      </c>
      <c r="L1539" s="5">
        <v>10</v>
      </c>
      <c r="M1539" s="5">
        <v>13</v>
      </c>
      <c r="N1539" s="7">
        <v>38.93</v>
      </c>
      <c r="O1539" s="7">
        <f t="shared" si="163"/>
        <v>506.09</v>
      </c>
      <c r="P1539" s="4">
        <v>0.15</v>
      </c>
      <c r="Q1539" s="7">
        <f t="shared" si="164"/>
        <v>75.913499999999999</v>
      </c>
      <c r="R1539" s="7">
        <f t="shared" si="165"/>
        <v>430.17649999999998</v>
      </c>
      <c r="S1539" s="7">
        <f t="shared" si="166"/>
        <v>43.017649999999996</v>
      </c>
      <c r="T1539" s="6">
        <f t="shared" si="167"/>
        <v>2.7027027027027029E-2</v>
      </c>
      <c r="U1539" t="s">
        <v>87</v>
      </c>
      <c r="V1539" t="s">
        <v>29</v>
      </c>
    </row>
    <row r="1540" spans="1:22">
      <c r="A1540" s="3">
        <v>45721</v>
      </c>
      <c r="B1540" t="str">
        <f t="shared" si="161"/>
        <v>yyyy-03</v>
      </c>
      <c r="C1540">
        <f t="shared" si="162"/>
        <v>10</v>
      </c>
      <c r="D1540" t="s">
        <v>24</v>
      </c>
      <c r="E1540" t="s">
        <v>76</v>
      </c>
      <c r="F1540" t="s">
        <v>77</v>
      </c>
      <c r="G1540" t="s">
        <v>31</v>
      </c>
      <c r="H1540" t="s">
        <v>32</v>
      </c>
      <c r="I1540" s="5">
        <v>864</v>
      </c>
      <c r="J1540" s="5">
        <v>656</v>
      </c>
      <c r="K1540" s="5">
        <v>36</v>
      </c>
      <c r="L1540" s="5">
        <v>17</v>
      </c>
      <c r="M1540" s="5">
        <v>18</v>
      </c>
      <c r="N1540" s="7">
        <v>201.69</v>
      </c>
      <c r="O1540" s="7">
        <f t="shared" si="163"/>
        <v>3630.42</v>
      </c>
      <c r="P1540" s="4">
        <v>0.03</v>
      </c>
      <c r="Q1540" s="7">
        <f t="shared" si="164"/>
        <v>108.9126</v>
      </c>
      <c r="R1540" s="7">
        <f t="shared" si="165"/>
        <v>3521.5074</v>
      </c>
      <c r="S1540" s="7">
        <f t="shared" si="166"/>
        <v>207.14749411764706</v>
      </c>
      <c r="T1540" s="6">
        <f t="shared" si="167"/>
        <v>1.9675925925925927E-2</v>
      </c>
      <c r="V1540" t="s">
        <v>29</v>
      </c>
    </row>
    <row r="1541" spans="1:22">
      <c r="A1541" s="3">
        <v>45722</v>
      </c>
      <c r="B1541" t="str">
        <f t="shared" ref="B1541:B1604" si="168">TEXT(A1541,"yyyy-mm")</f>
        <v>yyyy-03</v>
      </c>
      <c r="C1541">
        <f t="shared" ref="C1541:C1604" si="169">WEEKNUM(A1541,2)</f>
        <v>10</v>
      </c>
      <c r="D1541" t="s">
        <v>24</v>
      </c>
      <c r="E1541" t="s">
        <v>25</v>
      </c>
      <c r="F1541" t="s">
        <v>26</v>
      </c>
      <c r="G1541" t="s">
        <v>31</v>
      </c>
      <c r="H1541" t="s">
        <v>32</v>
      </c>
      <c r="I1541" s="5">
        <v>1598</v>
      </c>
      <c r="J1541" s="5">
        <v>1061</v>
      </c>
      <c r="K1541" s="5">
        <v>223</v>
      </c>
      <c r="L1541" s="5">
        <v>47</v>
      </c>
      <c r="M1541" s="5">
        <v>47</v>
      </c>
      <c r="N1541" s="7">
        <v>991.13</v>
      </c>
      <c r="O1541" s="7">
        <f t="shared" ref="O1541:O1604" si="170">M1541*N1541</f>
        <v>46583.11</v>
      </c>
      <c r="P1541" s="4">
        <v>0.13</v>
      </c>
      <c r="Q1541" s="7">
        <f t="shared" ref="Q1541:Q1604" si="171">O1541*P1541</f>
        <v>6055.8043000000007</v>
      </c>
      <c r="R1541" s="7">
        <f t="shared" ref="R1541:R1604" si="172">O1541-Q1541</f>
        <v>40527.305699999997</v>
      </c>
      <c r="S1541" s="7">
        <f t="shared" ref="S1541:S1604" si="173">IFERROR(R1541/L1541,0)</f>
        <v>862.28309999999999</v>
      </c>
      <c r="T1541" s="6">
        <f t="shared" ref="T1541:T1604" si="174">IFERROR(L1541/I1541,0)</f>
        <v>2.9411764705882353E-2</v>
      </c>
      <c r="U1541" t="s">
        <v>88</v>
      </c>
      <c r="V1541" t="s">
        <v>29</v>
      </c>
    </row>
    <row r="1542" spans="1:22">
      <c r="A1542" s="3">
        <v>45722</v>
      </c>
      <c r="B1542" t="str">
        <f t="shared" si="168"/>
        <v>yyyy-03</v>
      </c>
      <c r="C1542">
        <f t="shared" si="169"/>
        <v>10</v>
      </c>
      <c r="D1542" t="s">
        <v>24</v>
      </c>
      <c r="E1542" t="s">
        <v>25</v>
      </c>
      <c r="F1542" t="s">
        <v>30</v>
      </c>
      <c r="G1542" t="s">
        <v>36</v>
      </c>
      <c r="H1542" t="s">
        <v>37</v>
      </c>
      <c r="I1542" s="5">
        <v>1818</v>
      </c>
      <c r="J1542" s="5">
        <v>1479</v>
      </c>
      <c r="K1542" s="5">
        <v>162</v>
      </c>
      <c r="L1542" s="5">
        <v>46</v>
      </c>
      <c r="M1542" s="5">
        <v>46</v>
      </c>
      <c r="N1542" s="7">
        <v>399.52</v>
      </c>
      <c r="O1542" s="7">
        <f t="shared" si="170"/>
        <v>18377.919999999998</v>
      </c>
      <c r="P1542" s="4">
        <v>0.13</v>
      </c>
      <c r="Q1542" s="7">
        <f t="shared" si="171"/>
        <v>2389.1295999999998</v>
      </c>
      <c r="R1542" s="7">
        <f t="shared" si="172"/>
        <v>15988.790399999998</v>
      </c>
      <c r="S1542" s="7">
        <f t="shared" si="173"/>
        <v>347.58239999999995</v>
      </c>
      <c r="T1542" s="6">
        <f t="shared" si="174"/>
        <v>2.5302530253025302E-2</v>
      </c>
      <c r="U1542" t="s">
        <v>88</v>
      </c>
      <c r="V1542" t="s">
        <v>29</v>
      </c>
    </row>
    <row r="1543" spans="1:22">
      <c r="A1543" s="3">
        <v>45722</v>
      </c>
      <c r="B1543" t="str">
        <f t="shared" si="168"/>
        <v>yyyy-03</v>
      </c>
      <c r="C1543">
        <f t="shared" si="169"/>
        <v>10</v>
      </c>
      <c r="D1543" t="s">
        <v>24</v>
      </c>
      <c r="E1543" t="s">
        <v>25</v>
      </c>
      <c r="F1543" t="s">
        <v>33</v>
      </c>
      <c r="G1543" t="s">
        <v>27</v>
      </c>
      <c r="H1543" t="s">
        <v>45</v>
      </c>
      <c r="I1543" s="5">
        <v>1117</v>
      </c>
      <c r="J1543" s="5">
        <v>779</v>
      </c>
      <c r="K1543" s="5">
        <v>62</v>
      </c>
      <c r="L1543" s="5">
        <v>27</v>
      </c>
      <c r="M1543" s="5">
        <v>27</v>
      </c>
      <c r="N1543" s="7">
        <v>1764</v>
      </c>
      <c r="O1543" s="7">
        <f t="shared" si="170"/>
        <v>47628</v>
      </c>
      <c r="P1543" s="4">
        <v>0.13</v>
      </c>
      <c r="Q1543" s="7">
        <f t="shared" si="171"/>
        <v>6191.64</v>
      </c>
      <c r="R1543" s="7">
        <f t="shared" si="172"/>
        <v>41436.36</v>
      </c>
      <c r="S1543" s="7">
        <f t="shared" si="173"/>
        <v>1534.68</v>
      </c>
      <c r="T1543" s="6">
        <f t="shared" si="174"/>
        <v>2.4171888988361683E-2</v>
      </c>
      <c r="U1543" t="s">
        <v>88</v>
      </c>
      <c r="V1543" t="s">
        <v>29</v>
      </c>
    </row>
    <row r="1544" spans="1:22">
      <c r="A1544" s="3">
        <v>45722</v>
      </c>
      <c r="B1544" t="str">
        <f t="shared" si="168"/>
        <v>yyyy-03</v>
      </c>
      <c r="C1544">
        <f t="shared" si="169"/>
        <v>10</v>
      </c>
      <c r="D1544" t="s">
        <v>24</v>
      </c>
      <c r="E1544" t="s">
        <v>34</v>
      </c>
      <c r="F1544" t="s">
        <v>35</v>
      </c>
      <c r="G1544" t="s">
        <v>27</v>
      </c>
      <c r="H1544" t="s">
        <v>28</v>
      </c>
      <c r="I1544" s="5">
        <v>819</v>
      </c>
      <c r="J1544" s="5">
        <v>585</v>
      </c>
      <c r="K1544" s="5">
        <v>74</v>
      </c>
      <c r="L1544" s="5">
        <v>16</v>
      </c>
      <c r="M1544" s="5">
        <v>16</v>
      </c>
      <c r="N1544" s="7">
        <v>875.33</v>
      </c>
      <c r="O1544" s="7">
        <f t="shared" si="170"/>
        <v>14005.28</v>
      </c>
      <c r="P1544" s="4">
        <v>0.05</v>
      </c>
      <c r="Q1544" s="7">
        <f t="shared" si="171"/>
        <v>700.26400000000012</v>
      </c>
      <c r="R1544" s="7">
        <f t="shared" si="172"/>
        <v>13305.016</v>
      </c>
      <c r="S1544" s="7">
        <f t="shared" si="173"/>
        <v>831.56349999999998</v>
      </c>
      <c r="T1544" s="6">
        <f t="shared" si="174"/>
        <v>1.9536019536019536E-2</v>
      </c>
      <c r="V1544" t="s">
        <v>78</v>
      </c>
    </row>
    <row r="1545" spans="1:22">
      <c r="A1545" s="3">
        <v>45722</v>
      </c>
      <c r="B1545" t="str">
        <f t="shared" si="168"/>
        <v>yyyy-03</v>
      </c>
      <c r="C1545">
        <f t="shared" si="169"/>
        <v>10</v>
      </c>
      <c r="D1545" t="s">
        <v>24</v>
      </c>
      <c r="E1545" t="s">
        <v>38</v>
      </c>
      <c r="F1545" t="s">
        <v>39</v>
      </c>
      <c r="G1545" t="s">
        <v>27</v>
      </c>
      <c r="H1545" t="s">
        <v>63</v>
      </c>
      <c r="I1545" s="5">
        <v>497</v>
      </c>
      <c r="J1545" s="5">
        <v>305</v>
      </c>
      <c r="K1545" s="5">
        <v>43</v>
      </c>
      <c r="L1545" s="5">
        <v>12</v>
      </c>
      <c r="M1545" s="5">
        <v>12</v>
      </c>
      <c r="N1545" s="7">
        <v>321.05</v>
      </c>
      <c r="O1545" s="7">
        <f t="shared" si="170"/>
        <v>3852.6000000000004</v>
      </c>
      <c r="P1545" s="4">
        <v>0</v>
      </c>
      <c r="Q1545" s="7">
        <f t="shared" si="171"/>
        <v>0</v>
      </c>
      <c r="R1545" s="7">
        <f t="shared" si="172"/>
        <v>3852.6000000000004</v>
      </c>
      <c r="S1545" s="7">
        <f t="shared" si="173"/>
        <v>321.05</v>
      </c>
      <c r="T1545" s="6">
        <f t="shared" si="174"/>
        <v>2.4144869215291749E-2</v>
      </c>
      <c r="V1545" t="s">
        <v>29</v>
      </c>
    </row>
    <row r="1546" spans="1:22">
      <c r="A1546" s="3">
        <v>45722</v>
      </c>
      <c r="B1546" t="str">
        <f t="shared" si="168"/>
        <v>yyyy-03</v>
      </c>
      <c r="C1546">
        <f t="shared" si="169"/>
        <v>10</v>
      </c>
      <c r="D1546" t="s">
        <v>24</v>
      </c>
      <c r="E1546" t="s">
        <v>40</v>
      </c>
      <c r="F1546" t="s">
        <v>41</v>
      </c>
      <c r="G1546" t="s">
        <v>36</v>
      </c>
      <c r="H1546" t="s">
        <v>37</v>
      </c>
      <c r="I1546" s="5">
        <v>721</v>
      </c>
      <c r="J1546" s="5">
        <v>511</v>
      </c>
      <c r="K1546" s="5">
        <v>75</v>
      </c>
      <c r="L1546" s="5">
        <v>17</v>
      </c>
      <c r="M1546" s="5">
        <v>19</v>
      </c>
      <c r="N1546" s="7">
        <v>179.21</v>
      </c>
      <c r="O1546" s="7">
        <f t="shared" si="170"/>
        <v>3404.9900000000002</v>
      </c>
      <c r="P1546" s="4">
        <v>0.05</v>
      </c>
      <c r="Q1546" s="7">
        <f t="shared" si="171"/>
        <v>170.24950000000001</v>
      </c>
      <c r="R1546" s="7">
        <f t="shared" si="172"/>
        <v>3234.7405000000003</v>
      </c>
      <c r="S1546" s="7">
        <f t="shared" si="173"/>
        <v>190.2788529411765</v>
      </c>
      <c r="T1546" s="6">
        <f t="shared" si="174"/>
        <v>2.3578363384188627E-2</v>
      </c>
      <c r="V1546" t="s">
        <v>29</v>
      </c>
    </row>
    <row r="1547" spans="1:22">
      <c r="A1547" s="3">
        <v>45722</v>
      </c>
      <c r="B1547" t="str">
        <f t="shared" si="168"/>
        <v>yyyy-03</v>
      </c>
      <c r="C1547">
        <f t="shared" si="169"/>
        <v>10</v>
      </c>
      <c r="D1547" t="s">
        <v>42</v>
      </c>
      <c r="E1547" t="s">
        <v>43</v>
      </c>
      <c r="F1547" t="s">
        <v>44</v>
      </c>
      <c r="G1547" t="s">
        <v>27</v>
      </c>
      <c r="H1547" t="s">
        <v>45</v>
      </c>
      <c r="I1547" s="5">
        <v>464</v>
      </c>
      <c r="J1547" s="5">
        <v>266</v>
      </c>
      <c r="K1547" s="5">
        <v>32</v>
      </c>
      <c r="L1547" s="5">
        <v>7</v>
      </c>
      <c r="M1547" s="5">
        <v>7</v>
      </c>
      <c r="N1547" s="7">
        <v>1263.07</v>
      </c>
      <c r="O1547" s="7">
        <f t="shared" si="170"/>
        <v>8841.49</v>
      </c>
      <c r="P1547" s="4">
        <v>0.03</v>
      </c>
      <c r="Q1547" s="7">
        <f t="shared" si="171"/>
        <v>265.24469999999997</v>
      </c>
      <c r="R1547" s="7">
        <f t="shared" si="172"/>
        <v>8576.2453000000005</v>
      </c>
      <c r="S1547" s="7">
        <f t="shared" si="173"/>
        <v>1225.1779000000001</v>
      </c>
      <c r="T1547" s="6">
        <f t="shared" si="174"/>
        <v>1.5086206896551725E-2</v>
      </c>
      <c r="V1547" t="s">
        <v>29</v>
      </c>
    </row>
    <row r="1548" spans="1:22">
      <c r="A1548" s="3">
        <v>45722</v>
      </c>
      <c r="B1548" t="str">
        <f t="shared" si="168"/>
        <v>yyyy-03</v>
      </c>
      <c r="C1548">
        <f t="shared" si="169"/>
        <v>10</v>
      </c>
      <c r="D1548" t="s">
        <v>42</v>
      </c>
      <c r="E1548" t="s">
        <v>43</v>
      </c>
      <c r="F1548" t="s">
        <v>46</v>
      </c>
      <c r="G1548" t="s">
        <v>27</v>
      </c>
      <c r="H1548" t="s">
        <v>45</v>
      </c>
      <c r="I1548" s="5">
        <v>355</v>
      </c>
      <c r="J1548" s="5">
        <v>255</v>
      </c>
      <c r="K1548" s="5">
        <v>20</v>
      </c>
      <c r="L1548" s="5">
        <v>5</v>
      </c>
      <c r="M1548" s="5">
        <v>5</v>
      </c>
      <c r="N1548" s="7">
        <v>2146.7600000000002</v>
      </c>
      <c r="O1548" s="7">
        <f t="shared" si="170"/>
        <v>10733.800000000001</v>
      </c>
      <c r="P1548" s="4">
        <v>0</v>
      </c>
      <c r="Q1548" s="7">
        <f t="shared" si="171"/>
        <v>0</v>
      </c>
      <c r="R1548" s="7">
        <f t="shared" si="172"/>
        <v>10733.800000000001</v>
      </c>
      <c r="S1548" s="7">
        <f t="shared" si="173"/>
        <v>2146.7600000000002</v>
      </c>
      <c r="T1548" s="6">
        <f t="shared" si="174"/>
        <v>1.4084507042253521E-2</v>
      </c>
      <c r="V1548" t="s">
        <v>29</v>
      </c>
    </row>
    <row r="1549" spans="1:22">
      <c r="A1549" s="3">
        <v>45722</v>
      </c>
      <c r="B1549" t="str">
        <f t="shared" si="168"/>
        <v>yyyy-03</v>
      </c>
      <c r="C1549">
        <f t="shared" si="169"/>
        <v>10</v>
      </c>
      <c r="D1549" t="s">
        <v>42</v>
      </c>
      <c r="E1549" t="s">
        <v>43</v>
      </c>
      <c r="F1549" t="s">
        <v>47</v>
      </c>
      <c r="G1549" t="s">
        <v>27</v>
      </c>
      <c r="H1549" t="s">
        <v>28</v>
      </c>
      <c r="I1549" s="5">
        <v>484</v>
      </c>
      <c r="J1549" s="5">
        <v>270</v>
      </c>
      <c r="K1549" s="5">
        <v>22</v>
      </c>
      <c r="L1549" s="5">
        <v>6</v>
      </c>
      <c r="M1549" s="5">
        <v>6</v>
      </c>
      <c r="N1549" s="7">
        <v>577.42999999999995</v>
      </c>
      <c r="O1549" s="7">
        <f t="shared" si="170"/>
        <v>3464.58</v>
      </c>
      <c r="P1549" s="4">
        <v>0.03</v>
      </c>
      <c r="Q1549" s="7">
        <f t="shared" si="171"/>
        <v>103.9374</v>
      </c>
      <c r="R1549" s="7">
        <f t="shared" si="172"/>
        <v>3360.6426000000001</v>
      </c>
      <c r="S1549" s="7">
        <f t="shared" si="173"/>
        <v>560.10710000000006</v>
      </c>
      <c r="T1549" s="6">
        <f t="shared" si="174"/>
        <v>1.2396694214876033E-2</v>
      </c>
      <c r="V1549" t="s">
        <v>29</v>
      </c>
    </row>
    <row r="1550" spans="1:22">
      <c r="A1550" s="3">
        <v>45722</v>
      </c>
      <c r="B1550" t="str">
        <f t="shared" si="168"/>
        <v>yyyy-03</v>
      </c>
      <c r="C1550">
        <f t="shared" si="169"/>
        <v>10</v>
      </c>
      <c r="D1550" t="s">
        <v>42</v>
      </c>
      <c r="E1550" t="s">
        <v>49</v>
      </c>
      <c r="F1550" t="s">
        <v>50</v>
      </c>
      <c r="G1550" t="s">
        <v>27</v>
      </c>
      <c r="H1550" t="s">
        <v>45</v>
      </c>
      <c r="I1550" s="5">
        <v>147</v>
      </c>
      <c r="J1550" s="5">
        <v>97</v>
      </c>
      <c r="K1550" s="5">
        <v>11</v>
      </c>
      <c r="L1550" s="5">
        <v>3</v>
      </c>
      <c r="M1550" s="5">
        <v>3</v>
      </c>
      <c r="N1550" s="7">
        <v>993.05</v>
      </c>
      <c r="O1550" s="7">
        <f t="shared" si="170"/>
        <v>2979.1499999999996</v>
      </c>
      <c r="P1550" s="4">
        <v>0</v>
      </c>
      <c r="Q1550" s="7">
        <f t="shared" si="171"/>
        <v>0</v>
      </c>
      <c r="R1550" s="7">
        <f t="shared" si="172"/>
        <v>2979.1499999999996</v>
      </c>
      <c r="S1550" s="7">
        <f t="shared" si="173"/>
        <v>993.04999999999984</v>
      </c>
      <c r="T1550" s="6">
        <f t="shared" si="174"/>
        <v>2.0408163265306121E-2</v>
      </c>
      <c r="V1550" t="s">
        <v>29</v>
      </c>
    </row>
    <row r="1551" spans="1:22">
      <c r="A1551" s="3">
        <v>45722</v>
      </c>
      <c r="B1551" t="str">
        <f t="shared" si="168"/>
        <v>yyyy-03</v>
      </c>
      <c r="C1551">
        <f t="shared" si="169"/>
        <v>10</v>
      </c>
      <c r="D1551" t="s">
        <v>42</v>
      </c>
      <c r="E1551" t="s">
        <v>51</v>
      </c>
      <c r="F1551" t="s">
        <v>52</v>
      </c>
      <c r="G1551" t="s">
        <v>31</v>
      </c>
      <c r="H1551" t="s">
        <v>32</v>
      </c>
      <c r="I1551" s="5">
        <v>277</v>
      </c>
      <c r="J1551" s="5">
        <v>153</v>
      </c>
      <c r="K1551" s="5">
        <v>12</v>
      </c>
      <c r="L1551" s="5">
        <v>4</v>
      </c>
      <c r="M1551" s="5">
        <v>4</v>
      </c>
      <c r="N1551" s="7">
        <v>579.46</v>
      </c>
      <c r="O1551" s="7">
        <f t="shared" si="170"/>
        <v>2317.84</v>
      </c>
      <c r="P1551" s="4">
        <v>0</v>
      </c>
      <c r="Q1551" s="7">
        <f t="shared" si="171"/>
        <v>0</v>
      </c>
      <c r="R1551" s="7">
        <f t="shared" si="172"/>
        <v>2317.84</v>
      </c>
      <c r="S1551" s="7">
        <f t="shared" si="173"/>
        <v>579.46</v>
      </c>
      <c r="T1551" s="6">
        <f t="shared" si="174"/>
        <v>1.444043321299639E-2</v>
      </c>
      <c r="V1551" t="s">
        <v>29</v>
      </c>
    </row>
    <row r="1552" spans="1:22">
      <c r="A1552" s="3">
        <v>45722</v>
      </c>
      <c r="B1552" t="str">
        <f t="shared" si="168"/>
        <v>yyyy-03</v>
      </c>
      <c r="C1552">
        <f t="shared" si="169"/>
        <v>10</v>
      </c>
      <c r="D1552" t="s">
        <v>53</v>
      </c>
      <c r="E1552" t="s">
        <v>54</v>
      </c>
      <c r="F1552" t="s">
        <v>55</v>
      </c>
      <c r="G1552" t="s">
        <v>27</v>
      </c>
      <c r="H1552" t="s">
        <v>45</v>
      </c>
      <c r="I1552" s="5">
        <v>140</v>
      </c>
      <c r="J1552" s="5">
        <v>75</v>
      </c>
      <c r="K1552" s="5">
        <v>4</v>
      </c>
      <c r="L1552" s="5">
        <v>1</v>
      </c>
      <c r="M1552" s="5">
        <v>1</v>
      </c>
      <c r="N1552" s="7">
        <v>1254.51</v>
      </c>
      <c r="O1552" s="7">
        <f t="shared" si="170"/>
        <v>1254.51</v>
      </c>
      <c r="P1552" s="4">
        <v>0</v>
      </c>
      <c r="Q1552" s="7">
        <f t="shared" si="171"/>
        <v>0</v>
      </c>
      <c r="R1552" s="7">
        <f t="shared" si="172"/>
        <v>1254.51</v>
      </c>
      <c r="S1552" s="7">
        <f t="shared" si="173"/>
        <v>1254.51</v>
      </c>
      <c r="T1552" s="6">
        <f t="shared" si="174"/>
        <v>7.1428571428571426E-3</v>
      </c>
      <c r="V1552" t="s">
        <v>78</v>
      </c>
    </row>
    <row r="1553" spans="1:22">
      <c r="A1553" s="3">
        <v>45722</v>
      </c>
      <c r="B1553" t="str">
        <f t="shared" si="168"/>
        <v>yyyy-03</v>
      </c>
      <c r="C1553">
        <f t="shared" si="169"/>
        <v>10</v>
      </c>
      <c r="D1553" t="s">
        <v>53</v>
      </c>
      <c r="E1553" t="s">
        <v>56</v>
      </c>
      <c r="F1553" t="s">
        <v>57</v>
      </c>
      <c r="G1553" t="s">
        <v>27</v>
      </c>
      <c r="H1553" t="s">
        <v>45</v>
      </c>
      <c r="I1553" s="5">
        <v>213</v>
      </c>
      <c r="J1553" s="5">
        <v>111</v>
      </c>
      <c r="K1553" s="5">
        <v>8</v>
      </c>
      <c r="L1553" s="5">
        <v>2</v>
      </c>
      <c r="M1553" s="5">
        <v>2</v>
      </c>
      <c r="N1553" s="7">
        <v>738.36</v>
      </c>
      <c r="O1553" s="7">
        <f t="shared" si="170"/>
        <v>1476.72</v>
      </c>
      <c r="P1553" s="4">
        <v>0</v>
      </c>
      <c r="Q1553" s="7">
        <f t="shared" si="171"/>
        <v>0</v>
      </c>
      <c r="R1553" s="7">
        <f t="shared" si="172"/>
        <v>1476.72</v>
      </c>
      <c r="S1553" s="7">
        <f t="shared" si="173"/>
        <v>738.36</v>
      </c>
      <c r="T1553" s="6">
        <f t="shared" si="174"/>
        <v>9.3896713615023476E-3</v>
      </c>
      <c r="V1553" t="s">
        <v>29</v>
      </c>
    </row>
    <row r="1554" spans="1:22">
      <c r="A1554" s="3">
        <v>45722</v>
      </c>
      <c r="B1554" t="str">
        <f t="shared" si="168"/>
        <v>yyyy-03</v>
      </c>
      <c r="C1554">
        <f t="shared" si="169"/>
        <v>10</v>
      </c>
      <c r="D1554" t="s">
        <v>53</v>
      </c>
      <c r="E1554" t="s">
        <v>56</v>
      </c>
      <c r="F1554" t="s">
        <v>58</v>
      </c>
      <c r="G1554" t="s">
        <v>31</v>
      </c>
      <c r="H1554" t="s">
        <v>32</v>
      </c>
      <c r="I1554" s="5">
        <v>213</v>
      </c>
      <c r="J1554" s="5">
        <v>160</v>
      </c>
      <c r="K1554" s="5">
        <v>9</v>
      </c>
      <c r="L1554" s="5">
        <v>3</v>
      </c>
      <c r="M1554" s="5">
        <v>3</v>
      </c>
      <c r="N1554" s="7">
        <v>864.28</v>
      </c>
      <c r="O1554" s="7">
        <f t="shared" si="170"/>
        <v>2592.84</v>
      </c>
      <c r="P1554" s="4">
        <v>0.03</v>
      </c>
      <c r="Q1554" s="7">
        <f t="shared" si="171"/>
        <v>77.785200000000003</v>
      </c>
      <c r="R1554" s="7">
        <f t="shared" si="172"/>
        <v>2515.0548000000003</v>
      </c>
      <c r="S1554" s="7">
        <f t="shared" si="173"/>
        <v>838.35160000000008</v>
      </c>
      <c r="T1554" s="6">
        <f t="shared" si="174"/>
        <v>1.4084507042253521E-2</v>
      </c>
      <c r="V1554" t="s">
        <v>29</v>
      </c>
    </row>
    <row r="1555" spans="1:22">
      <c r="A1555" s="3">
        <v>45722</v>
      </c>
      <c r="B1555" t="str">
        <f t="shared" si="168"/>
        <v>yyyy-03</v>
      </c>
      <c r="C1555">
        <f t="shared" si="169"/>
        <v>10</v>
      </c>
      <c r="D1555" t="s">
        <v>53</v>
      </c>
      <c r="E1555" t="s">
        <v>59</v>
      </c>
      <c r="F1555" t="s">
        <v>60</v>
      </c>
      <c r="G1555" t="s">
        <v>27</v>
      </c>
      <c r="H1555" t="s">
        <v>28</v>
      </c>
      <c r="I1555" s="5">
        <v>171</v>
      </c>
      <c r="J1555" s="5">
        <v>117</v>
      </c>
      <c r="K1555" s="5">
        <v>10</v>
      </c>
      <c r="L1555" s="5">
        <v>1</v>
      </c>
      <c r="M1555" s="5">
        <v>1</v>
      </c>
      <c r="N1555" s="7">
        <v>696.8</v>
      </c>
      <c r="O1555" s="7">
        <f t="shared" si="170"/>
        <v>696.8</v>
      </c>
      <c r="P1555" s="4">
        <v>0</v>
      </c>
      <c r="Q1555" s="7">
        <f t="shared" si="171"/>
        <v>0</v>
      </c>
      <c r="R1555" s="7">
        <f t="shared" si="172"/>
        <v>696.8</v>
      </c>
      <c r="S1555" s="7">
        <f t="shared" si="173"/>
        <v>696.8</v>
      </c>
      <c r="T1555" s="6">
        <f t="shared" si="174"/>
        <v>5.8479532163742687E-3</v>
      </c>
      <c r="V1555" t="s">
        <v>29</v>
      </c>
    </row>
    <row r="1556" spans="1:22">
      <c r="A1556" s="3">
        <v>45722</v>
      </c>
      <c r="B1556" t="str">
        <f t="shared" si="168"/>
        <v>yyyy-03</v>
      </c>
      <c r="C1556">
        <f t="shared" si="169"/>
        <v>10</v>
      </c>
      <c r="D1556" t="s">
        <v>53</v>
      </c>
      <c r="E1556" t="s">
        <v>61</v>
      </c>
      <c r="F1556" t="s">
        <v>62</v>
      </c>
      <c r="G1556" t="s">
        <v>27</v>
      </c>
      <c r="H1556" t="s">
        <v>63</v>
      </c>
      <c r="I1556" s="5">
        <v>113</v>
      </c>
      <c r="J1556" s="5">
        <v>67</v>
      </c>
      <c r="K1556" s="5">
        <v>6</v>
      </c>
      <c r="L1556" s="5">
        <v>1</v>
      </c>
      <c r="M1556" s="5">
        <v>1</v>
      </c>
      <c r="N1556" s="7">
        <v>505.74</v>
      </c>
      <c r="O1556" s="7">
        <f t="shared" si="170"/>
        <v>505.74</v>
      </c>
      <c r="P1556" s="4">
        <v>0</v>
      </c>
      <c r="Q1556" s="7">
        <f t="shared" si="171"/>
        <v>0</v>
      </c>
      <c r="R1556" s="7">
        <f t="shared" si="172"/>
        <v>505.74</v>
      </c>
      <c r="S1556" s="7">
        <f t="shared" si="173"/>
        <v>505.74</v>
      </c>
      <c r="T1556" s="6">
        <f t="shared" si="174"/>
        <v>8.8495575221238937E-3</v>
      </c>
      <c r="V1556" t="s">
        <v>29</v>
      </c>
    </row>
    <row r="1557" spans="1:22">
      <c r="A1557" s="3">
        <v>45722</v>
      </c>
      <c r="B1557" t="str">
        <f t="shared" si="168"/>
        <v>yyyy-03</v>
      </c>
      <c r="C1557">
        <f t="shared" si="169"/>
        <v>10</v>
      </c>
      <c r="D1557" t="s">
        <v>53</v>
      </c>
      <c r="E1557" t="s">
        <v>64</v>
      </c>
      <c r="F1557" t="s">
        <v>65</v>
      </c>
      <c r="G1557" t="s">
        <v>27</v>
      </c>
      <c r="H1557" t="s">
        <v>48</v>
      </c>
      <c r="I1557" s="5">
        <v>161</v>
      </c>
      <c r="J1557" s="5">
        <v>112</v>
      </c>
      <c r="K1557" s="5">
        <v>6</v>
      </c>
      <c r="L1557" s="5">
        <v>2</v>
      </c>
      <c r="M1557" s="5">
        <v>2</v>
      </c>
      <c r="N1557" s="7">
        <v>771.85</v>
      </c>
      <c r="O1557" s="7">
        <f t="shared" si="170"/>
        <v>1543.7</v>
      </c>
      <c r="P1557" s="4">
        <v>0</v>
      </c>
      <c r="Q1557" s="7">
        <f t="shared" si="171"/>
        <v>0</v>
      </c>
      <c r="R1557" s="7">
        <f t="shared" si="172"/>
        <v>1543.7</v>
      </c>
      <c r="S1557" s="7">
        <f t="shared" si="173"/>
        <v>771.85</v>
      </c>
      <c r="T1557" s="6">
        <f t="shared" si="174"/>
        <v>1.2422360248447204E-2</v>
      </c>
      <c r="V1557" t="s">
        <v>29</v>
      </c>
    </row>
    <row r="1558" spans="1:22">
      <c r="A1558" s="3">
        <v>45722</v>
      </c>
      <c r="B1558" t="str">
        <f t="shared" si="168"/>
        <v>yyyy-03</v>
      </c>
      <c r="C1558">
        <f t="shared" si="169"/>
        <v>10</v>
      </c>
      <c r="D1558" t="s">
        <v>66</v>
      </c>
      <c r="E1558" t="s">
        <v>67</v>
      </c>
      <c r="F1558" t="s">
        <v>68</v>
      </c>
      <c r="G1558" t="s">
        <v>31</v>
      </c>
      <c r="H1558" t="s">
        <v>32</v>
      </c>
      <c r="I1558" s="5">
        <v>482</v>
      </c>
      <c r="J1558" s="5">
        <v>273</v>
      </c>
      <c r="K1558" s="5">
        <v>50</v>
      </c>
      <c r="L1558" s="5">
        <v>11</v>
      </c>
      <c r="M1558" s="5">
        <v>11</v>
      </c>
      <c r="N1558" s="7">
        <v>672.01</v>
      </c>
      <c r="O1558" s="7">
        <f t="shared" si="170"/>
        <v>7392.11</v>
      </c>
      <c r="P1558" s="4">
        <v>0.05</v>
      </c>
      <c r="Q1558" s="7">
        <f t="shared" si="171"/>
        <v>369.60550000000001</v>
      </c>
      <c r="R1558" s="7">
        <f t="shared" si="172"/>
        <v>7022.5045</v>
      </c>
      <c r="S1558" s="7">
        <f t="shared" si="173"/>
        <v>638.40949999999998</v>
      </c>
      <c r="T1558" s="6">
        <f t="shared" si="174"/>
        <v>2.2821576763485476E-2</v>
      </c>
      <c r="V1558" t="s">
        <v>29</v>
      </c>
    </row>
    <row r="1559" spans="1:22">
      <c r="A1559" s="3">
        <v>45722</v>
      </c>
      <c r="B1559" t="str">
        <f t="shared" si="168"/>
        <v>yyyy-03</v>
      </c>
      <c r="C1559">
        <f t="shared" si="169"/>
        <v>10</v>
      </c>
      <c r="D1559" t="s">
        <v>66</v>
      </c>
      <c r="E1559" t="s">
        <v>67</v>
      </c>
      <c r="F1559" t="s">
        <v>69</v>
      </c>
      <c r="G1559" t="s">
        <v>27</v>
      </c>
      <c r="H1559" t="s">
        <v>45</v>
      </c>
      <c r="I1559" s="5">
        <v>238</v>
      </c>
      <c r="J1559" s="5">
        <v>162</v>
      </c>
      <c r="K1559" s="5">
        <v>14</v>
      </c>
      <c r="L1559" s="5">
        <v>4</v>
      </c>
      <c r="M1559" s="5">
        <v>4</v>
      </c>
      <c r="N1559" s="7">
        <v>403.11</v>
      </c>
      <c r="O1559" s="7">
        <f t="shared" si="170"/>
        <v>1612.44</v>
      </c>
      <c r="P1559" s="4">
        <v>0</v>
      </c>
      <c r="Q1559" s="7">
        <f t="shared" si="171"/>
        <v>0</v>
      </c>
      <c r="R1559" s="7">
        <f t="shared" si="172"/>
        <v>1612.44</v>
      </c>
      <c r="S1559" s="7">
        <f t="shared" si="173"/>
        <v>403.11</v>
      </c>
      <c r="T1559" s="6">
        <f t="shared" si="174"/>
        <v>1.680672268907563E-2</v>
      </c>
      <c r="V1559" t="s">
        <v>29</v>
      </c>
    </row>
    <row r="1560" spans="1:22">
      <c r="A1560" s="3">
        <v>45722</v>
      </c>
      <c r="B1560" t="str">
        <f t="shared" si="168"/>
        <v>yyyy-03</v>
      </c>
      <c r="C1560">
        <f t="shared" si="169"/>
        <v>10</v>
      </c>
      <c r="D1560" t="s">
        <v>66</v>
      </c>
      <c r="E1560" t="s">
        <v>67</v>
      </c>
      <c r="F1560" t="s">
        <v>70</v>
      </c>
      <c r="G1560" t="s">
        <v>27</v>
      </c>
      <c r="H1560" t="s">
        <v>28</v>
      </c>
      <c r="I1560" s="5">
        <v>364</v>
      </c>
      <c r="J1560" s="5">
        <v>198</v>
      </c>
      <c r="K1560" s="5">
        <v>32</v>
      </c>
      <c r="L1560" s="5">
        <v>8</v>
      </c>
      <c r="M1560" s="5">
        <v>8</v>
      </c>
      <c r="N1560" s="7">
        <v>343.5</v>
      </c>
      <c r="O1560" s="7">
        <f t="shared" si="170"/>
        <v>2748</v>
      </c>
      <c r="P1560" s="4">
        <v>0</v>
      </c>
      <c r="Q1560" s="7">
        <f t="shared" si="171"/>
        <v>0</v>
      </c>
      <c r="R1560" s="7">
        <f t="shared" si="172"/>
        <v>2748</v>
      </c>
      <c r="S1560" s="7">
        <f t="shared" si="173"/>
        <v>343.5</v>
      </c>
      <c r="T1560" s="6">
        <f t="shared" si="174"/>
        <v>2.197802197802198E-2</v>
      </c>
      <c r="V1560" t="s">
        <v>29</v>
      </c>
    </row>
    <row r="1561" spans="1:22">
      <c r="A1561" s="3">
        <v>45722</v>
      </c>
      <c r="B1561" t="str">
        <f t="shared" si="168"/>
        <v>yyyy-03</v>
      </c>
      <c r="C1561">
        <f t="shared" si="169"/>
        <v>10</v>
      </c>
      <c r="D1561" t="s">
        <v>66</v>
      </c>
      <c r="E1561" t="s">
        <v>71</v>
      </c>
      <c r="F1561" t="s">
        <v>72</v>
      </c>
      <c r="G1561" t="s">
        <v>31</v>
      </c>
      <c r="H1561" t="s">
        <v>32</v>
      </c>
      <c r="I1561" s="5">
        <v>368</v>
      </c>
      <c r="J1561" s="5">
        <v>293</v>
      </c>
      <c r="K1561" s="5">
        <v>37</v>
      </c>
      <c r="L1561" s="5">
        <v>8</v>
      </c>
      <c r="M1561" s="5">
        <v>10</v>
      </c>
      <c r="N1561" s="7">
        <v>128.19999999999999</v>
      </c>
      <c r="O1561" s="7">
        <f t="shared" si="170"/>
        <v>1282</v>
      </c>
      <c r="P1561" s="4">
        <v>0.15</v>
      </c>
      <c r="Q1561" s="7">
        <f t="shared" si="171"/>
        <v>192.29999999999998</v>
      </c>
      <c r="R1561" s="7">
        <f t="shared" si="172"/>
        <v>1089.7</v>
      </c>
      <c r="S1561" s="7">
        <f t="shared" si="173"/>
        <v>136.21250000000001</v>
      </c>
      <c r="T1561" s="6">
        <f t="shared" si="174"/>
        <v>2.1739130434782608E-2</v>
      </c>
      <c r="U1561" t="s">
        <v>87</v>
      </c>
      <c r="V1561" t="s">
        <v>29</v>
      </c>
    </row>
    <row r="1562" spans="1:22">
      <c r="A1562" s="3">
        <v>45722</v>
      </c>
      <c r="B1562" t="str">
        <f t="shared" si="168"/>
        <v>yyyy-03</v>
      </c>
      <c r="C1562">
        <f t="shared" si="169"/>
        <v>10</v>
      </c>
      <c r="D1562" t="s">
        <v>66</v>
      </c>
      <c r="E1562" t="s">
        <v>73</v>
      </c>
      <c r="F1562" t="s">
        <v>74</v>
      </c>
      <c r="G1562" t="s">
        <v>27</v>
      </c>
      <c r="H1562" t="s">
        <v>28</v>
      </c>
      <c r="I1562" s="5">
        <v>256</v>
      </c>
      <c r="J1562" s="5">
        <v>196</v>
      </c>
      <c r="K1562" s="5">
        <v>14</v>
      </c>
      <c r="L1562" s="5">
        <v>4</v>
      </c>
      <c r="M1562" s="5">
        <v>4</v>
      </c>
      <c r="N1562" s="7">
        <v>1186.3599999999999</v>
      </c>
      <c r="O1562" s="7">
        <f t="shared" si="170"/>
        <v>4745.4399999999996</v>
      </c>
      <c r="P1562" s="4">
        <v>0</v>
      </c>
      <c r="Q1562" s="7">
        <f t="shared" si="171"/>
        <v>0</v>
      </c>
      <c r="R1562" s="7">
        <f t="shared" si="172"/>
        <v>4745.4399999999996</v>
      </c>
      <c r="S1562" s="7">
        <f t="shared" si="173"/>
        <v>1186.3599999999999</v>
      </c>
      <c r="T1562" s="6">
        <f t="shared" si="174"/>
        <v>1.5625E-2</v>
      </c>
      <c r="V1562" t="s">
        <v>29</v>
      </c>
    </row>
    <row r="1563" spans="1:22">
      <c r="A1563" s="3">
        <v>45722</v>
      </c>
      <c r="B1563" t="str">
        <f t="shared" si="168"/>
        <v>yyyy-03</v>
      </c>
      <c r="C1563">
        <f t="shared" si="169"/>
        <v>10</v>
      </c>
      <c r="D1563" t="s">
        <v>66</v>
      </c>
      <c r="E1563" t="s">
        <v>71</v>
      </c>
      <c r="F1563" t="s">
        <v>75</v>
      </c>
      <c r="G1563" t="s">
        <v>27</v>
      </c>
      <c r="H1563" t="s">
        <v>45</v>
      </c>
      <c r="I1563" s="5">
        <v>319</v>
      </c>
      <c r="J1563" s="5">
        <v>188</v>
      </c>
      <c r="K1563" s="5">
        <v>35</v>
      </c>
      <c r="L1563" s="5">
        <v>7</v>
      </c>
      <c r="M1563" s="5">
        <v>8</v>
      </c>
      <c r="N1563" s="7">
        <v>39.44</v>
      </c>
      <c r="O1563" s="7">
        <f t="shared" si="170"/>
        <v>315.52</v>
      </c>
      <c r="P1563" s="4">
        <v>0.15</v>
      </c>
      <c r="Q1563" s="7">
        <f t="shared" si="171"/>
        <v>47.327999999999996</v>
      </c>
      <c r="R1563" s="7">
        <f t="shared" si="172"/>
        <v>268.19200000000001</v>
      </c>
      <c r="S1563" s="7">
        <f t="shared" si="173"/>
        <v>38.313142857142857</v>
      </c>
      <c r="T1563" s="6">
        <f t="shared" si="174"/>
        <v>2.1943573667711599E-2</v>
      </c>
      <c r="U1563" t="s">
        <v>87</v>
      </c>
      <c r="V1563" t="s">
        <v>29</v>
      </c>
    </row>
    <row r="1564" spans="1:22">
      <c r="A1564" s="3">
        <v>45722</v>
      </c>
      <c r="B1564" t="str">
        <f t="shared" si="168"/>
        <v>yyyy-03</v>
      </c>
      <c r="C1564">
        <f t="shared" si="169"/>
        <v>10</v>
      </c>
      <c r="D1564" t="s">
        <v>24</v>
      </c>
      <c r="E1564" t="s">
        <v>76</v>
      </c>
      <c r="F1564" t="s">
        <v>77</v>
      </c>
      <c r="G1564" t="s">
        <v>27</v>
      </c>
      <c r="H1564" t="s">
        <v>28</v>
      </c>
      <c r="I1564" s="5">
        <v>582</v>
      </c>
      <c r="J1564" s="5">
        <v>337</v>
      </c>
      <c r="K1564" s="5">
        <v>28</v>
      </c>
      <c r="L1564" s="5">
        <v>9</v>
      </c>
      <c r="M1564" s="5">
        <v>10</v>
      </c>
      <c r="N1564" s="7">
        <v>199.48</v>
      </c>
      <c r="O1564" s="7">
        <f t="shared" si="170"/>
        <v>1994.8</v>
      </c>
      <c r="P1564" s="4">
        <v>0.03</v>
      </c>
      <c r="Q1564" s="7">
        <f t="shared" si="171"/>
        <v>59.843999999999994</v>
      </c>
      <c r="R1564" s="7">
        <f t="shared" si="172"/>
        <v>1934.9559999999999</v>
      </c>
      <c r="S1564" s="7">
        <f t="shared" si="173"/>
        <v>214.9951111111111</v>
      </c>
      <c r="T1564" s="6">
        <f t="shared" si="174"/>
        <v>1.5463917525773196E-2</v>
      </c>
      <c r="V1564" t="s">
        <v>29</v>
      </c>
    </row>
    <row r="1565" spans="1:22">
      <c r="A1565" s="3">
        <v>45723</v>
      </c>
      <c r="B1565" t="str">
        <f t="shared" si="168"/>
        <v>yyyy-03</v>
      </c>
      <c r="C1565">
        <f t="shared" si="169"/>
        <v>10</v>
      </c>
      <c r="D1565" t="s">
        <v>24</v>
      </c>
      <c r="E1565" t="s">
        <v>25</v>
      </c>
      <c r="F1565" t="s">
        <v>26</v>
      </c>
      <c r="G1565" t="s">
        <v>31</v>
      </c>
      <c r="H1565" t="s">
        <v>32</v>
      </c>
      <c r="I1565" s="5">
        <v>1589</v>
      </c>
      <c r="J1565" s="5">
        <v>1085</v>
      </c>
      <c r="K1565" s="5">
        <v>86</v>
      </c>
      <c r="L1565" s="5">
        <v>35</v>
      </c>
      <c r="M1565" s="5">
        <v>35</v>
      </c>
      <c r="N1565" s="7">
        <v>985.17</v>
      </c>
      <c r="O1565" s="7">
        <f t="shared" si="170"/>
        <v>34480.949999999997</v>
      </c>
      <c r="P1565" s="4">
        <v>0.13</v>
      </c>
      <c r="Q1565" s="7">
        <f t="shared" si="171"/>
        <v>4482.5234999999993</v>
      </c>
      <c r="R1565" s="7">
        <f t="shared" si="172"/>
        <v>29998.426499999998</v>
      </c>
      <c r="S1565" s="7">
        <f t="shared" si="173"/>
        <v>857.09789999999998</v>
      </c>
      <c r="T1565" s="6">
        <f t="shared" si="174"/>
        <v>2.2026431718061675E-2</v>
      </c>
      <c r="U1565" t="s">
        <v>88</v>
      </c>
      <c r="V1565" t="s">
        <v>29</v>
      </c>
    </row>
    <row r="1566" spans="1:22">
      <c r="A1566" s="3">
        <v>45723</v>
      </c>
      <c r="B1566" t="str">
        <f t="shared" si="168"/>
        <v>yyyy-03</v>
      </c>
      <c r="C1566">
        <f t="shared" si="169"/>
        <v>10</v>
      </c>
      <c r="D1566" t="s">
        <v>24</v>
      </c>
      <c r="E1566" t="s">
        <v>25</v>
      </c>
      <c r="F1566" t="s">
        <v>30</v>
      </c>
      <c r="G1566" t="s">
        <v>27</v>
      </c>
      <c r="H1566" t="s">
        <v>48</v>
      </c>
      <c r="I1566" s="5">
        <v>1125</v>
      </c>
      <c r="J1566" s="5">
        <v>727</v>
      </c>
      <c r="K1566" s="5">
        <v>80</v>
      </c>
      <c r="L1566" s="5">
        <v>23</v>
      </c>
      <c r="M1566" s="5">
        <v>23</v>
      </c>
      <c r="N1566" s="7">
        <v>397.91</v>
      </c>
      <c r="O1566" s="7">
        <f t="shared" si="170"/>
        <v>9151.93</v>
      </c>
      <c r="P1566" s="4">
        <v>0.13</v>
      </c>
      <c r="Q1566" s="7">
        <f t="shared" si="171"/>
        <v>1189.7509</v>
      </c>
      <c r="R1566" s="7">
        <f t="shared" si="172"/>
        <v>7962.1791000000003</v>
      </c>
      <c r="S1566" s="7">
        <f t="shared" si="173"/>
        <v>346.18170000000003</v>
      </c>
      <c r="T1566" s="6">
        <f t="shared" si="174"/>
        <v>2.0444444444444446E-2</v>
      </c>
      <c r="U1566" t="s">
        <v>88</v>
      </c>
      <c r="V1566" t="s">
        <v>29</v>
      </c>
    </row>
    <row r="1567" spans="1:22">
      <c r="A1567" s="3">
        <v>45723</v>
      </c>
      <c r="B1567" t="str">
        <f t="shared" si="168"/>
        <v>yyyy-03</v>
      </c>
      <c r="C1567">
        <f t="shared" si="169"/>
        <v>10</v>
      </c>
      <c r="D1567" t="s">
        <v>24</v>
      </c>
      <c r="E1567" t="s">
        <v>25</v>
      </c>
      <c r="F1567" t="s">
        <v>33</v>
      </c>
      <c r="G1567" t="s">
        <v>27</v>
      </c>
      <c r="H1567" t="s">
        <v>28</v>
      </c>
      <c r="I1567" s="5">
        <v>1808</v>
      </c>
      <c r="J1567" s="5">
        <v>1355</v>
      </c>
      <c r="K1567" s="5">
        <v>136</v>
      </c>
      <c r="L1567" s="5">
        <v>40</v>
      </c>
      <c r="M1567" s="5">
        <v>40</v>
      </c>
      <c r="N1567" s="7">
        <v>1745.17</v>
      </c>
      <c r="O1567" s="7">
        <f t="shared" si="170"/>
        <v>69806.8</v>
      </c>
      <c r="P1567" s="4">
        <v>0.13</v>
      </c>
      <c r="Q1567" s="7">
        <f t="shared" si="171"/>
        <v>9074.884</v>
      </c>
      <c r="R1567" s="7">
        <f t="shared" si="172"/>
        <v>60731.916000000005</v>
      </c>
      <c r="S1567" s="7">
        <f t="shared" si="173"/>
        <v>1518.2979</v>
      </c>
      <c r="T1567" s="6">
        <f t="shared" si="174"/>
        <v>2.2123893805309734E-2</v>
      </c>
      <c r="U1567" t="s">
        <v>88</v>
      </c>
      <c r="V1567" t="s">
        <v>29</v>
      </c>
    </row>
    <row r="1568" spans="1:22">
      <c r="A1568" s="3">
        <v>45723</v>
      </c>
      <c r="B1568" t="str">
        <f t="shared" si="168"/>
        <v>yyyy-03</v>
      </c>
      <c r="C1568">
        <f t="shared" si="169"/>
        <v>10</v>
      </c>
      <c r="D1568" t="s">
        <v>24</v>
      </c>
      <c r="E1568" t="s">
        <v>34</v>
      </c>
      <c r="F1568" t="s">
        <v>35</v>
      </c>
      <c r="G1568" t="s">
        <v>31</v>
      </c>
      <c r="H1568" t="s">
        <v>32</v>
      </c>
      <c r="I1568" s="5">
        <v>883</v>
      </c>
      <c r="J1568" s="5">
        <v>480</v>
      </c>
      <c r="K1568" s="5">
        <v>59</v>
      </c>
      <c r="L1568" s="5">
        <v>21</v>
      </c>
      <c r="M1568" s="5">
        <v>21</v>
      </c>
      <c r="N1568" s="7">
        <v>891.84</v>
      </c>
      <c r="O1568" s="7">
        <f t="shared" si="170"/>
        <v>18728.64</v>
      </c>
      <c r="P1568" s="4">
        <v>0</v>
      </c>
      <c r="Q1568" s="7">
        <f t="shared" si="171"/>
        <v>0</v>
      </c>
      <c r="R1568" s="7">
        <f t="shared" si="172"/>
        <v>18728.64</v>
      </c>
      <c r="S1568" s="7">
        <f t="shared" si="173"/>
        <v>891.83999999999992</v>
      </c>
      <c r="T1568" s="6">
        <f t="shared" si="174"/>
        <v>2.3782559456398639E-2</v>
      </c>
      <c r="V1568" t="s">
        <v>29</v>
      </c>
    </row>
    <row r="1569" spans="1:22">
      <c r="A1569" s="3">
        <v>45723</v>
      </c>
      <c r="B1569" t="str">
        <f t="shared" si="168"/>
        <v>yyyy-03</v>
      </c>
      <c r="C1569">
        <f t="shared" si="169"/>
        <v>10</v>
      </c>
      <c r="D1569" t="s">
        <v>24</v>
      </c>
      <c r="E1569" t="s">
        <v>38</v>
      </c>
      <c r="F1569" t="s">
        <v>39</v>
      </c>
      <c r="G1569" t="s">
        <v>27</v>
      </c>
      <c r="H1569" t="s">
        <v>45</v>
      </c>
      <c r="I1569" s="5">
        <v>711</v>
      </c>
      <c r="J1569" s="5">
        <v>575</v>
      </c>
      <c r="K1569" s="5">
        <v>62</v>
      </c>
      <c r="L1569" s="5">
        <v>13</v>
      </c>
      <c r="M1569" s="5">
        <v>13</v>
      </c>
      <c r="N1569" s="7">
        <v>330.97</v>
      </c>
      <c r="O1569" s="7">
        <f t="shared" si="170"/>
        <v>4302.6100000000006</v>
      </c>
      <c r="P1569" s="4">
        <v>0.03</v>
      </c>
      <c r="Q1569" s="7">
        <f t="shared" si="171"/>
        <v>129.07830000000001</v>
      </c>
      <c r="R1569" s="7">
        <f t="shared" si="172"/>
        <v>4173.5317000000005</v>
      </c>
      <c r="S1569" s="7">
        <f t="shared" si="173"/>
        <v>321.04090000000002</v>
      </c>
      <c r="T1569" s="6">
        <f t="shared" si="174"/>
        <v>1.8284106891701828E-2</v>
      </c>
      <c r="V1569" t="s">
        <v>29</v>
      </c>
    </row>
    <row r="1570" spans="1:22">
      <c r="A1570" s="3">
        <v>45723</v>
      </c>
      <c r="B1570" t="str">
        <f t="shared" si="168"/>
        <v>yyyy-03</v>
      </c>
      <c r="C1570">
        <f t="shared" si="169"/>
        <v>10</v>
      </c>
      <c r="D1570" t="s">
        <v>24</v>
      </c>
      <c r="E1570" t="s">
        <v>40</v>
      </c>
      <c r="F1570" t="s">
        <v>41</v>
      </c>
      <c r="G1570" t="s">
        <v>27</v>
      </c>
      <c r="H1570" t="s">
        <v>28</v>
      </c>
      <c r="I1570" s="5">
        <v>638</v>
      </c>
      <c r="J1570" s="5">
        <v>508</v>
      </c>
      <c r="K1570" s="5">
        <v>39</v>
      </c>
      <c r="L1570" s="5">
        <v>12</v>
      </c>
      <c r="M1570" s="5">
        <v>16</v>
      </c>
      <c r="N1570" s="7">
        <v>174.44</v>
      </c>
      <c r="O1570" s="7">
        <f t="shared" si="170"/>
        <v>2791.04</v>
      </c>
      <c r="P1570" s="4">
        <v>0</v>
      </c>
      <c r="Q1570" s="7">
        <f t="shared" si="171"/>
        <v>0</v>
      </c>
      <c r="R1570" s="7">
        <f t="shared" si="172"/>
        <v>2791.04</v>
      </c>
      <c r="S1570" s="7">
        <f t="shared" si="173"/>
        <v>232.58666666666667</v>
      </c>
      <c r="T1570" s="6">
        <f t="shared" si="174"/>
        <v>1.8808777429467086E-2</v>
      </c>
      <c r="V1570" t="s">
        <v>29</v>
      </c>
    </row>
    <row r="1571" spans="1:22">
      <c r="A1571" s="3">
        <v>45723</v>
      </c>
      <c r="B1571" t="str">
        <f t="shared" si="168"/>
        <v>yyyy-03</v>
      </c>
      <c r="C1571">
        <f t="shared" si="169"/>
        <v>10</v>
      </c>
      <c r="D1571" t="s">
        <v>42</v>
      </c>
      <c r="E1571" t="s">
        <v>43</v>
      </c>
      <c r="F1571" t="s">
        <v>44</v>
      </c>
      <c r="G1571" t="s">
        <v>27</v>
      </c>
      <c r="H1571" t="s">
        <v>28</v>
      </c>
      <c r="I1571" s="5">
        <v>475</v>
      </c>
      <c r="J1571" s="5">
        <v>272</v>
      </c>
      <c r="K1571" s="5">
        <v>25</v>
      </c>
      <c r="L1571" s="5">
        <v>5</v>
      </c>
      <c r="M1571" s="5">
        <v>5</v>
      </c>
      <c r="N1571" s="7">
        <v>1305.8499999999999</v>
      </c>
      <c r="O1571" s="7">
        <f t="shared" si="170"/>
        <v>6529.25</v>
      </c>
      <c r="P1571" s="4">
        <v>0</v>
      </c>
      <c r="Q1571" s="7">
        <f t="shared" si="171"/>
        <v>0</v>
      </c>
      <c r="R1571" s="7">
        <f t="shared" si="172"/>
        <v>6529.25</v>
      </c>
      <c r="S1571" s="7">
        <f t="shared" si="173"/>
        <v>1305.8499999999999</v>
      </c>
      <c r="T1571" s="6">
        <f t="shared" si="174"/>
        <v>1.0526315789473684E-2</v>
      </c>
      <c r="V1571" t="s">
        <v>29</v>
      </c>
    </row>
    <row r="1572" spans="1:22">
      <c r="A1572" s="3">
        <v>45723</v>
      </c>
      <c r="B1572" t="str">
        <f t="shared" si="168"/>
        <v>yyyy-03</v>
      </c>
      <c r="C1572">
        <f t="shared" si="169"/>
        <v>10</v>
      </c>
      <c r="D1572" t="s">
        <v>42</v>
      </c>
      <c r="E1572" t="s">
        <v>43</v>
      </c>
      <c r="F1572" t="s">
        <v>46</v>
      </c>
      <c r="G1572" t="s">
        <v>31</v>
      </c>
      <c r="H1572" t="s">
        <v>32</v>
      </c>
      <c r="I1572" s="5">
        <v>641</v>
      </c>
      <c r="J1572" s="5">
        <v>390</v>
      </c>
      <c r="K1572" s="5">
        <v>39</v>
      </c>
      <c r="L1572" s="5">
        <v>9</v>
      </c>
      <c r="M1572" s="5">
        <v>9</v>
      </c>
      <c r="N1572" s="7">
        <v>2183.65</v>
      </c>
      <c r="O1572" s="7">
        <f t="shared" si="170"/>
        <v>19652.850000000002</v>
      </c>
      <c r="P1572" s="4">
        <v>0</v>
      </c>
      <c r="Q1572" s="7">
        <f t="shared" si="171"/>
        <v>0</v>
      </c>
      <c r="R1572" s="7">
        <f t="shared" si="172"/>
        <v>19652.850000000002</v>
      </c>
      <c r="S1572" s="7">
        <f t="shared" si="173"/>
        <v>2183.65</v>
      </c>
      <c r="T1572" s="6">
        <f t="shared" si="174"/>
        <v>1.4040561622464899E-2</v>
      </c>
      <c r="V1572" t="s">
        <v>29</v>
      </c>
    </row>
    <row r="1573" spans="1:22">
      <c r="A1573" s="3">
        <v>45723</v>
      </c>
      <c r="B1573" t="str">
        <f t="shared" si="168"/>
        <v>yyyy-03</v>
      </c>
      <c r="C1573">
        <f t="shared" si="169"/>
        <v>10</v>
      </c>
      <c r="D1573" t="s">
        <v>42</v>
      </c>
      <c r="E1573" t="s">
        <v>43</v>
      </c>
      <c r="F1573" t="s">
        <v>47</v>
      </c>
      <c r="G1573" t="s">
        <v>27</v>
      </c>
      <c r="H1573" t="s">
        <v>45</v>
      </c>
      <c r="I1573" s="5">
        <v>390</v>
      </c>
      <c r="J1573" s="5">
        <v>297</v>
      </c>
      <c r="K1573" s="5">
        <v>27</v>
      </c>
      <c r="L1573" s="5">
        <v>6</v>
      </c>
      <c r="M1573" s="5">
        <v>6</v>
      </c>
      <c r="N1573" s="7">
        <v>584.08000000000004</v>
      </c>
      <c r="O1573" s="7">
        <f t="shared" si="170"/>
        <v>3504.4800000000005</v>
      </c>
      <c r="P1573" s="4">
        <v>0.03</v>
      </c>
      <c r="Q1573" s="7">
        <f t="shared" si="171"/>
        <v>105.13440000000001</v>
      </c>
      <c r="R1573" s="7">
        <f t="shared" si="172"/>
        <v>3399.3456000000006</v>
      </c>
      <c r="S1573" s="7">
        <f t="shared" si="173"/>
        <v>566.55760000000009</v>
      </c>
      <c r="T1573" s="6">
        <f t="shared" si="174"/>
        <v>1.5384615384615385E-2</v>
      </c>
      <c r="V1573" t="s">
        <v>29</v>
      </c>
    </row>
    <row r="1574" spans="1:22">
      <c r="A1574" s="3">
        <v>45723</v>
      </c>
      <c r="B1574" t="str">
        <f t="shared" si="168"/>
        <v>yyyy-03</v>
      </c>
      <c r="C1574">
        <f t="shared" si="169"/>
        <v>10</v>
      </c>
      <c r="D1574" t="s">
        <v>42</v>
      </c>
      <c r="E1574" t="s">
        <v>49</v>
      </c>
      <c r="F1574" t="s">
        <v>50</v>
      </c>
      <c r="G1574" t="s">
        <v>27</v>
      </c>
      <c r="H1574" t="s">
        <v>63</v>
      </c>
      <c r="I1574" s="5">
        <v>94</v>
      </c>
      <c r="J1574" s="5">
        <v>63</v>
      </c>
      <c r="K1574" s="5">
        <v>6</v>
      </c>
      <c r="L1574" s="5">
        <v>2</v>
      </c>
      <c r="M1574" s="5">
        <v>2</v>
      </c>
      <c r="N1574" s="7">
        <v>981.07</v>
      </c>
      <c r="O1574" s="7">
        <f t="shared" si="170"/>
        <v>1962.14</v>
      </c>
      <c r="P1574" s="4">
        <v>0</v>
      </c>
      <c r="Q1574" s="7">
        <f t="shared" si="171"/>
        <v>0</v>
      </c>
      <c r="R1574" s="7">
        <f t="shared" si="172"/>
        <v>1962.14</v>
      </c>
      <c r="S1574" s="7">
        <f t="shared" si="173"/>
        <v>981.07</v>
      </c>
      <c r="T1574" s="6">
        <f t="shared" si="174"/>
        <v>2.1276595744680851E-2</v>
      </c>
      <c r="V1574" t="s">
        <v>29</v>
      </c>
    </row>
    <row r="1575" spans="1:22">
      <c r="A1575" s="3">
        <v>45723</v>
      </c>
      <c r="B1575" t="str">
        <f t="shared" si="168"/>
        <v>yyyy-03</v>
      </c>
      <c r="C1575">
        <f t="shared" si="169"/>
        <v>10</v>
      </c>
      <c r="D1575" t="s">
        <v>42</v>
      </c>
      <c r="E1575" t="s">
        <v>51</v>
      </c>
      <c r="F1575" t="s">
        <v>52</v>
      </c>
      <c r="G1575" t="s">
        <v>36</v>
      </c>
      <c r="H1575" t="s">
        <v>37</v>
      </c>
      <c r="I1575" s="5">
        <v>262</v>
      </c>
      <c r="J1575" s="5">
        <v>138</v>
      </c>
      <c r="K1575" s="5">
        <v>17</v>
      </c>
      <c r="L1575" s="5">
        <v>4</v>
      </c>
      <c r="M1575" s="5">
        <v>4</v>
      </c>
      <c r="N1575" s="7">
        <v>602.9</v>
      </c>
      <c r="O1575" s="7">
        <f t="shared" si="170"/>
        <v>2411.6</v>
      </c>
      <c r="P1575" s="4">
        <v>0.03</v>
      </c>
      <c r="Q1575" s="7">
        <f t="shared" si="171"/>
        <v>72.347999999999999</v>
      </c>
      <c r="R1575" s="7">
        <f t="shared" si="172"/>
        <v>2339.252</v>
      </c>
      <c r="S1575" s="7">
        <f t="shared" si="173"/>
        <v>584.81299999999999</v>
      </c>
      <c r="T1575" s="6">
        <f t="shared" si="174"/>
        <v>1.5267175572519083E-2</v>
      </c>
      <c r="V1575" t="s">
        <v>29</v>
      </c>
    </row>
    <row r="1576" spans="1:22">
      <c r="A1576" s="3">
        <v>45723</v>
      </c>
      <c r="B1576" t="str">
        <f t="shared" si="168"/>
        <v>yyyy-03</v>
      </c>
      <c r="C1576">
        <f t="shared" si="169"/>
        <v>10</v>
      </c>
      <c r="D1576" t="s">
        <v>53</v>
      </c>
      <c r="E1576" t="s">
        <v>54</v>
      </c>
      <c r="F1576" t="s">
        <v>55</v>
      </c>
      <c r="G1576" t="s">
        <v>27</v>
      </c>
      <c r="H1576" t="s">
        <v>45</v>
      </c>
      <c r="I1576" s="5">
        <v>174</v>
      </c>
      <c r="J1576" s="5">
        <v>133</v>
      </c>
      <c r="K1576" s="5">
        <v>9</v>
      </c>
      <c r="L1576" s="5">
        <v>2</v>
      </c>
      <c r="M1576" s="5">
        <v>2</v>
      </c>
      <c r="N1576" s="7">
        <v>1266.0999999999999</v>
      </c>
      <c r="O1576" s="7">
        <f t="shared" si="170"/>
        <v>2532.1999999999998</v>
      </c>
      <c r="P1576" s="4">
        <v>0</v>
      </c>
      <c r="Q1576" s="7">
        <f t="shared" si="171"/>
        <v>0</v>
      </c>
      <c r="R1576" s="7">
        <f t="shared" si="172"/>
        <v>2532.1999999999998</v>
      </c>
      <c r="S1576" s="7">
        <f t="shared" si="173"/>
        <v>1266.0999999999999</v>
      </c>
      <c r="T1576" s="6">
        <f t="shared" si="174"/>
        <v>1.1494252873563218E-2</v>
      </c>
      <c r="V1576" t="s">
        <v>29</v>
      </c>
    </row>
    <row r="1577" spans="1:22">
      <c r="A1577" s="3">
        <v>45723</v>
      </c>
      <c r="B1577" t="str">
        <f t="shared" si="168"/>
        <v>yyyy-03</v>
      </c>
      <c r="C1577">
        <f t="shared" si="169"/>
        <v>10</v>
      </c>
      <c r="D1577" t="s">
        <v>53</v>
      </c>
      <c r="E1577" t="s">
        <v>56</v>
      </c>
      <c r="F1577" t="s">
        <v>57</v>
      </c>
      <c r="G1577" t="s">
        <v>31</v>
      </c>
      <c r="H1577" t="s">
        <v>32</v>
      </c>
      <c r="I1577" s="5">
        <v>243</v>
      </c>
      <c r="J1577" s="5">
        <v>180</v>
      </c>
      <c r="K1577" s="5">
        <v>9</v>
      </c>
      <c r="L1577" s="5">
        <v>3</v>
      </c>
      <c r="M1577" s="5">
        <v>3</v>
      </c>
      <c r="N1577" s="7">
        <v>762.17</v>
      </c>
      <c r="O1577" s="7">
        <f t="shared" si="170"/>
        <v>2286.5099999999998</v>
      </c>
      <c r="P1577" s="4">
        <v>0</v>
      </c>
      <c r="Q1577" s="7">
        <f t="shared" si="171"/>
        <v>0</v>
      </c>
      <c r="R1577" s="7">
        <f t="shared" si="172"/>
        <v>2286.5099999999998</v>
      </c>
      <c r="S1577" s="7">
        <f t="shared" si="173"/>
        <v>762.17</v>
      </c>
      <c r="T1577" s="6">
        <f t="shared" si="174"/>
        <v>1.2345679012345678E-2</v>
      </c>
      <c r="V1577" t="s">
        <v>29</v>
      </c>
    </row>
    <row r="1578" spans="1:22">
      <c r="A1578" s="3">
        <v>45723</v>
      </c>
      <c r="B1578" t="str">
        <f t="shared" si="168"/>
        <v>yyyy-03</v>
      </c>
      <c r="C1578">
        <f t="shared" si="169"/>
        <v>10</v>
      </c>
      <c r="D1578" t="s">
        <v>53</v>
      </c>
      <c r="E1578" t="s">
        <v>56</v>
      </c>
      <c r="F1578" t="s">
        <v>58</v>
      </c>
      <c r="G1578" t="s">
        <v>31</v>
      </c>
      <c r="H1578" t="s">
        <v>32</v>
      </c>
      <c r="I1578" s="5">
        <v>280</v>
      </c>
      <c r="J1578" s="5">
        <v>225</v>
      </c>
      <c r="K1578" s="5">
        <v>17</v>
      </c>
      <c r="L1578" s="5">
        <v>3</v>
      </c>
      <c r="M1578" s="5">
        <v>3</v>
      </c>
      <c r="N1578" s="7">
        <v>883.89</v>
      </c>
      <c r="O1578" s="7">
        <f t="shared" si="170"/>
        <v>2651.67</v>
      </c>
      <c r="P1578" s="4">
        <v>0</v>
      </c>
      <c r="Q1578" s="7">
        <f t="shared" si="171"/>
        <v>0</v>
      </c>
      <c r="R1578" s="7">
        <f t="shared" si="172"/>
        <v>2651.67</v>
      </c>
      <c r="S1578" s="7">
        <f t="shared" si="173"/>
        <v>883.89</v>
      </c>
      <c r="T1578" s="6">
        <f t="shared" si="174"/>
        <v>1.0714285714285714E-2</v>
      </c>
      <c r="V1578" t="s">
        <v>29</v>
      </c>
    </row>
    <row r="1579" spans="1:22">
      <c r="A1579" s="3">
        <v>45723</v>
      </c>
      <c r="B1579" t="str">
        <f t="shared" si="168"/>
        <v>yyyy-03</v>
      </c>
      <c r="C1579">
        <f t="shared" si="169"/>
        <v>10</v>
      </c>
      <c r="D1579" t="s">
        <v>53</v>
      </c>
      <c r="E1579" t="s">
        <v>59</v>
      </c>
      <c r="F1579" t="s">
        <v>60</v>
      </c>
      <c r="G1579" t="s">
        <v>27</v>
      </c>
      <c r="H1579" t="s">
        <v>28</v>
      </c>
      <c r="I1579" s="5">
        <v>138</v>
      </c>
      <c r="J1579" s="5">
        <v>95</v>
      </c>
      <c r="K1579" s="5">
        <v>10</v>
      </c>
      <c r="L1579" s="5">
        <v>1</v>
      </c>
      <c r="M1579" s="5">
        <v>1</v>
      </c>
      <c r="N1579" s="7">
        <v>673.88</v>
      </c>
      <c r="O1579" s="7">
        <f t="shared" si="170"/>
        <v>673.88</v>
      </c>
      <c r="P1579" s="4">
        <v>0</v>
      </c>
      <c r="Q1579" s="7">
        <f t="shared" si="171"/>
        <v>0</v>
      </c>
      <c r="R1579" s="7">
        <f t="shared" si="172"/>
        <v>673.88</v>
      </c>
      <c r="S1579" s="7">
        <f t="shared" si="173"/>
        <v>673.88</v>
      </c>
      <c r="T1579" s="6">
        <f t="shared" si="174"/>
        <v>7.246376811594203E-3</v>
      </c>
      <c r="V1579" t="s">
        <v>78</v>
      </c>
    </row>
    <row r="1580" spans="1:22">
      <c r="A1580" s="3">
        <v>45723</v>
      </c>
      <c r="B1580" t="str">
        <f t="shared" si="168"/>
        <v>yyyy-03</v>
      </c>
      <c r="C1580">
        <f t="shared" si="169"/>
        <v>10</v>
      </c>
      <c r="D1580" t="s">
        <v>53</v>
      </c>
      <c r="E1580" t="s">
        <v>61</v>
      </c>
      <c r="F1580" t="s">
        <v>62</v>
      </c>
      <c r="G1580" t="s">
        <v>36</v>
      </c>
      <c r="H1580" t="s">
        <v>37</v>
      </c>
      <c r="I1580" s="5">
        <v>227</v>
      </c>
      <c r="J1580" s="5">
        <v>129</v>
      </c>
      <c r="K1580" s="5">
        <v>12</v>
      </c>
      <c r="L1580" s="5">
        <v>3</v>
      </c>
      <c r="M1580" s="5">
        <v>3</v>
      </c>
      <c r="N1580" s="7">
        <v>487.11</v>
      </c>
      <c r="O1580" s="7">
        <f t="shared" si="170"/>
        <v>1461.33</v>
      </c>
      <c r="P1580" s="4">
        <v>0</v>
      </c>
      <c r="Q1580" s="7">
        <f t="shared" si="171"/>
        <v>0</v>
      </c>
      <c r="R1580" s="7">
        <f t="shared" si="172"/>
        <v>1461.33</v>
      </c>
      <c r="S1580" s="7">
        <f t="shared" si="173"/>
        <v>487.10999999999996</v>
      </c>
      <c r="T1580" s="6">
        <f t="shared" si="174"/>
        <v>1.3215859030837005E-2</v>
      </c>
      <c r="V1580" t="s">
        <v>29</v>
      </c>
    </row>
    <row r="1581" spans="1:22">
      <c r="A1581" s="3">
        <v>45723</v>
      </c>
      <c r="B1581" t="str">
        <f t="shared" si="168"/>
        <v>yyyy-03</v>
      </c>
      <c r="C1581">
        <f t="shared" si="169"/>
        <v>10</v>
      </c>
      <c r="D1581" t="s">
        <v>53</v>
      </c>
      <c r="E1581" t="s">
        <v>64</v>
      </c>
      <c r="F1581" t="s">
        <v>65</v>
      </c>
      <c r="G1581" t="s">
        <v>31</v>
      </c>
      <c r="H1581" t="s">
        <v>32</v>
      </c>
      <c r="I1581" s="5">
        <v>216</v>
      </c>
      <c r="J1581" s="5">
        <v>134</v>
      </c>
      <c r="K1581" s="5">
        <v>9</v>
      </c>
      <c r="L1581" s="5">
        <v>3</v>
      </c>
      <c r="M1581" s="5">
        <v>3</v>
      </c>
      <c r="N1581" s="7">
        <v>784.68</v>
      </c>
      <c r="O1581" s="7">
        <f t="shared" si="170"/>
        <v>2354.04</v>
      </c>
      <c r="P1581" s="4">
        <v>0</v>
      </c>
      <c r="Q1581" s="7">
        <f t="shared" si="171"/>
        <v>0</v>
      </c>
      <c r="R1581" s="7">
        <f t="shared" si="172"/>
        <v>2354.04</v>
      </c>
      <c r="S1581" s="7">
        <f t="shared" si="173"/>
        <v>784.68</v>
      </c>
      <c r="T1581" s="6">
        <f t="shared" si="174"/>
        <v>1.3888888888888888E-2</v>
      </c>
      <c r="V1581" t="s">
        <v>29</v>
      </c>
    </row>
    <row r="1582" spans="1:22">
      <c r="A1582" s="3">
        <v>45723</v>
      </c>
      <c r="B1582" t="str">
        <f t="shared" si="168"/>
        <v>yyyy-03</v>
      </c>
      <c r="C1582">
        <f t="shared" si="169"/>
        <v>10</v>
      </c>
      <c r="D1582" t="s">
        <v>66</v>
      </c>
      <c r="E1582" t="s">
        <v>67</v>
      </c>
      <c r="F1582" t="s">
        <v>68</v>
      </c>
      <c r="G1582" t="s">
        <v>27</v>
      </c>
      <c r="H1582" t="s">
        <v>45</v>
      </c>
      <c r="I1582" s="5">
        <v>363</v>
      </c>
      <c r="J1582" s="5">
        <v>238</v>
      </c>
      <c r="K1582" s="5">
        <v>30</v>
      </c>
      <c r="L1582" s="5">
        <v>7</v>
      </c>
      <c r="M1582" s="5">
        <v>7</v>
      </c>
      <c r="N1582" s="7">
        <v>703.72</v>
      </c>
      <c r="O1582" s="7">
        <f t="shared" si="170"/>
        <v>4926.04</v>
      </c>
      <c r="P1582" s="4">
        <v>0.03</v>
      </c>
      <c r="Q1582" s="7">
        <f t="shared" si="171"/>
        <v>147.78119999999998</v>
      </c>
      <c r="R1582" s="7">
        <f t="shared" si="172"/>
        <v>4778.2587999999996</v>
      </c>
      <c r="S1582" s="7">
        <f t="shared" si="173"/>
        <v>682.60839999999996</v>
      </c>
      <c r="T1582" s="6">
        <f t="shared" si="174"/>
        <v>1.928374655647383E-2</v>
      </c>
      <c r="V1582" t="s">
        <v>29</v>
      </c>
    </row>
    <row r="1583" spans="1:22">
      <c r="A1583" s="3">
        <v>45723</v>
      </c>
      <c r="B1583" t="str">
        <f t="shared" si="168"/>
        <v>yyyy-03</v>
      </c>
      <c r="C1583">
        <f t="shared" si="169"/>
        <v>10</v>
      </c>
      <c r="D1583" t="s">
        <v>66</v>
      </c>
      <c r="E1583" t="s">
        <v>67</v>
      </c>
      <c r="F1583" t="s">
        <v>69</v>
      </c>
      <c r="G1583" t="s">
        <v>27</v>
      </c>
      <c r="H1583" t="s">
        <v>45</v>
      </c>
      <c r="I1583" s="5">
        <v>353</v>
      </c>
      <c r="J1583" s="5">
        <v>273</v>
      </c>
      <c r="K1583" s="5">
        <v>27</v>
      </c>
      <c r="L1583" s="5">
        <v>6</v>
      </c>
      <c r="M1583" s="5">
        <v>6</v>
      </c>
      <c r="N1583" s="7">
        <v>398.25</v>
      </c>
      <c r="O1583" s="7">
        <f t="shared" si="170"/>
        <v>2389.5</v>
      </c>
      <c r="P1583" s="4">
        <v>0.03</v>
      </c>
      <c r="Q1583" s="7">
        <f t="shared" si="171"/>
        <v>71.685000000000002</v>
      </c>
      <c r="R1583" s="7">
        <f t="shared" si="172"/>
        <v>2317.8150000000001</v>
      </c>
      <c r="S1583" s="7">
        <f t="shared" si="173"/>
        <v>386.30250000000001</v>
      </c>
      <c r="T1583" s="6">
        <f t="shared" si="174"/>
        <v>1.69971671388102E-2</v>
      </c>
      <c r="V1583" t="s">
        <v>29</v>
      </c>
    </row>
    <row r="1584" spans="1:22">
      <c r="A1584" s="3">
        <v>45723</v>
      </c>
      <c r="B1584" t="str">
        <f t="shared" si="168"/>
        <v>yyyy-03</v>
      </c>
      <c r="C1584">
        <f t="shared" si="169"/>
        <v>10</v>
      </c>
      <c r="D1584" t="s">
        <v>66</v>
      </c>
      <c r="E1584" t="s">
        <v>67</v>
      </c>
      <c r="F1584" t="s">
        <v>70</v>
      </c>
      <c r="G1584" t="s">
        <v>31</v>
      </c>
      <c r="H1584" t="s">
        <v>32</v>
      </c>
      <c r="I1584" s="5">
        <v>427</v>
      </c>
      <c r="J1584" s="5">
        <v>272</v>
      </c>
      <c r="K1584" s="5">
        <v>17</v>
      </c>
      <c r="L1584" s="5">
        <v>7</v>
      </c>
      <c r="M1584" s="5">
        <v>7</v>
      </c>
      <c r="N1584" s="7">
        <v>355.01</v>
      </c>
      <c r="O1584" s="7">
        <f t="shared" si="170"/>
        <v>2485.0699999999997</v>
      </c>
      <c r="P1584" s="4">
        <v>0</v>
      </c>
      <c r="Q1584" s="7">
        <f t="shared" si="171"/>
        <v>0</v>
      </c>
      <c r="R1584" s="7">
        <f t="shared" si="172"/>
        <v>2485.0699999999997</v>
      </c>
      <c r="S1584" s="7">
        <f t="shared" si="173"/>
        <v>355.00999999999993</v>
      </c>
      <c r="T1584" s="6">
        <f t="shared" si="174"/>
        <v>1.6393442622950821E-2</v>
      </c>
      <c r="V1584" t="s">
        <v>29</v>
      </c>
    </row>
    <row r="1585" spans="1:22">
      <c r="A1585" s="3">
        <v>45723</v>
      </c>
      <c r="B1585" t="str">
        <f t="shared" si="168"/>
        <v>yyyy-03</v>
      </c>
      <c r="C1585">
        <f t="shared" si="169"/>
        <v>10</v>
      </c>
      <c r="D1585" t="s">
        <v>66</v>
      </c>
      <c r="E1585" t="s">
        <v>71</v>
      </c>
      <c r="F1585" t="s">
        <v>72</v>
      </c>
      <c r="G1585" t="s">
        <v>31</v>
      </c>
      <c r="H1585" t="s">
        <v>32</v>
      </c>
      <c r="I1585" s="5">
        <v>289</v>
      </c>
      <c r="J1585" s="5">
        <v>163</v>
      </c>
      <c r="K1585" s="5">
        <v>19</v>
      </c>
      <c r="L1585" s="5">
        <v>7</v>
      </c>
      <c r="M1585" s="5">
        <v>7</v>
      </c>
      <c r="N1585" s="7">
        <v>124.35</v>
      </c>
      <c r="O1585" s="7">
        <f t="shared" si="170"/>
        <v>870.44999999999993</v>
      </c>
      <c r="P1585" s="4">
        <v>0.15</v>
      </c>
      <c r="Q1585" s="7">
        <f t="shared" si="171"/>
        <v>130.5675</v>
      </c>
      <c r="R1585" s="7">
        <f t="shared" si="172"/>
        <v>739.88249999999994</v>
      </c>
      <c r="S1585" s="7">
        <f t="shared" si="173"/>
        <v>105.69749999999999</v>
      </c>
      <c r="T1585" s="6">
        <f t="shared" si="174"/>
        <v>2.4221453287197232E-2</v>
      </c>
      <c r="U1585" t="s">
        <v>87</v>
      </c>
      <c r="V1585" t="s">
        <v>29</v>
      </c>
    </row>
    <row r="1586" spans="1:22">
      <c r="A1586" s="3">
        <v>45723</v>
      </c>
      <c r="B1586" t="str">
        <f t="shared" si="168"/>
        <v>yyyy-03</v>
      </c>
      <c r="C1586">
        <f t="shared" si="169"/>
        <v>10</v>
      </c>
      <c r="D1586" t="s">
        <v>66</v>
      </c>
      <c r="E1586" t="s">
        <v>73</v>
      </c>
      <c r="F1586" t="s">
        <v>74</v>
      </c>
      <c r="G1586" t="s">
        <v>27</v>
      </c>
      <c r="H1586" t="s">
        <v>48</v>
      </c>
      <c r="I1586" s="5">
        <v>184</v>
      </c>
      <c r="J1586" s="5">
        <v>140</v>
      </c>
      <c r="K1586" s="5">
        <v>14</v>
      </c>
      <c r="L1586" s="5">
        <v>3</v>
      </c>
      <c r="M1586" s="5">
        <v>3</v>
      </c>
      <c r="N1586" s="7">
        <v>1199.43</v>
      </c>
      <c r="O1586" s="7">
        <f t="shared" si="170"/>
        <v>3598.29</v>
      </c>
      <c r="P1586" s="4">
        <v>0</v>
      </c>
      <c r="Q1586" s="7">
        <f t="shared" si="171"/>
        <v>0</v>
      </c>
      <c r="R1586" s="7">
        <f t="shared" si="172"/>
        <v>3598.29</v>
      </c>
      <c r="S1586" s="7">
        <f t="shared" si="173"/>
        <v>1199.43</v>
      </c>
      <c r="T1586" s="6">
        <f t="shared" si="174"/>
        <v>1.6304347826086956E-2</v>
      </c>
      <c r="V1586" t="s">
        <v>29</v>
      </c>
    </row>
    <row r="1587" spans="1:22">
      <c r="A1587" s="3">
        <v>45723</v>
      </c>
      <c r="B1587" t="str">
        <f t="shared" si="168"/>
        <v>yyyy-03</v>
      </c>
      <c r="C1587">
        <f t="shared" si="169"/>
        <v>10</v>
      </c>
      <c r="D1587" t="s">
        <v>66</v>
      </c>
      <c r="E1587" t="s">
        <v>71</v>
      </c>
      <c r="F1587" t="s">
        <v>75</v>
      </c>
      <c r="G1587" t="s">
        <v>31</v>
      </c>
      <c r="H1587" t="s">
        <v>32</v>
      </c>
      <c r="I1587" s="5">
        <v>402</v>
      </c>
      <c r="J1587" s="5">
        <v>299</v>
      </c>
      <c r="K1587" s="5">
        <v>35</v>
      </c>
      <c r="L1587" s="5">
        <v>8</v>
      </c>
      <c r="M1587" s="5">
        <v>10</v>
      </c>
      <c r="N1587" s="7">
        <v>38.72</v>
      </c>
      <c r="O1587" s="7">
        <f t="shared" si="170"/>
        <v>387.2</v>
      </c>
      <c r="P1587" s="4">
        <v>0.15</v>
      </c>
      <c r="Q1587" s="7">
        <f t="shared" si="171"/>
        <v>58.08</v>
      </c>
      <c r="R1587" s="7">
        <f t="shared" si="172"/>
        <v>329.12</v>
      </c>
      <c r="S1587" s="7">
        <f t="shared" si="173"/>
        <v>41.14</v>
      </c>
      <c r="T1587" s="6">
        <f t="shared" si="174"/>
        <v>1.9900497512437811E-2</v>
      </c>
      <c r="U1587" t="s">
        <v>87</v>
      </c>
      <c r="V1587" t="s">
        <v>29</v>
      </c>
    </row>
    <row r="1588" spans="1:22">
      <c r="A1588" s="3">
        <v>45723</v>
      </c>
      <c r="B1588" t="str">
        <f t="shared" si="168"/>
        <v>yyyy-03</v>
      </c>
      <c r="C1588">
        <f t="shared" si="169"/>
        <v>10</v>
      </c>
      <c r="D1588" t="s">
        <v>24</v>
      </c>
      <c r="E1588" t="s">
        <v>76</v>
      </c>
      <c r="F1588" t="s">
        <v>77</v>
      </c>
      <c r="G1588" t="s">
        <v>27</v>
      </c>
      <c r="H1588" t="s">
        <v>48</v>
      </c>
      <c r="I1588" s="5">
        <v>373</v>
      </c>
      <c r="J1588" s="5">
        <v>270</v>
      </c>
      <c r="K1588" s="5">
        <v>32</v>
      </c>
      <c r="L1588" s="5">
        <v>8</v>
      </c>
      <c r="M1588" s="5">
        <v>10</v>
      </c>
      <c r="N1588" s="7">
        <v>199.19</v>
      </c>
      <c r="O1588" s="7">
        <f t="shared" si="170"/>
        <v>1991.9</v>
      </c>
      <c r="P1588" s="4">
        <v>0.05</v>
      </c>
      <c r="Q1588" s="7">
        <f t="shared" si="171"/>
        <v>99.595000000000013</v>
      </c>
      <c r="R1588" s="7">
        <f t="shared" si="172"/>
        <v>1892.3050000000001</v>
      </c>
      <c r="S1588" s="7">
        <f t="shared" si="173"/>
        <v>236.53812500000001</v>
      </c>
      <c r="T1588" s="6">
        <f t="shared" si="174"/>
        <v>2.1447721179624665E-2</v>
      </c>
      <c r="V1588" t="s">
        <v>29</v>
      </c>
    </row>
    <row r="1589" spans="1:22">
      <c r="A1589" s="3">
        <v>45724</v>
      </c>
      <c r="B1589" t="str">
        <f t="shared" si="168"/>
        <v>yyyy-03</v>
      </c>
      <c r="C1589">
        <f t="shared" si="169"/>
        <v>10</v>
      </c>
      <c r="D1589" t="s">
        <v>24</v>
      </c>
      <c r="E1589" t="s">
        <v>25</v>
      </c>
      <c r="F1589" t="s">
        <v>26</v>
      </c>
      <c r="G1589" t="s">
        <v>27</v>
      </c>
      <c r="H1589" t="s">
        <v>45</v>
      </c>
      <c r="I1589" s="5">
        <v>1528</v>
      </c>
      <c r="J1589" s="5">
        <v>1000</v>
      </c>
      <c r="K1589" s="5">
        <v>164</v>
      </c>
      <c r="L1589" s="5">
        <v>34</v>
      </c>
      <c r="M1589" s="5">
        <v>34</v>
      </c>
      <c r="N1589" s="7">
        <v>1017.35</v>
      </c>
      <c r="O1589" s="7">
        <f t="shared" si="170"/>
        <v>34589.9</v>
      </c>
      <c r="P1589" s="4">
        <v>0.13</v>
      </c>
      <c r="Q1589" s="7">
        <f t="shared" si="171"/>
        <v>4496.6869999999999</v>
      </c>
      <c r="R1589" s="7">
        <f t="shared" si="172"/>
        <v>30093.213000000003</v>
      </c>
      <c r="S1589" s="7">
        <f t="shared" si="173"/>
        <v>885.09450000000015</v>
      </c>
      <c r="T1589" s="6">
        <f t="shared" si="174"/>
        <v>2.2251308900523559E-2</v>
      </c>
      <c r="U1589" t="s">
        <v>88</v>
      </c>
      <c r="V1589" t="s">
        <v>29</v>
      </c>
    </row>
    <row r="1590" spans="1:22">
      <c r="A1590" s="3">
        <v>45724</v>
      </c>
      <c r="B1590" t="str">
        <f t="shared" si="168"/>
        <v>yyyy-03</v>
      </c>
      <c r="C1590">
        <f t="shared" si="169"/>
        <v>10</v>
      </c>
      <c r="D1590" t="s">
        <v>24</v>
      </c>
      <c r="E1590" t="s">
        <v>25</v>
      </c>
      <c r="F1590" t="s">
        <v>30</v>
      </c>
      <c r="G1590" t="s">
        <v>27</v>
      </c>
      <c r="H1590" t="s">
        <v>63</v>
      </c>
      <c r="I1590" s="5">
        <v>1526</v>
      </c>
      <c r="J1590" s="5">
        <v>1073</v>
      </c>
      <c r="K1590" s="5">
        <v>114</v>
      </c>
      <c r="L1590" s="5">
        <v>33</v>
      </c>
      <c r="M1590" s="5">
        <v>33</v>
      </c>
      <c r="N1590" s="7">
        <v>396.33</v>
      </c>
      <c r="O1590" s="7">
        <f t="shared" si="170"/>
        <v>13078.89</v>
      </c>
      <c r="P1590" s="4">
        <v>0.13</v>
      </c>
      <c r="Q1590" s="7">
        <f t="shared" si="171"/>
        <v>1700.2556999999999</v>
      </c>
      <c r="R1590" s="7">
        <f t="shared" si="172"/>
        <v>11378.6343</v>
      </c>
      <c r="S1590" s="7">
        <f t="shared" si="173"/>
        <v>344.80709999999999</v>
      </c>
      <c r="T1590" s="6">
        <f t="shared" si="174"/>
        <v>2.1625163826998691E-2</v>
      </c>
      <c r="U1590" t="s">
        <v>88</v>
      </c>
      <c r="V1590" t="s">
        <v>78</v>
      </c>
    </row>
    <row r="1591" spans="1:22">
      <c r="A1591" s="3">
        <v>45724</v>
      </c>
      <c r="B1591" t="str">
        <f t="shared" si="168"/>
        <v>yyyy-03</v>
      </c>
      <c r="C1591">
        <f t="shared" si="169"/>
        <v>10</v>
      </c>
      <c r="D1591" t="s">
        <v>24</v>
      </c>
      <c r="E1591" t="s">
        <v>25</v>
      </c>
      <c r="F1591" t="s">
        <v>33</v>
      </c>
      <c r="G1591" t="s">
        <v>27</v>
      </c>
      <c r="H1591" t="s">
        <v>48</v>
      </c>
      <c r="I1591" s="5">
        <v>1519</v>
      </c>
      <c r="J1591" s="5">
        <v>862</v>
      </c>
      <c r="K1591" s="5">
        <v>109</v>
      </c>
      <c r="L1591" s="5">
        <v>30</v>
      </c>
      <c r="M1591" s="5">
        <v>30</v>
      </c>
      <c r="N1591" s="7">
        <v>1807.19</v>
      </c>
      <c r="O1591" s="7">
        <f t="shared" si="170"/>
        <v>54215.700000000004</v>
      </c>
      <c r="P1591" s="4">
        <v>0.13</v>
      </c>
      <c r="Q1591" s="7">
        <f t="shared" si="171"/>
        <v>7048.0410000000011</v>
      </c>
      <c r="R1591" s="7">
        <f t="shared" si="172"/>
        <v>47167.659</v>
      </c>
      <c r="S1591" s="7">
        <f t="shared" si="173"/>
        <v>1572.2553</v>
      </c>
      <c r="T1591" s="6">
        <f t="shared" si="174"/>
        <v>1.9749835418038184E-2</v>
      </c>
      <c r="U1591" t="s">
        <v>88</v>
      </c>
      <c r="V1591" t="s">
        <v>29</v>
      </c>
    </row>
    <row r="1592" spans="1:22">
      <c r="A1592" s="3">
        <v>45724</v>
      </c>
      <c r="B1592" t="str">
        <f t="shared" si="168"/>
        <v>yyyy-03</v>
      </c>
      <c r="C1592">
        <f t="shared" si="169"/>
        <v>10</v>
      </c>
      <c r="D1592" t="s">
        <v>24</v>
      </c>
      <c r="E1592" t="s">
        <v>34</v>
      </c>
      <c r="F1592" t="s">
        <v>35</v>
      </c>
      <c r="G1592" t="s">
        <v>36</v>
      </c>
      <c r="H1592" t="s">
        <v>37</v>
      </c>
      <c r="I1592" s="5">
        <v>1109</v>
      </c>
      <c r="J1592" s="5">
        <v>660</v>
      </c>
      <c r="K1592" s="5">
        <v>116</v>
      </c>
      <c r="L1592" s="5">
        <v>24</v>
      </c>
      <c r="M1592" s="5">
        <v>24</v>
      </c>
      <c r="N1592" s="7">
        <v>904.84</v>
      </c>
      <c r="O1592" s="7">
        <f t="shared" si="170"/>
        <v>21716.16</v>
      </c>
      <c r="P1592" s="4">
        <v>0</v>
      </c>
      <c r="Q1592" s="7">
        <f t="shared" si="171"/>
        <v>0</v>
      </c>
      <c r="R1592" s="7">
        <f t="shared" si="172"/>
        <v>21716.16</v>
      </c>
      <c r="S1592" s="7">
        <f t="shared" si="173"/>
        <v>904.84</v>
      </c>
      <c r="T1592" s="6">
        <f t="shared" si="174"/>
        <v>2.1641118124436431E-2</v>
      </c>
      <c r="V1592" t="s">
        <v>29</v>
      </c>
    </row>
    <row r="1593" spans="1:22">
      <c r="A1593" s="3">
        <v>45724</v>
      </c>
      <c r="B1593" t="str">
        <f t="shared" si="168"/>
        <v>yyyy-03</v>
      </c>
      <c r="C1593">
        <f t="shared" si="169"/>
        <v>10</v>
      </c>
      <c r="D1593" t="s">
        <v>24</v>
      </c>
      <c r="E1593" t="s">
        <v>38</v>
      </c>
      <c r="F1593" t="s">
        <v>39</v>
      </c>
      <c r="G1593" t="s">
        <v>27</v>
      </c>
      <c r="H1593" t="s">
        <v>63</v>
      </c>
      <c r="I1593" s="5">
        <v>660</v>
      </c>
      <c r="J1593" s="5">
        <v>440</v>
      </c>
      <c r="K1593" s="5">
        <v>48</v>
      </c>
      <c r="L1593" s="5">
        <v>10</v>
      </c>
      <c r="M1593" s="5">
        <v>10</v>
      </c>
      <c r="N1593" s="7">
        <v>320.49</v>
      </c>
      <c r="O1593" s="7">
        <f t="shared" si="170"/>
        <v>3204.9</v>
      </c>
      <c r="P1593" s="4">
        <v>0</v>
      </c>
      <c r="Q1593" s="7">
        <f t="shared" si="171"/>
        <v>0</v>
      </c>
      <c r="R1593" s="7">
        <f t="shared" si="172"/>
        <v>3204.9</v>
      </c>
      <c r="S1593" s="7">
        <f t="shared" si="173"/>
        <v>320.49</v>
      </c>
      <c r="T1593" s="6">
        <f t="shared" si="174"/>
        <v>1.5151515151515152E-2</v>
      </c>
      <c r="V1593" t="s">
        <v>29</v>
      </c>
    </row>
    <row r="1594" spans="1:22">
      <c r="A1594" s="3">
        <v>45724</v>
      </c>
      <c r="B1594" t="str">
        <f t="shared" si="168"/>
        <v>yyyy-03</v>
      </c>
      <c r="C1594">
        <f t="shared" si="169"/>
        <v>10</v>
      </c>
      <c r="D1594" t="s">
        <v>24</v>
      </c>
      <c r="E1594" t="s">
        <v>40</v>
      </c>
      <c r="F1594" t="s">
        <v>41</v>
      </c>
      <c r="G1594" t="s">
        <v>27</v>
      </c>
      <c r="H1594" t="s">
        <v>48</v>
      </c>
      <c r="I1594" s="5">
        <v>562</v>
      </c>
      <c r="J1594" s="5">
        <v>361</v>
      </c>
      <c r="K1594" s="5">
        <v>33</v>
      </c>
      <c r="L1594" s="5">
        <v>10</v>
      </c>
      <c r="M1594" s="5">
        <v>11</v>
      </c>
      <c r="N1594" s="7">
        <v>180.48</v>
      </c>
      <c r="O1594" s="7">
        <f t="shared" si="170"/>
        <v>1985.28</v>
      </c>
      <c r="P1594" s="4">
        <v>0</v>
      </c>
      <c r="Q1594" s="7">
        <f t="shared" si="171"/>
        <v>0</v>
      </c>
      <c r="R1594" s="7">
        <f t="shared" si="172"/>
        <v>1985.28</v>
      </c>
      <c r="S1594" s="7">
        <f t="shared" si="173"/>
        <v>198.52799999999999</v>
      </c>
      <c r="T1594" s="6">
        <f t="shared" si="174"/>
        <v>1.7793594306049824E-2</v>
      </c>
      <c r="V1594" t="s">
        <v>29</v>
      </c>
    </row>
    <row r="1595" spans="1:22">
      <c r="A1595" s="3">
        <v>45724</v>
      </c>
      <c r="B1595" t="str">
        <f t="shared" si="168"/>
        <v>yyyy-03</v>
      </c>
      <c r="C1595">
        <f t="shared" si="169"/>
        <v>10</v>
      </c>
      <c r="D1595" t="s">
        <v>42</v>
      </c>
      <c r="E1595" t="s">
        <v>43</v>
      </c>
      <c r="F1595" t="s">
        <v>44</v>
      </c>
      <c r="G1595" t="s">
        <v>36</v>
      </c>
      <c r="H1595" t="s">
        <v>37</v>
      </c>
      <c r="I1595" s="5">
        <v>568</v>
      </c>
      <c r="J1595" s="5">
        <v>309</v>
      </c>
      <c r="K1595" s="5">
        <v>26</v>
      </c>
      <c r="L1595" s="5">
        <v>9</v>
      </c>
      <c r="M1595" s="5">
        <v>9</v>
      </c>
      <c r="N1595" s="7">
        <v>1285.44</v>
      </c>
      <c r="O1595" s="7">
        <f t="shared" si="170"/>
        <v>11568.960000000001</v>
      </c>
      <c r="P1595" s="4">
        <v>0.03</v>
      </c>
      <c r="Q1595" s="7">
        <f t="shared" si="171"/>
        <v>347.06880000000001</v>
      </c>
      <c r="R1595" s="7">
        <f t="shared" si="172"/>
        <v>11221.891200000002</v>
      </c>
      <c r="S1595" s="7">
        <f t="shared" si="173"/>
        <v>1246.8768000000002</v>
      </c>
      <c r="T1595" s="6">
        <f t="shared" si="174"/>
        <v>1.5845070422535211E-2</v>
      </c>
      <c r="V1595" t="s">
        <v>29</v>
      </c>
    </row>
    <row r="1596" spans="1:22">
      <c r="A1596" s="3">
        <v>45724</v>
      </c>
      <c r="B1596" t="str">
        <f t="shared" si="168"/>
        <v>yyyy-03</v>
      </c>
      <c r="C1596">
        <f t="shared" si="169"/>
        <v>10</v>
      </c>
      <c r="D1596" t="s">
        <v>42</v>
      </c>
      <c r="E1596" t="s">
        <v>43</v>
      </c>
      <c r="F1596" t="s">
        <v>46</v>
      </c>
      <c r="G1596" t="s">
        <v>31</v>
      </c>
      <c r="H1596" t="s">
        <v>32</v>
      </c>
      <c r="I1596" s="5">
        <v>675</v>
      </c>
      <c r="J1596" s="5">
        <v>558</v>
      </c>
      <c r="K1596" s="5">
        <v>28</v>
      </c>
      <c r="L1596" s="5">
        <v>7</v>
      </c>
      <c r="M1596" s="5">
        <v>7</v>
      </c>
      <c r="N1596" s="7">
        <v>2240.83</v>
      </c>
      <c r="O1596" s="7">
        <f t="shared" si="170"/>
        <v>15685.81</v>
      </c>
      <c r="P1596" s="4">
        <v>0.05</v>
      </c>
      <c r="Q1596" s="7">
        <f t="shared" si="171"/>
        <v>784.29050000000007</v>
      </c>
      <c r="R1596" s="7">
        <f t="shared" si="172"/>
        <v>14901.519499999999</v>
      </c>
      <c r="S1596" s="7">
        <f t="shared" si="173"/>
        <v>2128.7884999999997</v>
      </c>
      <c r="T1596" s="6">
        <f t="shared" si="174"/>
        <v>1.037037037037037E-2</v>
      </c>
      <c r="V1596" t="s">
        <v>29</v>
      </c>
    </row>
    <row r="1597" spans="1:22">
      <c r="A1597" s="3">
        <v>45724</v>
      </c>
      <c r="B1597" t="str">
        <f t="shared" si="168"/>
        <v>yyyy-03</v>
      </c>
      <c r="C1597">
        <f t="shared" si="169"/>
        <v>10</v>
      </c>
      <c r="D1597" t="s">
        <v>42</v>
      </c>
      <c r="E1597" t="s">
        <v>43</v>
      </c>
      <c r="F1597" t="s">
        <v>47</v>
      </c>
      <c r="G1597" t="s">
        <v>36</v>
      </c>
      <c r="H1597" t="s">
        <v>37</v>
      </c>
      <c r="I1597" s="5">
        <v>554</v>
      </c>
      <c r="J1597" s="5">
        <v>303</v>
      </c>
      <c r="K1597" s="5">
        <v>21</v>
      </c>
      <c r="L1597" s="5">
        <v>7</v>
      </c>
      <c r="M1597" s="5">
        <v>7</v>
      </c>
      <c r="N1597" s="7">
        <v>610.85</v>
      </c>
      <c r="O1597" s="7">
        <f t="shared" si="170"/>
        <v>4275.95</v>
      </c>
      <c r="P1597" s="4">
        <v>0.05</v>
      </c>
      <c r="Q1597" s="7">
        <f t="shared" si="171"/>
        <v>213.79750000000001</v>
      </c>
      <c r="R1597" s="7">
        <f t="shared" si="172"/>
        <v>4062.1524999999997</v>
      </c>
      <c r="S1597" s="7">
        <f t="shared" si="173"/>
        <v>580.3075</v>
      </c>
      <c r="T1597" s="6">
        <f t="shared" si="174"/>
        <v>1.263537906137184E-2</v>
      </c>
      <c r="V1597" t="s">
        <v>29</v>
      </c>
    </row>
    <row r="1598" spans="1:22">
      <c r="A1598" s="3">
        <v>45724</v>
      </c>
      <c r="B1598" t="str">
        <f t="shared" si="168"/>
        <v>yyyy-03</v>
      </c>
      <c r="C1598">
        <f t="shared" si="169"/>
        <v>10</v>
      </c>
      <c r="D1598" t="s">
        <v>42</v>
      </c>
      <c r="E1598" t="s">
        <v>49</v>
      </c>
      <c r="F1598" t="s">
        <v>50</v>
      </c>
      <c r="G1598" t="s">
        <v>31</v>
      </c>
      <c r="H1598" t="s">
        <v>32</v>
      </c>
      <c r="I1598" s="5">
        <v>162</v>
      </c>
      <c r="J1598" s="5">
        <v>125</v>
      </c>
      <c r="K1598" s="5">
        <v>9</v>
      </c>
      <c r="L1598" s="5">
        <v>2</v>
      </c>
      <c r="M1598" s="5">
        <v>2</v>
      </c>
      <c r="N1598" s="7">
        <v>1018.59</v>
      </c>
      <c r="O1598" s="7">
        <f t="shared" si="170"/>
        <v>2037.18</v>
      </c>
      <c r="P1598" s="4">
        <v>0</v>
      </c>
      <c r="Q1598" s="7">
        <f t="shared" si="171"/>
        <v>0</v>
      </c>
      <c r="R1598" s="7">
        <f t="shared" si="172"/>
        <v>2037.18</v>
      </c>
      <c r="S1598" s="7">
        <f t="shared" si="173"/>
        <v>1018.59</v>
      </c>
      <c r="T1598" s="6">
        <f t="shared" si="174"/>
        <v>1.2345679012345678E-2</v>
      </c>
      <c r="V1598" t="s">
        <v>29</v>
      </c>
    </row>
    <row r="1599" spans="1:22">
      <c r="A1599" s="3">
        <v>45724</v>
      </c>
      <c r="B1599" t="str">
        <f t="shared" si="168"/>
        <v>yyyy-03</v>
      </c>
      <c r="C1599">
        <f t="shared" si="169"/>
        <v>10</v>
      </c>
      <c r="D1599" t="s">
        <v>42</v>
      </c>
      <c r="E1599" t="s">
        <v>51</v>
      </c>
      <c r="F1599" t="s">
        <v>52</v>
      </c>
      <c r="G1599" t="s">
        <v>31</v>
      </c>
      <c r="H1599" t="s">
        <v>32</v>
      </c>
      <c r="I1599" s="5">
        <v>363</v>
      </c>
      <c r="J1599" s="5">
        <v>257</v>
      </c>
      <c r="K1599" s="5">
        <v>28</v>
      </c>
      <c r="L1599" s="5">
        <v>4</v>
      </c>
      <c r="M1599" s="5">
        <v>4</v>
      </c>
      <c r="N1599" s="7">
        <v>580.70000000000005</v>
      </c>
      <c r="O1599" s="7">
        <f t="shared" si="170"/>
        <v>2322.8000000000002</v>
      </c>
      <c r="P1599" s="4">
        <v>0.03</v>
      </c>
      <c r="Q1599" s="7">
        <f t="shared" si="171"/>
        <v>69.683999999999997</v>
      </c>
      <c r="R1599" s="7">
        <f t="shared" si="172"/>
        <v>2253.116</v>
      </c>
      <c r="S1599" s="7">
        <f t="shared" si="173"/>
        <v>563.279</v>
      </c>
      <c r="T1599" s="6">
        <f t="shared" si="174"/>
        <v>1.1019283746556474E-2</v>
      </c>
      <c r="V1599" t="s">
        <v>29</v>
      </c>
    </row>
    <row r="1600" spans="1:22">
      <c r="A1600" s="3">
        <v>45724</v>
      </c>
      <c r="B1600" t="str">
        <f t="shared" si="168"/>
        <v>yyyy-03</v>
      </c>
      <c r="C1600">
        <f t="shared" si="169"/>
        <v>10</v>
      </c>
      <c r="D1600" t="s">
        <v>53</v>
      </c>
      <c r="E1600" t="s">
        <v>54</v>
      </c>
      <c r="F1600" t="s">
        <v>55</v>
      </c>
      <c r="G1600" t="s">
        <v>27</v>
      </c>
      <c r="H1600" t="s">
        <v>45</v>
      </c>
      <c r="I1600" s="5">
        <v>170</v>
      </c>
      <c r="J1600" s="5">
        <v>120</v>
      </c>
      <c r="K1600" s="5">
        <v>13</v>
      </c>
      <c r="L1600" s="5">
        <v>2</v>
      </c>
      <c r="M1600" s="5">
        <v>2</v>
      </c>
      <c r="N1600" s="7">
        <v>1298.8699999999999</v>
      </c>
      <c r="O1600" s="7">
        <f t="shared" si="170"/>
        <v>2597.7399999999998</v>
      </c>
      <c r="P1600" s="4">
        <v>0.03</v>
      </c>
      <c r="Q1600" s="7">
        <f t="shared" si="171"/>
        <v>77.932199999999995</v>
      </c>
      <c r="R1600" s="7">
        <f t="shared" si="172"/>
        <v>2519.8077999999996</v>
      </c>
      <c r="S1600" s="7">
        <f t="shared" si="173"/>
        <v>1259.9038999999998</v>
      </c>
      <c r="T1600" s="6">
        <f t="shared" si="174"/>
        <v>1.1764705882352941E-2</v>
      </c>
      <c r="V1600" t="s">
        <v>29</v>
      </c>
    </row>
    <row r="1601" spans="1:22">
      <c r="A1601" s="3">
        <v>45724</v>
      </c>
      <c r="B1601" t="str">
        <f t="shared" si="168"/>
        <v>yyyy-03</v>
      </c>
      <c r="C1601">
        <f t="shared" si="169"/>
        <v>10</v>
      </c>
      <c r="D1601" t="s">
        <v>53</v>
      </c>
      <c r="E1601" t="s">
        <v>56</v>
      </c>
      <c r="F1601" t="s">
        <v>57</v>
      </c>
      <c r="G1601" t="s">
        <v>27</v>
      </c>
      <c r="H1601" t="s">
        <v>45</v>
      </c>
      <c r="I1601" s="5">
        <v>181</v>
      </c>
      <c r="J1601" s="5">
        <v>133</v>
      </c>
      <c r="K1601" s="5">
        <v>9</v>
      </c>
      <c r="L1601" s="5">
        <v>2</v>
      </c>
      <c r="M1601" s="5">
        <v>2</v>
      </c>
      <c r="N1601" s="7">
        <v>763.29</v>
      </c>
      <c r="O1601" s="7">
        <f t="shared" si="170"/>
        <v>1526.58</v>
      </c>
      <c r="P1601" s="4">
        <v>0</v>
      </c>
      <c r="Q1601" s="7">
        <f t="shared" si="171"/>
        <v>0</v>
      </c>
      <c r="R1601" s="7">
        <f t="shared" si="172"/>
        <v>1526.58</v>
      </c>
      <c r="S1601" s="7">
        <f t="shared" si="173"/>
        <v>763.29</v>
      </c>
      <c r="T1601" s="6">
        <f t="shared" si="174"/>
        <v>1.1049723756906077E-2</v>
      </c>
      <c r="V1601" t="s">
        <v>29</v>
      </c>
    </row>
    <row r="1602" spans="1:22">
      <c r="A1602" s="3">
        <v>45724</v>
      </c>
      <c r="B1602" t="str">
        <f t="shared" si="168"/>
        <v>yyyy-03</v>
      </c>
      <c r="C1602">
        <f t="shared" si="169"/>
        <v>10</v>
      </c>
      <c r="D1602" t="s">
        <v>53</v>
      </c>
      <c r="E1602" t="s">
        <v>56</v>
      </c>
      <c r="F1602" t="s">
        <v>58</v>
      </c>
      <c r="G1602" t="s">
        <v>36</v>
      </c>
      <c r="H1602" t="s">
        <v>37</v>
      </c>
      <c r="I1602" s="5">
        <v>249</v>
      </c>
      <c r="J1602" s="5">
        <v>165</v>
      </c>
      <c r="K1602" s="5">
        <v>7</v>
      </c>
      <c r="L1602" s="5">
        <v>3</v>
      </c>
      <c r="M1602" s="5">
        <v>3</v>
      </c>
      <c r="N1602" s="7">
        <v>910.25</v>
      </c>
      <c r="O1602" s="7">
        <f t="shared" si="170"/>
        <v>2730.75</v>
      </c>
      <c r="P1602" s="4">
        <v>0</v>
      </c>
      <c r="Q1602" s="7">
        <f t="shared" si="171"/>
        <v>0</v>
      </c>
      <c r="R1602" s="7">
        <f t="shared" si="172"/>
        <v>2730.75</v>
      </c>
      <c r="S1602" s="7">
        <f t="shared" si="173"/>
        <v>910.25</v>
      </c>
      <c r="T1602" s="6">
        <f t="shared" si="174"/>
        <v>1.2048192771084338E-2</v>
      </c>
      <c r="V1602" t="s">
        <v>29</v>
      </c>
    </row>
    <row r="1603" spans="1:22">
      <c r="A1603" s="3">
        <v>45724</v>
      </c>
      <c r="B1603" t="str">
        <f t="shared" si="168"/>
        <v>yyyy-03</v>
      </c>
      <c r="C1603">
        <f t="shared" si="169"/>
        <v>10</v>
      </c>
      <c r="D1603" t="s">
        <v>53</v>
      </c>
      <c r="E1603" t="s">
        <v>59</v>
      </c>
      <c r="F1603" t="s">
        <v>60</v>
      </c>
      <c r="G1603" t="s">
        <v>31</v>
      </c>
      <c r="H1603" t="s">
        <v>32</v>
      </c>
      <c r="I1603" s="5">
        <v>196</v>
      </c>
      <c r="J1603" s="5">
        <v>122</v>
      </c>
      <c r="K1603" s="5">
        <v>10</v>
      </c>
      <c r="L1603" s="5">
        <v>2</v>
      </c>
      <c r="M1603" s="5">
        <v>2</v>
      </c>
      <c r="N1603" s="7">
        <v>688.23</v>
      </c>
      <c r="O1603" s="7">
        <f t="shared" si="170"/>
        <v>1376.46</v>
      </c>
      <c r="P1603" s="4">
        <v>0</v>
      </c>
      <c r="Q1603" s="7">
        <f t="shared" si="171"/>
        <v>0</v>
      </c>
      <c r="R1603" s="7">
        <f t="shared" si="172"/>
        <v>1376.46</v>
      </c>
      <c r="S1603" s="7">
        <f t="shared" si="173"/>
        <v>688.23</v>
      </c>
      <c r="T1603" s="6">
        <f t="shared" si="174"/>
        <v>1.020408163265306E-2</v>
      </c>
      <c r="V1603" t="s">
        <v>29</v>
      </c>
    </row>
    <row r="1604" spans="1:22">
      <c r="A1604" s="3">
        <v>45724</v>
      </c>
      <c r="B1604" t="str">
        <f t="shared" si="168"/>
        <v>yyyy-03</v>
      </c>
      <c r="C1604">
        <f t="shared" si="169"/>
        <v>10</v>
      </c>
      <c r="D1604" t="s">
        <v>53</v>
      </c>
      <c r="E1604" t="s">
        <v>61</v>
      </c>
      <c r="F1604" t="s">
        <v>62</v>
      </c>
      <c r="G1604" t="s">
        <v>27</v>
      </c>
      <c r="H1604" t="s">
        <v>63</v>
      </c>
      <c r="I1604" s="5">
        <v>115</v>
      </c>
      <c r="J1604" s="5">
        <v>79</v>
      </c>
      <c r="K1604" s="5">
        <v>5</v>
      </c>
      <c r="L1604" s="5">
        <v>1</v>
      </c>
      <c r="M1604" s="5">
        <v>1</v>
      </c>
      <c r="N1604" s="7">
        <v>493.21</v>
      </c>
      <c r="O1604" s="7">
        <f t="shared" si="170"/>
        <v>493.21</v>
      </c>
      <c r="P1604" s="4">
        <v>0.05</v>
      </c>
      <c r="Q1604" s="7">
        <f t="shared" si="171"/>
        <v>24.660499999999999</v>
      </c>
      <c r="R1604" s="7">
        <f t="shared" si="172"/>
        <v>468.54949999999997</v>
      </c>
      <c r="S1604" s="7">
        <f t="shared" si="173"/>
        <v>468.54949999999997</v>
      </c>
      <c r="T1604" s="6">
        <f t="shared" si="174"/>
        <v>8.6956521739130436E-3</v>
      </c>
      <c r="V1604" t="s">
        <v>29</v>
      </c>
    </row>
    <row r="1605" spans="1:22">
      <c r="A1605" s="3">
        <v>45724</v>
      </c>
      <c r="B1605" t="str">
        <f t="shared" ref="B1605:B1668" si="175">TEXT(A1605,"yyyy-mm")</f>
        <v>yyyy-03</v>
      </c>
      <c r="C1605">
        <f t="shared" ref="C1605:C1668" si="176">WEEKNUM(A1605,2)</f>
        <v>10</v>
      </c>
      <c r="D1605" t="s">
        <v>53</v>
      </c>
      <c r="E1605" t="s">
        <v>64</v>
      </c>
      <c r="F1605" t="s">
        <v>65</v>
      </c>
      <c r="G1605" t="s">
        <v>31</v>
      </c>
      <c r="H1605" t="s">
        <v>32</v>
      </c>
      <c r="I1605" s="5">
        <v>265</v>
      </c>
      <c r="J1605" s="5">
        <v>206</v>
      </c>
      <c r="K1605" s="5">
        <v>22</v>
      </c>
      <c r="L1605" s="5">
        <v>3</v>
      </c>
      <c r="M1605" s="5">
        <v>3</v>
      </c>
      <c r="N1605" s="7">
        <v>789.26</v>
      </c>
      <c r="O1605" s="7">
        <f t="shared" ref="O1605:O1668" si="177">M1605*N1605</f>
        <v>2367.7799999999997</v>
      </c>
      <c r="P1605" s="4">
        <v>0</v>
      </c>
      <c r="Q1605" s="7">
        <f t="shared" ref="Q1605:Q1668" si="178">O1605*P1605</f>
        <v>0</v>
      </c>
      <c r="R1605" s="7">
        <f t="shared" ref="R1605:R1668" si="179">O1605-Q1605</f>
        <v>2367.7799999999997</v>
      </c>
      <c r="S1605" s="7">
        <f t="shared" ref="S1605:S1668" si="180">IFERROR(R1605/L1605,0)</f>
        <v>789.25999999999988</v>
      </c>
      <c r="T1605" s="6">
        <f t="shared" ref="T1605:T1668" si="181">IFERROR(L1605/I1605,0)</f>
        <v>1.1320754716981131E-2</v>
      </c>
      <c r="V1605" t="s">
        <v>29</v>
      </c>
    </row>
    <row r="1606" spans="1:22">
      <c r="A1606" s="3">
        <v>45724</v>
      </c>
      <c r="B1606" t="str">
        <f t="shared" si="175"/>
        <v>yyyy-03</v>
      </c>
      <c r="C1606">
        <f t="shared" si="176"/>
        <v>10</v>
      </c>
      <c r="D1606" t="s">
        <v>66</v>
      </c>
      <c r="E1606" t="s">
        <v>67</v>
      </c>
      <c r="F1606" t="s">
        <v>68</v>
      </c>
      <c r="G1606" t="s">
        <v>27</v>
      </c>
      <c r="H1606" t="s">
        <v>63</v>
      </c>
      <c r="I1606" s="5">
        <v>298</v>
      </c>
      <c r="J1606" s="5">
        <v>196</v>
      </c>
      <c r="K1606" s="5">
        <v>25</v>
      </c>
      <c r="L1606" s="5">
        <v>6</v>
      </c>
      <c r="M1606" s="5">
        <v>6</v>
      </c>
      <c r="N1606" s="7">
        <v>698.65</v>
      </c>
      <c r="O1606" s="7">
        <f t="shared" si="177"/>
        <v>4191.8999999999996</v>
      </c>
      <c r="P1606" s="4">
        <v>0.05</v>
      </c>
      <c r="Q1606" s="7">
        <f t="shared" si="178"/>
        <v>209.595</v>
      </c>
      <c r="R1606" s="7">
        <f t="shared" si="179"/>
        <v>3982.3049999999998</v>
      </c>
      <c r="S1606" s="7">
        <f t="shared" si="180"/>
        <v>663.71749999999997</v>
      </c>
      <c r="T1606" s="6">
        <f t="shared" si="181"/>
        <v>2.0134228187919462E-2</v>
      </c>
      <c r="V1606" t="s">
        <v>29</v>
      </c>
    </row>
    <row r="1607" spans="1:22">
      <c r="A1607" s="3">
        <v>45724</v>
      </c>
      <c r="B1607" t="str">
        <f t="shared" si="175"/>
        <v>yyyy-03</v>
      </c>
      <c r="C1607">
        <f t="shared" si="176"/>
        <v>10</v>
      </c>
      <c r="D1607" t="s">
        <v>66</v>
      </c>
      <c r="E1607" t="s">
        <v>67</v>
      </c>
      <c r="F1607" t="s">
        <v>69</v>
      </c>
      <c r="G1607" t="s">
        <v>27</v>
      </c>
      <c r="H1607" t="s">
        <v>63</v>
      </c>
      <c r="I1607" s="5">
        <v>322</v>
      </c>
      <c r="J1607" s="5">
        <v>183</v>
      </c>
      <c r="K1607" s="5">
        <v>20</v>
      </c>
      <c r="L1607" s="5">
        <v>5</v>
      </c>
      <c r="M1607" s="5">
        <v>5</v>
      </c>
      <c r="N1607" s="7">
        <v>391.05</v>
      </c>
      <c r="O1607" s="7">
        <f t="shared" si="177"/>
        <v>1955.25</v>
      </c>
      <c r="P1607" s="4">
        <v>0.03</v>
      </c>
      <c r="Q1607" s="7">
        <f t="shared" si="178"/>
        <v>58.657499999999999</v>
      </c>
      <c r="R1607" s="7">
        <f t="shared" si="179"/>
        <v>1896.5925</v>
      </c>
      <c r="S1607" s="7">
        <f t="shared" si="180"/>
        <v>379.31849999999997</v>
      </c>
      <c r="T1607" s="6">
        <f t="shared" si="181"/>
        <v>1.5527950310559006E-2</v>
      </c>
      <c r="V1607" t="s">
        <v>29</v>
      </c>
    </row>
    <row r="1608" spans="1:22">
      <c r="A1608" s="3">
        <v>45724</v>
      </c>
      <c r="B1608" t="str">
        <f t="shared" si="175"/>
        <v>yyyy-03</v>
      </c>
      <c r="C1608">
        <f t="shared" si="176"/>
        <v>10</v>
      </c>
      <c r="D1608" t="s">
        <v>66</v>
      </c>
      <c r="E1608" t="s">
        <v>67</v>
      </c>
      <c r="F1608" t="s">
        <v>70</v>
      </c>
      <c r="G1608" t="s">
        <v>31</v>
      </c>
      <c r="H1608" t="s">
        <v>32</v>
      </c>
      <c r="I1608" s="5">
        <v>611</v>
      </c>
      <c r="J1608" s="5">
        <v>432</v>
      </c>
      <c r="K1608" s="5">
        <v>66</v>
      </c>
      <c r="L1608" s="5">
        <v>14</v>
      </c>
      <c r="M1608" s="5">
        <v>14</v>
      </c>
      <c r="N1608" s="7">
        <v>343.79</v>
      </c>
      <c r="O1608" s="7">
        <f t="shared" si="177"/>
        <v>4813.0600000000004</v>
      </c>
      <c r="P1608" s="4">
        <v>0</v>
      </c>
      <c r="Q1608" s="7">
        <f t="shared" si="178"/>
        <v>0</v>
      </c>
      <c r="R1608" s="7">
        <f t="shared" si="179"/>
        <v>4813.0600000000004</v>
      </c>
      <c r="S1608" s="7">
        <f t="shared" si="180"/>
        <v>343.79</v>
      </c>
      <c r="T1608" s="6">
        <f t="shared" si="181"/>
        <v>2.2913256955810146E-2</v>
      </c>
      <c r="V1608" t="s">
        <v>29</v>
      </c>
    </row>
    <row r="1609" spans="1:22">
      <c r="A1609" s="3">
        <v>45724</v>
      </c>
      <c r="B1609" t="str">
        <f t="shared" si="175"/>
        <v>yyyy-03</v>
      </c>
      <c r="C1609">
        <f t="shared" si="176"/>
        <v>10</v>
      </c>
      <c r="D1609" t="s">
        <v>66</v>
      </c>
      <c r="E1609" t="s">
        <v>71</v>
      </c>
      <c r="F1609" t="s">
        <v>72</v>
      </c>
      <c r="G1609" t="s">
        <v>27</v>
      </c>
      <c r="H1609" t="s">
        <v>45</v>
      </c>
      <c r="I1609" s="5">
        <v>304</v>
      </c>
      <c r="J1609" s="5">
        <v>193</v>
      </c>
      <c r="K1609" s="5">
        <v>20</v>
      </c>
      <c r="L1609" s="5">
        <v>5</v>
      </c>
      <c r="M1609" s="5">
        <v>6</v>
      </c>
      <c r="N1609" s="7">
        <v>125.47</v>
      </c>
      <c r="O1609" s="7">
        <f t="shared" si="177"/>
        <v>752.81999999999994</v>
      </c>
      <c r="P1609" s="4">
        <v>0.15</v>
      </c>
      <c r="Q1609" s="7">
        <f t="shared" si="178"/>
        <v>112.92299999999999</v>
      </c>
      <c r="R1609" s="7">
        <f t="shared" si="179"/>
        <v>639.89699999999993</v>
      </c>
      <c r="S1609" s="7">
        <f t="shared" si="180"/>
        <v>127.97939999999998</v>
      </c>
      <c r="T1609" s="6">
        <f t="shared" si="181"/>
        <v>1.6447368421052631E-2</v>
      </c>
      <c r="U1609" t="s">
        <v>87</v>
      </c>
      <c r="V1609" t="s">
        <v>29</v>
      </c>
    </row>
    <row r="1610" spans="1:22">
      <c r="A1610" s="3">
        <v>45724</v>
      </c>
      <c r="B1610" t="str">
        <f t="shared" si="175"/>
        <v>yyyy-03</v>
      </c>
      <c r="C1610">
        <f t="shared" si="176"/>
        <v>10</v>
      </c>
      <c r="D1610" t="s">
        <v>66</v>
      </c>
      <c r="E1610" t="s">
        <v>73</v>
      </c>
      <c r="F1610" t="s">
        <v>74</v>
      </c>
      <c r="G1610" t="s">
        <v>36</v>
      </c>
      <c r="H1610" t="s">
        <v>37</v>
      </c>
      <c r="I1610" s="5">
        <v>188</v>
      </c>
      <c r="J1610" s="5">
        <v>141</v>
      </c>
      <c r="K1610" s="5">
        <v>12</v>
      </c>
      <c r="L1610" s="5">
        <v>3</v>
      </c>
      <c r="M1610" s="5">
        <v>3</v>
      </c>
      <c r="N1610" s="7">
        <v>1193.52</v>
      </c>
      <c r="O1610" s="7">
        <f t="shared" si="177"/>
        <v>3580.56</v>
      </c>
      <c r="P1610" s="4">
        <v>0.05</v>
      </c>
      <c r="Q1610" s="7">
        <f t="shared" si="178"/>
        <v>179.02800000000002</v>
      </c>
      <c r="R1610" s="7">
        <f t="shared" si="179"/>
        <v>3401.5320000000002</v>
      </c>
      <c r="S1610" s="7">
        <f t="shared" si="180"/>
        <v>1133.8440000000001</v>
      </c>
      <c r="T1610" s="6">
        <f t="shared" si="181"/>
        <v>1.5957446808510637E-2</v>
      </c>
      <c r="V1610" t="s">
        <v>29</v>
      </c>
    </row>
    <row r="1611" spans="1:22">
      <c r="A1611" s="3">
        <v>45724</v>
      </c>
      <c r="B1611" t="str">
        <f t="shared" si="175"/>
        <v>yyyy-03</v>
      </c>
      <c r="C1611">
        <f t="shared" si="176"/>
        <v>10</v>
      </c>
      <c r="D1611" t="s">
        <v>66</v>
      </c>
      <c r="E1611" t="s">
        <v>71</v>
      </c>
      <c r="F1611" t="s">
        <v>75</v>
      </c>
      <c r="G1611" t="s">
        <v>27</v>
      </c>
      <c r="H1611" t="s">
        <v>63</v>
      </c>
      <c r="I1611" s="5">
        <v>264</v>
      </c>
      <c r="J1611" s="5">
        <v>140</v>
      </c>
      <c r="K1611" s="5">
        <v>26</v>
      </c>
      <c r="L1611" s="5">
        <v>7</v>
      </c>
      <c r="M1611" s="5">
        <v>9</v>
      </c>
      <c r="N1611" s="7">
        <v>38.51</v>
      </c>
      <c r="O1611" s="7">
        <f t="shared" si="177"/>
        <v>346.59</v>
      </c>
      <c r="P1611" s="4">
        <v>0.15</v>
      </c>
      <c r="Q1611" s="7">
        <f t="shared" si="178"/>
        <v>51.988499999999995</v>
      </c>
      <c r="R1611" s="7">
        <f t="shared" si="179"/>
        <v>294.60149999999999</v>
      </c>
      <c r="S1611" s="7">
        <f t="shared" si="180"/>
        <v>42.085928571428568</v>
      </c>
      <c r="T1611" s="6">
        <f t="shared" si="181"/>
        <v>2.6515151515151516E-2</v>
      </c>
      <c r="U1611" t="s">
        <v>87</v>
      </c>
      <c r="V1611" t="s">
        <v>29</v>
      </c>
    </row>
    <row r="1612" spans="1:22">
      <c r="A1612" s="3">
        <v>45724</v>
      </c>
      <c r="B1612" t="str">
        <f t="shared" si="175"/>
        <v>yyyy-03</v>
      </c>
      <c r="C1612">
        <f t="shared" si="176"/>
        <v>10</v>
      </c>
      <c r="D1612" t="s">
        <v>24</v>
      </c>
      <c r="E1612" t="s">
        <v>76</v>
      </c>
      <c r="F1612" t="s">
        <v>77</v>
      </c>
      <c r="G1612" t="s">
        <v>36</v>
      </c>
      <c r="H1612" t="s">
        <v>37</v>
      </c>
      <c r="I1612" s="5">
        <v>510</v>
      </c>
      <c r="J1612" s="5">
        <v>364</v>
      </c>
      <c r="K1612" s="5">
        <v>41</v>
      </c>
      <c r="L1612" s="5">
        <v>12</v>
      </c>
      <c r="M1612" s="5">
        <v>16</v>
      </c>
      <c r="N1612" s="7">
        <v>201.95</v>
      </c>
      <c r="O1612" s="7">
        <f t="shared" si="177"/>
        <v>3231.2</v>
      </c>
      <c r="P1612" s="4">
        <v>0</v>
      </c>
      <c r="Q1612" s="7">
        <f t="shared" si="178"/>
        <v>0</v>
      </c>
      <c r="R1612" s="7">
        <f t="shared" si="179"/>
        <v>3231.2</v>
      </c>
      <c r="S1612" s="7">
        <f t="shared" si="180"/>
        <v>269.26666666666665</v>
      </c>
      <c r="T1612" s="6">
        <f t="shared" si="181"/>
        <v>2.3529411764705882E-2</v>
      </c>
      <c r="V1612" t="s">
        <v>29</v>
      </c>
    </row>
    <row r="1613" spans="1:22">
      <c r="A1613" s="3">
        <v>45725</v>
      </c>
      <c r="B1613" t="str">
        <f t="shared" si="175"/>
        <v>yyyy-03</v>
      </c>
      <c r="C1613">
        <f t="shared" si="176"/>
        <v>10</v>
      </c>
      <c r="D1613" t="s">
        <v>24</v>
      </c>
      <c r="E1613" t="s">
        <v>25</v>
      </c>
      <c r="F1613" t="s">
        <v>26</v>
      </c>
      <c r="G1613" t="s">
        <v>27</v>
      </c>
      <c r="H1613" t="s">
        <v>28</v>
      </c>
      <c r="I1613" s="5">
        <v>1541</v>
      </c>
      <c r="J1613" s="5">
        <v>1015</v>
      </c>
      <c r="K1613" s="5">
        <v>135</v>
      </c>
      <c r="L1613" s="5">
        <v>34</v>
      </c>
      <c r="M1613" s="5">
        <v>34</v>
      </c>
      <c r="N1613" s="7">
        <v>972.79</v>
      </c>
      <c r="O1613" s="7">
        <f t="shared" si="177"/>
        <v>33074.86</v>
      </c>
      <c r="P1613" s="4">
        <v>0.13</v>
      </c>
      <c r="Q1613" s="7">
        <f t="shared" si="178"/>
        <v>4299.7318000000005</v>
      </c>
      <c r="R1613" s="7">
        <f t="shared" si="179"/>
        <v>28775.128199999999</v>
      </c>
      <c r="S1613" s="7">
        <f t="shared" si="180"/>
        <v>846.32729999999992</v>
      </c>
      <c r="T1613" s="6">
        <f t="shared" si="181"/>
        <v>2.2063595068137574E-2</v>
      </c>
      <c r="U1613" t="s">
        <v>88</v>
      </c>
      <c r="V1613" t="s">
        <v>29</v>
      </c>
    </row>
    <row r="1614" spans="1:22">
      <c r="A1614" s="3">
        <v>45725</v>
      </c>
      <c r="B1614" t="str">
        <f t="shared" si="175"/>
        <v>yyyy-03</v>
      </c>
      <c r="C1614">
        <f t="shared" si="176"/>
        <v>10</v>
      </c>
      <c r="D1614" t="s">
        <v>24</v>
      </c>
      <c r="E1614" t="s">
        <v>25</v>
      </c>
      <c r="F1614" t="s">
        <v>30</v>
      </c>
      <c r="G1614" t="s">
        <v>27</v>
      </c>
      <c r="H1614" t="s">
        <v>48</v>
      </c>
      <c r="I1614" s="5">
        <v>1549</v>
      </c>
      <c r="J1614" s="5">
        <v>932</v>
      </c>
      <c r="K1614" s="5">
        <v>108</v>
      </c>
      <c r="L1614" s="5">
        <v>39</v>
      </c>
      <c r="M1614" s="5">
        <v>39</v>
      </c>
      <c r="N1614" s="7">
        <v>393.8</v>
      </c>
      <c r="O1614" s="7">
        <f t="shared" si="177"/>
        <v>15358.2</v>
      </c>
      <c r="P1614" s="4">
        <v>0.13</v>
      </c>
      <c r="Q1614" s="7">
        <f t="shared" si="178"/>
        <v>1996.5660000000003</v>
      </c>
      <c r="R1614" s="7">
        <f t="shared" si="179"/>
        <v>13361.634</v>
      </c>
      <c r="S1614" s="7">
        <f t="shared" si="180"/>
        <v>342.60599999999999</v>
      </c>
      <c r="T1614" s="6">
        <f t="shared" si="181"/>
        <v>2.5177533892834086E-2</v>
      </c>
      <c r="U1614" t="s">
        <v>88</v>
      </c>
      <c r="V1614" t="s">
        <v>29</v>
      </c>
    </row>
    <row r="1615" spans="1:22">
      <c r="A1615" s="3">
        <v>45725</v>
      </c>
      <c r="B1615" t="str">
        <f t="shared" si="175"/>
        <v>yyyy-03</v>
      </c>
      <c r="C1615">
        <f t="shared" si="176"/>
        <v>10</v>
      </c>
      <c r="D1615" t="s">
        <v>24</v>
      </c>
      <c r="E1615" t="s">
        <v>25</v>
      </c>
      <c r="F1615" t="s">
        <v>33</v>
      </c>
      <c r="G1615" t="s">
        <v>36</v>
      </c>
      <c r="H1615" t="s">
        <v>37</v>
      </c>
      <c r="I1615" s="5">
        <v>2314</v>
      </c>
      <c r="J1615" s="5">
        <v>1399</v>
      </c>
      <c r="K1615" s="5">
        <v>247</v>
      </c>
      <c r="L1615" s="5">
        <v>68</v>
      </c>
      <c r="M1615" s="5">
        <v>68</v>
      </c>
      <c r="N1615" s="7">
        <v>1781.2</v>
      </c>
      <c r="O1615" s="7">
        <f t="shared" si="177"/>
        <v>121121.60000000001</v>
      </c>
      <c r="P1615" s="4">
        <v>0.13</v>
      </c>
      <c r="Q1615" s="7">
        <f t="shared" si="178"/>
        <v>15745.808000000001</v>
      </c>
      <c r="R1615" s="7">
        <f t="shared" si="179"/>
        <v>105375.792</v>
      </c>
      <c r="S1615" s="7">
        <f t="shared" si="180"/>
        <v>1549.644</v>
      </c>
      <c r="T1615" s="6">
        <f t="shared" si="181"/>
        <v>2.9386343993085567E-2</v>
      </c>
      <c r="U1615" t="s">
        <v>88</v>
      </c>
      <c r="V1615" t="s">
        <v>29</v>
      </c>
    </row>
    <row r="1616" spans="1:22">
      <c r="A1616" s="3">
        <v>45725</v>
      </c>
      <c r="B1616" t="str">
        <f t="shared" si="175"/>
        <v>yyyy-03</v>
      </c>
      <c r="C1616">
        <f t="shared" si="176"/>
        <v>10</v>
      </c>
      <c r="D1616" t="s">
        <v>24</v>
      </c>
      <c r="E1616" t="s">
        <v>34</v>
      </c>
      <c r="F1616" t="s">
        <v>35</v>
      </c>
      <c r="G1616" t="s">
        <v>27</v>
      </c>
      <c r="H1616" t="s">
        <v>63</v>
      </c>
      <c r="I1616" s="5">
        <v>705</v>
      </c>
      <c r="J1616" s="5">
        <v>534</v>
      </c>
      <c r="K1616" s="5">
        <v>56</v>
      </c>
      <c r="L1616" s="5">
        <v>16</v>
      </c>
      <c r="M1616" s="5">
        <v>16</v>
      </c>
      <c r="N1616" s="7">
        <v>891.85</v>
      </c>
      <c r="O1616" s="7">
        <f t="shared" si="177"/>
        <v>14269.6</v>
      </c>
      <c r="P1616" s="4">
        <v>0.05</v>
      </c>
      <c r="Q1616" s="7">
        <f t="shared" si="178"/>
        <v>713.48</v>
      </c>
      <c r="R1616" s="7">
        <f t="shared" si="179"/>
        <v>13556.12</v>
      </c>
      <c r="S1616" s="7">
        <f t="shared" si="180"/>
        <v>847.25750000000005</v>
      </c>
      <c r="T1616" s="6">
        <f t="shared" si="181"/>
        <v>2.2695035460992909E-2</v>
      </c>
      <c r="V1616" t="s">
        <v>29</v>
      </c>
    </row>
    <row r="1617" spans="1:22">
      <c r="A1617" s="3">
        <v>45725</v>
      </c>
      <c r="B1617" t="str">
        <f t="shared" si="175"/>
        <v>yyyy-03</v>
      </c>
      <c r="C1617">
        <f t="shared" si="176"/>
        <v>10</v>
      </c>
      <c r="D1617" t="s">
        <v>24</v>
      </c>
      <c r="E1617" t="s">
        <v>38</v>
      </c>
      <c r="F1617" t="s">
        <v>39</v>
      </c>
      <c r="G1617" t="s">
        <v>27</v>
      </c>
      <c r="H1617" t="s">
        <v>28</v>
      </c>
      <c r="I1617" s="5">
        <v>1012</v>
      </c>
      <c r="J1617" s="5">
        <v>753</v>
      </c>
      <c r="K1617" s="5">
        <v>67</v>
      </c>
      <c r="L1617" s="5">
        <v>17</v>
      </c>
      <c r="M1617" s="5">
        <v>17</v>
      </c>
      <c r="N1617" s="7">
        <v>324.32</v>
      </c>
      <c r="O1617" s="7">
        <f t="shared" si="177"/>
        <v>5513.44</v>
      </c>
      <c r="P1617" s="4">
        <v>0</v>
      </c>
      <c r="Q1617" s="7">
        <f t="shared" si="178"/>
        <v>0</v>
      </c>
      <c r="R1617" s="7">
        <f t="shared" si="179"/>
        <v>5513.44</v>
      </c>
      <c r="S1617" s="7">
        <f t="shared" si="180"/>
        <v>324.32</v>
      </c>
      <c r="T1617" s="6">
        <f t="shared" si="181"/>
        <v>1.6798418972332016E-2</v>
      </c>
      <c r="V1617" t="s">
        <v>29</v>
      </c>
    </row>
    <row r="1618" spans="1:22">
      <c r="A1618" s="3">
        <v>45725</v>
      </c>
      <c r="B1618" t="str">
        <f t="shared" si="175"/>
        <v>yyyy-03</v>
      </c>
      <c r="C1618">
        <f t="shared" si="176"/>
        <v>10</v>
      </c>
      <c r="D1618" t="s">
        <v>24</v>
      </c>
      <c r="E1618" t="s">
        <v>40</v>
      </c>
      <c r="F1618" t="s">
        <v>41</v>
      </c>
      <c r="G1618" t="s">
        <v>36</v>
      </c>
      <c r="H1618" t="s">
        <v>37</v>
      </c>
      <c r="I1618" s="5">
        <v>799</v>
      </c>
      <c r="J1618" s="5">
        <v>420</v>
      </c>
      <c r="K1618" s="5">
        <v>55</v>
      </c>
      <c r="L1618" s="5">
        <v>13</v>
      </c>
      <c r="M1618" s="5">
        <v>16</v>
      </c>
      <c r="N1618" s="7">
        <v>179.06</v>
      </c>
      <c r="O1618" s="7">
        <f t="shared" si="177"/>
        <v>2864.96</v>
      </c>
      <c r="P1618" s="4">
        <v>0</v>
      </c>
      <c r="Q1618" s="7">
        <f t="shared" si="178"/>
        <v>0</v>
      </c>
      <c r="R1618" s="7">
        <f t="shared" si="179"/>
        <v>2864.96</v>
      </c>
      <c r="S1618" s="7">
        <f t="shared" si="180"/>
        <v>220.38153846153847</v>
      </c>
      <c r="T1618" s="6">
        <f t="shared" si="181"/>
        <v>1.6270337922403004E-2</v>
      </c>
      <c r="V1618" t="s">
        <v>29</v>
      </c>
    </row>
    <row r="1619" spans="1:22">
      <c r="A1619" s="3">
        <v>45725</v>
      </c>
      <c r="B1619" t="str">
        <f t="shared" si="175"/>
        <v>yyyy-03</v>
      </c>
      <c r="C1619">
        <f t="shared" si="176"/>
        <v>10</v>
      </c>
      <c r="D1619" t="s">
        <v>42</v>
      </c>
      <c r="E1619" t="s">
        <v>43</v>
      </c>
      <c r="F1619" t="s">
        <v>44</v>
      </c>
      <c r="G1619" t="s">
        <v>36</v>
      </c>
      <c r="H1619" t="s">
        <v>37</v>
      </c>
      <c r="I1619" s="5">
        <v>615</v>
      </c>
      <c r="J1619" s="5">
        <v>497</v>
      </c>
      <c r="K1619" s="5">
        <v>42</v>
      </c>
      <c r="L1619" s="5">
        <v>8</v>
      </c>
      <c r="M1619" s="5">
        <v>8</v>
      </c>
      <c r="N1619" s="7">
        <v>1252.3900000000001</v>
      </c>
      <c r="O1619" s="7">
        <f t="shared" si="177"/>
        <v>10019.120000000001</v>
      </c>
      <c r="P1619" s="4">
        <v>0</v>
      </c>
      <c r="Q1619" s="7">
        <f t="shared" si="178"/>
        <v>0</v>
      </c>
      <c r="R1619" s="7">
        <f t="shared" si="179"/>
        <v>10019.120000000001</v>
      </c>
      <c r="S1619" s="7">
        <f t="shared" si="180"/>
        <v>1252.3900000000001</v>
      </c>
      <c r="T1619" s="6">
        <f t="shared" si="181"/>
        <v>1.3008130081300813E-2</v>
      </c>
      <c r="V1619" t="s">
        <v>29</v>
      </c>
    </row>
    <row r="1620" spans="1:22">
      <c r="A1620" s="3">
        <v>45725</v>
      </c>
      <c r="B1620" t="str">
        <f t="shared" si="175"/>
        <v>yyyy-03</v>
      </c>
      <c r="C1620">
        <f t="shared" si="176"/>
        <v>10</v>
      </c>
      <c r="D1620" t="s">
        <v>42</v>
      </c>
      <c r="E1620" t="s">
        <v>43</v>
      </c>
      <c r="F1620" t="s">
        <v>46</v>
      </c>
      <c r="G1620" t="s">
        <v>27</v>
      </c>
      <c r="H1620" t="s">
        <v>63</v>
      </c>
      <c r="I1620" s="5">
        <v>410</v>
      </c>
      <c r="J1620" s="5">
        <v>213</v>
      </c>
      <c r="K1620" s="5">
        <v>22</v>
      </c>
      <c r="L1620" s="5">
        <v>5</v>
      </c>
      <c r="M1620" s="5">
        <v>5</v>
      </c>
      <c r="N1620" s="7">
        <v>2235.64</v>
      </c>
      <c r="O1620" s="7">
        <f t="shared" si="177"/>
        <v>11178.199999999999</v>
      </c>
      <c r="P1620" s="4">
        <v>0</v>
      </c>
      <c r="Q1620" s="7">
        <f t="shared" si="178"/>
        <v>0</v>
      </c>
      <c r="R1620" s="7">
        <f t="shared" si="179"/>
        <v>11178.199999999999</v>
      </c>
      <c r="S1620" s="7">
        <f t="shared" si="180"/>
        <v>2235.64</v>
      </c>
      <c r="T1620" s="6">
        <f t="shared" si="181"/>
        <v>1.2195121951219513E-2</v>
      </c>
      <c r="V1620" t="s">
        <v>29</v>
      </c>
    </row>
    <row r="1621" spans="1:22">
      <c r="A1621" s="3">
        <v>45725</v>
      </c>
      <c r="B1621" t="str">
        <f t="shared" si="175"/>
        <v>yyyy-03</v>
      </c>
      <c r="C1621">
        <f t="shared" si="176"/>
        <v>10</v>
      </c>
      <c r="D1621" t="s">
        <v>42</v>
      </c>
      <c r="E1621" t="s">
        <v>43</v>
      </c>
      <c r="F1621" t="s">
        <v>47</v>
      </c>
      <c r="G1621" t="s">
        <v>27</v>
      </c>
      <c r="H1621" t="s">
        <v>63</v>
      </c>
      <c r="I1621" s="5">
        <v>352</v>
      </c>
      <c r="J1621" s="5">
        <v>274</v>
      </c>
      <c r="K1621" s="5">
        <v>22</v>
      </c>
      <c r="L1621" s="5">
        <v>5</v>
      </c>
      <c r="M1621" s="5">
        <v>5</v>
      </c>
      <c r="N1621" s="7">
        <v>597.12</v>
      </c>
      <c r="O1621" s="7">
        <f t="shared" si="177"/>
        <v>2985.6</v>
      </c>
      <c r="P1621" s="4">
        <v>0</v>
      </c>
      <c r="Q1621" s="7">
        <f t="shared" si="178"/>
        <v>0</v>
      </c>
      <c r="R1621" s="7">
        <f t="shared" si="179"/>
        <v>2985.6</v>
      </c>
      <c r="S1621" s="7">
        <f t="shared" si="180"/>
        <v>597.12</v>
      </c>
      <c r="T1621" s="6">
        <f t="shared" si="181"/>
        <v>1.4204545454545454E-2</v>
      </c>
      <c r="V1621" t="s">
        <v>29</v>
      </c>
    </row>
    <row r="1622" spans="1:22">
      <c r="A1622" s="3">
        <v>45725</v>
      </c>
      <c r="B1622" t="str">
        <f t="shared" si="175"/>
        <v>yyyy-03</v>
      </c>
      <c r="C1622">
        <f t="shared" si="176"/>
        <v>10</v>
      </c>
      <c r="D1622" t="s">
        <v>42</v>
      </c>
      <c r="E1622" t="s">
        <v>49</v>
      </c>
      <c r="F1622" t="s">
        <v>50</v>
      </c>
      <c r="G1622" t="s">
        <v>27</v>
      </c>
      <c r="H1622" t="s">
        <v>45</v>
      </c>
      <c r="I1622" s="5">
        <v>179</v>
      </c>
      <c r="J1622" s="5">
        <v>112</v>
      </c>
      <c r="K1622" s="5">
        <v>13</v>
      </c>
      <c r="L1622" s="5">
        <v>2</v>
      </c>
      <c r="M1622" s="5">
        <v>2</v>
      </c>
      <c r="N1622" s="7">
        <v>1002.52</v>
      </c>
      <c r="O1622" s="7">
        <f t="shared" si="177"/>
        <v>2005.04</v>
      </c>
      <c r="P1622" s="4">
        <v>0</v>
      </c>
      <c r="Q1622" s="7">
        <f t="shared" si="178"/>
        <v>0</v>
      </c>
      <c r="R1622" s="7">
        <f t="shared" si="179"/>
        <v>2005.04</v>
      </c>
      <c r="S1622" s="7">
        <f t="shared" si="180"/>
        <v>1002.52</v>
      </c>
      <c r="T1622" s="6">
        <f t="shared" si="181"/>
        <v>1.11731843575419E-2</v>
      </c>
      <c r="V1622" t="s">
        <v>29</v>
      </c>
    </row>
    <row r="1623" spans="1:22">
      <c r="A1623" s="3">
        <v>45725</v>
      </c>
      <c r="B1623" t="str">
        <f t="shared" si="175"/>
        <v>yyyy-03</v>
      </c>
      <c r="C1623">
        <f t="shared" si="176"/>
        <v>10</v>
      </c>
      <c r="D1623" t="s">
        <v>42</v>
      </c>
      <c r="E1623" t="s">
        <v>51</v>
      </c>
      <c r="F1623" t="s">
        <v>52</v>
      </c>
      <c r="G1623" t="s">
        <v>27</v>
      </c>
      <c r="H1623" t="s">
        <v>48</v>
      </c>
      <c r="I1623" s="5">
        <v>235</v>
      </c>
      <c r="J1623" s="5">
        <v>126</v>
      </c>
      <c r="K1623" s="5">
        <v>13</v>
      </c>
      <c r="L1623" s="5">
        <v>3</v>
      </c>
      <c r="M1623" s="5">
        <v>3</v>
      </c>
      <c r="N1623" s="7">
        <v>594.26</v>
      </c>
      <c r="O1623" s="7">
        <f t="shared" si="177"/>
        <v>1782.78</v>
      </c>
      <c r="P1623" s="4">
        <v>0.03</v>
      </c>
      <c r="Q1623" s="7">
        <f t="shared" si="178"/>
        <v>53.483399999999996</v>
      </c>
      <c r="R1623" s="7">
        <f t="shared" si="179"/>
        <v>1729.2965999999999</v>
      </c>
      <c r="S1623" s="7">
        <f t="shared" si="180"/>
        <v>576.43219999999997</v>
      </c>
      <c r="T1623" s="6">
        <f t="shared" si="181"/>
        <v>1.276595744680851E-2</v>
      </c>
      <c r="V1623" t="s">
        <v>29</v>
      </c>
    </row>
    <row r="1624" spans="1:22">
      <c r="A1624" s="3">
        <v>45725</v>
      </c>
      <c r="B1624" t="str">
        <f t="shared" si="175"/>
        <v>yyyy-03</v>
      </c>
      <c r="C1624">
        <f t="shared" si="176"/>
        <v>10</v>
      </c>
      <c r="D1624" t="s">
        <v>53</v>
      </c>
      <c r="E1624" t="s">
        <v>54</v>
      </c>
      <c r="F1624" t="s">
        <v>55</v>
      </c>
      <c r="G1624" t="s">
        <v>36</v>
      </c>
      <c r="H1624" t="s">
        <v>37</v>
      </c>
      <c r="I1624" s="5">
        <v>204</v>
      </c>
      <c r="J1624" s="5">
        <v>127</v>
      </c>
      <c r="K1624" s="5">
        <v>9</v>
      </c>
      <c r="L1624" s="5">
        <v>2</v>
      </c>
      <c r="M1624" s="5">
        <v>2</v>
      </c>
      <c r="N1624" s="7">
        <v>1286.98</v>
      </c>
      <c r="O1624" s="7">
        <f t="shared" si="177"/>
        <v>2573.96</v>
      </c>
      <c r="P1624" s="4">
        <v>0.05</v>
      </c>
      <c r="Q1624" s="7">
        <f t="shared" si="178"/>
        <v>128.69800000000001</v>
      </c>
      <c r="R1624" s="7">
        <f t="shared" si="179"/>
        <v>2445.2620000000002</v>
      </c>
      <c r="S1624" s="7">
        <f t="shared" si="180"/>
        <v>1222.6310000000001</v>
      </c>
      <c r="T1624" s="6">
        <f t="shared" si="181"/>
        <v>9.8039215686274508E-3</v>
      </c>
      <c r="V1624" t="s">
        <v>29</v>
      </c>
    </row>
    <row r="1625" spans="1:22">
      <c r="A1625" s="3">
        <v>45725</v>
      </c>
      <c r="B1625" t="str">
        <f t="shared" si="175"/>
        <v>yyyy-03</v>
      </c>
      <c r="C1625">
        <f t="shared" si="176"/>
        <v>10</v>
      </c>
      <c r="D1625" t="s">
        <v>53</v>
      </c>
      <c r="E1625" t="s">
        <v>56</v>
      </c>
      <c r="F1625" t="s">
        <v>57</v>
      </c>
      <c r="G1625" t="s">
        <v>27</v>
      </c>
      <c r="H1625" t="s">
        <v>45</v>
      </c>
      <c r="I1625" s="5">
        <v>181</v>
      </c>
      <c r="J1625" s="5">
        <v>127</v>
      </c>
      <c r="K1625" s="5">
        <v>13</v>
      </c>
      <c r="L1625" s="5">
        <v>2</v>
      </c>
      <c r="M1625" s="5">
        <v>2</v>
      </c>
      <c r="N1625" s="7">
        <v>756.54</v>
      </c>
      <c r="O1625" s="7">
        <f t="shared" si="177"/>
        <v>1513.08</v>
      </c>
      <c r="P1625" s="4">
        <v>0</v>
      </c>
      <c r="Q1625" s="7">
        <f t="shared" si="178"/>
        <v>0</v>
      </c>
      <c r="R1625" s="7">
        <f t="shared" si="179"/>
        <v>1513.08</v>
      </c>
      <c r="S1625" s="7">
        <f t="shared" si="180"/>
        <v>756.54</v>
      </c>
      <c r="T1625" s="6">
        <f t="shared" si="181"/>
        <v>1.1049723756906077E-2</v>
      </c>
      <c r="V1625" t="s">
        <v>29</v>
      </c>
    </row>
    <row r="1626" spans="1:22">
      <c r="A1626" s="3">
        <v>45725</v>
      </c>
      <c r="B1626" t="str">
        <f t="shared" si="175"/>
        <v>yyyy-03</v>
      </c>
      <c r="C1626">
        <f t="shared" si="176"/>
        <v>10</v>
      </c>
      <c r="D1626" t="s">
        <v>53</v>
      </c>
      <c r="E1626" t="s">
        <v>56</v>
      </c>
      <c r="F1626" t="s">
        <v>58</v>
      </c>
      <c r="G1626" t="s">
        <v>27</v>
      </c>
      <c r="H1626" t="s">
        <v>63</v>
      </c>
      <c r="I1626" s="5">
        <v>144</v>
      </c>
      <c r="J1626" s="5">
        <v>95</v>
      </c>
      <c r="K1626" s="5">
        <v>11</v>
      </c>
      <c r="L1626" s="5">
        <v>1</v>
      </c>
      <c r="M1626" s="5">
        <v>1</v>
      </c>
      <c r="N1626" s="7">
        <v>865</v>
      </c>
      <c r="O1626" s="7">
        <f t="shared" si="177"/>
        <v>865</v>
      </c>
      <c r="P1626" s="4">
        <v>0</v>
      </c>
      <c r="Q1626" s="7">
        <f t="shared" si="178"/>
        <v>0</v>
      </c>
      <c r="R1626" s="7">
        <f t="shared" si="179"/>
        <v>865</v>
      </c>
      <c r="S1626" s="7">
        <f t="shared" si="180"/>
        <v>865</v>
      </c>
      <c r="T1626" s="6">
        <f t="shared" si="181"/>
        <v>6.9444444444444441E-3</v>
      </c>
      <c r="V1626" t="s">
        <v>29</v>
      </c>
    </row>
    <row r="1627" spans="1:22">
      <c r="A1627" s="3">
        <v>45725</v>
      </c>
      <c r="B1627" t="str">
        <f t="shared" si="175"/>
        <v>yyyy-03</v>
      </c>
      <c r="C1627">
        <f t="shared" si="176"/>
        <v>10</v>
      </c>
      <c r="D1627" t="s">
        <v>53</v>
      </c>
      <c r="E1627" t="s">
        <v>59</v>
      </c>
      <c r="F1627" t="s">
        <v>60</v>
      </c>
      <c r="G1627" t="s">
        <v>31</v>
      </c>
      <c r="H1627" t="s">
        <v>32</v>
      </c>
      <c r="I1627" s="5">
        <v>269</v>
      </c>
      <c r="J1627" s="5">
        <v>193</v>
      </c>
      <c r="K1627" s="5">
        <v>23</v>
      </c>
      <c r="L1627" s="5">
        <v>3</v>
      </c>
      <c r="M1627" s="5">
        <v>3</v>
      </c>
      <c r="N1627" s="7">
        <v>707.19</v>
      </c>
      <c r="O1627" s="7">
        <f t="shared" si="177"/>
        <v>2121.5700000000002</v>
      </c>
      <c r="P1627" s="4">
        <v>0.03</v>
      </c>
      <c r="Q1627" s="7">
        <f t="shared" si="178"/>
        <v>63.647100000000002</v>
      </c>
      <c r="R1627" s="7">
        <f t="shared" si="179"/>
        <v>2057.9229</v>
      </c>
      <c r="S1627" s="7">
        <f t="shared" si="180"/>
        <v>685.97429999999997</v>
      </c>
      <c r="T1627" s="6">
        <f t="shared" si="181"/>
        <v>1.1152416356877323E-2</v>
      </c>
      <c r="V1627" t="s">
        <v>29</v>
      </c>
    </row>
    <row r="1628" spans="1:22">
      <c r="A1628" s="3">
        <v>45725</v>
      </c>
      <c r="B1628" t="str">
        <f t="shared" si="175"/>
        <v>yyyy-03</v>
      </c>
      <c r="C1628">
        <f t="shared" si="176"/>
        <v>10</v>
      </c>
      <c r="D1628" t="s">
        <v>53</v>
      </c>
      <c r="E1628" t="s">
        <v>61</v>
      </c>
      <c r="F1628" t="s">
        <v>62</v>
      </c>
      <c r="G1628" t="s">
        <v>31</v>
      </c>
      <c r="H1628" t="s">
        <v>32</v>
      </c>
      <c r="I1628" s="5">
        <v>212</v>
      </c>
      <c r="J1628" s="5">
        <v>147</v>
      </c>
      <c r="K1628" s="5">
        <v>12</v>
      </c>
      <c r="L1628" s="5">
        <v>2</v>
      </c>
      <c r="M1628" s="5">
        <v>2</v>
      </c>
      <c r="N1628" s="7">
        <v>508.86</v>
      </c>
      <c r="O1628" s="7">
        <f t="shared" si="177"/>
        <v>1017.72</v>
      </c>
      <c r="P1628" s="4">
        <v>0</v>
      </c>
      <c r="Q1628" s="7">
        <f t="shared" si="178"/>
        <v>0</v>
      </c>
      <c r="R1628" s="7">
        <f t="shared" si="179"/>
        <v>1017.72</v>
      </c>
      <c r="S1628" s="7">
        <f t="shared" si="180"/>
        <v>508.86</v>
      </c>
      <c r="T1628" s="6">
        <f t="shared" si="181"/>
        <v>9.433962264150943E-3</v>
      </c>
      <c r="V1628" t="s">
        <v>29</v>
      </c>
    </row>
    <row r="1629" spans="1:22">
      <c r="A1629" s="3">
        <v>45725</v>
      </c>
      <c r="B1629" t="str">
        <f t="shared" si="175"/>
        <v>yyyy-03</v>
      </c>
      <c r="C1629">
        <f t="shared" si="176"/>
        <v>10</v>
      </c>
      <c r="D1629" t="s">
        <v>53</v>
      </c>
      <c r="E1629" t="s">
        <v>64</v>
      </c>
      <c r="F1629" t="s">
        <v>65</v>
      </c>
      <c r="G1629" t="s">
        <v>27</v>
      </c>
      <c r="H1629" t="s">
        <v>45</v>
      </c>
      <c r="I1629" s="5">
        <v>227</v>
      </c>
      <c r="J1629" s="5">
        <v>162</v>
      </c>
      <c r="K1629" s="5">
        <v>12</v>
      </c>
      <c r="L1629" s="5">
        <v>2</v>
      </c>
      <c r="M1629" s="5">
        <v>2</v>
      </c>
      <c r="N1629" s="7">
        <v>768.91</v>
      </c>
      <c r="O1629" s="7">
        <f t="shared" si="177"/>
        <v>1537.82</v>
      </c>
      <c r="P1629" s="4">
        <v>0</v>
      </c>
      <c r="Q1629" s="7">
        <f t="shared" si="178"/>
        <v>0</v>
      </c>
      <c r="R1629" s="7">
        <f t="shared" si="179"/>
        <v>1537.82</v>
      </c>
      <c r="S1629" s="7">
        <f t="shared" si="180"/>
        <v>768.91</v>
      </c>
      <c r="T1629" s="6">
        <f t="shared" si="181"/>
        <v>8.8105726872246704E-3</v>
      </c>
      <c r="V1629" t="s">
        <v>29</v>
      </c>
    </row>
    <row r="1630" spans="1:22">
      <c r="A1630" s="3">
        <v>45725</v>
      </c>
      <c r="B1630" t="str">
        <f t="shared" si="175"/>
        <v>yyyy-03</v>
      </c>
      <c r="C1630">
        <f t="shared" si="176"/>
        <v>10</v>
      </c>
      <c r="D1630" t="s">
        <v>66</v>
      </c>
      <c r="E1630" t="s">
        <v>67</v>
      </c>
      <c r="F1630" t="s">
        <v>68</v>
      </c>
      <c r="G1630" t="s">
        <v>31</v>
      </c>
      <c r="H1630" t="s">
        <v>32</v>
      </c>
      <c r="I1630" s="5">
        <v>361</v>
      </c>
      <c r="J1630" s="5">
        <v>299</v>
      </c>
      <c r="K1630" s="5">
        <v>36</v>
      </c>
      <c r="L1630" s="5">
        <v>7</v>
      </c>
      <c r="M1630" s="5">
        <v>7</v>
      </c>
      <c r="N1630" s="7">
        <v>682.81</v>
      </c>
      <c r="O1630" s="7">
        <f t="shared" si="177"/>
        <v>4779.67</v>
      </c>
      <c r="P1630" s="4">
        <v>0</v>
      </c>
      <c r="Q1630" s="7">
        <f t="shared" si="178"/>
        <v>0</v>
      </c>
      <c r="R1630" s="7">
        <f t="shared" si="179"/>
        <v>4779.67</v>
      </c>
      <c r="S1630" s="7">
        <f t="shared" si="180"/>
        <v>682.81000000000006</v>
      </c>
      <c r="T1630" s="6">
        <f t="shared" si="181"/>
        <v>1.9390581717451522E-2</v>
      </c>
      <c r="V1630" t="s">
        <v>29</v>
      </c>
    </row>
    <row r="1631" spans="1:22">
      <c r="A1631" s="3">
        <v>45725</v>
      </c>
      <c r="B1631" t="str">
        <f t="shared" si="175"/>
        <v>yyyy-03</v>
      </c>
      <c r="C1631">
        <f t="shared" si="176"/>
        <v>10</v>
      </c>
      <c r="D1631" t="s">
        <v>66</v>
      </c>
      <c r="E1631" t="s">
        <v>67</v>
      </c>
      <c r="F1631" t="s">
        <v>69</v>
      </c>
      <c r="G1631" t="s">
        <v>27</v>
      </c>
      <c r="H1631" t="s">
        <v>48</v>
      </c>
      <c r="I1631" s="5">
        <v>277</v>
      </c>
      <c r="J1631" s="5">
        <v>207</v>
      </c>
      <c r="K1631" s="5">
        <v>13</v>
      </c>
      <c r="L1631" s="5">
        <v>5</v>
      </c>
      <c r="M1631" s="5">
        <v>5</v>
      </c>
      <c r="N1631" s="7">
        <v>387.46</v>
      </c>
      <c r="O1631" s="7">
        <f t="shared" si="177"/>
        <v>1937.3</v>
      </c>
      <c r="P1631" s="4">
        <v>0</v>
      </c>
      <c r="Q1631" s="7">
        <f t="shared" si="178"/>
        <v>0</v>
      </c>
      <c r="R1631" s="7">
        <f t="shared" si="179"/>
        <v>1937.3</v>
      </c>
      <c r="S1631" s="7">
        <f t="shared" si="180"/>
        <v>387.46</v>
      </c>
      <c r="T1631" s="6">
        <f t="shared" si="181"/>
        <v>1.8050541516245487E-2</v>
      </c>
      <c r="V1631" t="s">
        <v>29</v>
      </c>
    </row>
    <row r="1632" spans="1:22">
      <c r="A1632" s="3">
        <v>45725</v>
      </c>
      <c r="B1632" t="str">
        <f t="shared" si="175"/>
        <v>yyyy-03</v>
      </c>
      <c r="C1632">
        <f t="shared" si="176"/>
        <v>10</v>
      </c>
      <c r="D1632" t="s">
        <v>66</v>
      </c>
      <c r="E1632" t="s">
        <v>67</v>
      </c>
      <c r="F1632" t="s">
        <v>70</v>
      </c>
      <c r="G1632" t="s">
        <v>31</v>
      </c>
      <c r="H1632" t="s">
        <v>32</v>
      </c>
      <c r="I1632" s="5">
        <v>542</v>
      </c>
      <c r="J1632" s="5">
        <v>383</v>
      </c>
      <c r="K1632" s="5">
        <v>37</v>
      </c>
      <c r="L1632" s="5">
        <v>12</v>
      </c>
      <c r="M1632" s="5">
        <v>12</v>
      </c>
      <c r="N1632" s="7">
        <v>340.57</v>
      </c>
      <c r="O1632" s="7">
        <f t="shared" si="177"/>
        <v>4086.84</v>
      </c>
      <c r="P1632" s="4">
        <v>0</v>
      </c>
      <c r="Q1632" s="7">
        <f t="shared" si="178"/>
        <v>0</v>
      </c>
      <c r="R1632" s="7">
        <f t="shared" si="179"/>
        <v>4086.84</v>
      </c>
      <c r="S1632" s="7">
        <f t="shared" si="180"/>
        <v>340.57</v>
      </c>
      <c r="T1632" s="6">
        <f t="shared" si="181"/>
        <v>2.2140221402214021E-2</v>
      </c>
      <c r="V1632" t="s">
        <v>29</v>
      </c>
    </row>
    <row r="1633" spans="1:22">
      <c r="A1633" s="3">
        <v>45725</v>
      </c>
      <c r="B1633" t="str">
        <f t="shared" si="175"/>
        <v>yyyy-03</v>
      </c>
      <c r="C1633">
        <f t="shared" si="176"/>
        <v>10</v>
      </c>
      <c r="D1633" t="s">
        <v>66</v>
      </c>
      <c r="E1633" t="s">
        <v>71</v>
      </c>
      <c r="F1633" t="s">
        <v>72</v>
      </c>
      <c r="G1633" t="s">
        <v>36</v>
      </c>
      <c r="H1633" t="s">
        <v>37</v>
      </c>
      <c r="I1633" s="5">
        <v>410</v>
      </c>
      <c r="J1633" s="5">
        <v>314</v>
      </c>
      <c r="K1633" s="5">
        <v>34</v>
      </c>
      <c r="L1633" s="5">
        <v>8</v>
      </c>
      <c r="M1633" s="5">
        <v>10</v>
      </c>
      <c r="N1633" s="7">
        <v>128.03</v>
      </c>
      <c r="O1633" s="7">
        <f t="shared" si="177"/>
        <v>1280.3</v>
      </c>
      <c r="P1633" s="4">
        <v>0.15</v>
      </c>
      <c r="Q1633" s="7">
        <f t="shared" si="178"/>
        <v>192.04499999999999</v>
      </c>
      <c r="R1633" s="7">
        <f t="shared" si="179"/>
        <v>1088.2549999999999</v>
      </c>
      <c r="S1633" s="7">
        <f t="shared" si="180"/>
        <v>136.03187499999999</v>
      </c>
      <c r="T1633" s="6">
        <f t="shared" si="181"/>
        <v>1.9512195121951219E-2</v>
      </c>
      <c r="U1633" t="s">
        <v>87</v>
      </c>
      <c r="V1633" t="s">
        <v>29</v>
      </c>
    </row>
    <row r="1634" spans="1:22">
      <c r="A1634" s="3">
        <v>45725</v>
      </c>
      <c r="B1634" t="str">
        <f t="shared" si="175"/>
        <v>yyyy-03</v>
      </c>
      <c r="C1634">
        <f t="shared" si="176"/>
        <v>10</v>
      </c>
      <c r="D1634" t="s">
        <v>66</v>
      </c>
      <c r="E1634" t="s">
        <v>73</v>
      </c>
      <c r="F1634" t="s">
        <v>74</v>
      </c>
      <c r="G1634" t="s">
        <v>27</v>
      </c>
      <c r="H1634" t="s">
        <v>48</v>
      </c>
      <c r="I1634" s="5">
        <v>199</v>
      </c>
      <c r="J1634" s="5">
        <v>139</v>
      </c>
      <c r="K1634" s="5">
        <v>12</v>
      </c>
      <c r="L1634" s="5">
        <v>4</v>
      </c>
      <c r="M1634" s="5">
        <v>4</v>
      </c>
      <c r="N1634" s="7">
        <v>1172.45</v>
      </c>
      <c r="O1634" s="7">
        <f t="shared" si="177"/>
        <v>4689.8</v>
      </c>
      <c r="P1634" s="4">
        <v>0.05</v>
      </c>
      <c r="Q1634" s="7">
        <f t="shared" si="178"/>
        <v>234.49</v>
      </c>
      <c r="R1634" s="7">
        <f t="shared" si="179"/>
        <v>4455.3100000000004</v>
      </c>
      <c r="S1634" s="7">
        <f t="shared" si="180"/>
        <v>1113.8275000000001</v>
      </c>
      <c r="T1634" s="6">
        <f t="shared" si="181"/>
        <v>2.0100502512562814E-2</v>
      </c>
      <c r="V1634" t="s">
        <v>29</v>
      </c>
    </row>
    <row r="1635" spans="1:22">
      <c r="A1635" s="3">
        <v>45725</v>
      </c>
      <c r="B1635" t="str">
        <f t="shared" si="175"/>
        <v>yyyy-03</v>
      </c>
      <c r="C1635">
        <f t="shared" si="176"/>
        <v>10</v>
      </c>
      <c r="D1635" t="s">
        <v>66</v>
      </c>
      <c r="E1635" t="s">
        <v>71</v>
      </c>
      <c r="F1635" t="s">
        <v>75</v>
      </c>
      <c r="G1635" t="s">
        <v>27</v>
      </c>
      <c r="H1635" t="s">
        <v>48</v>
      </c>
      <c r="I1635" s="5">
        <v>372</v>
      </c>
      <c r="J1635" s="5">
        <v>241</v>
      </c>
      <c r="K1635" s="5">
        <v>25</v>
      </c>
      <c r="L1635" s="5">
        <v>9</v>
      </c>
      <c r="M1635" s="5">
        <v>10</v>
      </c>
      <c r="N1635" s="7">
        <v>39.659999999999997</v>
      </c>
      <c r="O1635" s="7">
        <f t="shared" si="177"/>
        <v>396.59999999999997</v>
      </c>
      <c r="P1635" s="4">
        <v>0.15</v>
      </c>
      <c r="Q1635" s="7">
        <f t="shared" si="178"/>
        <v>59.489999999999995</v>
      </c>
      <c r="R1635" s="7">
        <f t="shared" si="179"/>
        <v>337.10999999999996</v>
      </c>
      <c r="S1635" s="7">
        <f t="shared" si="180"/>
        <v>37.456666666666663</v>
      </c>
      <c r="T1635" s="6">
        <f t="shared" si="181"/>
        <v>2.4193548387096774E-2</v>
      </c>
      <c r="U1635" t="s">
        <v>87</v>
      </c>
      <c r="V1635" t="s">
        <v>29</v>
      </c>
    </row>
    <row r="1636" spans="1:22">
      <c r="A1636" s="3">
        <v>45725</v>
      </c>
      <c r="B1636" t="str">
        <f t="shared" si="175"/>
        <v>yyyy-03</v>
      </c>
      <c r="C1636">
        <f t="shared" si="176"/>
        <v>10</v>
      </c>
      <c r="D1636" t="s">
        <v>24</v>
      </c>
      <c r="E1636" t="s">
        <v>76</v>
      </c>
      <c r="F1636" t="s">
        <v>77</v>
      </c>
      <c r="G1636" t="s">
        <v>27</v>
      </c>
      <c r="H1636" t="s">
        <v>28</v>
      </c>
      <c r="I1636" s="5">
        <v>666</v>
      </c>
      <c r="J1636" s="5">
        <v>355</v>
      </c>
      <c r="K1636" s="5">
        <v>51</v>
      </c>
      <c r="L1636" s="5">
        <v>16</v>
      </c>
      <c r="M1636" s="5">
        <v>18</v>
      </c>
      <c r="N1636" s="7">
        <v>202.26</v>
      </c>
      <c r="O1636" s="7">
        <f t="shared" si="177"/>
        <v>3640.68</v>
      </c>
      <c r="P1636" s="4">
        <v>0</v>
      </c>
      <c r="Q1636" s="7">
        <f t="shared" si="178"/>
        <v>0</v>
      </c>
      <c r="R1636" s="7">
        <f t="shared" si="179"/>
        <v>3640.68</v>
      </c>
      <c r="S1636" s="7">
        <f t="shared" si="180"/>
        <v>227.54249999999999</v>
      </c>
      <c r="T1636" s="6">
        <f t="shared" si="181"/>
        <v>2.4024024024024024E-2</v>
      </c>
      <c r="V1636" t="s">
        <v>29</v>
      </c>
    </row>
    <row r="1637" spans="1:22">
      <c r="A1637" s="3">
        <v>45726</v>
      </c>
      <c r="B1637" t="str">
        <f t="shared" si="175"/>
        <v>yyyy-03</v>
      </c>
      <c r="C1637">
        <f t="shared" si="176"/>
        <v>11</v>
      </c>
      <c r="D1637" t="s">
        <v>24</v>
      </c>
      <c r="E1637" t="s">
        <v>25</v>
      </c>
      <c r="F1637" t="s">
        <v>26</v>
      </c>
      <c r="G1637" t="s">
        <v>27</v>
      </c>
      <c r="H1637" t="s">
        <v>48</v>
      </c>
      <c r="I1637" s="5">
        <v>1111</v>
      </c>
      <c r="J1637" s="5">
        <v>893</v>
      </c>
      <c r="K1637" s="5">
        <v>94</v>
      </c>
      <c r="L1637" s="5">
        <v>31</v>
      </c>
      <c r="M1637" s="5">
        <v>31</v>
      </c>
      <c r="N1637" s="7">
        <v>987.23</v>
      </c>
      <c r="O1637" s="7">
        <f t="shared" si="177"/>
        <v>30604.13</v>
      </c>
      <c r="P1637" s="4">
        <v>0.13</v>
      </c>
      <c r="Q1637" s="7">
        <f t="shared" si="178"/>
        <v>3978.5369000000001</v>
      </c>
      <c r="R1637" s="7">
        <f t="shared" si="179"/>
        <v>26625.593100000002</v>
      </c>
      <c r="S1637" s="7">
        <f t="shared" si="180"/>
        <v>858.89010000000007</v>
      </c>
      <c r="T1637" s="6">
        <f t="shared" si="181"/>
        <v>2.7902790279027902E-2</v>
      </c>
      <c r="U1637" t="s">
        <v>88</v>
      </c>
      <c r="V1637" t="s">
        <v>29</v>
      </c>
    </row>
    <row r="1638" spans="1:22">
      <c r="A1638" s="3">
        <v>45726</v>
      </c>
      <c r="B1638" t="str">
        <f t="shared" si="175"/>
        <v>yyyy-03</v>
      </c>
      <c r="C1638">
        <f t="shared" si="176"/>
        <v>11</v>
      </c>
      <c r="D1638" t="s">
        <v>24</v>
      </c>
      <c r="E1638" t="s">
        <v>25</v>
      </c>
      <c r="F1638" t="s">
        <v>30</v>
      </c>
      <c r="G1638" t="s">
        <v>27</v>
      </c>
      <c r="H1638" t="s">
        <v>45</v>
      </c>
      <c r="I1638" s="5">
        <v>1465</v>
      </c>
      <c r="J1638" s="5">
        <v>1096</v>
      </c>
      <c r="K1638" s="5">
        <v>174</v>
      </c>
      <c r="L1638" s="5">
        <v>43</v>
      </c>
      <c r="M1638" s="5">
        <v>43</v>
      </c>
      <c r="N1638" s="7">
        <v>392.81</v>
      </c>
      <c r="O1638" s="7">
        <f t="shared" si="177"/>
        <v>16890.830000000002</v>
      </c>
      <c r="P1638" s="4">
        <v>0.13</v>
      </c>
      <c r="Q1638" s="7">
        <f t="shared" si="178"/>
        <v>2195.8079000000002</v>
      </c>
      <c r="R1638" s="7">
        <f t="shared" si="179"/>
        <v>14695.022100000002</v>
      </c>
      <c r="S1638" s="7">
        <f t="shared" si="180"/>
        <v>341.74470000000002</v>
      </c>
      <c r="T1638" s="6">
        <f t="shared" si="181"/>
        <v>2.9351535836177476E-2</v>
      </c>
      <c r="U1638" t="s">
        <v>88</v>
      </c>
      <c r="V1638" t="s">
        <v>29</v>
      </c>
    </row>
    <row r="1639" spans="1:22">
      <c r="A1639" s="3">
        <v>45726</v>
      </c>
      <c r="B1639" t="str">
        <f t="shared" si="175"/>
        <v>yyyy-03</v>
      </c>
      <c r="C1639">
        <f t="shared" si="176"/>
        <v>11</v>
      </c>
      <c r="D1639" t="s">
        <v>24</v>
      </c>
      <c r="E1639" t="s">
        <v>25</v>
      </c>
      <c r="F1639" t="s">
        <v>33</v>
      </c>
      <c r="G1639" t="s">
        <v>27</v>
      </c>
      <c r="H1639" t="s">
        <v>45</v>
      </c>
      <c r="I1639" s="5">
        <v>1062</v>
      </c>
      <c r="J1639" s="5">
        <v>829</v>
      </c>
      <c r="K1639" s="5">
        <v>71</v>
      </c>
      <c r="L1639" s="5">
        <v>26</v>
      </c>
      <c r="M1639" s="5">
        <v>26</v>
      </c>
      <c r="N1639" s="7">
        <v>1793.24</v>
      </c>
      <c r="O1639" s="7">
        <f t="shared" si="177"/>
        <v>46624.24</v>
      </c>
      <c r="P1639" s="4">
        <v>0.13</v>
      </c>
      <c r="Q1639" s="7">
        <f t="shared" si="178"/>
        <v>6061.1512000000002</v>
      </c>
      <c r="R1639" s="7">
        <f t="shared" si="179"/>
        <v>40563.088799999998</v>
      </c>
      <c r="S1639" s="7">
        <f t="shared" si="180"/>
        <v>1560.1188</v>
      </c>
      <c r="T1639" s="6">
        <f t="shared" si="181"/>
        <v>2.4482109227871938E-2</v>
      </c>
      <c r="U1639" t="s">
        <v>88</v>
      </c>
      <c r="V1639" t="s">
        <v>29</v>
      </c>
    </row>
    <row r="1640" spans="1:22">
      <c r="A1640" s="3">
        <v>45726</v>
      </c>
      <c r="B1640" t="str">
        <f t="shared" si="175"/>
        <v>yyyy-03</v>
      </c>
      <c r="C1640">
        <f t="shared" si="176"/>
        <v>11</v>
      </c>
      <c r="D1640" t="s">
        <v>24</v>
      </c>
      <c r="E1640" t="s">
        <v>34</v>
      </c>
      <c r="F1640" t="s">
        <v>35</v>
      </c>
      <c r="G1640" t="s">
        <v>36</v>
      </c>
      <c r="H1640" t="s">
        <v>37</v>
      </c>
      <c r="I1640" s="5">
        <v>921</v>
      </c>
      <c r="J1640" s="5">
        <v>517</v>
      </c>
      <c r="K1640" s="5">
        <v>78</v>
      </c>
      <c r="L1640" s="5">
        <v>24</v>
      </c>
      <c r="M1640" s="5">
        <v>24</v>
      </c>
      <c r="N1640" s="7">
        <v>877.57</v>
      </c>
      <c r="O1640" s="7">
        <f t="shared" si="177"/>
        <v>21061.68</v>
      </c>
      <c r="P1640" s="4">
        <v>0.03</v>
      </c>
      <c r="Q1640" s="7">
        <f t="shared" si="178"/>
        <v>631.85040000000004</v>
      </c>
      <c r="R1640" s="7">
        <f t="shared" si="179"/>
        <v>20429.829600000001</v>
      </c>
      <c r="S1640" s="7">
        <f t="shared" si="180"/>
        <v>851.24290000000008</v>
      </c>
      <c r="T1640" s="6">
        <f t="shared" si="181"/>
        <v>2.6058631921824105E-2</v>
      </c>
      <c r="V1640" t="s">
        <v>29</v>
      </c>
    </row>
    <row r="1641" spans="1:22">
      <c r="A1641" s="3">
        <v>45726</v>
      </c>
      <c r="B1641" t="str">
        <f t="shared" si="175"/>
        <v>yyyy-03</v>
      </c>
      <c r="C1641">
        <f t="shared" si="176"/>
        <v>11</v>
      </c>
      <c r="D1641" t="s">
        <v>24</v>
      </c>
      <c r="E1641" t="s">
        <v>38</v>
      </c>
      <c r="F1641" t="s">
        <v>39</v>
      </c>
      <c r="G1641" t="s">
        <v>27</v>
      </c>
      <c r="H1641" t="s">
        <v>28</v>
      </c>
      <c r="I1641" s="5">
        <v>792</v>
      </c>
      <c r="J1641" s="5">
        <v>412</v>
      </c>
      <c r="K1641" s="5">
        <v>49</v>
      </c>
      <c r="L1641" s="5">
        <v>13</v>
      </c>
      <c r="M1641" s="5">
        <v>13</v>
      </c>
      <c r="N1641" s="7">
        <v>329.49</v>
      </c>
      <c r="O1641" s="7">
        <f t="shared" si="177"/>
        <v>4283.37</v>
      </c>
      <c r="P1641" s="4">
        <v>0</v>
      </c>
      <c r="Q1641" s="7">
        <f t="shared" si="178"/>
        <v>0</v>
      </c>
      <c r="R1641" s="7">
        <f t="shared" si="179"/>
        <v>4283.37</v>
      </c>
      <c r="S1641" s="7">
        <f t="shared" si="180"/>
        <v>329.49</v>
      </c>
      <c r="T1641" s="6">
        <f t="shared" si="181"/>
        <v>1.6414141414141416E-2</v>
      </c>
      <c r="V1641" t="s">
        <v>29</v>
      </c>
    </row>
    <row r="1642" spans="1:22">
      <c r="A1642" s="3">
        <v>45726</v>
      </c>
      <c r="B1642" t="str">
        <f t="shared" si="175"/>
        <v>yyyy-03</v>
      </c>
      <c r="C1642">
        <f t="shared" si="176"/>
        <v>11</v>
      </c>
      <c r="D1642" t="s">
        <v>24</v>
      </c>
      <c r="E1642" t="s">
        <v>40</v>
      </c>
      <c r="F1642" t="s">
        <v>41</v>
      </c>
      <c r="G1642" t="s">
        <v>27</v>
      </c>
      <c r="H1642" t="s">
        <v>28</v>
      </c>
      <c r="I1642" s="5">
        <v>840</v>
      </c>
      <c r="J1642" s="5">
        <v>688</v>
      </c>
      <c r="K1642" s="5">
        <v>62</v>
      </c>
      <c r="L1642" s="5">
        <v>15</v>
      </c>
      <c r="M1642" s="5">
        <v>17</v>
      </c>
      <c r="N1642" s="7">
        <v>172.34</v>
      </c>
      <c r="O1642" s="7">
        <f t="shared" si="177"/>
        <v>2929.78</v>
      </c>
      <c r="P1642" s="4">
        <v>0.05</v>
      </c>
      <c r="Q1642" s="7">
        <f t="shared" si="178"/>
        <v>146.489</v>
      </c>
      <c r="R1642" s="7">
        <f t="shared" si="179"/>
        <v>2783.2910000000002</v>
      </c>
      <c r="S1642" s="7">
        <f t="shared" si="180"/>
        <v>185.55273333333335</v>
      </c>
      <c r="T1642" s="6">
        <f t="shared" si="181"/>
        <v>1.7857142857142856E-2</v>
      </c>
      <c r="V1642" t="s">
        <v>29</v>
      </c>
    </row>
    <row r="1643" spans="1:22">
      <c r="A1643" s="3">
        <v>45726</v>
      </c>
      <c r="B1643" t="str">
        <f t="shared" si="175"/>
        <v>yyyy-03</v>
      </c>
      <c r="C1643">
        <f t="shared" si="176"/>
        <v>11</v>
      </c>
      <c r="D1643" t="s">
        <v>42</v>
      </c>
      <c r="E1643" t="s">
        <v>43</v>
      </c>
      <c r="F1643" t="s">
        <v>44</v>
      </c>
      <c r="G1643" t="s">
        <v>31</v>
      </c>
      <c r="H1643" t="s">
        <v>32</v>
      </c>
      <c r="I1643" s="5">
        <v>621</v>
      </c>
      <c r="J1643" s="5">
        <v>433</v>
      </c>
      <c r="K1643" s="5">
        <v>46</v>
      </c>
      <c r="L1643" s="5">
        <v>10</v>
      </c>
      <c r="M1643" s="5">
        <v>10</v>
      </c>
      <c r="N1643" s="7">
        <v>1248.1099999999999</v>
      </c>
      <c r="O1643" s="7">
        <f t="shared" si="177"/>
        <v>12481.099999999999</v>
      </c>
      <c r="P1643" s="4">
        <v>0</v>
      </c>
      <c r="Q1643" s="7">
        <f t="shared" si="178"/>
        <v>0</v>
      </c>
      <c r="R1643" s="7">
        <f t="shared" si="179"/>
        <v>12481.099999999999</v>
      </c>
      <c r="S1643" s="7">
        <f t="shared" si="180"/>
        <v>1248.1099999999999</v>
      </c>
      <c r="T1643" s="6">
        <f t="shared" si="181"/>
        <v>1.610305958132045E-2</v>
      </c>
      <c r="V1643" t="s">
        <v>29</v>
      </c>
    </row>
    <row r="1644" spans="1:22">
      <c r="A1644" s="3">
        <v>45726</v>
      </c>
      <c r="B1644" t="str">
        <f t="shared" si="175"/>
        <v>yyyy-03</v>
      </c>
      <c r="C1644">
        <f t="shared" si="176"/>
        <v>11</v>
      </c>
      <c r="D1644" t="s">
        <v>42</v>
      </c>
      <c r="E1644" t="s">
        <v>43</v>
      </c>
      <c r="F1644" t="s">
        <v>46</v>
      </c>
      <c r="G1644" t="s">
        <v>31</v>
      </c>
      <c r="H1644" t="s">
        <v>32</v>
      </c>
      <c r="I1644" s="5">
        <v>792</v>
      </c>
      <c r="J1644" s="5">
        <v>447</v>
      </c>
      <c r="K1644" s="5">
        <v>31</v>
      </c>
      <c r="L1644" s="5">
        <v>12</v>
      </c>
      <c r="M1644" s="5">
        <v>12</v>
      </c>
      <c r="N1644" s="7">
        <v>2239.98</v>
      </c>
      <c r="O1644" s="7">
        <f t="shared" si="177"/>
        <v>26879.760000000002</v>
      </c>
      <c r="P1644" s="4">
        <v>0</v>
      </c>
      <c r="Q1644" s="7">
        <f t="shared" si="178"/>
        <v>0</v>
      </c>
      <c r="R1644" s="7">
        <f t="shared" si="179"/>
        <v>26879.760000000002</v>
      </c>
      <c r="S1644" s="7">
        <f t="shared" si="180"/>
        <v>2239.98</v>
      </c>
      <c r="T1644" s="6">
        <f t="shared" si="181"/>
        <v>1.5151515151515152E-2</v>
      </c>
      <c r="V1644" t="s">
        <v>29</v>
      </c>
    </row>
    <row r="1645" spans="1:22">
      <c r="A1645" s="3">
        <v>45726</v>
      </c>
      <c r="B1645" t="str">
        <f t="shared" si="175"/>
        <v>yyyy-03</v>
      </c>
      <c r="C1645">
        <f t="shared" si="176"/>
        <v>11</v>
      </c>
      <c r="D1645" t="s">
        <v>42</v>
      </c>
      <c r="E1645" t="s">
        <v>43</v>
      </c>
      <c r="F1645" t="s">
        <v>47</v>
      </c>
      <c r="G1645" t="s">
        <v>36</v>
      </c>
      <c r="H1645" t="s">
        <v>37</v>
      </c>
      <c r="I1645" s="5">
        <v>481</v>
      </c>
      <c r="J1645" s="5">
        <v>344</v>
      </c>
      <c r="K1645" s="5">
        <v>38</v>
      </c>
      <c r="L1645" s="5">
        <v>6</v>
      </c>
      <c r="M1645" s="5">
        <v>6</v>
      </c>
      <c r="N1645" s="7">
        <v>605.88</v>
      </c>
      <c r="O1645" s="7">
        <f t="shared" si="177"/>
        <v>3635.2799999999997</v>
      </c>
      <c r="P1645" s="4">
        <v>0.03</v>
      </c>
      <c r="Q1645" s="7">
        <f t="shared" si="178"/>
        <v>109.05839999999999</v>
      </c>
      <c r="R1645" s="7">
        <f t="shared" si="179"/>
        <v>3526.2215999999999</v>
      </c>
      <c r="S1645" s="7">
        <f t="shared" si="180"/>
        <v>587.70359999999994</v>
      </c>
      <c r="T1645" s="6">
        <f t="shared" si="181"/>
        <v>1.2474012474012475E-2</v>
      </c>
      <c r="V1645" t="s">
        <v>29</v>
      </c>
    </row>
    <row r="1646" spans="1:22">
      <c r="A1646" s="3">
        <v>45726</v>
      </c>
      <c r="B1646" t="str">
        <f t="shared" si="175"/>
        <v>yyyy-03</v>
      </c>
      <c r="C1646">
        <f t="shared" si="176"/>
        <v>11</v>
      </c>
      <c r="D1646" t="s">
        <v>42</v>
      </c>
      <c r="E1646" t="s">
        <v>49</v>
      </c>
      <c r="F1646" t="s">
        <v>50</v>
      </c>
      <c r="G1646" t="s">
        <v>27</v>
      </c>
      <c r="H1646" t="s">
        <v>45</v>
      </c>
      <c r="I1646" s="5">
        <v>144</v>
      </c>
      <c r="J1646" s="5">
        <v>87</v>
      </c>
      <c r="K1646" s="5">
        <v>7</v>
      </c>
      <c r="L1646" s="5">
        <v>2</v>
      </c>
      <c r="M1646" s="5">
        <v>2</v>
      </c>
      <c r="N1646" s="7">
        <v>962.72</v>
      </c>
      <c r="O1646" s="7">
        <f t="shared" si="177"/>
        <v>1925.44</v>
      </c>
      <c r="P1646" s="4">
        <v>0</v>
      </c>
      <c r="Q1646" s="7">
        <f t="shared" si="178"/>
        <v>0</v>
      </c>
      <c r="R1646" s="7">
        <f t="shared" si="179"/>
        <v>1925.44</v>
      </c>
      <c r="S1646" s="7">
        <f t="shared" si="180"/>
        <v>962.72</v>
      </c>
      <c r="T1646" s="6">
        <f t="shared" si="181"/>
        <v>1.3888888888888888E-2</v>
      </c>
      <c r="V1646" t="s">
        <v>29</v>
      </c>
    </row>
    <row r="1647" spans="1:22">
      <c r="A1647" s="3">
        <v>45726</v>
      </c>
      <c r="B1647" t="str">
        <f t="shared" si="175"/>
        <v>yyyy-03</v>
      </c>
      <c r="C1647">
        <f t="shared" si="176"/>
        <v>11</v>
      </c>
      <c r="D1647" t="s">
        <v>42</v>
      </c>
      <c r="E1647" t="s">
        <v>51</v>
      </c>
      <c r="F1647" t="s">
        <v>52</v>
      </c>
      <c r="G1647" t="s">
        <v>27</v>
      </c>
      <c r="H1647" t="s">
        <v>48</v>
      </c>
      <c r="I1647" s="5">
        <v>185</v>
      </c>
      <c r="J1647" s="5">
        <v>102</v>
      </c>
      <c r="K1647" s="5">
        <v>6</v>
      </c>
      <c r="L1647" s="5">
        <v>2</v>
      </c>
      <c r="M1647" s="5">
        <v>2</v>
      </c>
      <c r="N1647" s="7">
        <v>602.67999999999995</v>
      </c>
      <c r="O1647" s="7">
        <f t="shared" si="177"/>
        <v>1205.3599999999999</v>
      </c>
      <c r="P1647" s="4">
        <v>0</v>
      </c>
      <c r="Q1647" s="7">
        <f t="shared" si="178"/>
        <v>0</v>
      </c>
      <c r="R1647" s="7">
        <f t="shared" si="179"/>
        <v>1205.3599999999999</v>
      </c>
      <c r="S1647" s="7">
        <f t="shared" si="180"/>
        <v>602.67999999999995</v>
      </c>
      <c r="T1647" s="6">
        <f t="shared" si="181"/>
        <v>1.0810810810810811E-2</v>
      </c>
      <c r="V1647" t="s">
        <v>29</v>
      </c>
    </row>
    <row r="1648" spans="1:22">
      <c r="A1648" s="3">
        <v>45726</v>
      </c>
      <c r="B1648" t="str">
        <f t="shared" si="175"/>
        <v>yyyy-03</v>
      </c>
      <c r="C1648">
        <f t="shared" si="176"/>
        <v>11</v>
      </c>
      <c r="D1648" t="s">
        <v>53</v>
      </c>
      <c r="E1648" t="s">
        <v>54</v>
      </c>
      <c r="F1648" t="s">
        <v>55</v>
      </c>
      <c r="G1648" t="s">
        <v>36</v>
      </c>
      <c r="H1648" t="s">
        <v>37</v>
      </c>
      <c r="I1648" s="5">
        <v>191</v>
      </c>
      <c r="J1648" s="5">
        <v>126</v>
      </c>
      <c r="K1648" s="5">
        <v>7</v>
      </c>
      <c r="L1648" s="5">
        <v>1</v>
      </c>
      <c r="M1648" s="5">
        <v>1</v>
      </c>
      <c r="N1648" s="7">
        <v>1314.37</v>
      </c>
      <c r="O1648" s="7">
        <f t="shared" si="177"/>
        <v>1314.37</v>
      </c>
      <c r="P1648" s="4">
        <v>0.03</v>
      </c>
      <c r="Q1648" s="7">
        <f t="shared" si="178"/>
        <v>39.431099999999994</v>
      </c>
      <c r="R1648" s="7">
        <f t="shared" si="179"/>
        <v>1274.9388999999999</v>
      </c>
      <c r="S1648" s="7">
        <f t="shared" si="180"/>
        <v>1274.9388999999999</v>
      </c>
      <c r="T1648" s="6">
        <f t="shared" si="181"/>
        <v>5.235602094240838E-3</v>
      </c>
      <c r="V1648" t="s">
        <v>78</v>
      </c>
    </row>
    <row r="1649" spans="1:22">
      <c r="A1649" s="3">
        <v>45726</v>
      </c>
      <c r="B1649" t="str">
        <f t="shared" si="175"/>
        <v>yyyy-03</v>
      </c>
      <c r="C1649">
        <f t="shared" si="176"/>
        <v>11</v>
      </c>
      <c r="D1649" t="s">
        <v>53</v>
      </c>
      <c r="E1649" t="s">
        <v>56</v>
      </c>
      <c r="F1649" t="s">
        <v>57</v>
      </c>
      <c r="G1649" t="s">
        <v>27</v>
      </c>
      <c r="H1649" t="s">
        <v>48</v>
      </c>
      <c r="I1649" s="5">
        <v>134</v>
      </c>
      <c r="J1649" s="5">
        <v>75</v>
      </c>
      <c r="K1649" s="5">
        <v>8</v>
      </c>
      <c r="L1649" s="5">
        <v>2</v>
      </c>
      <c r="M1649" s="5">
        <v>2</v>
      </c>
      <c r="N1649" s="7">
        <v>763.37</v>
      </c>
      <c r="O1649" s="7">
        <f t="shared" si="177"/>
        <v>1526.74</v>
      </c>
      <c r="P1649" s="4">
        <v>0</v>
      </c>
      <c r="Q1649" s="7">
        <f t="shared" si="178"/>
        <v>0</v>
      </c>
      <c r="R1649" s="7">
        <f t="shared" si="179"/>
        <v>1526.74</v>
      </c>
      <c r="S1649" s="7">
        <f t="shared" si="180"/>
        <v>763.37</v>
      </c>
      <c r="T1649" s="6">
        <f t="shared" si="181"/>
        <v>1.4925373134328358E-2</v>
      </c>
      <c r="V1649" t="s">
        <v>29</v>
      </c>
    </row>
    <row r="1650" spans="1:22">
      <c r="A1650" s="3">
        <v>45726</v>
      </c>
      <c r="B1650" t="str">
        <f t="shared" si="175"/>
        <v>yyyy-03</v>
      </c>
      <c r="C1650">
        <f t="shared" si="176"/>
        <v>11</v>
      </c>
      <c r="D1650" t="s">
        <v>53</v>
      </c>
      <c r="E1650" t="s">
        <v>56</v>
      </c>
      <c r="F1650" t="s">
        <v>58</v>
      </c>
      <c r="G1650" t="s">
        <v>27</v>
      </c>
      <c r="H1650" t="s">
        <v>28</v>
      </c>
      <c r="I1650" s="5">
        <v>208</v>
      </c>
      <c r="J1650" s="5">
        <v>115</v>
      </c>
      <c r="K1650" s="5">
        <v>11</v>
      </c>
      <c r="L1650" s="5">
        <v>3</v>
      </c>
      <c r="M1650" s="5">
        <v>3</v>
      </c>
      <c r="N1650" s="7">
        <v>877.7</v>
      </c>
      <c r="O1650" s="7">
        <f t="shared" si="177"/>
        <v>2633.1000000000004</v>
      </c>
      <c r="P1650" s="4">
        <v>0.05</v>
      </c>
      <c r="Q1650" s="7">
        <f t="shared" si="178"/>
        <v>131.65500000000003</v>
      </c>
      <c r="R1650" s="7">
        <f t="shared" si="179"/>
        <v>2501.4450000000002</v>
      </c>
      <c r="S1650" s="7">
        <f t="shared" si="180"/>
        <v>833.81500000000005</v>
      </c>
      <c r="T1650" s="6">
        <f t="shared" si="181"/>
        <v>1.4423076923076924E-2</v>
      </c>
      <c r="V1650" t="s">
        <v>29</v>
      </c>
    </row>
    <row r="1651" spans="1:22">
      <c r="A1651" s="3">
        <v>45726</v>
      </c>
      <c r="B1651" t="str">
        <f t="shared" si="175"/>
        <v>yyyy-03</v>
      </c>
      <c r="C1651">
        <f t="shared" si="176"/>
        <v>11</v>
      </c>
      <c r="D1651" t="s">
        <v>53</v>
      </c>
      <c r="E1651" t="s">
        <v>59</v>
      </c>
      <c r="F1651" t="s">
        <v>60</v>
      </c>
      <c r="G1651" t="s">
        <v>27</v>
      </c>
      <c r="H1651" t="s">
        <v>28</v>
      </c>
      <c r="I1651" s="5">
        <v>179</v>
      </c>
      <c r="J1651" s="5">
        <v>142</v>
      </c>
      <c r="K1651" s="5">
        <v>15</v>
      </c>
      <c r="L1651" s="5">
        <v>2</v>
      </c>
      <c r="M1651" s="5">
        <v>2</v>
      </c>
      <c r="N1651" s="7">
        <v>702.82</v>
      </c>
      <c r="O1651" s="7">
        <f t="shared" si="177"/>
        <v>1405.64</v>
      </c>
      <c r="P1651" s="4">
        <v>0</v>
      </c>
      <c r="Q1651" s="7">
        <f t="shared" si="178"/>
        <v>0</v>
      </c>
      <c r="R1651" s="7">
        <f t="shared" si="179"/>
        <v>1405.64</v>
      </c>
      <c r="S1651" s="7">
        <f t="shared" si="180"/>
        <v>702.82</v>
      </c>
      <c r="T1651" s="6">
        <f t="shared" si="181"/>
        <v>1.11731843575419E-2</v>
      </c>
      <c r="V1651" t="s">
        <v>29</v>
      </c>
    </row>
    <row r="1652" spans="1:22">
      <c r="A1652" s="3">
        <v>45726</v>
      </c>
      <c r="B1652" t="str">
        <f t="shared" si="175"/>
        <v>yyyy-03</v>
      </c>
      <c r="C1652">
        <f t="shared" si="176"/>
        <v>11</v>
      </c>
      <c r="D1652" t="s">
        <v>53</v>
      </c>
      <c r="E1652" t="s">
        <v>61</v>
      </c>
      <c r="F1652" t="s">
        <v>62</v>
      </c>
      <c r="G1652" t="s">
        <v>27</v>
      </c>
      <c r="H1652" t="s">
        <v>45</v>
      </c>
      <c r="I1652" s="5">
        <v>151</v>
      </c>
      <c r="J1652" s="5">
        <v>107</v>
      </c>
      <c r="K1652" s="5">
        <v>7</v>
      </c>
      <c r="L1652" s="5">
        <v>2</v>
      </c>
      <c r="M1652" s="5">
        <v>2</v>
      </c>
      <c r="N1652" s="7">
        <v>493.92</v>
      </c>
      <c r="O1652" s="7">
        <f t="shared" si="177"/>
        <v>987.84</v>
      </c>
      <c r="P1652" s="4">
        <v>0.12</v>
      </c>
      <c r="Q1652" s="7">
        <f t="shared" si="178"/>
        <v>118.5408</v>
      </c>
      <c r="R1652" s="7">
        <f t="shared" si="179"/>
        <v>869.29920000000004</v>
      </c>
      <c r="S1652" s="7">
        <f t="shared" si="180"/>
        <v>434.64960000000002</v>
      </c>
      <c r="T1652" s="6">
        <f t="shared" si="181"/>
        <v>1.3245033112582781E-2</v>
      </c>
      <c r="U1652" t="s">
        <v>89</v>
      </c>
      <c r="V1652" t="s">
        <v>29</v>
      </c>
    </row>
    <row r="1653" spans="1:22">
      <c r="A1653" s="3">
        <v>45726</v>
      </c>
      <c r="B1653" t="str">
        <f t="shared" si="175"/>
        <v>yyyy-03</v>
      </c>
      <c r="C1653">
        <f t="shared" si="176"/>
        <v>11</v>
      </c>
      <c r="D1653" t="s">
        <v>53</v>
      </c>
      <c r="E1653" t="s">
        <v>64</v>
      </c>
      <c r="F1653" t="s">
        <v>65</v>
      </c>
      <c r="G1653" t="s">
        <v>27</v>
      </c>
      <c r="H1653" t="s">
        <v>28</v>
      </c>
      <c r="I1653" s="5">
        <v>182</v>
      </c>
      <c r="J1653" s="5">
        <v>125</v>
      </c>
      <c r="K1653" s="5">
        <v>7</v>
      </c>
      <c r="L1653" s="5">
        <v>2</v>
      </c>
      <c r="M1653" s="5">
        <v>2</v>
      </c>
      <c r="N1653" s="7">
        <v>772.24</v>
      </c>
      <c r="O1653" s="7">
        <f t="shared" si="177"/>
        <v>1544.48</v>
      </c>
      <c r="P1653" s="4">
        <v>0</v>
      </c>
      <c r="Q1653" s="7">
        <f t="shared" si="178"/>
        <v>0</v>
      </c>
      <c r="R1653" s="7">
        <f t="shared" si="179"/>
        <v>1544.48</v>
      </c>
      <c r="S1653" s="7">
        <f t="shared" si="180"/>
        <v>772.24</v>
      </c>
      <c r="T1653" s="6">
        <f t="shared" si="181"/>
        <v>1.098901098901099E-2</v>
      </c>
      <c r="V1653" t="s">
        <v>29</v>
      </c>
    </row>
    <row r="1654" spans="1:22">
      <c r="A1654" s="3">
        <v>45726</v>
      </c>
      <c r="B1654" t="str">
        <f t="shared" si="175"/>
        <v>yyyy-03</v>
      </c>
      <c r="C1654">
        <f t="shared" si="176"/>
        <v>11</v>
      </c>
      <c r="D1654" t="s">
        <v>66</v>
      </c>
      <c r="E1654" t="s">
        <v>67</v>
      </c>
      <c r="F1654" t="s">
        <v>68</v>
      </c>
      <c r="G1654" t="s">
        <v>36</v>
      </c>
      <c r="H1654" t="s">
        <v>37</v>
      </c>
      <c r="I1654" s="5">
        <v>473</v>
      </c>
      <c r="J1654" s="5">
        <v>363</v>
      </c>
      <c r="K1654" s="5">
        <v>35</v>
      </c>
      <c r="L1654" s="5">
        <v>9</v>
      </c>
      <c r="M1654" s="5">
        <v>9</v>
      </c>
      <c r="N1654" s="7">
        <v>711.33</v>
      </c>
      <c r="O1654" s="7">
        <f t="shared" si="177"/>
        <v>6401.97</v>
      </c>
      <c r="P1654" s="4">
        <v>0</v>
      </c>
      <c r="Q1654" s="7">
        <f t="shared" si="178"/>
        <v>0</v>
      </c>
      <c r="R1654" s="7">
        <f t="shared" si="179"/>
        <v>6401.97</v>
      </c>
      <c r="S1654" s="7">
        <f t="shared" si="180"/>
        <v>711.33</v>
      </c>
      <c r="T1654" s="6">
        <f t="shared" si="181"/>
        <v>1.9027484143763214E-2</v>
      </c>
      <c r="V1654" t="s">
        <v>29</v>
      </c>
    </row>
    <row r="1655" spans="1:22">
      <c r="A1655" s="3">
        <v>45726</v>
      </c>
      <c r="B1655" t="str">
        <f t="shared" si="175"/>
        <v>yyyy-03</v>
      </c>
      <c r="C1655">
        <f t="shared" si="176"/>
        <v>11</v>
      </c>
      <c r="D1655" t="s">
        <v>66</v>
      </c>
      <c r="E1655" t="s">
        <v>67</v>
      </c>
      <c r="F1655" t="s">
        <v>69</v>
      </c>
      <c r="G1655" t="s">
        <v>27</v>
      </c>
      <c r="H1655" t="s">
        <v>28</v>
      </c>
      <c r="I1655" s="5">
        <v>324</v>
      </c>
      <c r="J1655" s="5">
        <v>193</v>
      </c>
      <c r="K1655" s="5">
        <v>15</v>
      </c>
      <c r="L1655" s="5">
        <v>5</v>
      </c>
      <c r="M1655" s="5">
        <v>5</v>
      </c>
      <c r="N1655" s="7">
        <v>388.81</v>
      </c>
      <c r="O1655" s="7">
        <f t="shared" si="177"/>
        <v>1944.05</v>
      </c>
      <c r="P1655" s="4">
        <v>0</v>
      </c>
      <c r="Q1655" s="7">
        <f t="shared" si="178"/>
        <v>0</v>
      </c>
      <c r="R1655" s="7">
        <f t="shared" si="179"/>
        <v>1944.05</v>
      </c>
      <c r="S1655" s="7">
        <f t="shared" si="180"/>
        <v>388.81</v>
      </c>
      <c r="T1655" s="6">
        <f t="shared" si="181"/>
        <v>1.5432098765432098E-2</v>
      </c>
      <c r="V1655" t="s">
        <v>29</v>
      </c>
    </row>
    <row r="1656" spans="1:22">
      <c r="A1656" s="3">
        <v>45726</v>
      </c>
      <c r="B1656" t="str">
        <f t="shared" si="175"/>
        <v>yyyy-03</v>
      </c>
      <c r="C1656">
        <f t="shared" si="176"/>
        <v>11</v>
      </c>
      <c r="D1656" t="s">
        <v>66</v>
      </c>
      <c r="E1656" t="s">
        <v>67</v>
      </c>
      <c r="F1656" t="s">
        <v>70</v>
      </c>
      <c r="G1656" t="s">
        <v>36</v>
      </c>
      <c r="H1656" t="s">
        <v>37</v>
      </c>
      <c r="I1656" s="5">
        <v>400</v>
      </c>
      <c r="J1656" s="5">
        <v>277</v>
      </c>
      <c r="K1656" s="5">
        <v>31</v>
      </c>
      <c r="L1656" s="5">
        <v>8</v>
      </c>
      <c r="M1656" s="5">
        <v>8</v>
      </c>
      <c r="N1656" s="7">
        <v>339.88</v>
      </c>
      <c r="O1656" s="7">
        <f t="shared" si="177"/>
        <v>2719.04</v>
      </c>
      <c r="P1656" s="4">
        <v>0</v>
      </c>
      <c r="Q1656" s="7">
        <f t="shared" si="178"/>
        <v>0</v>
      </c>
      <c r="R1656" s="7">
        <f t="shared" si="179"/>
        <v>2719.04</v>
      </c>
      <c r="S1656" s="7">
        <f t="shared" si="180"/>
        <v>339.88</v>
      </c>
      <c r="T1656" s="6">
        <f t="shared" si="181"/>
        <v>0.02</v>
      </c>
      <c r="V1656" t="s">
        <v>29</v>
      </c>
    </row>
    <row r="1657" spans="1:22">
      <c r="A1657" s="3">
        <v>45726</v>
      </c>
      <c r="B1657" t="str">
        <f t="shared" si="175"/>
        <v>yyyy-03</v>
      </c>
      <c r="C1657">
        <f t="shared" si="176"/>
        <v>11</v>
      </c>
      <c r="D1657" t="s">
        <v>66</v>
      </c>
      <c r="E1657" t="s">
        <v>71</v>
      </c>
      <c r="F1657" t="s">
        <v>72</v>
      </c>
      <c r="G1657" t="s">
        <v>27</v>
      </c>
      <c r="H1657" t="s">
        <v>48</v>
      </c>
      <c r="I1657" s="5">
        <v>190</v>
      </c>
      <c r="J1657" s="5">
        <v>104</v>
      </c>
      <c r="K1657" s="5">
        <v>15</v>
      </c>
      <c r="L1657" s="5">
        <v>4</v>
      </c>
      <c r="M1657" s="5">
        <v>4</v>
      </c>
      <c r="N1657" s="7">
        <v>125.5</v>
      </c>
      <c r="O1657" s="7">
        <f t="shared" si="177"/>
        <v>502</v>
      </c>
      <c r="P1657" s="4">
        <v>0</v>
      </c>
      <c r="Q1657" s="7">
        <f t="shared" si="178"/>
        <v>0</v>
      </c>
      <c r="R1657" s="7">
        <f t="shared" si="179"/>
        <v>502</v>
      </c>
      <c r="S1657" s="7">
        <f t="shared" si="180"/>
        <v>125.5</v>
      </c>
      <c r="T1657" s="6">
        <f t="shared" si="181"/>
        <v>2.1052631578947368E-2</v>
      </c>
      <c r="V1657" t="s">
        <v>29</v>
      </c>
    </row>
    <row r="1658" spans="1:22">
      <c r="A1658" s="3">
        <v>45726</v>
      </c>
      <c r="B1658" t="str">
        <f t="shared" si="175"/>
        <v>yyyy-03</v>
      </c>
      <c r="C1658">
        <f t="shared" si="176"/>
        <v>11</v>
      </c>
      <c r="D1658" t="s">
        <v>66</v>
      </c>
      <c r="E1658" t="s">
        <v>73</v>
      </c>
      <c r="F1658" t="s">
        <v>74</v>
      </c>
      <c r="G1658" t="s">
        <v>36</v>
      </c>
      <c r="H1658" t="s">
        <v>37</v>
      </c>
      <c r="I1658" s="5">
        <v>215</v>
      </c>
      <c r="J1658" s="5">
        <v>172</v>
      </c>
      <c r="K1658" s="5">
        <v>20</v>
      </c>
      <c r="L1658" s="5">
        <v>4</v>
      </c>
      <c r="M1658" s="5">
        <v>4</v>
      </c>
      <c r="N1658" s="7">
        <v>1215.05</v>
      </c>
      <c r="O1658" s="7">
        <f t="shared" si="177"/>
        <v>4860.2</v>
      </c>
      <c r="P1658" s="4">
        <v>0</v>
      </c>
      <c r="Q1658" s="7">
        <f t="shared" si="178"/>
        <v>0</v>
      </c>
      <c r="R1658" s="7">
        <f t="shared" si="179"/>
        <v>4860.2</v>
      </c>
      <c r="S1658" s="7">
        <f t="shared" si="180"/>
        <v>1215.05</v>
      </c>
      <c r="T1658" s="6">
        <f t="shared" si="181"/>
        <v>1.8604651162790697E-2</v>
      </c>
      <c r="V1658" t="s">
        <v>29</v>
      </c>
    </row>
    <row r="1659" spans="1:22">
      <c r="A1659" s="3">
        <v>45726</v>
      </c>
      <c r="B1659" t="str">
        <f t="shared" si="175"/>
        <v>yyyy-03</v>
      </c>
      <c r="C1659">
        <f t="shared" si="176"/>
        <v>11</v>
      </c>
      <c r="D1659" t="s">
        <v>66</v>
      </c>
      <c r="E1659" t="s">
        <v>71</v>
      </c>
      <c r="F1659" t="s">
        <v>75</v>
      </c>
      <c r="G1659" t="s">
        <v>27</v>
      </c>
      <c r="H1659" t="s">
        <v>48</v>
      </c>
      <c r="I1659" s="5">
        <v>252</v>
      </c>
      <c r="J1659" s="5">
        <v>193</v>
      </c>
      <c r="K1659" s="5">
        <v>18</v>
      </c>
      <c r="L1659" s="5">
        <v>5</v>
      </c>
      <c r="M1659" s="5">
        <v>6</v>
      </c>
      <c r="N1659" s="7">
        <v>37.54</v>
      </c>
      <c r="O1659" s="7">
        <f t="shared" si="177"/>
        <v>225.24</v>
      </c>
      <c r="P1659" s="4">
        <v>0</v>
      </c>
      <c r="Q1659" s="7">
        <f t="shared" si="178"/>
        <v>0</v>
      </c>
      <c r="R1659" s="7">
        <f t="shared" si="179"/>
        <v>225.24</v>
      </c>
      <c r="S1659" s="7">
        <f t="shared" si="180"/>
        <v>45.048000000000002</v>
      </c>
      <c r="T1659" s="6">
        <f t="shared" si="181"/>
        <v>1.984126984126984E-2</v>
      </c>
      <c r="V1659" t="s">
        <v>29</v>
      </c>
    </row>
    <row r="1660" spans="1:22">
      <c r="A1660" s="3">
        <v>45726</v>
      </c>
      <c r="B1660" t="str">
        <f t="shared" si="175"/>
        <v>yyyy-03</v>
      </c>
      <c r="C1660">
        <f t="shared" si="176"/>
        <v>11</v>
      </c>
      <c r="D1660" t="s">
        <v>24</v>
      </c>
      <c r="E1660" t="s">
        <v>76</v>
      </c>
      <c r="F1660" t="s">
        <v>77</v>
      </c>
      <c r="G1660" t="s">
        <v>27</v>
      </c>
      <c r="H1660" t="s">
        <v>45</v>
      </c>
      <c r="I1660" s="5">
        <v>533</v>
      </c>
      <c r="J1660" s="5">
        <v>402</v>
      </c>
      <c r="K1660" s="5">
        <v>57</v>
      </c>
      <c r="L1660" s="5">
        <v>12</v>
      </c>
      <c r="M1660" s="5">
        <v>16</v>
      </c>
      <c r="N1660" s="7">
        <v>200.54</v>
      </c>
      <c r="O1660" s="7">
        <f t="shared" si="177"/>
        <v>3208.64</v>
      </c>
      <c r="P1660" s="4">
        <v>0.03</v>
      </c>
      <c r="Q1660" s="7">
        <f t="shared" si="178"/>
        <v>96.259199999999993</v>
      </c>
      <c r="R1660" s="7">
        <f t="shared" si="179"/>
        <v>3112.3807999999999</v>
      </c>
      <c r="S1660" s="7">
        <f t="shared" si="180"/>
        <v>259.36506666666668</v>
      </c>
      <c r="T1660" s="6">
        <f t="shared" si="181"/>
        <v>2.2514071294559099E-2</v>
      </c>
      <c r="V1660" t="s">
        <v>29</v>
      </c>
    </row>
    <row r="1661" spans="1:22">
      <c r="A1661" s="3">
        <v>45727</v>
      </c>
      <c r="B1661" t="str">
        <f t="shared" si="175"/>
        <v>yyyy-03</v>
      </c>
      <c r="C1661">
        <f t="shared" si="176"/>
        <v>11</v>
      </c>
      <c r="D1661" t="s">
        <v>24</v>
      </c>
      <c r="E1661" t="s">
        <v>25</v>
      </c>
      <c r="F1661" t="s">
        <v>26</v>
      </c>
      <c r="G1661" t="s">
        <v>27</v>
      </c>
      <c r="H1661" t="s">
        <v>48</v>
      </c>
      <c r="I1661" s="5">
        <v>1042</v>
      </c>
      <c r="J1661" s="5">
        <v>727</v>
      </c>
      <c r="K1661" s="5">
        <v>83</v>
      </c>
      <c r="L1661" s="5">
        <v>19</v>
      </c>
      <c r="M1661" s="5">
        <v>19</v>
      </c>
      <c r="N1661" s="7">
        <v>1004.19</v>
      </c>
      <c r="O1661" s="7">
        <f t="shared" si="177"/>
        <v>19079.61</v>
      </c>
      <c r="P1661" s="4">
        <v>0.13</v>
      </c>
      <c r="Q1661" s="7">
        <f t="shared" si="178"/>
        <v>2480.3493000000003</v>
      </c>
      <c r="R1661" s="7">
        <f t="shared" si="179"/>
        <v>16599.260699999999</v>
      </c>
      <c r="S1661" s="7">
        <f t="shared" si="180"/>
        <v>873.64529999999991</v>
      </c>
      <c r="T1661" s="6">
        <f t="shared" si="181"/>
        <v>1.8234165067178502E-2</v>
      </c>
      <c r="U1661" t="s">
        <v>88</v>
      </c>
      <c r="V1661" t="s">
        <v>29</v>
      </c>
    </row>
    <row r="1662" spans="1:22">
      <c r="A1662" s="3">
        <v>45727</v>
      </c>
      <c r="B1662" t="str">
        <f t="shared" si="175"/>
        <v>yyyy-03</v>
      </c>
      <c r="C1662">
        <f t="shared" si="176"/>
        <v>11</v>
      </c>
      <c r="D1662" t="s">
        <v>24</v>
      </c>
      <c r="E1662" t="s">
        <v>25</v>
      </c>
      <c r="F1662" t="s">
        <v>30</v>
      </c>
      <c r="G1662" t="s">
        <v>27</v>
      </c>
      <c r="H1662" t="s">
        <v>28</v>
      </c>
      <c r="I1662" s="5">
        <v>1492</v>
      </c>
      <c r="J1662" s="5">
        <v>1117</v>
      </c>
      <c r="K1662" s="5">
        <v>175</v>
      </c>
      <c r="L1662" s="5">
        <v>47</v>
      </c>
      <c r="M1662" s="5">
        <v>47</v>
      </c>
      <c r="N1662" s="7">
        <v>387.65</v>
      </c>
      <c r="O1662" s="7">
        <f t="shared" si="177"/>
        <v>18219.55</v>
      </c>
      <c r="P1662" s="4">
        <v>0.13</v>
      </c>
      <c r="Q1662" s="7">
        <f t="shared" si="178"/>
        <v>2368.5414999999998</v>
      </c>
      <c r="R1662" s="7">
        <f t="shared" si="179"/>
        <v>15851.0085</v>
      </c>
      <c r="S1662" s="7">
        <f t="shared" si="180"/>
        <v>337.25549999999998</v>
      </c>
      <c r="T1662" s="6">
        <f t="shared" si="181"/>
        <v>3.1501340482573727E-2</v>
      </c>
      <c r="U1662" t="s">
        <v>88</v>
      </c>
      <c r="V1662" t="s">
        <v>29</v>
      </c>
    </row>
    <row r="1663" spans="1:22">
      <c r="A1663" s="3">
        <v>45727</v>
      </c>
      <c r="B1663" t="str">
        <f t="shared" si="175"/>
        <v>yyyy-03</v>
      </c>
      <c r="C1663">
        <f t="shared" si="176"/>
        <v>11</v>
      </c>
      <c r="D1663" t="s">
        <v>24</v>
      </c>
      <c r="E1663" t="s">
        <v>25</v>
      </c>
      <c r="F1663" t="s">
        <v>33</v>
      </c>
      <c r="G1663" t="s">
        <v>27</v>
      </c>
      <c r="H1663" t="s">
        <v>48</v>
      </c>
      <c r="I1663" s="5">
        <v>1274</v>
      </c>
      <c r="J1663" s="5">
        <v>989</v>
      </c>
      <c r="K1663" s="5">
        <v>78</v>
      </c>
      <c r="L1663" s="5">
        <v>27</v>
      </c>
      <c r="M1663" s="5">
        <v>27</v>
      </c>
      <c r="N1663" s="7">
        <v>1775.56</v>
      </c>
      <c r="O1663" s="7">
        <f t="shared" si="177"/>
        <v>47940.119999999995</v>
      </c>
      <c r="P1663" s="4">
        <v>0.13</v>
      </c>
      <c r="Q1663" s="7">
        <f t="shared" si="178"/>
        <v>6232.2155999999995</v>
      </c>
      <c r="R1663" s="7">
        <f t="shared" si="179"/>
        <v>41707.904399999999</v>
      </c>
      <c r="S1663" s="7">
        <f t="shared" si="180"/>
        <v>1544.7372</v>
      </c>
      <c r="T1663" s="6">
        <f t="shared" si="181"/>
        <v>2.119309262166405E-2</v>
      </c>
      <c r="U1663" t="s">
        <v>88</v>
      </c>
      <c r="V1663" t="s">
        <v>29</v>
      </c>
    </row>
    <row r="1664" spans="1:22">
      <c r="A1664" s="3">
        <v>45727</v>
      </c>
      <c r="B1664" t="str">
        <f t="shared" si="175"/>
        <v>yyyy-03</v>
      </c>
      <c r="C1664">
        <f t="shared" si="176"/>
        <v>11</v>
      </c>
      <c r="D1664" t="s">
        <v>24</v>
      </c>
      <c r="E1664" t="s">
        <v>34</v>
      </c>
      <c r="F1664" t="s">
        <v>35</v>
      </c>
      <c r="G1664" t="s">
        <v>27</v>
      </c>
      <c r="H1664" t="s">
        <v>28</v>
      </c>
      <c r="I1664" s="5">
        <v>972</v>
      </c>
      <c r="J1664" s="5">
        <v>780</v>
      </c>
      <c r="K1664" s="5">
        <v>86</v>
      </c>
      <c r="L1664" s="5">
        <v>17</v>
      </c>
      <c r="M1664" s="5">
        <v>17</v>
      </c>
      <c r="N1664" s="7">
        <v>879.2</v>
      </c>
      <c r="O1664" s="7">
        <f t="shared" si="177"/>
        <v>14946.400000000001</v>
      </c>
      <c r="P1664" s="4">
        <v>0</v>
      </c>
      <c r="Q1664" s="7">
        <f t="shared" si="178"/>
        <v>0</v>
      </c>
      <c r="R1664" s="7">
        <f t="shared" si="179"/>
        <v>14946.400000000001</v>
      </c>
      <c r="S1664" s="7">
        <f t="shared" si="180"/>
        <v>879.2</v>
      </c>
      <c r="T1664" s="6">
        <f t="shared" si="181"/>
        <v>1.7489711934156379E-2</v>
      </c>
      <c r="V1664" t="s">
        <v>29</v>
      </c>
    </row>
    <row r="1665" spans="1:22">
      <c r="A1665" s="3">
        <v>45727</v>
      </c>
      <c r="B1665" t="str">
        <f t="shared" si="175"/>
        <v>yyyy-03</v>
      </c>
      <c r="C1665">
        <f t="shared" si="176"/>
        <v>11</v>
      </c>
      <c r="D1665" t="s">
        <v>24</v>
      </c>
      <c r="E1665" t="s">
        <v>38</v>
      </c>
      <c r="F1665" t="s">
        <v>39</v>
      </c>
      <c r="G1665" t="s">
        <v>27</v>
      </c>
      <c r="H1665" t="s">
        <v>45</v>
      </c>
      <c r="I1665" s="5">
        <v>753</v>
      </c>
      <c r="J1665" s="5">
        <v>479</v>
      </c>
      <c r="K1665" s="5">
        <v>27</v>
      </c>
      <c r="L1665" s="5">
        <v>13</v>
      </c>
      <c r="M1665" s="5">
        <v>13</v>
      </c>
      <c r="N1665" s="7">
        <v>332.48</v>
      </c>
      <c r="O1665" s="7">
        <f t="shared" si="177"/>
        <v>4322.24</v>
      </c>
      <c r="P1665" s="4">
        <v>0</v>
      </c>
      <c r="Q1665" s="7">
        <f t="shared" si="178"/>
        <v>0</v>
      </c>
      <c r="R1665" s="7">
        <f t="shared" si="179"/>
        <v>4322.24</v>
      </c>
      <c r="S1665" s="7">
        <f t="shared" si="180"/>
        <v>332.47999999999996</v>
      </c>
      <c r="T1665" s="6">
        <f t="shared" si="181"/>
        <v>1.7264276228419653E-2</v>
      </c>
      <c r="V1665" t="s">
        <v>29</v>
      </c>
    </row>
    <row r="1666" spans="1:22">
      <c r="A1666" s="3">
        <v>45727</v>
      </c>
      <c r="B1666" t="str">
        <f t="shared" si="175"/>
        <v>yyyy-03</v>
      </c>
      <c r="C1666">
        <f t="shared" si="176"/>
        <v>11</v>
      </c>
      <c r="D1666" t="s">
        <v>24</v>
      </c>
      <c r="E1666" t="s">
        <v>40</v>
      </c>
      <c r="F1666" t="s">
        <v>41</v>
      </c>
      <c r="G1666" t="s">
        <v>36</v>
      </c>
      <c r="H1666" t="s">
        <v>37</v>
      </c>
      <c r="I1666" s="5">
        <v>706</v>
      </c>
      <c r="J1666" s="5">
        <v>413</v>
      </c>
      <c r="K1666" s="5">
        <v>28</v>
      </c>
      <c r="L1666" s="5">
        <v>12</v>
      </c>
      <c r="M1666" s="5">
        <v>16</v>
      </c>
      <c r="N1666" s="7">
        <v>174.7</v>
      </c>
      <c r="O1666" s="7">
        <f t="shared" si="177"/>
        <v>2795.2</v>
      </c>
      <c r="P1666" s="4">
        <v>0</v>
      </c>
      <c r="Q1666" s="7">
        <f t="shared" si="178"/>
        <v>0</v>
      </c>
      <c r="R1666" s="7">
        <f t="shared" si="179"/>
        <v>2795.2</v>
      </c>
      <c r="S1666" s="7">
        <f t="shared" si="180"/>
        <v>232.93333333333331</v>
      </c>
      <c r="T1666" s="6">
        <f t="shared" si="181"/>
        <v>1.69971671388102E-2</v>
      </c>
      <c r="V1666" t="s">
        <v>29</v>
      </c>
    </row>
    <row r="1667" spans="1:22">
      <c r="A1667" s="3">
        <v>45727</v>
      </c>
      <c r="B1667" t="str">
        <f t="shared" si="175"/>
        <v>yyyy-03</v>
      </c>
      <c r="C1667">
        <f t="shared" si="176"/>
        <v>11</v>
      </c>
      <c r="D1667" t="s">
        <v>42</v>
      </c>
      <c r="E1667" t="s">
        <v>43</v>
      </c>
      <c r="F1667" t="s">
        <v>44</v>
      </c>
      <c r="G1667" t="s">
        <v>27</v>
      </c>
      <c r="H1667" t="s">
        <v>28</v>
      </c>
      <c r="I1667" s="5">
        <v>331</v>
      </c>
      <c r="J1667" s="5">
        <v>232</v>
      </c>
      <c r="K1667" s="5">
        <v>23</v>
      </c>
      <c r="L1667" s="5">
        <v>6</v>
      </c>
      <c r="M1667" s="5">
        <v>6</v>
      </c>
      <c r="N1667" s="7">
        <v>1282.3499999999999</v>
      </c>
      <c r="O1667" s="7">
        <f t="shared" si="177"/>
        <v>7694.0999999999995</v>
      </c>
      <c r="P1667" s="4">
        <v>0.03</v>
      </c>
      <c r="Q1667" s="7">
        <f t="shared" si="178"/>
        <v>230.82299999999998</v>
      </c>
      <c r="R1667" s="7">
        <f t="shared" si="179"/>
        <v>7463.2769999999991</v>
      </c>
      <c r="S1667" s="7">
        <f t="shared" si="180"/>
        <v>1243.8794999999998</v>
      </c>
      <c r="T1667" s="6">
        <f t="shared" si="181"/>
        <v>1.812688821752266E-2</v>
      </c>
      <c r="V1667" t="s">
        <v>29</v>
      </c>
    </row>
    <row r="1668" spans="1:22">
      <c r="A1668" s="3">
        <v>45727</v>
      </c>
      <c r="B1668" t="str">
        <f t="shared" si="175"/>
        <v>yyyy-03</v>
      </c>
      <c r="C1668">
        <f t="shared" si="176"/>
        <v>11</v>
      </c>
      <c r="D1668" t="s">
        <v>42</v>
      </c>
      <c r="E1668" t="s">
        <v>43</v>
      </c>
      <c r="F1668" t="s">
        <v>46</v>
      </c>
      <c r="G1668" t="s">
        <v>27</v>
      </c>
      <c r="H1668" t="s">
        <v>48</v>
      </c>
      <c r="I1668" s="5">
        <v>355</v>
      </c>
      <c r="J1668" s="5">
        <v>247</v>
      </c>
      <c r="K1668" s="5">
        <v>22</v>
      </c>
      <c r="L1668" s="5">
        <v>6</v>
      </c>
      <c r="M1668" s="5">
        <v>6</v>
      </c>
      <c r="N1668" s="7">
        <v>2215.89</v>
      </c>
      <c r="O1668" s="7">
        <f t="shared" si="177"/>
        <v>13295.34</v>
      </c>
      <c r="P1668" s="4">
        <v>0.03</v>
      </c>
      <c r="Q1668" s="7">
        <f t="shared" si="178"/>
        <v>398.86019999999996</v>
      </c>
      <c r="R1668" s="7">
        <f t="shared" si="179"/>
        <v>12896.479800000001</v>
      </c>
      <c r="S1668" s="7">
        <f t="shared" si="180"/>
        <v>2149.4133000000002</v>
      </c>
      <c r="T1668" s="6">
        <f t="shared" si="181"/>
        <v>1.6901408450704224E-2</v>
      </c>
      <c r="V1668" t="s">
        <v>29</v>
      </c>
    </row>
    <row r="1669" spans="1:22">
      <c r="A1669" s="3">
        <v>45727</v>
      </c>
      <c r="B1669" t="str">
        <f t="shared" ref="B1669:B1732" si="182">TEXT(A1669,"yyyy-mm")</f>
        <v>yyyy-03</v>
      </c>
      <c r="C1669">
        <f t="shared" ref="C1669:C1732" si="183">WEEKNUM(A1669,2)</f>
        <v>11</v>
      </c>
      <c r="D1669" t="s">
        <v>42</v>
      </c>
      <c r="E1669" t="s">
        <v>43</v>
      </c>
      <c r="F1669" t="s">
        <v>47</v>
      </c>
      <c r="G1669" t="s">
        <v>36</v>
      </c>
      <c r="H1669" t="s">
        <v>37</v>
      </c>
      <c r="I1669" s="5">
        <v>658</v>
      </c>
      <c r="J1669" s="5">
        <v>512</v>
      </c>
      <c r="K1669" s="5">
        <v>52</v>
      </c>
      <c r="L1669" s="5">
        <v>8</v>
      </c>
      <c r="M1669" s="5">
        <v>8</v>
      </c>
      <c r="N1669" s="7">
        <v>591.75</v>
      </c>
      <c r="O1669" s="7">
        <f t="shared" ref="O1669:O1732" si="184">M1669*N1669</f>
        <v>4734</v>
      </c>
      <c r="P1669" s="4">
        <v>0</v>
      </c>
      <c r="Q1669" s="7">
        <f t="shared" ref="Q1669:Q1732" si="185">O1669*P1669</f>
        <v>0</v>
      </c>
      <c r="R1669" s="7">
        <f t="shared" ref="R1669:R1732" si="186">O1669-Q1669</f>
        <v>4734</v>
      </c>
      <c r="S1669" s="7">
        <f t="shared" ref="S1669:S1732" si="187">IFERROR(R1669/L1669,0)</f>
        <v>591.75</v>
      </c>
      <c r="T1669" s="6">
        <f t="shared" ref="T1669:T1732" si="188">IFERROR(L1669/I1669,0)</f>
        <v>1.2158054711246201E-2</v>
      </c>
      <c r="V1669" t="s">
        <v>29</v>
      </c>
    </row>
    <row r="1670" spans="1:22">
      <c r="A1670" s="3">
        <v>45727</v>
      </c>
      <c r="B1670" t="str">
        <f t="shared" si="182"/>
        <v>yyyy-03</v>
      </c>
      <c r="C1670">
        <f t="shared" si="183"/>
        <v>11</v>
      </c>
      <c r="D1670" t="s">
        <v>42</v>
      </c>
      <c r="E1670" t="s">
        <v>49</v>
      </c>
      <c r="F1670" t="s">
        <v>50</v>
      </c>
      <c r="G1670" t="s">
        <v>31</v>
      </c>
      <c r="H1670" t="s">
        <v>32</v>
      </c>
      <c r="I1670" s="5">
        <v>161</v>
      </c>
      <c r="J1670" s="5">
        <v>118</v>
      </c>
      <c r="K1670" s="5">
        <v>11</v>
      </c>
      <c r="L1670" s="5">
        <v>3</v>
      </c>
      <c r="M1670" s="5">
        <v>3</v>
      </c>
      <c r="N1670" s="7">
        <v>1015.96</v>
      </c>
      <c r="O1670" s="7">
        <f t="shared" si="184"/>
        <v>3047.88</v>
      </c>
      <c r="P1670" s="4">
        <v>0.03</v>
      </c>
      <c r="Q1670" s="7">
        <f t="shared" si="185"/>
        <v>91.436400000000006</v>
      </c>
      <c r="R1670" s="7">
        <f t="shared" si="186"/>
        <v>2956.4436000000001</v>
      </c>
      <c r="S1670" s="7">
        <f t="shared" si="187"/>
        <v>985.48120000000006</v>
      </c>
      <c r="T1670" s="6">
        <f t="shared" si="188"/>
        <v>1.8633540372670808E-2</v>
      </c>
      <c r="V1670" t="s">
        <v>29</v>
      </c>
    </row>
    <row r="1671" spans="1:22">
      <c r="A1671" s="3">
        <v>45727</v>
      </c>
      <c r="B1671" t="str">
        <f t="shared" si="182"/>
        <v>yyyy-03</v>
      </c>
      <c r="C1671">
        <f t="shared" si="183"/>
        <v>11</v>
      </c>
      <c r="D1671" t="s">
        <v>42</v>
      </c>
      <c r="E1671" t="s">
        <v>51</v>
      </c>
      <c r="F1671" t="s">
        <v>52</v>
      </c>
      <c r="G1671" t="s">
        <v>31</v>
      </c>
      <c r="H1671" t="s">
        <v>32</v>
      </c>
      <c r="I1671" s="5">
        <v>271</v>
      </c>
      <c r="J1671" s="5">
        <v>209</v>
      </c>
      <c r="K1671" s="5">
        <v>23</v>
      </c>
      <c r="L1671" s="5">
        <v>3</v>
      </c>
      <c r="M1671" s="5">
        <v>3</v>
      </c>
      <c r="N1671" s="7">
        <v>603.75</v>
      </c>
      <c r="O1671" s="7">
        <f t="shared" si="184"/>
        <v>1811.25</v>
      </c>
      <c r="P1671" s="4">
        <v>0</v>
      </c>
      <c r="Q1671" s="7">
        <f t="shared" si="185"/>
        <v>0</v>
      </c>
      <c r="R1671" s="7">
        <f t="shared" si="186"/>
        <v>1811.25</v>
      </c>
      <c r="S1671" s="7">
        <f t="shared" si="187"/>
        <v>603.75</v>
      </c>
      <c r="T1671" s="6">
        <f t="shared" si="188"/>
        <v>1.107011070110701E-2</v>
      </c>
      <c r="V1671" t="s">
        <v>29</v>
      </c>
    </row>
    <row r="1672" spans="1:22">
      <c r="A1672" s="3">
        <v>45727</v>
      </c>
      <c r="B1672" t="str">
        <f t="shared" si="182"/>
        <v>yyyy-03</v>
      </c>
      <c r="C1672">
        <f t="shared" si="183"/>
        <v>11</v>
      </c>
      <c r="D1672" t="s">
        <v>53</v>
      </c>
      <c r="E1672" t="s">
        <v>54</v>
      </c>
      <c r="F1672" t="s">
        <v>55</v>
      </c>
      <c r="G1672" t="s">
        <v>31</v>
      </c>
      <c r="H1672" t="s">
        <v>32</v>
      </c>
      <c r="I1672" s="5">
        <v>170</v>
      </c>
      <c r="J1672" s="5">
        <v>120</v>
      </c>
      <c r="K1672" s="5">
        <v>10</v>
      </c>
      <c r="L1672" s="5">
        <v>2</v>
      </c>
      <c r="M1672" s="5">
        <v>2</v>
      </c>
      <c r="N1672" s="7">
        <v>1273.47</v>
      </c>
      <c r="O1672" s="7">
        <f t="shared" si="184"/>
        <v>2546.94</v>
      </c>
      <c r="P1672" s="4">
        <v>0</v>
      </c>
      <c r="Q1672" s="7">
        <f t="shared" si="185"/>
        <v>0</v>
      </c>
      <c r="R1672" s="7">
        <f t="shared" si="186"/>
        <v>2546.94</v>
      </c>
      <c r="S1672" s="7">
        <f t="shared" si="187"/>
        <v>1273.47</v>
      </c>
      <c r="T1672" s="6">
        <f t="shared" si="188"/>
        <v>1.1764705882352941E-2</v>
      </c>
      <c r="V1672" t="s">
        <v>29</v>
      </c>
    </row>
    <row r="1673" spans="1:22">
      <c r="A1673" s="3">
        <v>45727</v>
      </c>
      <c r="B1673" t="str">
        <f t="shared" si="182"/>
        <v>yyyy-03</v>
      </c>
      <c r="C1673">
        <f t="shared" si="183"/>
        <v>11</v>
      </c>
      <c r="D1673" t="s">
        <v>53</v>
      </c>
      <c r="E1673" t="s">
        <v>56</v>
      </c>
      <c r="F1673" t="s">
        <v>57</v>
      </c>
      <c r="G1673" t="s">
        <v>27</v>
      </c>
      <c r="H1673" t="s">
        <v>28</v>
      </c>
      <c r="I1673" s="5">
        <v>149</v>
      </c>
      <c r="J1673" s="5">
        <v>79</v>
      </c>
      <c r="K1673" s="5">
        <v>9</v>
      </c>
      <c r="L1673" s="5">
        <v>2</v>
      </c>
      <c r="M1673" s="5">
        <v>2</v>
      </c>
      <c r="N1673" s="7">
        <v>754.54</v>
      </c>
      <c r="O1673" s="7">
        <f t="shared" si="184"/>
        <v>1509.08</v>
      </c>
      <c r="P1673" s="4">
        <v>0</v>
      </c>
      <c r="Q1673" s="7">
        <f t="shared" si="185"/>
        <v>0</v>
      </c>
      <c r="R1673" s="7">
        <f t="shared" si="186"/>
        <v>1509.08</v>
      </c>
      <c r="S1673" s="7">
        <f t="shared" si="187"/>
        <v>754.54</v>
      </c>
      <c r="T1673" s="6">
        <f t="shared" si="188"/>
        <v>1.3422818791946308E-2</v>
      </c>
      <c r="V1673" t="s">
        <v>29</v>
      </c>
    </row>
    <row r="1674" spans="1:22">
      <c r="A1674" s="3">
        <v>45727</v>
      </c>
      <c r="B1674" t="str">
        <f t="shared" si="182"/>
        <v>yyyy-03</v>
      </c>
      <c r="C1674">
        <f t="shared" si="183"/>
        <v>11</v>
      </c>
      <c r="D1674" t="s">
        <v>53</v>
      </c>
      <c r="E1674" t="s">
        <v>56</v>
      </c>
      <c r="F1674" t="s">
        <v>58</v>
      </c>
      <c r="G1674" t="s">
        <v>27</v>
      </c>
      <c r="H1674" t="s">
        <v>45</v>
      </c>
      <c r="I1674" s="5">
        <v>169</v>
      </c>
      <c r="J1674" s="5">
        <v>120</v>
      </c>
      <c r="K1674" s="5">
        <v>10</v>
      </c>
      <c r="L1674" s="5">
        <v>1</v>
      </c>
      <c r="M1674" s="5">
        <v>1</v>
      </c>
      <c r="N1674" s="7">
        <v>902.83</v>
      </c>
      <c r="O1674" s="7">
        <f t="shared" si="184"/>
        <v>902.83</v>
      </c>
      <c r="P1674" s="4">
        <v>0</v>
      </c>
      <c r="Q1674" s="7">
        <f t="shared" si="185"/>
        <v>0</v>
      </c>
      <c r="R1674" s="7">
        <f t="shared" si="186"/>
        <v>902.83</v>
      </c>
      <c r="S1674" s="7">
        <f t="shared" si="187"/>
        <v>902.83</v>
      </c>
      <c r="T1674" s="6">
        <f t="shared" si="188"/>
        <v>5.9171597633136093E-3</v>
      </c>
      <c r="V1674" t="s">
        <v>29</v>
      </c>
    </row>
    <row r="1675" spans="1:22">
      <c r="A1675" s="3">
        <v>45727</v>
      </c>
      <c r="B1675" t="str">
        <f t="shared" si="182"/>
        <v>yyyy-03</v>
      </c>
      <c r="C1675">
        <f t="shared" si="183"/>
        <v>11</v>
      </c>
      <c r="D1675" t="s">
        <v>53</v>
      </c>
      <c r="E1675" t="s">
        <v>59</v>
      </c>
      <c r="F1675" t="s">
        <v>60</v>
      </c>
      <c r="G1675" t="s">
        <v>36</v>
      </c>
      <c r="H1675" t="s">
        <v>37</v>
      </c>
      <c r="I1675" s="5">
        <v>186</v>
      </c>
      <c r="J1675" s="5">
        <v>98</v>
      </c>
      <c r="K1675" s="5">
        <v>9</v>
      </c>
      <c r="L1675" s="5">
        <v>2</v>
      </c>
      <c r="M1675" s="5">
        <v>2</v>
      </c>
      <c r="N1675" s="7">
        <v>672.06</v>
      </c>
      <c r="O1675" s="7">
        <f t="shared" si="184"/>
        <v>1344.12</v>
      </c>
      <c r="P1675" s="4">
        <v>0</v>
      </c>
      <c r="Q1675" s="7">
        <f t="shared" si="185"/>
        <v>0</v>
      </c>
      <c r="R1675" s="7">
        <f t="shared" si="186"/>
        <v>1344.12</v>
      </c>
      <c r="S1675" s="7">
        <f t="shared" si="187"/>
        <v>672.06</v>
      </c>
      <c r="T1675" s="6">
        <f t="shared" si="188"/>
        <v>1.0752688172043012E-2</v>
      </c>
      <c r="V1675" t="s">
        <v>29</v>
      </c>
    </row>
    <row r="1676" spans="1:22">
      <c r="A1676" s="3">
        <v>45727</v>
      </c>
      <c r="B1676" t="str">
        <f t="shared" si="182"/>
        <v>yyyy-03</v>
      </c>
      <c r="C1676">
        <f t="shared" si="183"/>
        <v>11</v>
      </c>
      <c r="D1676" t="s">
        <v>53</v>
      </c>
      <c r="E1676" t="s">
        <v>61</v>
      </c>
      <c r="F1676" t="s">
        <v>62</v>
      </c>
      <c r="G1676" t="s">
        <v>27</v>
      </c>
      <c r="H1676" t="s">
        <v>45</v>
      </c>
      <c r="I1676" s="5">
        <v>147</v>
      </c>
      <c r="J1676" s="5">
        <v>91</v>
      </c>
      <c r="K1676" s="5">
        <v>9</v>
      </c>
      <c r="L1676" s="5">
        <v>2</v>
      </c>
      <c r="M1676" s="5">
        <v>2</v>
      </c>
      <c r="N1676" s="7">
        <v>481.51</v>
      </c>
      <c r="O1676" s="7">
        <f t="shared" si="184"/>
        <v>963.02</v>
      </c>
      <c r="P1676" s="4">
        <v>0.12</v>
      </c>
      <c r="Q1676" s="7">
        <f t="shared" si="185"/>
        <v>115.5624</v>
      </c>
      <c r="R1676" s="7">
        <f t="shared" si="186"/>
        <v>847.45759999999996</v>
      </c>
      <c r="S1676" s="7">
        <f t="shared" si="187"/>
        <v>423.72879999999998</v>
      </c>
      <c r="T1676" s="6">
        <f t="shared" si="188"/>
        <v>1.3605442176870748E-2</v>
      </c>
      <c r="U1676" t="s">
        <v>89</v>
      </c>
      <c r="V1676" t="s">
        <v>78</v>
      </c>
    </row>
    <row r="1677" spans="1:22">
      <c r="A1677" s="3">
        <v>45727</v>
      </c>
      <c r="B1677" t="str">
        <f t="shared" si="182"/>
        <v>yyyy-03</v>
      </c>
      <c r="C1677">
        <f t="shared" si="183"/>
        <v>11</v>
      </c>
      <c r="D1677" t="s">
        <v>53</v>
      </c>
      <c r="E1677" t="s">
        <v>64</v>
      </c>
      <c r="F1677" t="s">
        <v>65</v>
      </c>
      <c r="G1677" t="s">
        <v>31</v>
      </c>
      <c r="H1677" t="s">
        <v>32</v>
      </c>
      <c r="I1677" s="5">
        <v>285</v>
      </c>
      <c r="J1677" s="5">
        <v>153</v>
      </c>
      <c r="K1677" s="5">
        <v>15</v>
      </c>
      <c r="L1677" s="5">
        <v>3</v>
      </c>
      <c r="M1677" s="5">
        <v>3</v>
      </c>
      <c r="N1677" s="7">
        <v>774.22</v>
      </c>
      <c r="O1677" s="7">
        <f t="shared" si="184"/>
        <v>2322.66</v>
      </c>
      <c r="P1677" s="4">
        <v>0</v>
      </c>
      <c r="Q1677" s="7">
        <f t="shared" si="185"/>
        <v>0</v>
      </c>
      <c r="R1677" s="7">
        <f t="shared" si="186"/>
        <v>2322.66</v>
      </c>
      <c r="S1677" s="7">
        <f t="shared" si="187"/>
        <v>774.21999999999991</v>
      </c>
      <c r="T1677" s="6">
        <f t="shared" si="188"/>
        <v>1.0526315789473684E-2</v>
      </c>
      <c r="V1677" t="s">
        <v>29</v>
      </c>
    </row>
    <row r="1678" spans="1:22">
      <c r="A1678" s="3">
        <v>45727</v>
      </c>
      <c r="B1678" t="str">
        <f t="shared" si="182"/>
        <v>yyyy-03</v>
      </c>
      <c r="C1678">
        <f t="shared" si="183"/>
        <v>11</v>
      </c>
      <c r="D1678" t="s">
        <v>66</v>
      </c>
      <c r="E1678" t="s">
        <v>67</v>
      </c>
      <c r="F1678" t="s">
        <v>68</v>
      </c>
      <c r="G1678" t="s">
        <v>36</v>
      </c>
      <c r="H1678" t="s">
        <v>37</v>
      </c>
      <c r="I1678" s="5">
        <v>340</v>
      </c>
      <c r="J1678" s="5">
        <v>260</v>
      </c>
      <c r="K1678" s="5">
        <v>17</v>
      </c>
      <c r="L1678" s="5">
        <v>6</v>
      </c>
      <c r="M1678" s="5">
        <v>6</v>
      </c>
      <c r="N1678" s="7">
        <v>677.72</v>
      </c>
      <c r="O1678" s="7">
        <f t="shared" si="184"/>
        <v>4066.32</v>
      </c>
      <c r="P1678" s="4">
        <v>0</v>
      </c>
      <c r="Q1678" s="7">
        <f t="shared" si="185"/>
        <v>0</v>
      </c>
      <c r="R1678" s="7">
        <f t="shared" si="186"/>
        <v>4066.32</v>
      </c>
      <c r="S1678" s="7">
        <f t="shared" si="187"/>
        <v>677.72</v>
      </c>
      <c r="T1678" s="6">
        <f t="shared" si="188"/>
        <v>1.7647058823529412E-2</v>
      </c>
      <c r="V1678" t="s">
        <v>29</v>
      </c>
    </row>
    <row r="1679" spans="1:22">
      <c r="A1679" s="3">
        <v>45727</v>
      </c>
      <c r="B1679" t="str">
        <f t="shared" si="182"/>
        <v>yyyy-03</v>
      </c>
      <c r="C1679">
        <f t="shared" si="183"/>
        <v>11</v>
      </c>
      <c r="D1679" t="s">
        <v>66</v>
      </c>
      <c r="E1679" t="s">
        <v>67</v>
      </c>
      <c r="F1679" t="s">
        <v>69</v>
      </c>
      <c r="G1679" t="s">
        <v>27</v>
      </c>
      <c r="H1679" t="s">
        <v>28</v>
      </c>
      <c r="I1679" s="5">
        <v>304</v>
      </c>
      <c r="J1679" s="5">
        <v>204</v>
      </c>
      <c r="K1679" s="5">
        <v>16</v>
      </c>
      <c r="L1679" s="5">
        <v>7</v>
      </c>
      <c r="M1679" s="5">
        <v>7</v>
      </c>
      <c r="N1679" s="7">
        <v>401.31</v>
      </c>
      <c r="O1679" s="7">
        <f t="shared" si="184"/>
        <v>2809.17</v>
      </c>
      <c r="P1679" s="4">
        <v>0</v>
      </c>
      <c r="Q1679" s="7">
        <f t="shared" si="185"/>
        <v>0</v>
      </c>
      <c r="R1679" s="7">
        <f t="shared" si="186"/>
        <v>2809.17</v>
      </c>
      <c r="S1679" s="7">
        <f t="shared" si="187"/>
        <v>401.31</v>
      </c>
      <c r="T1679" s="6">
        <f t="shared" si="188"/>
        <v>2.3026315789473683E-2</v>
      </c>
      <c r="V1679" t="s">
        <v>29</v>
      </c>
    </row>
    <row r="1680" spans="1:22">
      <c r="A1680" s="3">
        <v>45727</v>
      </c>
      <c r="B1680" t="str">
        <f t="shared" si="182"/>
        <v>yyyy-03</v>
      </c>
      <c r="C1680">
        <f t="shared" si="183"/>
        <v>11</v>
      </c>
      <c r="D1680" t="s">
        <v>66</v>
      </c>
      <c r="E1680" t="s">
        <v>67</v>
      </c>
      <c r="F1680" t="s">
        <v>70</v>
      </c>
      <c r="G1680" t="s">
        <v>27</v>
      </c>
      <c r="H1680" t="s">
        <v>28</v>
      </c>
      <c r="I1680" s="5">
        <v>330</v>
      </c>
      <c r="J1680" s="5">
        <v>219</v>
      </c>
      <c r="K1680" s="5">
        <v>20</v>
      </c>
      <c r="L1680" s="5">
        <v>6</v>
      </c>
      <c r="M1680" s="5">
        <v>6</v>
      </c>
      <c r="N1680" s="7">
        <v>336.06</v>
      </c>
      <c r="O1680" s="7">
        <f t="shared" si="184"/>
        <v>2016.3600000000001</v>
      </c>
      <c r="P1680" s="4">
        <v>0</v>
      </c>
      <c r="Q1680" s="7">
        <f t="shared" si="185"/>
        <v>0</v>
      </c>
      <c r="R1680" s="7">
        <f t="shared" si="186"/>
        <v>2016.3600000000001</v>
      </c>
      <c r="S1680" s="7">
        <f t="shared" si="187"/>
        <v>336.06</v>
      </c>
      <c r="T1680" s="6">
        <f t="shared" si="188"/>
        <v>1.8181818181818181E-2</v>
      </c>
      <c r="V1680" t="s">
        <v>29</v>
      </c>
    </row>
    <row r="1681" spans="1:22">
      <c r="A1681" s="3">
        <v>45727</v>
      </c>
      <c r="B1681" t="str">
        <f t="shared" si="182"/>
        <v>yyyy-03</v>
      </c>
      <c r="C1681">
        <f t="shared" si="183"/>
        <v>11</v>
      </c>
      <c r="D1681" t="s">
        <v>66</v>
      </c>
      <c r="E1681" t="s">
        <v>71</v>
      </c>
      <c r="F1681" t="s">
        <v>72</v>
      </c>
      <c r="G1681" t="s">
        <v>27</v>
      </c>
      <c r="H1681" t="s">
        <v>45</v>
      </c>
      <c r="I1681" s="5">
        <v>278</v>
      </c>
      <c r="J1681" s="5">
        <v>206</v>
      </c>
      <c r="K1681" s="5">
        <v>14</v>
      </c>
      <c r="L1681" s="5">
        <v>5</v>
      </c>
      <c r="M1681" s="5">
        <v>5</v>
      </c>
      <c r="N1681" s="7">
        <v>127.04</v>
      </c>
      <c r="O1681" s="7">
        <f t="shared" si="184"/>
        <v>635.20000000000005</v>
      </c>
      <c r="P1681" s="4">
        <v>0</v>
      </c>
      <c r="Q1681" s="7">
        <f t="shared" si="185"/>
        <v>0</v>
      </c>
      <c r="R1681" s="7">
        <f t="shared" si="186"/>
        <v>635.20000000000005</v>
      </c>
      <c r="S1681" s="7">
        <f t="shared" si="187"/>
        <v>127.04</v>
      </c>
      <c r="T1681" s="6">
        <f t="shared" si="188"/>
        <v>1.7985611510791366E-2</v>
      </c>
      <c r="V1681" t="s">
        <v>29</v>
      </c>
    </row>
    <row r="1682" spans="1:22">
      <c r="A1682" s="3">
        <v>45727</v>
      </c>
      <c r="B1682" t="str">
        <f t="shared" si="182"/>
        <v>yyyy-03</v>
      </c>
      <c r="C1682">
        <f t="shared" si="183"/>
        <v>11</v>
      </c>
      <c r="D1682" t="s">
        <v>66</v>
      </c>
      <c r="E1682" t="s">
        <v>73</v>
      </c>
      <c r="F1682" t="s">
        <v>74</v>
      </c>
      <c r="G1682" t="s">
        <v>27</v>
      </c>
      <c r="H1682" t="s">
        <v>45</v>
      </c>
      <c r="I1682" s="5">
        <v>178</v>
      </c>
      <c r="J1682" s="5">
        <v>110</v>
      </c>
      <c r="K1682" s="5">
        <v>12</v>
      </c>
      <c r="L1682" s="5">
        <v>4</v>
      </c>
      <c r="M1682" s="5">
        <v>4</v>
      </c>
      <c r="N1682" s="7">
        <v>1207.52</v>
      </c>
      <c r="O1682" s="7">
        <f t="shared" si="184"/>
        <v>4830.08</v>
      </c>
      <c r="P1682" s="4">
        <v>0.03</v>
      </c>
      <c r="Q1682" s="7">
        <f t="shared" si="185"/>
        <v>144.9024</v>
      </c>
      <c r="R1682" s="7">
        <f t="shared" si="186"/>
        <v>4685.1776</v>
      </c>
      <c r="S1682" s="7">
        <f t="shared" si="187"/>
        <v>1171.2944</v>
      </c>
      <c r="T1682" s="6">
        <f t="shared" si="188"/>
        <v>2.247191011235955E-2</v>
      </c>
      <c r="V1682" t="s">
        <v>29</v>
      </c>
    </row>
    <row r="1683" spans="1:22">
      <c r="A1683" s="3">
        <v>45727</v>
      </c>
      <c r="B1683" t="str">
        <f t="shared" si="182"/>
        <v>yyyy-03</v>
      </c>
      <c r="C1683">
        <f t="shared" si="183"/>
        <v>11</v>
      </c>
      <c r="D1683" t="s">
        <v>66</v>
      </c>
      <c r="E1683" t="s">
        <v>71</v>
      </c>
      <c r="F1683" t="s">
        <v>75</v>
      </c>
      <c r="G1683" t="s">
        <v>36</v>
      </c>
      <c r="H1683" t="s">
        <v>37</v>
      </c>
      <c r="I1683" s="5">
        <v>409</v>
      </c>
      <c r="J1683" s="5">
        <v>264</v>
      </c>
      <c r="K1683" s="5">
        <v>24</v>
      </c>
      <c r="L1683" s="5">
        <v>6</v>
      </c>
      <c r="M1683" s="5">
        <v>7</v>
      </c>
      <c r="N1683" s="7">
        <v>38.270000000000003</v>
      </c>
      <c r="O1683" s="7">
        <f t="shared" si="184"/>
        <v>267.89000000000004</v>
      </c>
      <c r="P1683" s="4">
        <v>0</v>
      </c>
      <c r="Q1683" s="7">
        <f t="shared" si="185"/>
        <v>0</v>
      </c>
      <c r="R1683" s="7">
        <f t="shared" si="186"/>
        <v>267.89000000000004</v>
      </c>
      <c r="S1683" s="7">
        <f t="shared" si="187"/>
        <v>44.648333333333341</v>
      </c>
      <c r="T1683" s="6">
        <f t="shared" si="188"/>
        <v>1.4669926650366748E-2</v>
      </c>
      <c r="V1683" t="s">
        <v>29</v>
      </c>
    </row>
    <row r="1684" spans="1:22">
      <c r="A1684" s="3">
        <v>45727</v>
      </c>
      <c r="B1684" t="str">
        <f t="shared" si="182"/>
        <v>yyyy-03</v>
      </c>
      <c r="C1684">
        <f t="shared" si="183"/>
        <v>11</v>
      </c>
      <c r="D1684" t="s">
        <v>24</v>
      </c>
      <c r="E1684" t="s">
        <v>76</v>
      </c>
      <c r="F1684" t="s">
        <v>77</v>
      </c>
      <c r="G1684" t="s">
        <v>27</v>
      </c>
      <c r="H1684" t="s">
        <v>63</v>
      </c>
      <c r="I1684" s="5">
        <v>408</v>
      </c>
      <c r="J1684" s="5">
        <v>332</v>
      </c>
      <c r="K1684" s="5">
        <v>36</v>
      </c>
      <c r="L1684" s="5">
        <v>10</v>
      </c>
      <c r="M1684" s="5">
        <v>11</v>
      </c>
      <c r="N1684" s="7">
        <v>200.62</v>
      </c>
      <c r="O1684" s="7">
        <f t="shared" si="184"/>
        <v>2206.8200000000002</v>
      </c>
      <c r="P1684" s="4">
        <v>0.03</v>
      </c>
      <c r="Q1684" s="7">
        <f t="shared" si="185"/>
        <v>66.204599999999999</v>
      </c>
      <c r="R1684" s="7">
        <f t="shared" si="186"/>
        <v>2140.6154000000001</v>
      </c>
      <c r="S1684" s="7">
        <f t="shared" si="187"/>
        <v>214.06154000000001</v>
      </c>
      <c r="T1684" s="6">
        <f t="shared" si="188"/>
        <v>2.4509803921568627E-2</v>
      </c>
      <c r="V1684" t="s">
        <v>29</v>
      </c>
    </row>
    <row r="1685" spans="1:22">
      <c r="A1685" s="3">
        <v>45728</v>
      </c>
      <c r="B1685" t="str">
        <f t="shared" si="182"/>
        <v>yyyy-03</v>
      </c>
      <c r="C1685">
        <f t="shared" si="183"/>
        <v>11</v>
      </c>
      <c r="D1685" t="s">
        <v>24</v>
      </c>
      <c r="E1685" t="s">
        <v>25</v>
      </c>
      <c r="F1685" t="s">
        <v>26</v>
      </c>
      <c r="G1685" t="s">
        <v>27</v>
      </c>
      <c r="H1685" t="s">
        <v>63</v>
      </c>
      <c r="I1685" s="5">
        <v>1065</v>
      </c>
      <c r="J1685" s="5">
        <v>847</v>
      </c>
      <c r="K1685" s="5">
        <v>139</v>
      </c>
      <c r="L1685" s="5">
        <v>33</v>
      </c>
      <c r="M1685" s="5">
        <v>33</v>
      </c>
      <c r="N1685" s="7">
        <v>1002.99</v>
      </c>
      <c r="O1685" s="7">
        <f t="shared" si="184"/>
        <v>33098.67</v>
      </c>
      <c r="P1685" s="4">
        <v>0.13</v>
      </c>
      <c r="Q1685" s="7">
        <f t="shared" si="185"/>
        <v>4302.8270999999995</v>
      </c>
      <c r="R1685" s="7">
        <f t="shared" si="186"/>
        <v>28795.8429</v>
      </c>
      <c r="S1685" s="7">
        <f t="shared" si="187"/>
        <v>872.60130000000004</v>
      </c>
      <c r="T1685" s="6">
        <f t="shared" si="188"/>
        <v>3.0985915492957747E-2</v>
      </c>
      <c r="U1685" t="s">
        <v>88</v>
      </c>
      <c r="V1685" t="s">
        <v>29</v>
      </c>
    </row>
    <row r="1686" spans="1:22">
      <c r="A1686" s="3">
        <v>45728</v>
      </c>
      <c r="B1686" t="str">
        <f t="shared" si="182"/>
        <v>yyyy-03</v>
      </c>
      <c r="C1686">
        <f t="shared" si="183"/>
        <v>11</v>
      </c>
      <c r="D1686" t="s">
        <v>24</v>
      </c>
      <c r="E1686" t="s">
        <v>25</v>
      </c>
      <c r="F1686" t="s">
        <v>30</v>
      </c>
      <c r="G1686" t="s">
        <v>27</v>
      </c>
      <c r="H1686" t="s">
        <v>63</v>
      </c>
      <c r="I1686" s="5">
        <v>1265</v>
      </c>
      <c r="J1686" s="5">
        <v>872</v>
      </c>
      <c r="K1686" s="5">
        <v>144</v>
      </c>
      <c r="L1686" s="5">
        <v>31</v>
      </c>
      <c r="M1686" s="5">
        <v>31</v>
      </c>
      <c r="N1686" s="7">
        <v>387.68</v>
      </c>
      <c r="O1686" s="7">
        <f t="shared" si="184"/>
        <v>12018.08</v>
      </c>
      <c r="P1686" s="4">
        <v>0.13</v>
      </c>
      <c r="Q1686" s="7">
        <f t="shared" si="185"/>
        <v>1562.3504</v>
      </c>
      <c r="R1686" s="7">
        <f t="shared" si="186"/>
        <v>10455.729600000001</v>
      </c>
      <c r="S1686" s="7">
        <f t="shared" si="187"/>
        <v>337.28160000000003</v>
      </c>
      <c r="T1686" s="6">
        <f t="shared" si="188"/>
        <v>2.4505928853754941E-2</v>
      </c>
      <c r="U1686" t="s">
        <v>88</v>
      </c>
      <c r="V1686" t="s">
        <v>29</v>
      </c>
    </row>
    <row r="1687" spans="1:22">
      <c r="A1687" s="3">
        <v>45728</v>
      </c>
      <c r="B1687" t="str">
        <f t="shared" si="182"/>
        <v>yyyy-03</v>
      </c>
      <c r="C1687">
        <f t="shared" si="183"/>
        <v>11</v>
      </c>
      <c r="D1687" t="s">
        <v>24</v>
      </c>
      <c r="E1687" t="s">
        <v>25</v>
      </c>
      <c r="F1687" t="s">
        <v>33</v>
      </c>
      <c r="G1687" t="s">
        <v>27</v>
      </c>
      <c r="H1687" t="s">
        <v>45</v>
      </c>
      <c r="I1687" s="5">
        <v>1230</v>
      </c>
      <c r="J1687" s="5">
        <v>731</v>
      </c>
      <c r="K1687" s="5">
        <v>82</v>
      </c>
      <c r="L1687" s="5">
        <v>34</v>
      </c>
      <c r="M1687" s="5">
        <v>34</v>
      </c>
      <c r="N1687" s="7">
        <v>1800.21</v>
      </c>
      <c r="O1687" s="7">
        <f t="shared" si="184"/>
        <v>61207.14</v>
      </c>
      <c r="P1687" s="4">
        <v>0.13</v>
      </c>
      <c r="Q1687" s="7">
        <f t="shared" si="185"/>
        <v>7956.9282000000003</v>
      </c>
      <c r="R1687" s="7">
        <f t="shared" si="186"/>
        <v>53250.211799999997</v>
      </c>
      <c r="S1687" s="7">
        <f t="shared" si="187"/>
        <v>1566.1826999999998</v>
      </c>
      <c r="T1687" s="6">
        <f t="shared" si="188"/>
        <v>2.7642276422764227E-2</v>
      </c>
      <c r="U1687" t="s">
        <v>88</v>
      </c>
      <c r="V1687" t="s">
        <v>29</v>
      </c>
    </row>
    <row r="1688" spans="1:22">
      <c r="A1688" s="3">
        <v>45728</v>
      </c>
      <c r="B1688" t="str">
        <f t="shared" si="182"/>
        <v>yyyy-03</v>
      </c>
      <c r="C1688">
        <f t="shared" si="183"/>
        <v>11</v>
      </c>
      <c r="D1688" t="s">
        <v>24</v>
      </c>
      <c r="E1688" t="s">
        <v>34</v>
      </c>
      <c r="F1688" t="s">
        <v>35</v>
      </c>
      <c r="G1688" t="s">
        <v>27</v>
      </c>
      <c r="H1688" t="s">
        <v>45</v>
      </c>
      <c r="I1688" s="5">
        <v>753</v>
      </c>
      <c r="J1688" s="5">
        <v>547</v>
      </c>
      <c r="K1688" s="5">
        <v>55</v>
      </c>
      <c r="L1688" s="5">
        <v>17</v>
      </c>
      <c r="M1688" s="5">
        <v>17</v>
      </c>
      <c r="N1688" s="7">
        <v>876.13</v>
      </c>
      <c r="O1688" s="7">
        <f t="shared" si="184"/>
        <v>14894.21</v>
      </c>
      <c r="P1688" s="4">
        <v>0.03</v>
      </c>
      <c r="Q1688" s="7">
        <f t="shared" si="185"/>
        <v>446.82629999999995</v>
      </c>
      <c r="R1688" s="7">
        <f t="shared" si="186"/>
        <v>14447.383699999998</v>
      </c>
      <c r="S1688" s="7">
        <f t="shared" si="187"/>
        <v>849.84609999999986</v>
      </c>
      <c r="T1688" s="6">
        <f t="shared" si="188"/>
        <v>2.2576361221779549E-2</v>
      </c>
      <c r="V1688" t="s">
        <v>29</v>
      </c>
    </row>
    <row r="1689" spans="1:22">
      <c r="A1689" s="3">
        <v>45728</v>
      </c>
      <c r="B1689" t="str">
        <f t="shared" si="182"/>
        <v>yyyy-03</v>
      </c>
      <c r="C1689">
        <f t="shared" si="183"/>
        <v>11</v>
      </c>
      <c r="D1689" t="s">
        <v>24</v>
      </c>
      <c r="E1689" t="s">
        <v>38</v>
      </c>
      <c r="F1689" t="s">
        <v>39</v>
      </c>
      <c r="G1689" t="s">
        <v>36</v>
      </c>
      <c r="H1689" t="s">
        <v>37</v>
      </c>
      <c r="I1689" s="5">
        <v>830</v>
      </c>
      <c r="J1689" s="5">
        <v>542</v>
      </c>
      <c r="K1689" s="5">
        <v>63</v>
      </c>
      <c r="L1689" s="5">
        <v>13</v>
      </c>
      <c r="M1689" s="5">
        <v>13</v>
      </c>
      <c r="N1689" s="7">
        <v>324.95999999999998</v>
      </c>
      <c r="O1689" s="7">
        <f t="shared" si="184"/>
        <v>4224.4799999999996</v>
      </c>
      <c r="P1689" s="4">
        <v>0.05</v>
      </c>
      <c r="Q1689" s="7">
        <f t="shared" si="185"/>
        <v>211.22399999999999</v>
      </c>
      <c r="R1689" s="7">
        <f t="shared" si="186"/>
        <v>4013.2559999999994</v>
      </c>
      <c r="S1689" s="7">
        <f t="shared" si="187"/>
        <v>308.71199999999993</v>
      </c>
      <c r="T1689" s="6">
        <f t="shared" si="188"/>
        <v>1.566265060240964E-2</v>
      </c>
      <c r="V1689" t="s">
        <v>29</v>
      </c>
    </row>
    <row r="1690" spans="1:22">
      <c r="A1690" s="3">
        <v>45728</v>
      </c>
      <c r="B1690" t="str">
        <f t="shared" si="182"/>
        <v>yyyy-03</v>
      </c>
      <c r="C1690">
        <f t="shared" si="183"/>
        <v>11</v>
      </c>
      <c r="D1690" t="s">
        <v>24</v>
      </c>
      <c r="E1690" t="s">
        <v>40</v>
      </c>
      <c r="F1690" t="s">
        <v>41</v>
      </c>
      <c r="G1690" t="s">
        <v>31</v>
      </c>
      <c r="H1690" t="s">
        <v>32</v>
      </c>
      <c r="I1690" s="5">
        <v>594</v>
      </c>
      <c r="J1690" s="5">
        <v>489</v>
      </c>
      <c r="K1690" s="5">
        <v>49</v>
      </c>
      <c r="L1690" s="5">
        <v>11</v>
      </c>
      <c r="M1690" s="5">
        <v>14</v>
      </c>
      <c r="N1690" s="7">
        <v>181.14</v>
      </c>
      <c r="O1690" s="7">
        <f t="shared" si="184"/>
        <v>2535.96</v>
      </c>
      <c r="P1690" s="4">
        <v>0</v>
      </c>
      <c r="Q1690" s="7">
        <f t="shared" si="185"/>
        <v>0</v>
      </c>
      <c r="R1690" s="7">
        <f t="shared" si="186"/>
        <v>2535.96</v>
      </c>
      <c r="S1690" s="7">
        <f t="shared" si="187"/>
        <v>230.54181818181817</v>
      </c>
      <c r="T1690" s="6">
        <f t="shared" si="188"/>
        <v>1.8518518518518517E-2</v>
      </c>
      <c r="V1690" t="s">
        <v>29</v>
      </c>
    </row>
    <row r="1691" spans="1:22">
      <c r="A1691" s="3">
        <v>45728</v>
      </c>
      <c r="B1691" t="str">
        <f t="shared" si="182"/>
        <v>yyyy-03</v>
      </c>
      <c r="C1691">
        <f t="shared" si="183"/>
        <v>11</v>
      </c>
      <c r="D1691" t="s">
        <v>42</v>
      </c>
      <c r="E1691" t="s">
        <v>43</v>
      </c>
      <c r="F1691" t="s">
        <v>44</v>
      </c>
      <c r="G1691" t="s">
        <v>31</v>
      </c>
      <c r="H1691" t="s">
        <v>32</v>
      </c>
      <c r="I1691" s="5">
        <v>562</v>
      </c>
      <c r="J1691" s="5">
        <v>386</v>
      </c>
      <c r="K1691" s="5">
        <v>42</v>
      </c>
      <c r="L1691" s="5">
        <v>7</v>
      </c>
      <c r="M1691" s="5">
        <v>7</v>
      </c>
      <c r="N1691" s="7">
        <v>1303.8800000000001</v>
      </c>
      <c r="O1691" s="7">
        <f t="shared" si="184"/>
        <v>9127.16</v>
      </c>
      <c r="P1691" s="4">
        <v>0</v>
      </c>
      <c r="Q1691" s="7">
        <f t="shared" si="185"/>
        <v>0</v>
      </c>
      <c r="R1691" s="7">
        <f t="shared" si="186"/>
        <v>9127.16</v>
      </c>
      <c r="S1691" s="7">
        <f t="shared" si="187"/>
        <v>1303.8799999999999</v>
      </c>
      <c r="T1691" s="6">
        <f t="shared" si="188"/>
        <v>1.2455516014234875E-2</v>
      </c>
      <c r="V1691" t="s">
        <v>29</v>
      </c>
    </row>
    <row r="1692" spans="1:22">
      <c r="A1692" s="3">
        <v>45728</v>
      </c>
      <c r="B1692" t="str">
        <f t="shared" si="182"/>
        <v>yyyy-03</v>
      </c>
      <c r="C1692">
        <f t="shared" si="183"/>
        <v>11</v>
      </c>
      <c r="D1692" t="s">
        <v>42</v>
      </c>
      <c r="E1692" t="s">
        <v>43</v>
      </c>
      <c r="F1692" t="s">
        <v>46</v>
      </c>
      <c r="G1692" t="s">
        <v>27</v>
      </c>
      <c r="H1692" t="s">
        <v>45</v>
      </c>
      <c r="I1692" s="5">
        <v>376</v>
      </c>
      <c r="J1692" s="5">
        <v>243</v>
      </c>
      <c r="K1692" s="5">
        <v>21</v>
      </c>
      <c r="L1692" s="5">
        <v>5</v>
      </c>
      <c r="M1692" s="5">
        <v>5</v>
      </c>
      <c r="N1692" s="7">
        <v>2218.5300000000002</v>
      </c>
      <c r="O1692" s="7">
        <f t="shared" si="184"/>
        <v>11092.650000000001</v>
      </c>
      <c r="P1692" s="4">
        <v>0</v>
      </c>
      <c r="Q1692" s="7">
        <f t="shared" si="185"/>
        <v>0</v>
      </c>
      <c r="R1692" s="7">
        <f t="shared" si="186"/>
        <v>11092.650000000001</v>
      </c>
      <c r="S1692" s="7">
        <f t="shared" si="187"/>
        <v>2218.5300000000002</v>
      </c>
      <c r="T1692" s="6">
        <f t="shared" si="188"/>
        <v>1.3297872340425532E-2</v>
      </c>
      <c r="V1692" t="s">
        <v>29</v>
      </c>
    </row>
    <row r="1693" spans="1:22">
      <c r="A1693" s="3">
        <v>45728</v>
      </c>
      <c r="B1693" t="str">
        <f t="shared" si="182"/>
        <v>yyyy-03</v>
      </c>
      <c r="C1693">
        <f t="shared" si="183"/>
        <v>11</v>
      </c>
      <c r="D1693" t="s">
        <v>42</v>
      </c>
      <c r="E1693" t="s">
        <v>43</v>
      </c>
      <c r="F1693" t="s">
        <v>47</v>
      </c>
      <c r="G1693" t="s">
        <v>27</v>
      </c>
      <c r="H1693" t="s">
        <v>28</v>
      </c>
      <c r="I1693" s="5">
        <v>476</v>
      </c>
      <c r="J1693" s="5">
        <v>329</v>
      </c>
      <c r="K1693" s="5">
        <v>39</v>
      </c>
      <c r="L1693" s="5">
        <v>7</v>
      </c>
      <c r="M1693" s="5">
        <v>7</v>
      </c>
      <c r="N1693" s="7">
        <v>586.96</v>
      </c>
      <c r="O1693" s="7">
        <f t="shared" si="184"/>
        <v>4108.72</v>
      </c>
      <c r="P1693" s="4">
        <v>0</v>
      </c>
      <c r="Q1693" s="7">
        <f t="shared" si="185"/>
        <v>0</v>
      </c>
      <c r="R1693" s="7">
        <f t="shared" si="186"/>
        <v>4108.72</v>
      </c>
      <c r="S1693" s="7">
        <f t="shared" si="187"/>
        <v>586.96</v>
      </c>
      <c r="T1693" s="6">
        <f t="shared" si="188"/>
        <v>1.4705882352941176E-2</v>
      </c>
      <c r="V1693" t="s">
        <v>29</v>
      </c>
    </row>
    <row r="1694" spans="1:22">
      <c r="A1694" s="3">
        <v>45728</v>
      </c>
      <c r="B1694" t="str">
        <f t="shared" si="182"/>
        <v>yyyy-03</v>
      </c>
      <c r="C1694">
        <f t="shared" si="183"/>
        <v>11</v>
      </c>
      <c r="D1694" t="s">
        <v>42</v>
      </c>
      <c r="E1694" t="s">
        <v>49</v>
      </c>
      <c r="F1694" t="s">
        <v>50</v>
      </c>
      <c r="G1694" t="s">
        <v>27</v>
      </c>
      <c r="H1694" t="s">
        <v>63</v>
      </c>
      <c r="I1694" s="5">
        <v>94</v>
      </c>
      <c r="J1694" s="5">
        <v>69</v>
      </c>
      <c r="K1694" s="5">
        <v>4</v>
      </c>
      <c r="L1694" s="5">
        <v>1</v>
      </c>
      <c r="M1694" s="5">
        <v>1</v>
      </c>
      <c r="N1694" s="7">
        <v>997.35</v>
      </c>
      <c r="O1694" s="7">
        <f t="shared" si="184"/>
        <v>997.35</v>
      </c>
      <c r="P1694" s="4">
        <v>0</v>
      </c>
      <c r="Q1694" s="7">
        <f t="shared" si="185"/>
        <v>0</v>
      </c>
      <c r="R1694" s="7">
        <f t="shared" si="186"/>
        <v>997.35</v>
      </c>
      <c r="S1694" s="7">
        <f t="shared" si="187"/>
        <v>997.35</v>
      </c>
      <c r="T1694" s="6">
        <f t="shared" si="188"/>
        <v>1.0638297872340425E-2</v>
      </c>
      <c r="V1694" t="s">
        <v>29</v>
      </c>
    </row>
    <row r="1695" spans="1:22">
      <c r="A1695" s="3">
        <v>45728</v>
      </c>
      <c r="B1695" t="str">
        <f t="shared" si="182"/>
        <v>yyyy-03</v>
      </c>
      <c r="C1695">
        <f t="shared" si="183"/>
        <v>11</v>
      </c>
      <c r="D1695" t="s">
        <v>42</v>
      </c>
      <c r="E1695" t="s">
        <v>51</v>
      </c>
      <c r="F1695" t="s">
        <v>52</v>
      </c>
      <c r="G1695" t="s">
        <v>27</v>
      </c>
      <c r="H1695" t="s">
        <v>63</v>
      </c>
      <c r="I1695" s="5">
        <v>205</v>
      </c>
      <c r="J1695" s="5">
        <v>155</v>
      </c>
      <c r="K1695" s="5">
        <v>13</v>
      </c>
      <c r="L1695" s="5">
        <v>3</v>
      </c>
      <c r="M1695" s="5">
        <v>3</v>
      </c>
      <c r="N1695" s="7">
        <v>586.36</v>
      </c>
      <c r="O1695" s="7">
        <f t="shared" si="184"/>
        <v>1759.08</v>
      </c>
      <c r="P1695" s="4">
        <v>0</v>
      </c>
      <c r="Q1695" s="7">
        <f t="shared" si="185"/>
        <v>0</v>
      </c>
      <c r="R1695" s="7">
        <f t="shared" si="186"/>
        <v>1759.08</v>
      </c>
      <c r="S1695" s="7">
        <f t="shared" si="187"/>
        <v>586.36</v>
      </c>
      <c r="T1695" s="6">
        <f t="shared" si="188"/>
        <v>1.4634146341463415E-2</v>
      </c>
      <c r="V1695" t="s">
        <v>29</v>
      </c>
    </row>
    <row r="1696" spans="1:22">
      <c r="A1696" s="3">
        <v>45728</v>
      </c>
      <c r="B1696" t="str">
        <f t="shared" si="182"/>
        <v>yyyy-03</v>
      </c>
      <c r="C1696">
        <f t="shared" si="183"/>
        <v>11</v>
      </c>
      <c r="D1696" t="s">
        <v>53</v>
      </c>
      <c r="E1696" t="s">
        <v>54</v>
      </c>
      <c r="F1696" t="s">
        <v>55</v>
      </c>
      <c r="G1696" t="s">
        <v>27</v>
      </c>
      <c r="H1696" t="s">
        <v>45</v>
      </c>
      <c r="I1696" s="5">
        <v>152</v>
      </c>
      <c r="J1696" s="5">
        <v>117</v>
      </c>
      <c r="K1696" s="5">
        <v>11</v>
      </c>
      <c r="L1696" s="5">
        <v>2</v>
      </c>
      <c r="M1696" s="5">
        <v>2</v>
      </c>
      <c r="N1696" s="7">
        <v>1282.48</v>
      </c>
      <c r="O1696" s="7">
        <f t="shared" si="184"/>
        <v>2564.96</v>
      </c>
      <c r="P1696" s="4">
        <v>0</v>
      </c>
      <c r="Q1696" s="7">
        <f t="shared" si="185"/>
        <v>0</v>
      </c>
      <c r="R1696" s="7">
        <f t="shared" si="186"/>
        <v>2564.96</v>
      </c>
      <c r="S1696" s="7">
        <f t="shared" si="187"/>
        <v>1282.48</v>
      </c>
      <c r="T1696" s="6">
        <f t="shared" si="188"/>
        <v>1.3157894736842105E-2</v>
      </c>
      <c r="V1696" t="s">
        <v>29</v>
      </c>
    </row>
    <row r="1697" spans="1:22">
      <c r="A1697" s="3">
        <v>45728</v>
      </c>
      <c r="B1697" t="str">
        <f t="shared" si="182"/>
        <v>yyyy-03</v>
      </c>
      <c r="C1697">
        <f t="shared" si="183"/>
        <v>11</v>
      </c>
      <c r="D1697" t="s">
        <v>53</v>
      </c>
      <c r="E1697" t="s">
        <v>56</v>
      </c>
      <c r="F1697" t="s">
        <v>57</v>
      </c>
      <c r="G1697" t="s">
        <v>36</v>
      </c>
      <c r="H1697" t="s">
        <v>37</v>
      </c>
      <c r="I1697" s="5">
        <v>206</v>
      </c>
      <c r="J1697" s="5">
        <v>145</v>
      </c>
      <c r="K1697" s="5">
        <v>8</v>
      </c>
      <c r="L1697" s="5">
        <v>2</v>
      </c>
      <c r="M1697" s="5">
        <v>2</v>
      </c>
      <c r="N1697" s="7">
        <v>737.24</v>
      </c>
      <c r="O1697" s="7">
        <f t="shared" si="184"/>
        <v>1474.48</v>
      </c>
      <c r="P1697" s="4">
        <v>0</v>
      </c>
      <c r="Q1697" s="7">
        <f t="shared" si="185"/>
        <v>0</v>
      </c>
      <c r="R1697" s="7">
        <f t="shared" si="186"/>
        <v>1474.48</v>
      </c>
      <c r="S1697" s="7">
        <f t="shared" si="187"/>
        <v>737.24</v>
      </c>
      <c r="T1697" s="6">
        <f t="shared" si="188"/>
        <v>9.7087378640776691E-3</v>
      </c>
      <c r="V1697" t="s">
        <v>29</v>
      </c>
    </row>
    <row r="1698" spans="1:22">
      <c r="A1698" s="3">
        <v>45728</v>
      </c>
      <c r="B1698" t="str">
        <f t="shared" si="182"/>
        <v>yyyy-03</v>
      </c>
      <c r="C1698">
        <f t="shared" si="183"/>
        <v>11</v>
      </c>
      <c r="D1698" t="s">
        <v>53</v>
      </c>
      <c r="E1698" t="s">
        <v>56</v>
      </c>
      <c r="F1698" t="s">
        <v>58</v>
      </c>
      <c r="G1698" t="s">
        <v>36</v>
      </c>
      <c r="H1698" t="s">
        <v>37</v>
      </c>
      <c r="I1698" s="5">
        <v>210</v>
      </c>
      <c r="J1698" s="5">
        <v>135</v>
      </c>
      <c r="K1698" s="5">
        <v>6</v>
      </c>
      <c r="L1698" s="5">
        <v>1</v>
      </c>
      <c r="M1698" s="5">
        <v>1</v>
      </c>
      <c r="N1698" s="7">
        <v>903.5</v>
      </c>
      <c r="O1698" s="7">
        <f t="shared" si="184"/>
        <v>903.5</v>
      </c>
      <c r="P1698" s="4">
        <v>0</v>
      </c>
      <c r="Q1698" s="7">
        <f t="shared" si="185"/>
        <v>0</v>
      </c>
      <c r="R1698" s="7">
        <f t="shared" si="186"/>
        <v>903.5</v>
      </c>
      <c r="S1698" s="7">
        <f t="shared" si="187"/>
        <v>903.5</v>
      </c>
      <c r="T1698" s="6">
        <f t="shared" si="188"/>
        <v>4.7619047619047623E-3</v>
      </c>
      <c r="V1698" t="s">
        <v>78</v>
      </c>
    </row>
    <row r="1699" spans="1:22">
      <c r="A1699" s="3">
        <v>45728</v>
      </c>
      <c r="B1699" t="str">
        <f t="shared" si="182"/>
        <v>yyyy-03</v>
      </c>
      <c r="C1699">
        <f t="shared" si="183"/>
        <v>11</v>
      </c>
      <c r="D1699" t="s">
        <v>53</v>
      </c>
      <c r="E1699" t="s">
        <v>59</v>
      </c>
      <c r="F1699" t="s">
        <v>60</v>
      </c>
      <c r="G1699" t="s">
        <v>27</v>
      </c>
      <c r="H1699" t="s">
        <v>45</v>
      </c>
      <c r="I1699" s="5">
        <v>126</v>
      </c>
      <c r="J1699" s="5">
        <v>83</v>
      </c>
      <c r="K1699" s="5">
        <v>7</v>
      </c>
      <c r="L1699" s="5">
        <v>1</v>
      </c>
      <c r="M1699" s="5">
        <v>1</v>
      </c>
      <c r="N1699" s="7">
        <v>707.28</v>
      </c>
      <c r="O1699" s="7">
        <f t="shared" si="184"/>
        <v>707.28</v>
      </c>
      <c r="P1699" s="4">
        <v>0</v>
      </c>
      <c r="Q1699" s="7">
        <f t="shared" si="185"/>
        <v>0</v>
      </c>
      <c r="R1699" s="7">
        <f t="shared" si="186"/>
        <v>707.28</v>
      </c>
      <c r="S1699" s="7">
        <f t="shared" si="187"/>
        <v>707.28</v>
      </c>
      <c r="T1699" s="6">
        <f t="shared" si="188"/>
        <v>7.9365079365079361E-3</v>
      </c>
      <c r="V1699" t="s">
        <v>29</v>
      </c>
    </row>
    <row r="1700" spans="1:22">
      <c r="A1700" s="3">
        <v>45728</v>
      </c>
      <c r="B1700" t="str">
        <f t="shared" si="182"/>
        <v>yyyy-03</v>
      </c>
      <c r="C1700">
        <f t="shared" si="183"/>
        <v>11</v>
      </c>
      <c r="D1700" t="s">
        <v>53</v>
      </c>
      <c r="E1700" t="s">
        <v>61</v>
      </c>
      <c r="F1700" t="s">
        <v>62</v>
      </c>
      <c r="G1700" t="s">
        <v>27</v>
      </c>
      <c r="H1700" t="s">
        <v>48</v>
      </c>
      <c r="I1700" s="5">
        <v>59</v>
      </c>
      <c r="J1700" s="5">
        <v>45</v>
      </c>
      <c r="K1700" s="5">
        <v>1</v>
      </c>
      <c r="L1700" s="5">
        <v>0</v>
      </c>
      <c r="M1700" s="5">
        <v>0</v>
      </c>
      <c r="N1700" s="7">
        <v>502.35</v>
      </c>
      <c r="O1700" s="7">
        <f t="shared" si="184"/>
        <v>0</v>
      </c>
      <c r="P1700" s="4">
        <v>0.12</v>
      </c>
      <c r="Q1700" s="7">
        <f t="shared" si="185"/>
        <v>0</v>
      </c>
      <c r="R1700" s="7">
        <f t="shared" si="186"/>
        <v>0</v>
      </c>
      <c r="S1700" s="7">
        <f t="shared" si="187"/>
        <v>0</v>
      </c>
      <c r="T1700" s="6">
        <f t="shared" si="188"/>
        <v>0</v>
      </c>
      <c r="U1700" t="s">
        <v>89</v>
      </c>
      <c r="V1700" t="s">
        <v>81</v>
      </c>
    </row>
    <row r="1701" spans="1:22">
      <c r="A1701" s="3">
        <v>45728</v>
      </c>
      <c r="B1701" t="str">
        <f t="shared" si="182"/>
        <v>yyyy-03</v>
      </c>
      <c r="C1701">
        <f t="shared" si="183"/>
        <v>11</v>
      </c>
      <c r="D1701" t="s">
        <v>53</v>
      </c>
      <c r="E1701" t="s">
        <v>64</v>
      </c>
      <c r="F1701" t="s">
        <v>65</v>
      </c>
      <c r="G1701" t="s">
        <v>31</v>
      </c>
      <c r="H1701" t="s">
        <v>32</v>
      </c>
      <c r="I1701" s="5">
        <v>237</v>
      </c>
      <c r="J1701" s="5">
        <v>173</v>
      </c>
      <c r="K1701" s="5">
        <v>14</v>
      </c>
      <c r="L1701" s="5">
        <v>2</v>
      </c>
      <c r="M1701" s="5">
        <v>2</v>
      </c>
      <c r="N1701" s="7">
        <v>802</v>
      </c>
      <c r="O1701" s="7">
        <f t="shared" si="184"/>
        <v>1604</v>
      </c>
      <c r="P1701" s="4">
        <v>0</v>
      </c>
      <c r="Q1701" s="7">
        <f t="shared" si="185"/>
        <v>0</v>
      </c>
      <c r="R1701" s="7">
        <f t="shared" si="186"/>
        <v>1604</v>
      </c>
      <c r="S1701" s="7">
        <f t="shared" si="187"/>
        <v>802</v>
      </c>
      <c r="T1701" s="6">
        <f t="shared" si="188"/>
        <v>8.4388185654008432E-3</v>
      </c>
      <c r="V1701" t="s">
        <v>29</v>
      </c>
    </row>
    <row r="1702" spans="1:22">
      <c r="A1702" s="3">
        <v>45728</v>
      </c>
      <c r="B1702" t="str">
        <f t="shared" si="182"/>
        <v>yyyy-03</v>
      </c>
      <c r="C1702">
        <f t="shared" si="183"/>
        <v>11</v>
      </c>
      <c r="D1702" t="s">
        <v>66</v>
      </c>
      <c r="E1702" t="s">
        <v>67</v>
      </c>
      <c r="F1702" t="s">
        <v>68</v>
      </c>
      <c r="G1702" t="s">
        <v>27</v>
      </c>
      <c r="H1702" t="s">
        <v>48</v>
      </c>
      <c r="I1702" s="5">
        <v>279</v>
      </c>
      <c r="J1702" s="5">
        <v>207</v>
      </c>
      <c r="K1702" s="5">
        <v>19</v>
      </c>
      <c r="L1702" s="5">
        <v>5</v>
      </c>
      <c r="M1702" s="5">
        <v>5</v>
      </c>
      <c r="N1702" s="7">
        <v>680</v>
      </c>
      <c r="O1702" s="7">
        <f t="shared" si="184"/>
        <v>3400</v>
      </c>
      <c r="P1702" s="4">
        <v>0.03</v>
      </c>
      <c r="Q1702" s="7">
        <f t="shared" si="185"/>
        <v>102</v>
      </c>
      <c r="R1702" s="7">
        <f t="shared" si="186"/>
        <v>3298</v>
      </c>
      <c r="S1702" s="7">
        <f t="shared" si="187"/>
        <v>659.6</v>
      </c>
      <c r="T1702" s="6">
        <f t="shared" si="188"/>
        <v>1.7921146953405017E-2</v>
      </c>
      <c r="V1702" t="s">
        <v>29</v>
      </c>
    </row>
    <row r="1703" spans="1:22">
      <c r="A1703" s="3">
        <v>45728</v>
      </c>
      <c r="B1703" t="str">
        <f t="shared" si="182"/>
        <v>yyyy-03</v>
      </c>
      <c r="C1703">
        <f t="shared" si="183"/>
        <v>11</v>
      </c>
      <c r="D1703" t="s">
        <v>66</v>
      </c>
      <c r="E1703" t="s">
        <v>67</v>
      </c>
      <c r="F1703" t="s">
        <v>69</v>
      </c>
      <c r="G1703" t="s">
        <v>36</v>
      </c>
      <c r="H1703" t="s">
        <v>37</v>
      </c>
      <c r="I1703" s="5">
        <v>440</v>
      </c>
      <c r="J1703" s="5">
        <v>238</v>
      </c>
      <c r="K1703" s="5">
        <v>24</v>
      </c>
      <c r="L1703" s="5">
        <v>6</v>
      </c>
      <c r="M1703" s="5">
        <v>6</v>
      </c>
      <c r="N1703" s="7">
        <v>389.91</v>
      </c>
      <c r="O1703" s="7">
        <f t="shared" si="184"/>
        <v>2339.46</v>
      </c>
      <c r="P1703" s="4">
        <v>0</v>
      </c>
      <c r="Q1703" s="7">
        <f t="shared" si="185"/>
        <v>0</v>
      </c>
      <c r="R1703" s="7">
        <f t="shared" si="186"/>
        <v>2339.46</v>
      </c>
      <c r="S1703" s="7">
        <f t="shared" si="187"/>
        <v>389.91</v>
      </c>
      <c r="T1703" s="6">
        <f t="shared" si="188"/>
        <v>1.3636363636363636E-2</v>
      </c>
      <c r="V1703" t="s">
        <v>29</v>
      </c>
    </row>
    <row r="1704" spans="1:22">
      <c r="A1704" s="3">
        <v>45728</v>
      </c>
      <c r="B1704" t="str">
        <f t="shared" si="182"/>
        <v>yyyy-03</v>
      </c>
      <c r="C1704">
        <f t="shared" si="183"/>
        <v>11</v>
      </c>
      <c r="D1704" t="s">
        <v>66</v>
      </c>
      <c r="E1704" t="s">
        <v>67</v>
      </c>
      <c r="F1704" t="s">
        <v>70</v>
      </c>
      <c r="G1704" t="s">
        <v>27</v>
      </c>
      <c r="H1704" t="s">
        <v>28</v>
      </c>
      <c r="I1704" s="5">
        <v>375</v>
      </c>
      <c r="J1704" s="5">
        <v>256</v>
      </c>
      <c r="K1704" s="5">
        <v>13</v>
      </c>
      <c r="L1704" s="5">
        <v>6</v>
      </c>
      <c r="M1704" s="5">
        <v>6</v>
      </c>
      <c r="N1704" s="7">
        <v>355.92</v>
      </c>
      <c r="O1704" s="7">
        <f t="shared" si="184"/>
        <v>2135.52</v>
      </c>
      <c r="P1704" s="4">
        <v>0</v>
      </c>
      <c r="Q1704" s="7">
        <f t="shared" si="185"/>
        <v>0</v>
      </c>
      <c r="R1704" s="7">
        <f t="shared" si="186"/>
        <v>2135.52</v>
      </c>
      <c r="S1704" s="7">
        <f t="shared" si="187"/>
        <v>355.92</v>
      </c>
      <c r="T1704" s="6">
        <f t="shared" si="188"/>
        <v>1.6E-2</v>
      </c>
      <c r="V1704" t="s">
        <v>29</v>
      </c>
    </row>
    <row r="1705" spans="1:22">
      <c r="A1705" s="3">
        <v>45728</v>
      </c>
      <c r="B1705" t="str">
        <f t="shared" si="182"/>
        <v>yyyy-03</v>
      </c>
      <c r="C1705">
        <f t="shared" si="183"/>
        <v>11</v>
      </c>
      <c r="D1705" t="s">
        <v>66</v>
      </c>
      <c r="E1705" t="s">
        <v>71</v>
      </c>
      <c r="F1705" t="s">
        <v>72</v>
      </c>
      <c r="G1705" t="s">
        <v>31</v>
      </c>
      <c r="H1705" t="s">
        <v>32</v>
      </c>
      <c r="I1705" s="5">
        <v>399</v>
      </c>
      <c r="J1705" s="5">
        <v>225</v>
      </c>
      <c r="K1705" s="5">
        <v>17</v>
      </c>
      <c r="L1705" s="5">
        <v>6</v>
      </c>
      <c r="M1705" s="5">
        <v>6</v>
      </c>
      <c r="N1705" s="7">
        <v>125.81</v>
      </c>
      <c r="O1705" s="7">
        <f t="shared" si="184"/>
        <v>754.86</v>
      </c>
      <c r="P1705" s="4">
        <v>0.05</v>
      </c>
      <c r="Q1705" s="7">
        <f t="shared" si="185"/>
        <v>37.743000000000002</v>
      </c>
      <c r="R1705" s="7">
        <f t="shared" si="186"/>
        <v>717.11699999999996</v>
      </c>
      <c r="S1705" s="7">
        <f t="shared" si="187"/>
        <v>119.51949999999999</v>
      </c>
      <c r="T1705" s="6">
        <f t="shared" si="188"/>
        <v>1.5037593984962405E-2</v>
      </c>
      <c r="V1705" t="s">
        <v>29</v>
      </c>
    </row>
    <row r="1706" spans="1:22">
      <c r="A1706" s="3">
        <v>45728</v>
      </c>
      <c r="B1706" t="str">
        <f t="shared" si="182"/>
        <v>yyyy-03</v>
      </c>
      <c r="C1706">
        <f t="shared" si="183"/>
        <v>11</v>
      </c>
      <c r="D1706" t="s">
        <v>66</v>
      </c>
      <c r="E1706" t="s">
        <v>73</v>
      </c>
      <c r="F1706" t="s">
        <v>74</v>
      </c>
      <c r="G1706" t="s">
        <v>31</v>
      </c>
      <c r="H1706" t="s">
        <v>32</v>
      </c>
      <c r="I1706" s="5">
        <v>296</v>
      </c>
      <c r="J1706" s="5">
        <v>180</v>
      </c>
      <c r="K1706" s="5">
        <v>19</v>
      </c>
      <c r="L1706" s="5">
        <v>6</v>
      </c>
      <c r="M1706" s="5">
        <v>6</v>
      </c>
      <c r="N1706" s="7">
        <v>1210.72</v>
      </c>
      <c r="O1706" s="7">
        <f t="shared" si="184"/>
        <v>7264.32</v>
      </c>
      <c r="P1706" s="4">
        <v>0.05</v>
      </c>
      <c r="Q1706" s="7">
        <f t="shared" si="185"/>
        <v>363.21600000000001</v>
      </c>
      <c r="R1706" s="7">
        <f t="shared" si="186"/>
        <v>6901.1039999999994</v>
      </c>
      <c r="S1706" s="7">
        <f t="shared" si="187"/>
        <v>1150.184</v>
      </c>
      <c r="T1706" s="6">
        <f t="shared" si="188"/>
        <v>2.0270270270270271E-2</v>
      </c>
      <c r="V1706" t="s">
        <v>29</v>
      </c>
    </row>
    <row r="1707" spans="1:22">
      <c r="A1707" s="3">
        <v>45728</v>
      </c>
      <c r="B1707" t="str">
        <f t="shared" si="182"/>
        <v>yyyy-03</v>
      </c>
      <c r="C1707">
        <f t="shared" si="183"/>
        <v>11</v>
      </c>
      <c r="D1707" t="s">
        <v>66</v>
      </c>
      <c r="E1707" t="s">
        <v>71</v>
      </c>
      <c r="F1707" t="s">
        <v>75</v>
      </c>
      <c r="G1707" t="s">
        <v>27</v>
      </c>
      <c r="H1707" t="s">
        <v>28</v>
      </c>
      <c r="I1707" s="5">
        <v>368</v>
      </c>
      <c r="J1707" s="5">
        <v>301</v>
      </c>
      <c r="K1707" s="5">
        <v>28</v>
      </c>
      <c r="L1707" s="5">
        <v>8</v>
      </c>
      <c r="M1707" s="5">
        <v>10</v>
      </c>
      <c r="N1707" s="7">
        <v>38.44</v>
      </c>
      <c r="O1707" s="7">
        <f t="shared" si="184"/>
        <v>384.4</v>
      </c>
      <c r="P1707" s="4">
        <v>0</v>
      </c>
      <c r="Q1707" s="7">
        <f t="shared" si="185"/>
        <v>0</v>
      </c>
      <c r="R1707" s="7">
        <f t="shared" si="186"/>
        <v>384.4</v>
      </c>
      <c r="S1707" s="7">
        <f t="shared" si="187"/>
        <v>48.05</v>
      </c>
      <c r="T1707" s="6">
        <f t="shared" si="188"/>
        <v>2.1739130434782608E-2</v>
      </c>
      <c r="V1707" t="s">
        <v>29</v>
      </c>
    </row>
    <row r="1708" spans="1:22">
      <c r="A1708" s="3">
        <v>45728</v>
      </c>
      <c r="B1708" t="str">
        <f t="shared" si="182"/>
        <v>yyyy-03</v>
      </c>
      <c r="C1708">
        <f t="shared" si="183"/>
        <v>11</v>
      </c>
      <c r="D1708" t="s">
        <v>24</v>
      </c>
      <c r="E1708" t="s">
        <v>76</v>
      </c>
      <c r="F1708" t="s">
        <v>77</v>
      </c>
      <c r="G1708" t="s">
        <v>27</v>
      </c>
      <c r="H1708" t="s">
        <v>48</v>
      </c>
      <c r="I1708" s="5">
        <v>401</v>
      </c>
      <c r="J1708" s="5">
        <v>317</v>
      </c>
      <c r="K1708" s="5">
        <v>28</v>
      </c>
      <c r="L1708" s="5">
        <v>6</v>
      </c>
      <c r="M1708" s="5">
        <v>7</v>
      </c>
      <c r="N1708" s="7">
        <v>198.29</v>
      </c>
      <c r="O1708" s="7">
        <f t="shared" si="184"/>
        <v>1388.03</v>
      </c>
      <c r="P1708" s="4">
        <v>0</v>
      </c>
      <c r="Q1708" s="7">
        <f t="shared" si="185"/>
        <v>0</v>
      </c>
      <c r="R1708" s="7">
        <f t="shared" si="186"/>
        <v>1388.03</v>
      </c>
      <c r="S1708" s="7">
        <f t="shared" si="187"/>
        <v>231.33833333333334</v>
      </c>
      <c r="T1708" s="6">
        <f t="shared" si="188"/>
        <v>1.4962593516209476E-2</v>
      </c>
      <c r="V1708" t="s">
        <v>29</v>
      </c>
    </row>
    <row r="1709" spans="1:22">
      <c r="A1709" s="3">
        <v>45729</v>
      </c>
      <c r="B1709" t="str">
        <f t="shared" si="182"/>
        <v>yyyy-03</v>
      </c>
      <c r="C1709">
        <f t="shared" si="183"/>
        <v>11</v>
      </c>
      <c r="D1709" t="s">
        <v>24</v>
      </c>
      <c r="E1709" t="s">
        <v>25</v>
      </c>
      <c r="F1709" t="s">
        <v>26</v>
      </c>
      <c r="G1709" t="s">
        <v>27</v>
      </c>
      <c r="H1709" t="s">
        <v>45</v>
      </c>
      <c r="I1709" s="5">
        <v>1120</v>
      </c>
      <c r="J1709" s="5">
        <v>607</v>
      </c>
      <c r="K1709" s="5">
        <v>92</v>
      </c>
      <c r="L1709" s="5">
        <v>35</v>
      </c>
      <c r="M1709" s="5">
        <v>35</v>
      </c>
      <c r="N1709" s="7">
        <v>1005.05</v>
      </c>
      <c r="O1709" s="7">
        <f t="shared" si="184"/>
        <v>35176.75</v>
      </c>
      <c r="P1709" s="4">
        <v>0.13</v>
      </c>
      <c r="Q1709" s="7">
        <f t="shared" si="185"/>
        <v>4572.9775</v>
      </c>
      <c r="R1709" s="7">
        <f t="shared" si="186"/>
        <v>30603.772499999999</v>
      </c>
      <c r="S1709" s="7">
        <f t="shared" si="187"/>
        <v>874.39350000000002</v>
      </c>
      <c r="T1709" s="6">
        <f t="shared" si="188"/>
        <v>3.125E-2</v>
      </c>
      <c r="U1709" t="s">
        <v>88</v>
      </c>
      <c r="V1709" t="s">
        <v>29</v>
      </c>
    </row>
    <row r="1710" spans="1:22">
      <c r="A1710" s="3">
        <v>45729</v>
      </c>
      <c r="B1710" t="str">
        <f t="shared" si="182"/>
        <v>yyyy-03</v>
      </c>
      <c r="C1710">
        <f t="shared" si="183"/>
        <v>11</v>
      </c>
      <c r="D1710" t="s">
        <v>24</v>
      </c>
      <c r="E1710" t="s">
        <v>25</v>
      </c>
      <c r="F1710" t="s">
        <v>30</v>
      </c>
      <c r="G1710" t="s">
        <v>36</v>
      </c>
      <c r="H1710" t="s">
        <v>37</v>
      </c>
      <c r="I1710" s="5">
        <v>1883</v>
      </c>
      <c r="J1710" s="5">
        <v>1009</v>
      </c>
      <c r="K1710" s="5">
        <v>164</v>
      </c>
      <c r="L1710" s="5">
        <v>45</v>
      </c>
      <c r="M1710" s="5">
        <v>45</v>
      </c>
      <c r="N1710" s="7">
        <v>385.64</v>
      </c>
      <c r="O1710" s="7">
        <f t="shared" si="184"/>
        <v>17353.8</v>
      </c>
      <c r="P1710" s="4">
        <v>0.13</v>
      </c>
      <c r="Q1710" s="7">
        <f t="shared" si="185"/>
        <v>2255.9940000000001</v>
      </c>
      <c r="R1710" s="7">
        <f t="shared" si="186"/>
        <v>15097.805999999999</v>
      </c>
      <c r="S1710" s="7">
        <f t="shared" si="187"/>
        <v>335.5068</v>
      </c>
      <c r="T1710" s="6">
        <f t="shared" si="188"/>
        <v>2.3898035050451408E-2</v>
      </c>
      <c r="U1710" t="s">
        <v>88</v>
      </c>
      <c r="V1710" t="s">
        <v>29</v>
      </c>
    </row>
    <row r="1711" spans="1:22">
      <c r="A1711" s="3">
        <v>45729</v>
      </c>
      <c r="B1711" t="str">
        <f t="shared" si="182"/>
        <v>yyyy-03</v>
      </c>
      <c r="C1711">
        <f t="shared" si="183"/>
        <v>11</v>
      </c>
      <c r="D1711" t="s">
        <v>24</v>
      </c>
      <c r="E1711" t="s">
        <v>25</v>
      </c>
      <c r="F1711" t="s">
        <v>33</v>
      </c>
      <c r="G1711" t="s">
        <v>27</v>
      </c>
      <c r="H1711" t="s">
        <v>28</v>
      </c>
      <c r="I1711" s="5">
        <v>1522</v>
      </c>
      <c r="J1711" s="5">
        <v>858</v>
      </c>
      <c r="K1711" s="5">
        <v>114</v>
      </c>
      <c r="L1711" s="5">
        <v>32</v>
      </c>
      <c r="M1711" s="5">
        <v>32</v>
      </c>
      <c r="N1711" s="7">
        <v>1807.96</v>
      </c>
      <c r="O1711" s="7">
        <f t="shared" si="184"/>
        <v>57854.720000000001</v>
      </c>
      <c r="P1711" s="4">
        <v>0.13</v>
      </c>
      <c r="Q1711" s="7">
        <f t="shared" si="185"/>
        <v>7521.1136000000006</v>
      </c>
      <c r="R1711" s="7">
        <f t="shared" si="186"/>
        <v>50333.606400000004</v>
      </c>
      <c r="S1711" s="7">
        <f t="shared" si="187"/>
        <v>1572.9252000000001</v>
      </c>
      <c r="T1711" s="6">
        <f t="shared" si="188"/>
        <v>2.1024967148488831E-2</v>
      </c>
      <c r="U1711" t="s">
        <v>88</v>
      </c>
      <c r="V1711" t="s">
        <v>29</v>
      </c>
    </row>
    <row r="1712" spans="1:22">
      <c r="A1712" s="3">
        <v>45729</v>
      </c>
      <c r="B1712" t="str">
        <f t="shared" si="182"/>
        <v>yyyy-03</v>
      </c>
      <c r="C1712">
        <f t="shared" si="183"/>
        <v>11</v>
      </c>
      <c r="D1712" t="s">
        <v>24</v>
      </c>
      <c r="E1712" t="s">
        <v>34</v>
      </c>
      <c r="F1712" t="s">
        <v>35</v>
      </c>
      <c r="G1712" t="s">
        <v>31</v>
      </c>
      <c r="H1712" t="s">
        <v>32</v>
      </c>
      <c r="I1712" s="5">
        <v>885</v>
      </c>
      <c r="J1712" s="5">
        <v>612</v>
      </c>
      <c r="K1712" s="5">
        <v>104</v>
      </c>
      <c r="L1712" s="5">
        <v>21</v>
      </c>
      <c r="M1712" s="5">
        <v>21</v>
      </c>
      <c r="N1712" s="7">
        <v>881.52</v>
      </c>
      <c r="O1712" s="7">
        <f t="shared" si="184"/>
        <v>18511.919999999998</v>
      </c>
      <c r="P1712" s="4">
        <v>0</v>
      </c>
      <c r="Q1712" s="7">
        <f t="shared" si="185"/>
        <v>0</v>
      </c>
      <c r="R1712" s="7">
        <f t="shared" si="186"/>
        <v>18511.919999999998</v>
      </c>
      <c r="S1712" s="7">
        <f t="shared" si="187"/>
        <v>881.51999999999987</v>
      </c>
      <c r="T1712" s="6">
        <f t="shared" si="188"/>
        <v>2.3728813559322035E-2</v>
      </c>
      <c r="V1712" t="s">
        <v>29</v>
      </c>
    </row>
    <row r="1713" spans="1:22">
      <c r="A1713" s="3">
        <v>45729</v>
      </c>
      <c r="B1713" t="str">
        <f t="shared" si="182"/>
        <v>yyyy-03</v>
      </c>
      <c r="C1713">
        <f t="shared" si="183"/>
        <v>11</v>
      </c>
      <c r="D1713" t="s">
        <v>24</v>
      </c>
      <c r="E1713" t="s">
        <v>38</v>
      </c>
      <c r="F1713" t="s">
        <v>39</v>
      </c>
      <c r="G1713" t="s">
        <v>31</v>
      </c>
      <c r="H1713" t="s">
        <v>32</v>
      </c>
      <c r="I1713" s="5">
        <v>935</v>
      </c>
      <c r="J1713" s="5">
        <v>604</v>
      </c>
      <c r="K1713" s="5">
        <v>63</v>
      </c>
      <c r="L1713" s="5">
        <v>16</v>
      </c>
      <c r="M1713" s="5">
        <v>16</v>
      </c>
      <c r="N1713" s="7">
        <v>318.29000000000002</v>
      </c>
      <c r="O1713" s="7">
        <f t="shared" si="184"/>
        <v>5092.6400000000003</v>
      </c>
      <c r="P1713" s="4">
        <v>0.05</v>
      </c>
      <c r="Q1713" s="7">
        <f t="shared" si="185"/>
        <v>254.63200000000003</v>
      </c>
      <c r="R1713" s="7">
        <f t="shared" si="186"/>
        <v>4838.0080000000007</v>
      </c>
      <c r="S1713" s="7">
        <f t="shared" si="187"/>
        <v>302.37550000000005</v>
      </c>
      <c r="T1713" s="6">
        <f t="shared" si="188"/>
        <v>1.7112299465240642E-2</v>
      </c>
      <c r="V1713" t="s">
        <v>29</v>
      </c>
    </row>
    <row r="1714" spans="1:22">
      <c r="A1714" s="3">
        <v>45729</v>
      </c>
      <c r="B1714" t="str">
        <f t="shared" si="182"/>
        <v>yyyy-03</v>
      </c>
      <c r="C1714">
        <f t="shared" si="183"/>
        <v>11</v>
      </c>
      <c r="D1714" t="s">
        <v>24</v>
      </c>
      <c r="E1714" t="s">
        <v>40</v>
      </c>
      <c r="F1714" t="s">
        <v>41</v>
      </c>
      <c r="G1714" t="s">
        <v>31</v>
      </c>
      <c r="H1714" t="s">
        <v>32</v>
      </c>
      <c r="I1714" s="5">
        <v>678</v>
      </c>
      <c r="J1714" s="5">
        <v>498</v>
      </c>
      <c r="K1714" s="5">
        <v>35</v>
      </c>
      <c r="L1714" s="5">
        <v>15</v>
      </c>
      <c r="M1714" s="5">
        <v>18</v>
      </c>
      <c r="N1714" s="7">
        <v>179.44</v>
      </c>
      <c r="O1714" s="7">
        <f t="shared" si="184"/>
        <v>3229.92</v>
      </c>
      <c r="P1714" s="4">
        <v>0</v>
      </c>
      <c r="Q1714" s="7">
        <f t="shared" si="185"/>
        <v>0</v>
      </c>
      <c r="R1714" s="7">
        <f t="shared" si="186"/>
        <v>3229.92</v>
      </c>
      <c r="S1714" s="7">
        <f t="shared" si="187"/>
        <v>215.328</v>
      </c>
      <c r="T1714" s="6">
        <f t="shared" si="188"/>
        <v>2.2123893805309734E-2</v>
      </c>
      <c r="V1714" t="s">
        <v>29</v>
      </c>
    </row>
    <row r="1715" spans="1:22">
      <c r="A1715" s="3">
        <v>45729</v>
      </c>
      <c r="B1715" t="str">
        <f t="shared" si="182"/>
        <v>yyyy-03</v>
      </c>
      <c r="C1715">
        <f t="shared" si="183"/>
        <v>11</v>
      </c>
      <c r="D1715" t="s">
        <v>42</v>
      </c>
      <c r="E1715" t="s">
        <v>43</v>
      </c>
      <c r="F1715" t="s">
        <v>44</v>
      </c>
      <c r="G1715" t="s">
        <v>27</v>
      </c>
      <c r="H1715" t="s">
        <v>45</v>
      </c>
      <c r="I1715" s="5">
        <v>534</v>
      </c>
      <c r="J1715" s="5">
        <v>352</v>
      </c>
      <c r="K1715" s="5">
        <v>31</v>
      </c>
      <c r="L1715" s="5">
        <v>7</v>
      </c>
      <c r="M1715" s="5">
        <v>7</v>
      </c>
      <c r="N1715" s="7">
        <v>1293.6400000000001</v>
      </c>
      <c r="O1715" s="7">
        <f t="shared" si="184"/>
        <v>9055.4800000000014</v>
      </c>
      <c r="P1715" s="4">
        <v>0</v>
      </c>
      <c r="Q1715" s="7">
        <f t="shared" si="185"/>
        <v>0</v>
      </c>
      <c r="R1715" s="7">
        <f t="shared" si="186"/>
        <v>9055.4800000000014</v>
      </c>
      <c r="S1715" s="7">
        <f t="shared" si="187"/>
        <v>1293.6400000000001</v>
      </c>
      <c r="T1715" s="6">
        <f t="shared" si="188"/>
        <v>1.3108614232209739E-2</v>
      </c>
      <c r="V1715" t="s">
        <v>29</v>
      </c>
    </row>
    <row r="1716" spans="1:22">
      <c r="A1716" s="3">
        <v>45729</v>
      </c>
      <c r="B1716" t="str">
        <f t="shared" si="182"/>
        <v>yyyy-03</v>
      </c>
      <c r="C1716">
        <f t="shared" si="183"/>
        <v>11</v>
      </c>
      <c r="D1716" t="s">
        <v>42</v>
      </c>
      <c r="E1716" t="s">
        <v>43</v>
      </c>
      <c r="F1716" t="s">
        <v>46</v>
      </c>
      <c r="G1716" t="s">
        <v>27</v>
      </c>
      <c r="H1716" t="s">
        <v>28</v>
      </c>
      <c r="I1716" s="5">
        <v>439</v>
      </c>
      <c r="J1716" s="5">
        <v>313</v>
      </c>
      <c r="K1716" s="5">
        <v>32</v>
      </c>
      <c r="L1716" s="5">
        <v>7</v>
      </c>
      <c r="M1716" s="5">
        <v>7</v>
      </c>
      <c r="N1716" s="7">
        <v>2220.59</v>
      </c>
      <c r="O1716" s="7">
        <f t="shared" si="184"/>
        <v>15544.130000000001</v>
      </c>
      <c r="P1716" s="4">
        <v>0.05</v>
      </c>
      <c r="Q1716" s="7">
        <f t="shared" si="185"/>
        <v>777.20650000000012</v>
      </c>
      <c r="R1716" s="7">
        <f t="shared" si="186"/>
        <v>14766.923500000001</v>
      </c>
      <c r="S1716" s="7">
        <f t="shared" si="187"/>
        <v>2109.5605</v>
      </c>
      <c r="T1716" s="6">
        <f t="shared" si="188"/>
        <v>1.5945330296127564E-2</v>
      </c>
      <c r="V1716" t="s">
        <v>29</v>
      </c>
    </row>
    <row r="1717" spans="1:22">
      <c r="A1717" s="3">
        <v>45729</v>
      </c>
      <c r="B1717" t="str">
        <f t="shared" si="182"/>
        <v>yyyy-03</v>
      </c>
      <c r="C1717">
        <f t="shared" si="183"/>
        <v>11</v>
      </c>
      <c r="D1717" t="s">
        <v>42</v>
      </c>
      <c r="E1717" t="s">
        <v>43</v>
      </c>
      <c r="F1717" t="s">
        <v>47</v>
      </c>
      <c r="G1717" t="s">
        <v>27</v>
      </c>
      <c r="H1717" t="s">
        <v>28</v>
      </c>
      <c r="I1717" s="5">
        <v>429</v>
      </c>
      <c r="J1717" s="5">
        <v>336</v>
      </c>
      <c r="K1717" s="5">
        <v>18</v>
      </c>
      <c r="L1717" s="5">
        <v>5</v>
      </c>
      <c r="M1717" s="5">
        <v>5</v>
      </c>
      <c r="N1717" s="7">
        <v>603.20000000000005</v>
      </c>
      <c r="O1717" s="7">
        <f t="shared" si="184"/>
        <v>3016</v>
      </c>
      <c r="P1717" s="4">
        <v>0.03</v>
      </c>
      <c r="Q1717" s="7">
        <f t="shared" si="185"/>
        <v>90.47999999999999</v>
      </c>
      <c r="R1717" s="7">
        <f t="shared" si="186"/>
        <v>2925.52</v>
      </c>
      <c r="S1717" s="7">
        <f t="shared" si="187"/>
        <v>585.10400000000004</v>
      </c>
      <c r="T1717" s="6">
        <f t="shared" si="188"/>
        <v>1.1655011655011656E-2</v>
      </c>
      <c r="V1717" t="s">
        <v>29</v>
      </c>
    </row>
    <row r="1718" spans="1:22">
      <c r="A1718" s="3">
        <v>45729</v>
      </c>
      <c r="B1718" t="str">
        <f t="shared" si="182"/>
        <v>yyyy-03</v>
      </c>
      <c r="C1718">
        <f t="shared" si="183"/>
        <v>11</v>
      </c>
      <c r="D1718" t="s">
        <v>42</v>
      </c>
      <c r="E1718" t="s">
        <v>49</v>
      </c>
      <c r="F1718" t="s">
        <v>50</v>
      </c>
      <c r="G1718" t="s">
        <v>27</v>
      </c>
      <c r="H1718" t="s">
        <v>28</v>
      </c>
      <c r="I1718" s="5">
        <v>119</v>
      </c>
      <c r="J1718" s="5">
        <v>71</v>
      </c>
      <c r="K1718" s="5">
        <v>5</v>
      </c>
      <c r="L1718" s="5">
        <v>2</v>
      </c>
      <c r="M1718" s="5">
        <v>2</v>
      </c>
      <c r="N1718" s="7">
        <v>989.04</v>
      </c>
      <c r="O1718" s="7">
        <f t="shared" si="184"/>
        <v>1978.08</v>
      </c>
      <c r="P1718" s="4">
        <v>0.05</v>
      </c>
      <c r="Q1718" s="7">
        <f t="shared" si="185"/>
        <v>98.903999999999996</v>
      </c>
      <c r="R1718" s="7">
        <f t="shared" si="186"/>
        <v>1879.1759999999999</v>
      </c>
      <c r="S1718" s="7">
        <f t="shared" si="187"/>
        <v>939.58799999999997</v>
      </c>
      <c r="T1718" s="6">
        <f t="shared" si="188"/>
        <v>1.680672268907563E-2</v>
      </c>
      <c r="V1718" t="s">
        <v>29</v>
      </c>
    </row>
    <row r="1719" spans="1:22">
      <c r="A1719" s="3">
        <v>45729</v>
      </c>
      <c r="B1719" t="str">
        <f t="shared" si="182"/>
        <v>yyyy-03</v>
      </c>
      <c r="C1719">
        <f t="shared" si="183"/>
        <v>11</v>
      </c>
      <c r="D1719" t="s">
        <v>42</v>
      </c>
      <c r="E1719" t="s">
        <v>51</v>
      </c>
      <c r="F1719" t="s">
        <v>52</v>
      </c>
      <c r="G1719" t="s">
        <v>36</v>
      </c>
      <c r="H1719" t="s">
        <v>37</v>
      </c>
      <c r="I1719" s="5">
        <v>356</v>
      </c>
      <c r="J1719" s="5">
        <v>283</v>
      </c>
      <c r="K1719" s="5">
        <v>30</v>
      </c>
      <c r="L1719" s="5">
        <v>4</v>
      </c>
      <c r="M1719" s="5">
        <v>4</v>
      </c>
      <c r="N1719" s="7">
        <v>583.05999999999995</v>
      </c>
      <c r="O1719" s="7">
        <f t="shared" si="184"/>
        <v>2332.2399999999998</v>
      </c>
      <c r="P1719" s="4">
        <v>0.03</v>
      </c>
      <c r="Q1719" s="7">
        <f t="shared" si="185"/>
        <v>69.967199999999991</v>
      </c>
      <c r="R1719" s="7">
        <f t="shared" si="186"/>
        <v>2262.2727999999997</v>
      </c>
      <c r="S1719" s="7">
        <f t="shared" si="187"/>
        <v>565.56819999999993</v>
      </c>
      <c r="T1719" s="6">
        <f t="shared" si="188"/>
        <v>1.1235955056179775E-2</v>
      </c>
      <c r="V1719" t="s">
        <v>29</v>
      </c>
    </row>
    <row r="1720" spans="1:22">
      <c r="A1720" s="3">
        <v>45729</v>
      </c>
      <c r="B1720" t="str">
        <f t="shared" si="182"/>
        <v>yyyy-03</v>
      </c>
      <c r="C1720">
        <f t="shared" si="183"/>
        <v>11</v>
      </c>
      <c r="D1720" t="s">
        <v>53</v>
      </c>
      <c r="E1720" t="s">
        <v>54</v>
      </c>
      <c r="F1720" t="s">
        <v>55</v>
      </c>
      <c r="G1720" t="s">
        <v>27</v>
      </c>
      <c r="H1720" t="s">
        <v>45</v>
      </c>
      <c r="I1720" s="5">
        <v>113</v>
      </c>
      <c r="J1720" s="5">
        <v>78</v>
      </c>
      <c r="K1720" s="5">
        <v>7</v>
      </c>
      <c r="L1720" s="5">
        <v>2</v>
      </c>
      <c r="M1720" s="5">
        <v>2</v>
      </c>
      <c r="N1720" s="7">
        <v>1324.2</v>
      </c>
      <c r="O1720" s="7">
        <f t="shared" si="184"/>
        <v>2648.4</v>
      </c>
      <c r="P1720" s="4">
        <v>0</v>
      </c>
      <c r="Q1720" s="7">
        <f t="shared" si="185"/>
        <v>0</v>
      </c>
      <c r="R1720" s="7">
        <f t="shared" si="186"/>
        <v>2648.4</v>
      </c>
      <c r="S1720" s="7">
        <f t="shared" si="187"/>
        <v>1324.2</v>
      </c>
      <c r="T1720" s="6">
        <f t="shared" si="188"/>
        <v>1.7699115044247787E-2</v>
      </c>
      <c r="V1720" t="s">
        <v>29</v>
      </c>
    </row>
    <row r="1721" spans="1:22">
      <c r="A1721" s="3">
        <v>45729</v>
      </c>
      <c r="B1721" t="str">
        <f t="shared" si="182"/>
        <v>yyyy-03</v>
      </c>
      <c r="C1721">
        <f t="shared" si="183"/>
        <v>11</v>
      </c>
      <c r="D1721" t="s">
        <v>53</v>
      </c>
      <c r="E1721" t="s">
        <v>56</v>
      </c>
      <c r="F1721" t="s">
        <v>57</v>
      </c>
      <c r="G1721" t="s">
        <v>36</v>
      </c>
      <c r="H1721" t="s">
        <v>37</v>
      </c>
      <c r="I1721" s="5">
        <v>190</v>
      </c>
      <c r="J1721" s="5">
        <v>151</v>
      </c>
      <c r="K1721" s="5">
        <v>9</v>
      </c>
      <c r="L1721" s="5">
        <v>2</v>
      </c>
      <c r="M1721" s="5">
        <v>2</v>
      </c>
      <c r="N1721" s="7">
        <v>744.28</v>
      </c>
      <c r="O1721" s="7">
        <f t="shared" si="184"/>
        <v>1488.56</v>
      </c>
      <c r="P1721" s="4">
        <v>0</v>
      </c>
      <c r="Q1721" s="7">
        <f t="shared" si="185"/>
        <v>0</v>
      </c>
      <c r="R1721" s="7">
        <f t="shared" si="186"/>
        <v>1488.56</v>
      </c>
      <c r="S1721" s="7">
        <f t="shared" si="187"/>
        <v>744.28</v>
      </c>
      <c r="T1721" s="6">
        <f t="shared" si="188"/>
        <v>1.0526315789473684E-2</v>
      </c>
      <c r="V1721" t="s">
        <v>29</v>
      </c>
    </row>
    <row r="1722" spans="1:22">
      <c r="A1722" s="3">
        <v>45729</v>
      </c>
      <c r="B1722" t="str">
        <f t="shared" si="182"/>
        <v>yyyy-03</v>
      </c>
      <c r="C1722">
        <f t="shared" si="183"/>
        <v>11</v>
      </c>
      <c r="D1722" t="s">
        <v>53</v>
      </c>
      <c r="E1722" t="s">
        <v>56</v>
      </c>
      <c r="F1722" t="s">
        <v>58</v>
      </c>
      <c r="G1722" t="s">
        <v>27</v>
      </c>
      <c r="H1722" t="s">
        <v>63</v>
      </c>
      <c r="I1722" s="5">
        <v>152</v>
      </c>
      <c r="J1722" s="5">
        <v>89</v>
      </c>
      <c r="K1722" s="5">
        <v>8</v>
      </c>
      <c r="L1722" s="5">
        <v>2</v>
      </c>
      <c r="M1722" s="5">
        <v>2</v>
      </c>
      <c r="N1722" s="7">
        <v>876.2</v>
      </c>
      <c r="O1722" s="7">
        <f t="shared" si="184"/>
        <v>1752.4</v>
      </c>
      <c r="P1722" s="4">
        <v>0</v>
      </c>
      <c r="Q1722" s="7">
        <f t="shared" si="185"/>
        <v>0</v>
      </c>
      <c r="R1722" s="7">
        <f t="shared" si="186"/>
        <v>1752.4</v>
      </c>
      <c r="S1722" s="7">
        <f t="shared" si="187"/>
        <v>876.2</v>
      </c>
      <c r="T1722" s="6">
        <f t="shared" si="188"/>
        <v>1.3157894736842105E-2</v>
      </c>
      <c r="V1722" t="s">
        <v>29</v>
      </c>
    </row>
    <row r="1723" spans="1:22">
      <c r="A1723" s="3">
        <v>45729</v>
      </c>
      <c r="B1723" t="str">
        <f t="shared" si="182"/>
        <v>yyyy-03</v>
      </c>
      <c r="C1723">
        <f t="shared" si="183"/>
        <v>11</v>
      </c>
      <c r="D1723" t="s">
        <v>53</v>
      </c>
      <c r="E1723" t="s">
        <v>59</v>
      </c>
      <c r="F1723" t="s">
        <v>60</v>
      </c>
      <c r="G1723" t="s">
        <v>27</v>
      </c>
      <c r="H1723" t="s">
        <v>63</v>
      </c>
      <c r="I1723" s="5">
        <v>104</v>
      </c>
      <c r="J1723" s="5">
        <v>80</v>
      </c>
      <c r="K1723" s="5">
        <v>5</v>
      </c>
      <c r="L1723" s="5">
        <v>1</v>
      </c>
      <c r="M1723" s="5">
        <v>1</v>
      </c>
      <c r="N1723" s="7">
        <v>688.13</v>
      </c>
      <c r="O1723" s="7">
        <f t="shared" si="184"/>
        <v>688.13</v>
      </c>
      <c r="P1723" s="4">
        <v>0</v>
      </c>
      <c r="Q1723" s="7">
        <f t="shared" si="185"/>
        <v>0</v>
      </c>
      <c r="R1723" s="7">
        <f t="shared" si="186"/>
        <v>688.13</v>
      </c>
      <c r="S1723" s="7">
        <f t="shared" si="187"/>
        <v>688.13</v>
      </c>
      <c r="T1723" s="6">
        <f t="shared" si="188"/>
        <v>9.6153846153846159E-3</v>
      </c>
      <c r="V1723" t="s">
        <v>29</v>
      </c>
    </row>
    <row r="1724" spans="1:22">
      <c r="A1724" s="3">
        <v>45729</v>
      </c>
      <c r="B1724" t="str">
        <f t="shared" si="182"/>
        <v>yyyy-03</v>
      </c>
      <c r="C1724">
        <f t="shared" si="183"/>
        <v>11</v>
      </c>
      <c r="D1724" t="s">
        <v>53</v>
      </c>
      <c r="E1724" t="s">
        <v>61</v>
      </c>
      <c r="F1724" t="s">
        <v>62</v>
      </c>
      <c r="G1724" t="s">
        <v>27</v>
      </c>
      <c r="H1724" t="s">
        <v>45</v>
      </c>
      <c r="I1724" s="5">
        <v>146</v>
      </c>
      <c r="J1724" s="5">
        <v>116</v>
      </c>
      <c r="K1724" s="5">
        <v>7</v>
      </c>
      <c r="L1724" s="5">
        <v>2</v>
      </c>
      <c r="M1724" s="5">
        <v>2</v>
      </c>
      <c r="N1724" s="7">
        <v>503.13</v>
      </c>
      <c r="O1724" s="7">
        <f t="shared" si="184"/>
        <v>1006.26</v>
      </c>
      <c r="P1724" s="4">
        <v>0.12</v>
      </c>
      <c r="Q1724" s="7">
        <f t="shared" si="185"/>
        <v>120.7512</v>
      </c>
      <c r="R1724" s="7">
        <f t="shared" si="186"/>
        <v>885.50879999999995</v>
      </c>
      <c r="S1724" s="7">
        <f t="shared" si="187"/>
        <v>442.75439999999998</v>
      </c>
      <c r="T1724" s="6">
        <f t="shared" si="188"/>
        <v>1.3698630136986301E-2</v>
      </c>
      <c r="U1724" t="s">
        <v>89</v>
      </c>
      <c r="V1724" t="s">
        <v>29</v>
      </c>
    </row>
    <row r="1725" spans="1:22">
      <c r="A1725" s="3">
        <v>45729</v>
      </c>
      <c r="B1725" t="str">
        <f t="shared" si="182"/>
        <v>yyyy-03</v>
      </c>
      <c r="C1725">
        <f t="shared" si="183"/>
        <v>11</v>
      </c>
      <c r="D1725" t="s">
        <v>53</v>
      </c>
      <c r="E1725" t="s">
        <v>64</v>
      </c>
      <c r="F1725" t="s">
        <v>65</v>
      </c>
      <c r="G1725" t="s">
        <v>27</v>
      </c>
      <c r="H1725" t="s">
        <v>45</v>
      </c>
      <c r="I1725" s="5">
        <v>158</v>
      </c>
      <c r="J1725" s="5">
        <v>103</v>
      </c>
      <c r="K1725" s="5">
        <v>9</v>
      </c>
      <c r="L1725" s="5">
        <v>2</v>
      </c>
      <c r="M1725" s="5">
        <v>2</v>
      </c>
      <c r="N1725" s="7">
        <v>785.18</v>
      </c>
      <c r="O1725" s="7">
        <f t="shared" si="184"/>
        <v>1570.36</v>
      </c>
      <c r="P1725" s="4">
        <v>0</v>
      </c>
      <c r="Q1725" s="7">
        <f t="shared" si="185"/>
        <v>0</v>
      </c>
      <c r="R1725" s="7">
        <f t="shared" si="186"/>
        <v>1570.36</v>
      </c>
      <c r="S1725" s="7">
        <f t="shared" si="187"/>
        <v>785.18</v>
      </c>
      <c r="T1725" s="6">
        <f t="shared" si="188"/>
        <v>1.2658227848101266E-2</v>
      </c>
      <c r="V1725" t="s">
        <v>29</v>
      </c>
    </row>
    <row r="1726" spans="1:22">
      <c r="A1726" s="3">
        <v>45729</v>
      </c>
      <c r="B1726" t="str">
        <f t="shared" si="182"/>
        <v>yyyy-03</v>
      </c>
      <c r="C1726">
        <f t="shared" si="183"/>
        <v>11</v>
      </c>
      <c r="D1726" t="s">
        <v>66</v>
      </c>
      <c r="E1726" t="s">
        <v>67</v>
      </c>
      <c r="F1726" t="s">
        <v>68</v>
      </c>
      <c r="G1726" t="s">
        <v>36</v>
      </c>
      <c r="H1726" t="s">
        <v>37</v>
      </c>
      <c r="I1726" s="5">
        <v>462</v>
      </c>
      <c r="J1726" s="5">
        <v>271</v>
      </c>
      <c r="K1726" s="5">
        <v>40</v>
      </c>
      <c r="L1726" s="5">
        <v>9</v>
      </c>
      <c r="M1726" s="5">
        <v>9</v>
      </c>
      <c r="N1726" s="7">
        <v>705.88</v>
      </c>
      <c r="O1726" s="7">
        <f t="shared" si="184"/>
        <v>6352.92</v>
      </c>
      <c r="P1726" s="4">
        <v>0</v>
      </c>
      <c r="Q1726" s="7">
        <f t="shared" si="185"/>
        <v>0</v>
      </c>
      <c r="R1726" s="7">
        <f t="shared" si="186"/>
        <v>6352.92</v>
      </c>
      <c r="S1726" s="7">
        <f t="shared" si="187"/>
        <v>705.88</v>
      </c>
      <c r="T1726" s="6">
        <f t="shared" si="188"/>
        <v>1.948051948051948E-2</v>
      </c>
      <c r="V1726" t="s">
        <v>29</v>
      </c>
    </row>
    <row r="1727" spans="1:22">
      <c r="A1727" s="3">
        <v>45729</v>
      </c>
      <c r="B1727" t="str">
        <f t="shared" si="182"/>
        <v>yyyy-03</v>
      </c>
      <c r="C1727">
        <f t="shared" si="183"/>
        <v>11</v>
      </c>
      <c r="D1727" t="s">
        <v>66</v>
      </c>
      <c r="E1727" t="s">
        <v>67</v>
      </c>
      <c r="F1727" t="s">
        <v>69</v>
      </c>
      <c r="G1727" t="s">
        <v>27</v>
      </c>
      <c r="H1727" t="s">
        <v>48</v>
      </c>
      <c r="I1727" s="5">
        <v>265</v>
      </c>
      <c r="J1727" s="5">
        <v>213</v>
      </c>
      <c r="K1727" s="5">
        <v>22</v>
      </c>
      <c r="L1727" s="5">
        <v>4</v>
      </c>
      <c r="M1727" s="5">
        <v>4</v>
      </c>
      <c r="N1727" s="7">
        <v>392.58</v>
      </c>
      <c r="O1727" s="7">
        <f t="shared" si="184"/>
        <v>1570.32</v>
      </c>
      <c r="P1727" s="4">
        <v>0</v>
      </c>
      <c r="Q1727" s="7">
        <f t="shared" si="185"/>
        <v>0</v>
      </c>
      <c r="R1727" s="7">
        <f t="shared" si="186"/>
        <v>1570.32</v>
      </c>
      <c r="S1727" s="7">
        <f t="shared" si="187"/>
        <v>392.58</v>
      </c>
      <c r="T1727" s="6">
        <f t="shared" si="188"/>
        <v>1.509433962264151E-2</v>
      </c>
      <c r="V1727" t="s">
        <v>29</v>
      </c>
    </row>
    <row r="1728" spans="1:22">
      <c r="A1728" s="3">
        <v>45729</v>
      </c>
      <c r="B1728" t="str">
        <f t="shared" si="182"/>
        <v>yyyy-03</v>
      </c>
      <c r="C1728">
        <f t="shared" si="183"/>
        <v>11</v>
      </c>
      <c r="D1728" t="s">
        <v>66</v>
      </c>
      <c r="E1728" t="s">
        <v>67</v>
      </c>
      <c r="F1728" t="s">
        <v>70</v>
      </c>
      <c r="G1728" t="s">
        <v>31</v>
      </c>
      <c r="H1728" t="s">
        <v>32</v>
      </c>
      <c r="I1728" s="5">
        <v>481</v>
      </c>
      <c r="J1728" s="5">
        <v>296</v>
      </c>
      <c r="K1728" s="5">
        <v>35</v>
      </c>
      <c r="L1728" s="5">
        <v>9</v>
      </c>
      <c r="M1728" s="5">
        <v>9</v>
      </c>
      <c r="N1728" s="7">
        <v>335.66</v>
      </c>
      <c r="O1728" s="7">
        <f t="shared" si="184"/>
        <v>3020.94</v>
      </c>
      <c r="P1728" s="4">
        <v>0.03</v>
      </c>
      <c r="Q1728" s="7">
        <f t="shared" si="185"/>
        <v>90.628199999999993</v>
      </c>
      <c r="R1728" s="7">
        <f t="shared" si="186"/>
        <v>2930.3117999999999</v>
      </c>
      <c r="S1728" s="7">
        <f t="shared" si="187"/>
        <v>325.59019999999998</v>
      </c>
      <c r="T1728" s="6">
        <f t="shared" si="188"/>
        <v>1.8711018711018712E-2</v>
      </c>
      <c r="V1728" t="s">
        <v>29</v>
      </c>
    </row>
    <row r="1729" spans="1:22">
      <c r="A1729" s="3">
        <v>45729</v>
      </c>
      <c r="B1729" t="str">
        <f t="shared" si="182"/>
        <v>yyyy-03</v>
      </c>
      <c r="C1729">
        <f t="shared" si="183"/>
        <v>11</v>
      </c>
      <c r="D1729" t="s">
        <v>66</v>
      </c>
      <c r="E1729" t="s">
        <v>71</v>
      </c>
      <c r="F1729" t="s">
        <v>72</v>
      </c>
      <c r="G1729" t="s">
        <v>27</v>
      </c>
      <c r="H1729" t="s">
        <v>63</v>
      </c>
      <c r="I1729" s="5">
        <v>280</v>
      </c>
      <c r="J1729" s="5">
        <v>190</v>
      </c>
      <c r="K1729" s="5">
        <v>24</v>
      </c>
      <c r="L1729" s="5">
        <v>5</v>
      </c>
      <c r="M1729" s="5">
        <v>7</v>
      </c>
      <c r="N1729" s="7">
        <v>124.74</v>
      </c>
      <c r="O1729" s="7">
        <f t="shared" si="184"/>
        <v>873.18</v>
      </c>
      <c r="P1729" s="4">
        <v>0</v>
      </c>
      <c r="Q1729" s="7">
        <f t="shared" si="185"/>
        <v>0</v>
      </c>
      <c r="R1729" s="7">
        <f t="shared" si="186"/>
        <v>873.18</v>
      </c>
      <c r="S1729" s="7">
        <f t="shared" si="187"/>
        <v>174.636</v>
      </c>
      <c r="T1729" s="6">
        <f t="shared" si="188"/>
        <v>1.7857142857142856E-2</v>
      </c>
      <c r="V1729" t="s">
        <v>29</v>
      </c>
    </row>
    <row r="1730" spans="1:22">
      <c r="A1730" s="3">
        <v>45729</v>
      </c>
      <c r="B1730" t="str">
        <f t="shared" si="182"/>
        <v>yyyy-03</v>
      </c>
      <c r="C1730">
        <f t="shared" si="183"/>
        <v>11</v>
      </c>
      <c r="D1730" t="s">
        <v>66</v>
      </c>
      <c r="E1730" t="s">
        <v>73</v>
      </c>
      <c r="F1730" t="s">
        <v>74</v>
      </c>
      <c r="G1730" t="s">
        <v>27</v>
      </c>
      <c r="H1730" t="s">
        <v>63</v>
      </c>
      <c r="I1730" s="5">
        <v>148</v>
      </c>
      <c r="J1730" s="5">
        <v>80</v>
      </c>
      <c r="K1730" s="5">
        <v>13</v>
      </c>
      <c r="L1730" s="5">
        <v>3</v>
      </c>
      <c r="M1730" s="5">
        <v>3</v>
      </c>
      <c r="N1730" s="7">
        <v>1220.79</v>
      </c>
      <c r="O1730" s="7">
        <f t="shared" si="184"/>
        <v>3662.37</v>
      </c>
      <c r="P1730" s="4">
        <v>0</v>
      </c>
      <c r="Q1730" s="7">
        <f t="shared" si="185"/>
        <v>0</v>
      </c>
      <c r="R1730" s="7">
        <f t="shared" si="186"/>
        <v>3662.37</v>
      </c>
      <c r="S1730" s="7">
        <f t="shared" si="187"/>
        <v>1220.79</v>
      </c>
      <c r="T1730" s="6">
        <f t="shared" si="188"/>
        <v>2.0270270270270271E-2</v>
      </c>
      <c r="V1730" t="s">
        <v>29</v>
      </c>
    </row>
    <row r="1731" spans="1:22">
      <c r="A1731" s="3">
        <v>45729</v>
      </c>
      <c r="B1731" t="str">
        <f t="shared" si="182"/>
        <v>yyyy-03</v>
      </c>
      <c r="C1731">
        <f t="shared" si="183"/>
        <v>11</v>
      </c>
      <c r="D1731" t="s">
        <v>66</v>
      </c>
      <c r="E1731" t="s">
        <v>71</v>
      </c>
      <c r="F1731" t="s">
        <v>75</v>
      </c>
      <c r="G1731" t="s">
        <v>27</v>
      </c>
      <c r="H1731" t="s">
        <v>48</v>
      </c>
      <c r="I1731" s="5">
        <v>241</v>
      </c>
      <c r="J1731" s="5">
        <v>173</v>
      </c>
      <c r="K1731" s="5">
        <v>12</v>
      </c>
      <c r="L1731" s="5">
        <v>3</v>
      </c>
      <c r="M1731" s="5">
        <v>4</v>
      </c>
      <c r="N1731" s="7">
        <v>37.57</v>
      </c>
      <c r="O1731" s="7">
        <f t="shared" si="184"/>
        <v>150.28</v>
      </c>
      <c r="P1731" s="4">
        <v>0</v>
      </c>
      <c r="Q1731" s="7">
        <f t="shared" si="185"/>
        <v>0</v>
      </c>
      <c r="R1731" s="7">
        <f t="shared" si="186"/>
        <v>150.28</v>
      </c>
      <c r="S1731" s="7">
        <f t="shared" si="187"/>
        <v>50.093333333333334</v>
      </c>
      <c r="T1731" s="6">
        <f t="shared" si="188"/>
        <v>1.2448132780082987E-2</v>
      </c>
      <c r="V1731" t="s">
        <v>29</v>
      </c>
    </row>
    <row r="1732" spans="1:22">
      <c r="A1732" s="3">
        <v>45729</v>
      </c>
      <c r="B1732" t="str">
        <f t="shared" si="182"/>
        <v>yyyy-03</v>
      </c>
      <c r="C1732">
        <f t="shared" si="183"/>
        <v>11</v>
      </c>
      <c r="D1732" t="s">
        <v>24</v>
      </c>
      <c r="E1732" t="s">
        <v>76</v>
      </c>
      <c r="F1732" t="s">
        <v>77</v>
      </c>
      <c r="G1732" t="s">
        <v>36</v>
      </c>
      <c r="H1732" t="s">
        <v>37</v>
      </c>
      <c r="I1732" s="5">
        <v>622</v>
      </c>
      <c r="J1732" s="5">
        <v>424</v>
      </c>
      <c r="K1732" s="5">
        <v>73</v>
      </c>
      <c r="L1732" s="5">
        <v>15</v>
      </c>
      <c r="M1732" s="5">
        <v>19</v>
      </c>
      <c r="N1732" s="7">
        <v>191.64</v>
      </c>
      <c r="O1732" s="7">
        <f t="shared" si="184"/>
        <v>3641.16</v>
      </c>
      <c r="P1732" s="4">
        <v>0</v>
      </c>
      <c r="Q1732" s="7">
        <f t="shared" si="185"/>
        <v>0</v>
      </c>
      <c r="R1732" s="7">
        <f t="shared" si="186"/>
        <v>3641.16</v>
      </c>
      <c r="S1732" s="7">
        <f t="shared" si="187"/>
        <v>242.744</v>
      </c>
      <c r="T1732" s="6">
        <f t="shared" si="188"/>
        <v>2.4115755627009645E-2</v>
      </c>
      <c r="V1732" t="s">
        <v>29</v>
      </c>
    </row>
    <row r="1733" spans="1:22">
      <c r="A1733" s="3">
        <v>45730</v>
      </c>
      <c r="B1733" t="str">
        <f t="shared" ref="B1733:B1796" si="189">TEXT(A1733,"yyyy-mm")</f>
        <v>yyyy-03</v>
      </c>
      <c r="C1733">
        <f t="shared" ref="C1733:C1796" si="190">WEEKNUM(A1733,2)</f>
        <v>11</v>
      </c>
      <c r="D1733" t="s">
        <v>24</v>
      </c>
      <c r="E1733" t="s">
        <v>25</v>
      </c>
      <c r="F1733" t="s">
        <v>26</v>
      </c>
      <c r="G1733" t="s">
        <v>36</v>
      </c>
      <c r="H1733" t="s">
        <v>37</v>
      </c>
      <c r="I1733" s="5">
        <v>1572</v>
      </c>
      <c r="J1733" s="5">
        <v>1032</v>
      </c>
      <c r="K1733" s="5">
        <v>130</v>
      </c>
      <c r="L1733" s="5">
        <v>41</v>
      </c>
      <c r="M1733" s="5">
        <v>41</v>
      </c>
      <c r="N1733" s="7">
        <v>1015.56</v>
      </c>
      <c r="O1733" s="7">
        <f t="shared" ref="O1733:O1796" si="191">M1733*N1733</f>
        <v>41637.96</v>
      </c>
      <c r="P1733" s="4">
        <v>0.13</v>
      </c>
      <c r="Q1733" s="7">
        <f t="shared" ref="Q1733:Q1796" si="192">O1733*P1733</f>
        <v>5412.9348</v>
      </c>
      <c r="R1733" s="7">
        <f t="shared" ref="R1733:R1796" si="193">O1733-Q1733</f>
        <v>36225.025199999996</v>
      </c>
      <c r="S1733" s="7">
        <f t="shared" ref="S1733:S1796" si="194">IFERROR(R1733/L1733,0)</f>
        <v>883.53719999999987</v>
      </c>
      <c r="T1733" s="6">
        <f t="shared" ref="T1733:T1796" si="195">IFERROR(L1733/I1733,0)</f>
        <v>2.6081424936386769E-2</v>
      </c>
      <c r="U1733" t="s">
        <v>88</v>
      </c>
      <c r="V1733" t="s">
        <v>29</v>
      </c>
    </row>
    <row r="1734" spans="1:22">
      <c r="A1734" s="3">
        <v>45730</v>
      </c>
      <c r="B1734" t="str">
        <f t="shared" si="189"/>
        <v>yyyy-03</v>
      </c>
      <c r="C1734">
        <f t="shared" si="190"/>
        <v>11</v>
      </c>
      <c r="D1734" t="s">
        <v>24</v>
      </c>
      <c r="E1734" t="s">
        <v>25</v>
      </c>
      <c r="F1734" t="s">
        <v>30</v>
      </c>
      <c r="G1734" t="s">
        <v>27</v>
      </c>
      <c r="H1734" t="s">
        <v>48</v>
      </c>
      <c r="I1734" s="5">
        <v>1538</v>
      </c>
      <c r="J1734" s="5">
        <v>1163</v>
      </c>
      <c r="K1734" s="5">
        <v>88</v>
      </c>
      <c r="L1734" s="5">
        <v>37</v>
      </c>
      <c r="M1734" s="5">
        <v>37</v>
      </c>
      <c r="N1734" s="7">
        <v>383.51</v>
      </c>
      <c r="O1734" s="7">
        <f t="shared" si="191"/>
        <v>14189.869999999999</v>
      </c>
      <c r="P1734" s="4">
        <v>0.13</v>
      </c>
      <c r="Q1734" s="7">
        <f t="shared" si="192"/>
        <v>1844.6831</v>
      </c>
      <c r="R1734" s="7">
        <f t="shared" si="193"/>
        <v>12345.186899999999</v>
      </c>
      <c r="S1734" s="7">
        <f t="shared" si="194"/>
        <v>333.65369999999996</v>
      </c>
      <c r="T1734" s="6">
        <f t="shared" si="195"/>
        <v>2.4057217165149546E-2</v>
      </c>
      <c r="U1734" t="s">
        <v>88</v>
      </c>
      <c r="V1734" t="s">
        <v>29</v>
      </c>
    </row>
    <row r="1735" spans="1:22">
      <c r="A1735" s="3">
        <v>45730</v>
      </c>
      <c r="B1735" t="str">
        <f t="shared" si="189"/>
        <v>yyyy-03</v>
      </c>
      <c r="C1735">
        <f t="shared" si="190"/>
        <v>11</v>
      </c>
      <c r="D1735" t="s">
        <v>24</v>
      </c>
      <c r="E1735" t="s">
        <v>25</v>
      </c>
      <c r="F1735" t="s">
        <v>33</v>
      </c>
      <c r="G1735" t="s">
        <v>27</v>
      </c>
      <c r="H1735" t="s">
        <v>45</v>
      </c>
      <c r="I1735" s="5">
        <v>1069</v>
      </c>
      <c r="J1735" s="5">
        <v>713</v>
      </c>
      <c r="K1735" s="5">
        <v>54</v>
      </c>
      <c r="L1735" s="5">
        <v>25</v>
      </c>
      <c r="M1735" s="5">
        <v>25</v>
      </c>
      <c r="N1735" s="7">
        <v>1802.52</v>
      </c>
      <c r="O1735" s="7">
        <f t="shared" si="191"/>
        <v>45063</v>
      </c>
      <c r="P1735" s="4">
        <v>0.13</v>
      </c>
      <c r="Q1735" s="7">
        <f t="shared" si="192"/>
        <v>5858.1900000000005</v>
      </c>
      <c r="R1735" s="7">
        <f t="shared" si="193"/>
        <v>39204.81</v>
      </c>
      <c r="S1735" s="7">
        <f t="shared" si="194"/>
        <v>1568.1923999999999</v>
      </c>
      <c r="T1735" s="6">
        <f t="shared" si="195"/>
        <v>2.3386342376052385E-2</v>
      </c>
      <c r="U1735" t="s">
        <v>88</v>
      </c>
      <c r="V1735" t="s">
        <v>29</v>
      </c>
    </row>
    <row r="1736" spans="1:22">
      <c r="A1736" s="3">
        <v>45730</v>
      </c>
      <c r="B1736" t="str">
        <f t="shared" si="189"/>
        <v>yyyy-03</v>
      </c>
      <c r="C1736">
        <f t="shared" si="190"/>
        <v>11</v>
      </c>
      <c r="D1736" t="s">
        <v>24</v>
      </c>
      <c r="E1736" t="s">
        <v>34</v>
      </c>
      <c r="F1736" t="s">
        <v>35</v>
      </c>
      <c r="G1736" t="s">
        <v>27</v>
      </c>
      <c r="H1736" t="s">
        <v>28</v>
      </c>
      <c r="I1736" s="5">
        <v>957</v>
      </c>
      <c r="J1736" s="5">
        <v>775</v>
      </c>
      <c r="K1736" s="5">
        <v>91</v>
      </c>
      <c r="L1736" s="5">
        <v>16</v>
      </c>
      <c r="M1736" s="5">
        <v>16</v>
      </c>
      <c r="N1736" s="7">
        <v>873.74</v>
      </c>
      <c r="O1736" s="7">
        <f t="shared" si="191"/>
        <v>13979.84</v>
      </c>
      <c r="P1736" s="4">
        <v>0</v>
      </c>
      <c r="Q1736" s="7">
        <f t="shared" si="192"/>
        <v>0</v>
      </c>
      <c r="R1736" s="7">
        <f t="shared" si="193"/>
        <v>13979.84</v>
      </c>
      <c r="S1736" s="7">
        <f t="shared" si="194"/>
        <v>873.74</v>
      </c>
      <c r="T1736" s="6">
        <f t="shared" si="195"/>
        <v>1.671891327063741E-2</v>
      </c>
      <c r="V1736" t="s">
        <v>78</v>
      </c>
    </row>
    <row r="1737" spans="1:22">
      <c r="A1737" s="3">
        <v>45730</v>
      </c>
      <c r="B1737" t="str">
        <f t="shared" si="189"/>
        <v>yyyy-03</v>
      </c>
      <c r="C1737">
        <f t="shared" si="190"/>
        <v>11</v>
      </c>
      <c r="D1737" t="s">
        <v>24</v>
      </c>
      <c r="E1737" t="s">
        <v>38</v>
      </c>
      <c r="F1737" t="s">
        <v>39</v>
      </c>
      <c r="G1737" t="s">
        <v>36</v>
      </c>
      <c r="H1737" t="s">
        <v>37</v>
      </c>
      <c r="I1737" s="5">
        <v>983</v>
      </c>
      <c r="J1737" s="5">
        <v>729</v>
      </c>
      <c r="K1737" s="5">
        <v>85</v>
      </c>
      <c r="L1737" s="5">
        <v>17</v>
      </c>
      <c r="M1737" s="5">
        <v>17</v>
      </c>
      <c r="N1737" s="7">
        <v>317.99</v>
      </c>
      <c r="O1737" s="7">
        <f t="shared" si="191"/>
        <v>5405.83</v>
      </c>
      <c r="P1737" s="4">
        <v>0</v>
      </c>
      <c r="Q1737" s="7">
        <f t="shared" si="192"/>
        <v>0</v>
      </c>
      <c r="R1737" s="7">
        <f t="shared" si="193"/>
        <v>5405.83</v>
      </c>
      <c r="S1737" s="7">
        <f t="shared" si="194"/>
        <v>317.99</v>
      </c>
      <c r="T1737" s="6">
        <f t="shared" si="195"/>
        <v>1.7293997965412006E-2</v>
      </c>
      <c r="V1737" t="s">
        <v>29</v>
      </c>
    </row>
    <row r="1738" spans="1:22">
      <c r="A1738" s="3">
        <v>45730</v>
      </c>
      <c r="B1738" t="str">
        <f t="shared" si="189"/>
        <v>yyyy-03</v>
      </c>
      <c r="C1738">
        <f t="shared" si="190"/>
        <v>11</v>
      </c>
      <c r="D1738" t="s">
        <v>24</v>
      </c>
      <c r="E1738" t="s">
        <v>40</v>
      </c>
      <c r="F1738" t="s">
        <v>41</v>
      </c>
      <c r="G1738" t="s">
        <v>27</v>
      </c>
      <c r="H1738" t="s">
        <v>28</v>
      </c>
      <c r="I1738" s="5">
        <v>672</v>
      </c>
      <c r="J1738" s="5">
        <v>392</v>
      </c>
      <c r="K1738" s="5">
        <v>80</v>
      </c>
      <c r="L1738" s="5">
        <v>17</v>
      </c>
      <c r="M1738" s="5">
        <v>18</v>
      </c>
      <c r="N1738" s="7">
        <v>173.59</v>
      </c>
      <c r="O1738" s="7">
        <f t="shared" si="191"/>
        <v>3124.62</v>
      </c>
      <c r="P1738" s="4">
        <v>0</v>
      </c>
      <c r="Q1738" s="7">
        <f t="shared" si="192"/>
        <v>0</v>
      </c>
      <c r="R1738" s="7">
        <f t="shared" si="193"/>
        <v>3124.62</v>
      </c>
      <c r="S1738" s="7">
        <f t="shared" si="194"/>
        <v>183.80117647058822</v>
      </c>
      <c r="T1738" s="6">
        <f t="shared" si="195"/>
        <v>2.5297619047619048E-2</v>
      </c>
      <c r="V1738" t="s">
        <v>29</v>
      </c>
    </row>
    <row r="1739" spans="1:22">
      <c r="A1739" s="3">
        <v>45730</v>
      </c>
      <c r="B1739" t="str">
        <f t="shared" si="189"/>
        <v>yyyy-03</v>
      </c>
      <c r="C1739">
        <f t="shared" si="190"/>
        <v>11</v>
      </c>
      <c r="D1739" t="s">
        <v>42</v>
      </c>
      <c r="E1739" t="s">
        <v>43</v>
      </c>
      <c r="F1739" t="s">
        <v>44</v>
      </c>
      <c r="G1739" t="s">
        <v>36</v>
      </c>
      <c r="H1739" t="s">
        <v>37</v>
      </c>
      <c r="I1739" s="5">
        <v>538</v>
      </c>
      <c r="J1739" s="5">
        <v>391</v>
      </c>
      <c r="K1739" s="5">
        <v>34</v>
      </c>
      <c r="L1739" s="5">
        <v>6</v>
      </c>
      <c r="M1739" s="5">
        <v>6</v>
      </c>
      <c r="N1739" s="7">
        <v>1273.93</v>
      </c>
      <c r="O1739" s="7">
        <f t="shared" si="191"/>
        <v>7643.58</v>
      </c>
      <c r="P1739" s="4">
        <v>0</v>
      </c>
      <c r="Q1739" s="7">
        <f t="shared" si="192"/>
        <v>0</v>
      </c>
      <c r="R1739" s="7">
        <f t="shared" si="193"/>
        <v>7643.58</v>
      </c>
      <c r="S1739" s="7">
        <f t="shared" si="194"/>
        <v>1273.93</v>
      </c>
      <c r="T1739" s="6">
        <f t="shared" si="195"/>
        <v>1.1152416356877323E-2</v>
      </c>
      <c r="V1739" t="s">
        <v>29</v>
      </c>
    </row>
    <row r="1740" spans="1:22">
      <c r="A1740" s="3">
        <v>45730</v>
      </c>
      <c r="B1740" t="str">
        <f t="shared" si="189"/>
        <v>yyyy-03</v>
      </c>
      <c r="C1740">
        <f t="shared" si="190"/>
        <v>11</v>
      </c>
      <c r="D1740" t="s">
        <v>42</v>
      </c>
      <c r="E1740" t="s">
        <v>43</v>
      </c>
      <c r="F1740" t="s">
        <v>46</v>
      </c>
      <c r="G1740" t="s">
        <v>31</v>
      </c>
      <c r="H1740" t="s">
        <v>32</v>
      </c>
      <c r="I1740" s="5">
        <v>681</v>
      </c>
      <c r="J1740" s="5">
        <v>542</v>
      </c>
      <c r="K1740" s="5">
        <v>47</v>
      </c>
      <c r="L1740" s="5">
        <v>10</v>
      </c>
      <c r="M1740" s="5">
        <v>10</v>
      </c>
      <c r="N1740" s="7">
        <v>2206.83</v>
      </c>
      <c r="O1740" s="7">
        <f t="shared" si="191"/>
        <v>22068.3</v>
      </c>
      <c r="P1740" s="4">
        <v>0</v>
      </c>
      <c r="Q1740" s="7">
        <f t="shared" si="192"/>
        <v>0</v>
      </c>
      <c r="R1740" s="7">
        <f t="shared" si="193"/>
        <v>22068.3</v>
      </c>
      <c r="S1740" s="7">
        <f t="shared" si="194"/>
        <v>2206.83</v>
      </c>
      <c r="T1740" s="6">
        <f t="shared" si="195"/>
        <v>1.4684287812041116E-2</v>
      </c>
      <c r="V1740" t="s">
        <v>29</v>
      </c>
    </row>
    <row r="1741" spans="1:22">
      <c r="A1741" s="3">
        <v>45730</v>
      </c>
      <c r="B1741" t="str">
        <f t="shared" si="189"/>
        <v>yyyy-03</v>
      </c>
      <c r="C1741">
        <f t="shared" si="190"/>
        <v>11</v>
      </c>
      <c r="D1741" t="s">
        <v>42</v>
      </c>
      <c r="E1741" t="s">
        <v>43</v>
      </c>
      <c r="F1741" t="s">
        <v>47</v>
      </c>
      <c r="G1741" t="s">
        <v>31</v>
      </c>
      <c r="H1741" t="s">
        <v>32</v>
      </c>
      <c r="I1741" s="5">
        <v>632</v>
      </c>
      <c r="J1741" s="5">
        <v>428</v>
      </c>
      <c r="K1741" s="5">
        <v>27</v>
      </c>
      <c r="L1741" s="5">
        <v>11</v>
      </c>
      <c r="M1741" s="5">
        <v>11</v>
      </c>
      <c r="N1741" s="7">
        <v>610.79999999999995</v>
      </c>
      <c r="O1741" s="7">
        <f t="shared" si="191"/>
        <v>6718.7999999999993</v>
      </c>
      <c r="P1741" s="4">
        <v>0.03</v>
      </c>
      <c r="Q1741" s="7">
        <f t="shared" si="192"/>
        <v>201.56399999999996</v>
      </c>
      <c r="R1741" s="7">
        <f t="shared" si="193"/>
        <v>6517.235999999999</v>
      </c>
      <c r="S1741" s="7">
        <f t="shared" si="194"/>
        <v>592.47599999999989</v>
      </c>
      <c r="T1741" s="6">
        <f t="shared" si="195"/>
        <v>1.740506329113924E-2</v>
      </c>
      <c r="V1741" t="s">
        <v>29</v>
      </c>
    </row>
    <row r="1742" spans="1:22">
      <c r="A1742" s="3">
        <v>45730</v>
      </c>
      <c r="B1742" t="str">
        <f t="shared" si="189"/>
        <v>yyyy-03</v>
      </c>
      <c r="C1742">
        <f t="shared" si="190"/>
        <v>11</v>
      </c>
      <c r="D1742" t="s">
        <v>42</v>
      </c>
      <c r="E1742" t="s">
        <v>49</v>
      </c>
      <c r="F1742" t="s">
        <v>50</v>
      </c>
      <c r="G1742" t="s">
        <v>31</v>
      </c>
      <c r="H1742" t="s">
        <v>32</v>
      </c>
      <c r="I1742" s="5">
        <v>205</v>
      </c>
      <c r="J1742" s="5">
        <v>159</v>
      </c>
      <c r="K1742" s="5">
        <v>18</v>
      </c>
      <c r="L1742" s="5">
        <v>3</v>
      </c>
      <c r="M1742" s="5">
        <v>3</v>
      </c>
      <c r="N1742" s="7">
        <v>1013.29</v>
      </c>
      <c r="O1742" s="7">
        <f t="shared" si="191"/>
        <v>3039.87</v>
      </c>
      <c r="P1742" s="4">
        <v>0</v>
      </c>
      <c r="Q1742" s="7">
        <f t="shared" si="192"/>
        <v>0</v>
      </c>
      <c r="R1742" s="7">
        <f t="shared" si="193"/>
        <v>3039.87</v>
      </c>
      <c r="S1742" s="7">
        <f t="shared" si="194"/>
        <v>1013.29</v>
      </c>
      <c r="T1742" s="6">
        <f t="shared" si="195"/>
        <v>1.4634146341463415E-2</v>
      </c>
      <c r="V1742" t="s">
        <v>29</v>
      </c>
    </row>
    <row r="1743" spans="1:22">
      <c r="A1743" s="3">
        <v>45730</v>
      </c>
      <c r="B1743" t="str">
        <f t="shared" si="189"/>
        <v>yyyy-03</v>
      </c>
      <c r="C1743">
        <f t="shared" si="190"/>
        <v>11</v>
      </c>
      <c r="D1743" t="s">
        <v>42</v>
      </c>
      <c r="E1743" t="s">
        <v>51</v>
      </c>
      <c r="F1743" t="s">
        <v>52</v>
      </c>
      <c r="G1743" t="s">
        <v>27</v>
      </c>
      <c r="H1743" t="s">
        <v>45</v>
      </c>
      <c r="I1743" s="5">
        <v>250</v>
      </c>
      <c r="J1743" s="5">
        <v>131</v>
      </c>
      <c r="K1743" s="5">
        <v>10</v>
      </c>
      <c r="L1743" s="5">
        <v>3</v>
      </c>
      <c r="M1743" s="5">
        <v>3</v>
      </c>
      <c r="N1743" s="7">
        <v>604.53</v>
      </c>
      <c r="O1743" s="7">
        <f t="shared" si="191"/>
        <v>1813.59</v>
      </c>
      <c r="P1743" s="4">
        <v>0</v>
      </c>
      <c r="Q1743" s="7">
        <f t="shared" si="192"/>
        <v>0</v>
      </c>
      <c r="R1743" s="7">
        <f t="shared" si="193"/>
        <v>1813.59</v>
      </c>
      <c r="S1743" s="7">
        <f t="shared" si="194"/>
        <v>604.53</v>
      </c>
      <c r="T1743" s="6">
        <f t="shared" si="195"/>
        <v>1.2E-2</v>
      </c>
      <c r="V1743" t="s">
        <v>29</v>
      </c>
    </row>
    <row r="1744" spans="1:22">
      <c r="A1744" s="3">
        <v>45730</v>
      </c>
      <c r="B1744" t="str">
        <f t="shared" si="189"/>
        <v>yyyy-03</v>
      </c>
      <c r="C1744">
        <f t="shared" si="190"/>
        <v>11</v>
      </c>
      <c r="D1744" t="s">
        <v>53</v>
      </c>
      <c r="E1744" t="s">
        <v>54</v>
      </c>
      <c r="F1744" t="s">
        <v>55</v>
      </c>
      <c r="G1744" t="s">
        <v>27</v>
      </c>
      <c r="H1744" t="s">
        <v>28</v>
      </c>
      <c r="I1744" s="5">
        <v>192</v>
      </c>
      <c r="J1744" s="5">
        <v>111</v>
      </c>
      <c r="K1744" s="5">
        <v>10</v>
      </c>
      <c r="L1744" s="5">
        <v>2</v>
      </c>
      <c r="M1744" s="5">
        <v>2</v>
      </c>
      <c r="N1744" s="7">
        <v>1289.5999999999999</v>
      </c>
      <c r="O1744" s="7">
        <f t="shared" si="191"/>
        <v>2579.1999999999998</v>
      </c>
      <c r="P1744" s="4">
        <v>0</v>
      </c>
      <c r="Q1744" s="7">
        <f t="shared" si="192"/>
        <v>0</v>
      </c>
      <c r="R1744" s="7">
        <f t="shared" si="193"/>
        <v>2579.1999999999998</v>
      </c>
      <c r="S1744" s="7">
        <f t="shared" si="194"/>
        <v>1289.5999999999999</v>
      </c>
      <c r="T1744" s="6">
        <f t="shared" si="195"/>
        <v>1.0416666666666666E-2</v>
      </c>
      <c r="V1744" t="s">
        <v>29</v>
      </c>
    </row>
    <row r="1745" spans="1:22">
      <c r="A1745" s="3">
        <v>45730</v>
      </c>
      <c r="B1745" t="str">
        <f t="shared" si="189"/>
        <v>yyyy-03</v>
      </c>
      <c r="C1745">
        <f t="shared" si="190"/>
        <v>11</v>
      </c>
      <c r="D1745" t="s">
        <v>53</v>
      </c>
      <c r="E1745" t="s">
        <v>56</v>
      </c>
      <c r="F1745" t="s">
        <v>57</v>
      </c>
      <c r="G1745" t="s">
        <v>27</v>
      </c>
      <c r="H1745" t="s">
        <v>45</v>
      </c>
      <c r="I1745" s="5">
        <v>173</v>
      </c>
      <c r="J1745" s="5">
        <v>130</v>
      </c>
      <c r="K1745" s="5">
        <v>14</v>
      </c>
      <c r="L1745" s="5">
        <v>2</v>
      </c>
      <c r="M1745" s="5">
        <v>2</v>
      </c>
      <c r="N1745" s="7">
        <v>729.96</v>
      </c>
      <c r="O1745" s="7">
        <f t="shared" si="191"/>
        <v>1459.92</v>
      </c>
      <c r="P1745" s="4">
        <v>0</v>
      </c>
      <c r="Q1745" s="7">
        <f t="shared" si="192"/>
        <v>0</v>
      </c>
      <c r="R1745" s="7">
        <f t="shared" si="193"/>
        <v>1459.92</v>
      </c>
      <c r="S1745" s="7">
        <f t="shared" si="194"/>
        <v>729.96</v>
      </c>
      <c r="T1745" s="6">
        <f t="shared" si="195"/>
        <v>1.1560693641618497E-2</v>
      </c>
      <c r="V1745" t="s">
        <v>29</v>
      </c>
    </row>
    <row r="1746" spans="1:22">
      <c r="A1746" s="3">
        <v>45730</v>
      </c>
      <c r="B1746" t="str">
        <f t="shared" si="189"/>
        <v>yyyy-03</v>
      </c>
      <c r="C1746">
        <f t="shared" si="190"/>
        <v>11</v>
      </c>
      <c r="D1746" t="s">
        <v>53</v>
      </c>
      <c r="E1746" t="s">
        <v>56</v>
      </c>
      <c r="F1746" t="s">
        <v>58</v>
      </c>
      <c r="G1746" t="s">
        <v>31</v>
      </c>
      <c r="H1746" t="s">
        <v>32</v>
      </c>
      <c r="I1746" s="5">
        <v>207</v>
      </c>
      <c r="J1746" s="5">
        <v>151</v>
      </c>
      <c r="K1746" s="5">
        <v>9</v>
      </c>
      <c r="L1746" s="5">
        <v>2</v>
      </c>
      <c r="M1746" s="5">
        <v>2</v>
      </c>
      <c r="N1746" s="7">
        <v>903.51</v>
      </c>
      <c r="O1746" s="7">
        <f t="shared" si="191"/>
        <v>1807.02</v>
      </c>
      <c r="P1746" s="4">
        <v>0.03</v>
      </c>
      <c r="Q1746" s="7">
        <f t="shared" si="192"/>
        <v>54.210599999999999</v>
      </c>
      <c r="R1746" s="7">
        <f t="shared" si="193"/>
        <v>1752.8094000000001</v>
      </c>
      <c r="S1746" s="7">
        <f t="shared" si="194"/>
        <v>876.40470000000005</v>
      </c>
      <c r="T1746" s="6">
        <f t="shared" si="195"/>
        <v>9.6618357487922701E-3</v>
      </c>
      <c r="V1746" t="s">
        <v>29</v>
      </c>
    </row>
    <row r="1747" spans="1:22">
      <c r="A1747" s="3">
        <v>45730</v>
      </c>
      <c r="B1747" t="str">
        <f t="shared" si="189"/>
        <v>yyyy-03</v>
      </c>
      <c r="C1747">
        <f t="shared" si="190"/>
        <v>11</v>
      </c>
      <c r="D1747" t="s">
        <v>53</v>
      </c>
      <c r="E1747" t="s">
        <v>59</v>
      </c>
      <c r="F1747" t="s">
        <v>60</v>
      </c>
      <c r="G1747" t="s">
        <v>27</v>
      </c>
      <c r="H1747" t="s">
        <v>63</v>
      </c>
      <c r="I1747" s="5">
        <v>101</v>
      </c>
      <c r="J1747" s="5">
        <v>72</v>
      </c>
      <c r="K1747" s="5">
        <v>5</v>
      </c>
      <c r="L1747" s="5">
        <v>1</v>
      </c>
      <c r="M1747" s="5">
        <v>1</v>
      </c>
      <c r="N1747" s="7">
        <v>691.1</v>
      </c>
      <c r="O1747" s="7">
        <f t="shared" si="191"/>
        <v>691.1</v>
      </c>
      <c r="P1747" s="4">
        <v>0</v>
      </c>
      <c r="Q1747" s="7">
        <f t="shared" si="192"/>
        <v>0</v>
      </c>
      <c r="R1747" s="7">
        <f t="shared" si="193"/>
        <v>691.1</v>
      </c>
      <c r="S1747" s="7">
        <f t="shared" si="194"/>
        <v>691.1</v>
      </c>
      <c r="T1747" s="6">
        <f t="shared" si="195"/>
        <v>9.9009900990099011E-3</v>
      </c>
      <c r="V1747" t="s">
        <v>29</v>
      </c>
    </row>
    <row r="1748" spans="1:22">
      <c r="A1748" s="3">
        <v>45730</v>
      </c>
      <c r="B1748" t="str">
        <f t="shared" si="189"/>
        <v>yyyy-03</v>
      </c>
      <c r="C1748">
        <f t="shared" si="190"/>
        <v>11</v>
      </c>
      <c r="D1748" t="s">
        <v>53</v>
      </c>
      <c r="E1748" t="s">
        <v>61</v>
      </c>
      <c r="F1748" t="s">
        <v>62</v>
      </c>
      <c r="G1748" t="s">
        <v>31</v>
      </c>
      <c r="H1748" t="s">
        <v>32</v>
      </c>
      <c r="I1748" s="5">
        <v>159</v>
      </c>
      <c r="J1748" s="5">
        <v>107</v>
      </c>
      <c r="K1748" s="5">
        <v>11</v>
      </c>
      <c r="L1748" s="5">
        <v>3</v>
      </c>
      <c r="M1748" s="5">
        <v>3</v>
      </c>
      <c r="N1748" s="7">
        <v>504.79</v>
      </c>
      <c r="O1748" s="7">
        <f t="shared" si="191"/>
        <v>1514.3700000000001</v>
      </c>
      <c r="P1748" s="4">
        <v>0.12</v>
      </c>
      <c r="Q1748" s="7">
        <f t="shared" si="192"/>
        <v>181.7244</v>
      </c>
      <c r="R1748" s="7">
        <f t="shared" si="193"/>
        <v>1332.6456000000001</v>
      </c>
      <c r="S1748" s="7">
        <f t="shared" si="194"/>
        <v>444.21520000000004</v>
      </c>
      <c r="T1748" s="6">
        <f t="shared" si="195"/>
        <v>1.8867924528301886E-2</v>
      </c>
      <c r="U1748" t="s">
        <v>89</v>
      </c>
      <c r="V1748" t="s">
        <v>29</v>
      </c>
    </row>
    <row r="1749" spans="1:22">
      <c r="A1749" s="3">
        <v>45730</v>
      </c>
      <c r="B1749" t="str">
        <f t="shared" si="189"/>
        <v>yyyy-03</v>
      </c>
      <c r="C1749">
        <f t="shared" si="190"/>
        <v>11</v>
      </c>
      <c r="D1749" t="s">
        <v>53</v>
      </c>
      <c r="E1749" t="s">
        <v>64</v>
      </c>
      <c r="F1749" t="s">
        <v>65</v>
      </c>
      <c r="G1749" t="s">
        <v>31</v>
      </c>
      <c r="H1749" t="s">
        <v>32</v>
      </c>
      <c r="I1749" s="5">
        <v>276</v>
      </c>
      <c r="J1749" s="5">
        <v>158</v>
      </c>
      <c r="K1749" s="5">
        <v>15</v>
      </c>
      <c r="L1749" s="5">
        <v>3</v>
      </c>
      <c r="M1749" s="5">
        <v>3</v>
      </c>
      <c r="N1749" s="7">
        <v>771.17</v>
      </c>
      <c r="O1749" s="7">
        <f t="shared" si="191"/>
        <v>2313.5099999999998</v>
      </c>
      <c r="P1749" s="4">
        <v>0</v>
      </c>
      <c r="Q1749" s="7">
        <f t="shared" si="192"/>
        <v>0</v>
      </c>
      <c r="R1749" s="7">
        <f t="shared" si="193"/>
        <v>2313.5099999999998</v>
      </c>
      <c r="S1749" s="7">
        <f t="shared" si="194"/>
        <v>771.17</v>
      </c>
      <c r="T1749" s="6">
        <f t="shared" si="195"/>
        <v>1.0869565217391304E-2</v>
      </c>
      <c r="V1749" t="s">
        <v>29</v>
      </c>
    </row>
    <row r="1750" spans="1:22">
      <c r="A1750" s="3">
        <v>45730</v>
      </c>
      <c r="B1750" t="str">
        <f t="shared" si="189"/>
        <v>yyyy-03</v>
      </c>
      <c r="C1750">
        <f t="shared" si="190"/>
        <v>11</v>
      </c>
      <c r="D1750" t="s">
        <v>66</v>
      </c>
      <c r="E1750" t="s">
        <v>67</v>
      </c>
      <c r="F1750" t="s">
        <v>68</v>
      </c>
      <c r="G1750" t="s">
        <v>36</v>
      </c>
      <c r="H1750" t="s">
        <v>37</v>
      </c>
      <c r="I1750" s="5">
        <v>461</v>
      </c>
      <c r="J1750" s="5">
        <v>350</v>
      </c>
      <c r="K1750" s="5">
        <v>30</v>
      </c>
      <c r="L1750" s="5">
        <v>9</v>
      </c>
      <c r="M1750" s="5">
        <v>9</v>
      </c>
      <c r="N1750" s="7">
        <v>682.15</v>
      </c>
      <c r="O1750" s="7">
        <f t="shared" si="191"/>
        <v>6139.3499999999995</v>
      </c>
      <c r="P1750" s="4">
        <v>0.05</v>
      </c>
      <c r="Q1750" s="7">
        <f t="shared" si="192"/>
        <v>306.96749999999997</v>
      </c>
      <c r="R1750" s="7">
        <f t="shared" si="193"/>
        <v>5832.3824999999997</v>
      </c>
      <c r="S1750" s="7">
        <f t="shared" si="194"/>
        <v>648.04250000000002</v>
      </c>
      <c r="T1750" s="6">
        <f t="shared" si="195"/>
        <v>1.9522776572668113E-2</v>
      </c>
      <c r="V1750" t="s">
        <v>29</v>
      </c>
    </row>
    <row r="1751" spans="1:22">
      <c r="A1751" s="3">
        <v>45730</v>
      </c>
      <c r="B1751" t="str">
        <f t="shared" si="189"/>
        <v>yyyy-03</v>
      </c>
      <c r="C1751">
        <f t="shared" si="190"/>
        <v>11</v>
      </c>
      <c r="D1751" t="s">
        <v>66</v>
      </c>
      <c r="E1751" t="s">
        <v>67</v>
      </c>
      <c r="F1751" t="s">
        <v>69</v>
      </c>
      <c r="G1751" t="s">
        <v>27</v>
      </c>
      <c r="H1751" t="s">
        <v>28</v>
      </c>
      <c r="I1751" s="5">
        <v>285</v>
      </c>
      <c r="J1751" s="5">
        <v>154</v>
      </c>
      <c r="K1751" s="5">
        <v>12</v>
      </c>
      <c r="L1751" s="5">
        <v>4</v>
      </c>
      <c r="M1751" s="5">
        <v>4</v>
      </c>
      <c r="N1751" s="7">
        <v>393.97</v>
      </c>
      <c r="O1751" s="7">
        <f t="shared" si="191"/>
        <v>1575.88</v>
      </c>
      <c r="P1751" s="4">
        <v>0.05</v>
      </c>
      <c r="Q1751" s="7">
        <f t="shared" si="192"/>
        <v>78.794000000000011</v>
      </c>
      <c r="R1751" s="7">
        <f t="shared" si="193"/>
        <v>1497.086</v>
      </c>
      <c r="S1751" s="7">
        <f t="shared" si="194"/>
        <v>374.2715</v>
      </c>
      <c r="T1751" s="6">
        <f t="shared" si="195"/>
        <v>1.4035087719298246E-2</v>
      </c>
      <c r="V1751" t="s">
        <v>78</v>
      </c>
    </row>
    <row r="1752" spans="1:22">
      <c r="A1752" s="3">
        <v>45730</v>
      </c>
      <c r="B1752" t="str">
        <f t="shared" si="189"/>
        <v>yyyy-03</v>
      </c>
      <c r="C1752">
        <f t="shared" si="190"/>
        <v>11</v>
      </c>
      <c r="D1752" t="s">
        <v>66</v>
      </c>
      <c r="E1752" t="s">
        <v>67</v>
      </c>
      <c r="F1752" t="s">
        <v>70</v>
      </c>
      <c r="G1752" t="s">
        <v>27</v>
      </c>
      <c r="H1752" t="s">
        <v>28</v>
      </c>
      <c r="I1752" s="5">
        <v>256</v>
      </c>
      <c r="J1752" s="5">
        <v>175</v>
      </c>
      <c r="K1752" s="5">
        <v>16</v>
      </c>
      <c r="L1752" s="5">
        <v>5</v>
      </c>
      <c r="M1752" s="5">
        <v>5</v>
      </c>
      <c r="N1752" s="7">
        <v>346.39</v>
      </c>
      <c r="O1752" s="7">
        <f t="shared" si="191"/>
        <v>1731.9499999999998</v>
      </c>
      <c r="P1752" s="4">
        <v>0</v>
      </c>
      <c r="Q1752" s="7">
        <f t="shared" si="192"/>
        <v>0</v>
      </c>
      <c r="R1752" s="7">
        <f t="shared" si="193"/>
        <v>1731.9499999999998</v>
      </c>
      <c r="S1752" s="7">
        <f t="shared" si="194"/>
        <v>346.39</v>
      </c>
      <c r="T1752" s="6">
        <f t="shared" si="195"/>
        <v>1.953125E-2</v>
      </c>
      <c r="V1752" t="s">
        <v>29</v>
      </c>
    </row>
    <row r="1753" spans="1:22">
      <c r="A1753" s="3">
        <v>45730</v>
      </c>
      <c r="B1753" t="str">
        <f t="shared" si="189"/>
        <v>yyyy-03</v>
      </c>
      <c r="C1753">
        <f t="shared" si="190"/>
        <v>11</v>
      </c>
      <c r="D1753" t="s">
        <v>66</v>
      </c>
      <c r="E1753" t="s">
        <v>71</v>
      </c>
      <c r="F1753" t="s">
        <v>72</v>
      </c>
      <c r="G1753" t="s">
        <v>27</v>
      </c>
      <c r="H1753" t="s">
        <v>45</v>
      </c>
      <c r="I1753" s="5">
        <v>358</v>
      </c>
      <c r="J1753" s="5">
        <v>280</v>
      </c>
      <c r="K1753" s="5">
        <v>39</v>
      </c>
      <c r="L1753" s="5">
        <v>8</v>
      </c>
      <c r="M1753" s="5">
        <v>9</v>
      </c>
      <c r="N1753" s="7">
        <v>130.36000000000001</v>
      </c>
      <c r="O1753" s="7">
        <f t="shared" si="191"/>
        <v>1173.2400000000002</v>
      </c>
      <c r="P1753" s="4">
        <v>0</v>
      </c>
      <c r="Q1753" s="7">
        <f t="shared" si="192"/>
        <v>0</v>
      </c>
      <c r="R1753" s="7">
        <f t="shared" si="193"/>
        <v>1173.2400000000002</v>
      </c>
      <c r="S1753" s="7">
        <f t="shared" si="194"/>
        <v>146.65500000000003</v>
      </c>
      <c r="T1753" s="6">
        <f t="shared" si="195"/>
        <v>2.23463687150838E-2</v>
      </c>
      <c r="V1753" t="s">
        <v>29</v>
      </c>
    </row>
    <row r="1754" spans="1:22">
      <c r="A1754" s="3">
        <v>45730</v>
      </c>
      <c r="B1754" t="str">
        <f t="shared" si="189"/>
        <v>yyyy-03</v>
      </c>
      <c r="C1754">
        <f t="shared" si="190"/>
        <v>11</v>
      </c>
      <c r="D1754" t="s">
        <v>66</v>
      </c>
      <c r="E1754" t="s">
        <v>73</v>
      </c>
      <c r="F1754" t="s">
        <v>74</v>
      </c>
      <c r="G1754" t="s">
        <v>36</v>
      </c>
      <c r="H1754" t="s">
        <v>37</v>
      </c>
      <c r="I1754" s="5">
        <v>282</v>
      </c>
      <c r="J1754" s="5">
        <v>207</v>
      </c>
      <c r="K1754" s="5">
        <v>14</v>
      </c>
      <c r="L1754" s="5">
        <v>5</v>
      </c>
      <c r="M1754" s="5">
        <v>5</v>
      </c>
      <c r="N1754" s="7">
        <v>1214.53</v>
      </c>
      <c r="O1754" s="7">
        <f t="shared" si="191"/>
        <v>6072.65</v>
      </c>
      <c r="P1754" s="4">
        <v>0.05</v>
      </c>
      <c r="Q1754" s="7">
        <f t="shared" si="192"/>
        <v>303.63249999999999</v>
      </c>
      <c r="R1754" s="7">
        <f t="shared" si="193"/>
        <v>5769.0174999999999</v>
      </c>
      <c r="S1754" s="7">
        <f t="shared" si="194"/>
        <v>1153.8035</v>
      </c>
      <c r="T1754" s="6">
        <f t="shared" si="195"/>
        <v>1.7730496453900711E-2</v>
      </c>
      <c r="V1754" t="s">
        <v>29</v>
      </c>
    </row>
    <row r="1755" spans="1:22">
      <c r="A1755" s="3">
        <v>45730</v>
      </c>
      <c r="B1755" t="str">
        <f t="shared" si="189"/>
        <v>yyyy-03</v>
      </c>
      <c r="C1755">
        <f t="shared" si="190"/>
        <v>11</v>
      </c>
      <c r="D1755" t="s">
        <v>66</v>
      </c>
      <c r="E1755" t="s">
        <v>71</v>
      </c>
      <c r="F1755" t="s">
        <v>75</v>
      </c>
      <c r="G1755" t="s">
        <v>36</v>
      </c>
      <c r="H1755" t="s">
        <v>37</v>
      </c>
      <c r="I1755" s="5">
        <v>333</v>
      </c>
      <c r="J1755" s="5">
        <v>181</v>
      </c>
      <c r="K1755" s="5">
        <v>23</v>
      </c>
      <c r="L1755" s="5">
        <v>6</v>
      </c>
      <c r="M1755" s="5">
        <v>8</v>
      </c>
      <c r="N1755" s="7">
        <v>39.200000000000003</v>
      </c>
      <c r="O1755" s="7">
        <f t="shared" si="191"/>
        <v>313.60000000000002</v>
      </c>
      <c r="P1755" s="4">
        <v>0.05</v>
      </c>
      <c r="Q1755" s="7">
        <f t="shared" si="192"/>
        <v>15.680000000000001</v>
      </c>
      <c r="R1755" s="7">
        <f t="shared" si="193"/>
        <v>297.92</v>
      </c>
      <c r="S1755" s="7">
        <f t="shared" si="194"/>
        <v>49.653333333333336</v>
      </c>
      <c r="T1755" s="6">
        <f t="shared" si="195"/>
        <v>1.8018018018018018E-2</v>
      </c>
      <c r="V1755" t="s">
        <v>29</v>
      </c>
    </row>
    <row r="1756" spans="1:22">
      <c r="A1756" s="3">
        <v>45730</v>
      </c>
      <c r="B1756" t="str">
        <f t="shared" si="189"/>
        <v>yyyy-03</v>
      </c>
      <c r="C1756">
        <f t="shared" si="190"/>
        <v>11</v>
      </c>
      <c r="D1756" t="s">
        <v>24</v>
      </c>
      <c r="E1756" t="s">
        <v>76</v>
      </c>
      <c r="F1756" t="s">
        <v>77</v>
      </c>
      <c r="G1756" t="s">
        <v>31</v>
      </c>
      <c r="H1756" t="s">
        <v>32</v>
      </c>
      <c r="I1756" s="5">
        <v>641</v>
      </c>
      <c r="J1756" s="5">
        <v>404</v>
      </c>
      <c r="K1756" s="5">
        <v>52</v>
      </c>
      <c r="L1756" s="5">
        <v>11</v>
      </c>
      <c r="M1756" s="5">
        <v>13</v>
      </c>
      <c r="N1756" s="7">
        <v>193.38</v>
      </c>
      <c r="O1756" s="7">
        <f t="shared" si="191"/>
        <v>2513.94</v>
      </c>
      <c r="P1756" s="4">
        <v>0.05</v>
      </c>
      <c r="Q1756" s="7">
        <f t="shared" si="192"/>
        <v>125.697</v>
      </c>
      <c r="R1756" s="7">
        <f t="shared" si="193"/>
        <v>2388.2429999999999</v>
      </c>
      <c r="S1756" s="7">
        <f t="shared" si="194"/>
        <v>217.113</v>
      </c>
      <c r="T1756" s="6">
        <f t="shared" si="195"/>
        <v>1.7160686427457099E-2</v>
      </c>
      <c r="V1756" t="s">
        <v>29</v>
      </c>
    </row>
    <row r="1757" spans="1:22">
      <c r="A1757" s="3">
        <v>45731</v>
      </c>
      <c r="B1757" t="str">
        <f t="shared" si="189"/>
        <v>yyyy-03</v>
      </c>
      <c r="C1757">
        <f t="shared" si="190"/>
        <v>11</v>
      </c>
      <c r="D1757" t="s">
        <v>24</v>
      </c>
      <c r="E1757" t="s">
        <v>25</v>
      </c>
      <c r="F1757" t="s">
        <v>26</v>
      </c>
      <c r="G1757" t="s">
        <v>27</v>
      </c>
      <c r="H1757" t="s">
        <v>45</v>
      </c>
      <c r="I1757" s="5">
        <v>1826</v>
      </c>
      <c r="J1757" s="5">
        <v>1105</v>
      </c>
      <c r="K1757" s="5">
        <v>259</v>
      </c>
      <c r="L1757" s="5">
        <v>53</v>
      </c>
      <c r="M1757" s="5">
        <v>53</v>
      </c>
      <c r="N1757" s="7">
        <v>996.67</v>
      </c>
      <c r="O1757" s="7">
        <f t="shared" si="191"/>
        <v>52823.509999999995</v>
      </c>
      <c r="P1757" s="4">
        <v>0.13</v>
      </c>
      <c r="Q1757" s="7">
        <f t="shared" si="192"/>
        <v>6867.0562999999993</v>
      </c>
      <c r="R1757" s="7">
        <f t="shared" si="193"/>
        <v>45956.453699999998</v>
      </c>
      <c r="S1757" s="7">
        <f t="shared" si="194"/>
        <v>867.10289999999998</v>
      </c>
      <c r="T1757" s="6">
        <f t="shared" si="195"/>
        <v>2.9025191675794086E-2</v>
      </c>
      <c r="U1757" t="s">
        <v>88</v>
      </c>
      <c r="V1757" t="s">
        <v>29</v>
      </c>
    </row>
    <row r="1758" spans="1:22">
      <c r="A1758" s="3">
        <v>45731</v>
      </c>
      <c r="B1758" t="str">
        <f t="shared" si="189"/>
        <v>yyyy-03</v>
      </c>
      <c r="C1758">
        <f t="shared" si="190"/>
        <v>11</v>
      </c>
      <c r="D1758" t="s">
        <v>24</v>
      </c>
      <c r="E1758" t="s">
        <v>25</v>
      </c>
      <c r="F1758" t="s">
        <v>30</v>
      </c>
      <c r="G1758" t="s">
        <v>27</v>
      </c>
      <c r="H1758" t="s">
        <v>63</v>
      </c>
      <c r="I1758" s="5">
        <v>1237</v>
      </c>
      <c r="J1758" s="5">
        <v>847</v>
      </c>
      <c r="K1758" s="5">
        <v>76</v>
      </c>
      <c r="L1758" s="5">
        <v>29</v>
      </c>
      <c r="M1758" s="5">
        <v>29</v>
      </c>
      <c r="N1758" s="7">
        <v>404.95</v>
      </c>
      <c r="O1758" s="7">
        <f t="shared" si="191"/>
        <v>11743.55</v>
      </c>
      <c r="P1758" s="4">
        <v>0.13</v>
      </c>
      <c r="Q1758" s="7">
        <f t="shared" si="192"/>
        <v>1526.6614999999999</v>
      </c>
      <c r="R1758" s="7">
        <f t="shared" si="193"/>
        <v>10216.888499999999</v>
      </c>
      <c r="S1758" s="7">
        <f t="shared" si="194"/>
        <v>352.30649999999997</v>
      </c>
      <c r="T1758" s="6">
        <f t="shared" si="195"/>
        <v>2.3443815683104285E-2</v>
      </c>
      <c r="U1758" t="s">
        <v>88</v>
      </c>
      <c r="V1758" t="s">
        <v>29</v>
      </c>
    </row>
    <row r="1759" spans="1:22">
      <c r="A1759" s="3">
        <v>45731</v>
      </c>
      <c r="B1759" t="str">
        <f t="shared" si="189"/>
        <v>yyyy-03</v>
      </c>
      <c r="C1759">
        <f t="shared" si="190"/>
        <v>11</v>
      </c>
      <c r="D1759" t="s">
        <v>24</v>
      </c>
      <c r="E1759" t="s">
        <v>25</v>
      </c>
      <c r="F1759" t="s">
        <v>33</v>
      </c>
      <c r="G1759" t="s">
        <v>27</v>
      </c>
      <c r="H1759" t="s">
        <v>28</v>
      </c>
      <c r="I1759" s="5">
        <v>1946</v>
      </c>
      <c r="J1759" s="5">
        <v>1205</v>
      </c>
      <c r="K1759" s="5">
        <v>178</v>
      </c>
      <c r="L1759" s="5">
        <v>51</v>
      </c>
      <c r="M1759" s="5">
        <v>51</v>
      </c>
      <c r="N1759" s="7">
        <v>1812.37</v>
      </c>
      <c r="O1759" s="7">
        <f t="shared" si="191"/>
        <v>92430.87</v>
      </c>
      <c r="P1759" s="4">
        <v>0.13</v>
      </c>
      <c r="Q1759" s="7">
        <f t="shared" si="192"/>
        <v>12016.0131</v>
      </c>
      <c r="R1759" s="7">
        <f t="shared" si="193"/>
        <v>80414.856899999999</v>
      </c>
      <c r="S1759" s="7">
        <f t="shared" si="194"/>
        <v>1576.7619</v>
      </c>
      <c r="T1759" s="6">
        <f t="shared" si="195"/>
        <v>2.6207605344295993E-2</v>
      </c>
      <c r="U1759" t="s">
        <v>88</v>
      </c>
      <c r="V1759" t="s">
        <v>29</v>
      </c>
    </row>
    <row r="1760" spans="1:22">
      <c r="A1760" s="3">
        <v>45731</v>
      </c>
      <c r="B1760" t="str">
        <f t="shared" si="189"/>
        <v>yyyy-03</v>
      </c>
      <c r="C1760">
        <f t="shared" si="190"/>
        <v>11</v>
      </c>
      <c r="D1760" t="s">
        <v>24</v>
      </c>
      <c r="E1760" t="s">
        <v>34</v>
      </c>
      <c r="F1760" t="s">
        <v>35</v>
      </c>
      <c r="G1760" t="s">
        <v>27</v>
      </c>
      <c r="H1760" t="s">
        <v>28</v>
      </c>
      <c r="I1760" s="5">
        <v>1309</v>
      </c>
      <c r="J1760" s="5">
        <v>842</v>
      </c>
      <c r="K1760" s="5">
        <v>85</v>
      </c>
      <c r="L1760" s="5">
        <v>22</v>
      </c>
      <c r="M1760" s="5">
        <v>22</v>
      </c>
      <c r="N1760" s="7">
        <v>865.84</v>
      </c>
      <c r="O1760" s="7">
        <f t="shared" si="191"/>
        <v>19048.48</v>
      </c>
      <c r="P1760" s="4">
        <v>0.05</v>
      </c>
      <c r="Q1760" s="7">
        <f t="shared" si="192"/>
        <v>952.42399999999998</v>
      </c>
      <c r="R1760" s="7">
        <f t="shared" si="193"/>
        <v>18096.056</v>
      </c>
      <c r="S1760" s="7">
        <f t="shared" si="194"/>
        <v>822.548</v>
      </c>
      <c r="T1760" s="6">
        <f t="shared" si="195"/>
        <v>1.680672268907563E-2</v>
      </c>
      <c r="V1760" t="s">
        <v>29</v>
      </c>
    </row>
    <row r="1761" spans="1:22">
      <c r="A1761" s="3">
        <v>45731</v>
      </c>
      <c r="B1761" t="str">
        <f t="shared" si="189"/>
        <v>yyyy-03</v>
      </c>
      <c r="C1761">
        <f t="shared" si="190"/>
        <v>11</v>
      </c>
      <c r="D1761" t="s">
        <v>24</v>
      </c>
      <c r="E1761" t="s">
        <v>38</v>
      </c>
      <c r="F1761" t="s">
        <v>39</v>
      </c>
      <c r="G1761" t="s">
        <v>36</v>
      </c>
      <c r="H1761" t="s">
        <v>37</v>
      </c>
      <c r="I1761" s="5">
        <v>1145</v>
      </c>
      <c r="J1761" s="5">
        <v>733</v>
      </c>
      <c r="K1761" s="5">
        <v>78</v>
      </c>
      <c r="L1761" s="5">
        <v>26</v>
      </c>
      <c r="M1761" s="5">
        <v>26</v>
      </c>
      <c r="N1761" s="7">
        <v>316.60000000000002</v>
      </c>
      <c r="O1761" s="7">
        <f t="shared" si="191"/>
        <v>8231.6</v>
      </c>
      <c r="P1761" s="4">
        <v>0</v>
      </c>
      <c r="Q1761" s="7">
        <f t="shared" si="192"/>
        <v>0</v>
      </c>
      <c r="R1761" s="7">
        <f t="shared" si="193"/>
        <v>8231.6</v>
      </c>
      <c r="S1761" s="7">
        <f t="shared" si="194"/>
        <v>316.60000000000002</v>
      </c>
      <c r="T1761" s="6">
        <f t="shared" si="195"/>
        <v>2.2707423580786028E-2</v>
      </c>
      <c r="V1761" t="s">
        <v>29</v>
      </c>
    </row>
    <row r="1762" spans="1:22">
      <c r="A1762" s="3">
        <v>45731</v>
      </c>
      <c r="B1762" t="str">
        <f t="shared" si="189"/>
        <v>yyyy-03</v>
      </c>
      <c r="C1762">
        <f t="shared" si="190"/>
        <v>11</v>
      </c>
      <c r="D1762" t="s">
        <v>24</v>
      </c>
      <c r="E1762" t="s">
        <v>40</v>
      </c>
      <c r="F1762" t="s">
        <v>41</v>
      </c>
      <c r="G1762" t="s">
        <v>27</v>
      </c>
      <c r="H1762" t="s">
        <v>45</v>
      </c>
      <c r="I1762" s="5">
        <v>576</v>
      </c>
      <c r="J1762" s="5">
        <v>396</v>
      </c>
      <c r="K1762" s="5">
        <v>42</v>
      </c>
      <c r="L1762" s="5">
        <v>14</v>
      </c>
      <c r="M1762" s="5">
        <v>16</v>
      </c>
      <c r="N1762" s="7">
        <v>181.87</v>
      </c>
      <c r="O1762" s="7">
        <f t="shared" si="191"/>
        <v>2909.92</v>
      </c>
      <c r="P1762" s="4">
        <v>0</v>
      </c>
      <c r="Q1762" s="7">
        <f t="shared" si="192"/>
        <v>0</v>
      </c>
      <c r="R1762" s="7">
        <f t="shared" si="193"/>
        <v>2909.92</v>
      </c>
      <c r="S1762" s="7">
        <f t="shared" si="194"/>
        <v>207.85142857142858</v>
      </c>
      <c r="T1762" s="6">
        <f t="shared" si="195"/>
        <v>2.4305555555555556E-2</v>
      </c>
      <c r="V1762" t="s">
        <v>29</v>
      </c>
    </row>
    <row r="1763" spans="1:22">
      <c r="A1763" s="3">
        <v>45731</v>
      </c>
      <c r="B1763" t="str">
        <f t="shared" si="189"/>
        <v>yyyy-03</v>
      </c>
      <c r="C1763">
        <f t="shared" si="190"/>
        <v>11</v>
      </c>
      <c r="D1763" t="s">
        <v>42</v>
      </c>
      <c r="E1763" t="s">
        <v>43</v>
      </c>
      <c r="F1763" t="s">
        <v>44</v>
      </c>
      <c r="G1763" t="s">
        <v>36</v>
      </c>
      <c r="H1763" t="s">
        <v>37</v>
      </c>
      <c r="I1763" s="5">
        <v>701</v>
      </c>
      <c r="J1763" s="5">
        <v>497</v>
      </c>
      <c r="K1763" s="5">
        <v>58</v>
      </c>
      <c r="L1763" s="5">
        <v>8</v>
      </c>
      <c r="M1763" s="5">
        <v>8</v>
      </c>
      <c r="N1763" s="7">
        <v>1300.31</v>
      </c>
      <c r="O1763" s="7">
        <f t="shared" si="191"/>
        <v>10402.48</v>
      </c>
      <c r="P1763" s="4">
        <v>0.03</v>
      </c>
      <c r="Q1763" s="7">
        <f t="shared" si="192"/>
        <v>312.07439999999997</v>
      </c>
      <c r="R1763" s="7">
        <f t="shared" si="193"/>
        <v>10090.4056</v>
      </c>
      <c r="S1763" s="7">
        <f t="shared" si="194"/>
        <v>1261.3007</v>
      </c>
      <c r="T1763" s="6">
        <f t="shared" si="195"/>
        <v>1.1412268188302425E-2</v>
      </c>
      <c r="V1763" t="s">
        <v>29</v>
      </c>
    </row>
    <row r="1764" spans="1:22">
      <c r="A1764" s="3">
        <v>45731</v>
      </c>
      <c r="B1764" t="str">
        <f t="shared" si="189"/>
        <v>yyyy-03</v>
      </c>
      <c r="C1764">
        <f t="shared" si="190"/>
        <v>11</v>
      </c>
      <c r="D1764" t="s">
        <v>42</v>
      </c>
      <c r="E1764" t="s">
        <v>43</v>
      </c>
      <c r="F1764" t="s">
        <v>46</v>
      </c>
      <c r="G1764" t="s">
        <v>27</v>
      </c>
      <c r="H1764" t="s">
        <v>45</v>
      </c>
      <c r="I1764" s="5">
        <v>598</v>
      </c>
      <c r="J1764" s="5">
        <v>464</v>
      </c>
      <c r="K1764" s="5">
        <v>39</v>
      </c>
      <c r="L1764" s="5">
        <v>7</v>
      </c>
      <c r="M1764" s="5">
        <v>7</v>
      </c>
      <c r="N1764" s="7">
        <v>2229.9899999999998</v>
      </c>
      <c r="O1764" s="7">
        <f t="shared" si="191"/>
        <v>15609.929999999998</v>
      </c>
      <c r="P1764" s="4">
        <v>0</v>
      </c>
      <c r="Q1764" s="7">
        <f t="shared" si="192"/>
        <v>0</v>
      </c>
      <c r="R1764" s="7">
        <f t="shared" si="193"/>
        <v>15609.929999999998</v>
      </c>
      <c r="S1764" s="7">
        <f t="shared" si="194"/>
        <v>2229.9899999999998</v>
      </c>
      <c r="T1764" s="6">
        <f t="shared" si="195"/>
        <v>1.1705685618729096E-2</v>
      </c>
      <c r="V1764" t="s">
        <v>29</v>
      </c>
    </row>
    <row r="1765" spans="1:22">
      <c r="A1765" s="3">
        <v>45731</v>
      </c>
      <c r="B1765" t="str">
        <f t="shared" si="189"/>
        <v>yyyy-03</v>
      </c>
      <c r="C1765">
        <f t="shared" si="190"/>
        <v>11</v>
      </c>
      <c r="D1765" t="s">
        <v>42</v>
      </c>
      <c r="E1765" t="s">
        <v>43</v>
      </c>
      <c r="F1765" t="s">
        <v>47</v>
      </c>
      <c r="G1765" t="s">
        <v>27</v>
      </c>
      <c r="H1765" t="s">
        <v>28</v>
      </c>
      <c r="I1765" s="5">
        <v>560</v>
      </c>
      <c r="J1765" s="5">
        <v>409</v>
      </c>
      <c r="K1765" s="5">
        <v>27</v>
      </c>
      <c r="L1765" s="5">
        <v>7</v>
      </c>
      <c r="M1765" s="5">
        <v>7</v>
      </c>
      <c r="N1765" s="7">
        <v>610.6</v>
      </c>
      <c r="O1765" s="7">
        <f t="shared" si="191"/>
        <v>4274.2</v>
      </c>
      <c r="P1765" s="4">
        <v>0</v>
      </c>
      <c r="Q1765" s="7">
        <f t="shared" si="192"/>
        <v>0</v>
      </c>
      <c r="R1765" s="7">
        <f t="shared" si="193"/>
        <v>4274.2</v>
      </c>
      <c r="S1765" s="7">
        <f t="shared" si="194"/>
        <v>610.6</v>
      </c>
      <c r="T1765" s="6">
        <f t="shared" si="195"/>
        <v>1.2500000000000001E-2</v>
      </c>
      <c r="V1765" t="s">
        <v>29</v>
      </c>
    </row>
    <row r="1766" spans="1:22">
      <c r="A1766" s="3">
        <v>45731</v>
      </c>
      <c r="B1766" t="str">
        <f t="shared" si="189"/>
        <v>yyyy-03</v>
      </c>
      <c r="C1766">
        <f t="shared" si="190"/>
        <v>11</v>
      </c>
      <c r="D1766" t="s">
        <v>42</v>
      </c>
      <c r="E1766" t="s">
        <v>49</v>
      </c>
      <c r="F1766" t="s">
        <v>50</v>
      </c>
      <c r="G1766" t="s">
        <v>27</v>
      </c>
      <c r="H1766" t="s">
        <v>28</v>
      </c>
      <c r="I1766" s="5">
        <v>181</v>
      </c>
      <c r="J1766" s="5">
        <v>148</v>
      </c>
      <c r="K1766" s="5">
        <v>10</v>
      </c>
      <c r="L1766" s="5">
        <v>2</v>
      </c>
      <c r="M1766" s="5">
        <v>2</v>
      </c>
      <c r="N1766" s="7">
        <v>1000.67</v>
      </c>
      <c r="O1766" s="7">
        <f t="shared" si="191"/>
        <v>2001.34</v>
      </c>
      <c r="P1766" s="4">
        <v>0</v>
      </c>
      <c r="Q1766" s="7">
        <f t="shared" si="192"/>
        <v>0</v>
      </c>
      <c r="R1766" s="7">
        <f t="shared" si="193"/>
        <v>2001.34</v>
      </c>
      <c r="S1766" s="7">
        <f t="shared" si="194"/>
        <v>1000.67</v>
      </c>
      <c r="T1766" s="6">
        <f t="shared" si="195"/>
        <v>1.1049723756906077E-2</v>
      </c>
      <c r="V1766" t="s">
        <v>29</v>
      </c>
    </row>
    <row r="1767" spans="1:22">
      <c r="A1767" s="3">
        <v>45731</v>
      </c>
      <c r="B1767" t="str">
        <f t="shared" si="189"/>
        <v>yyyy-03</v>
      </c>
      <c r="C1767">
        <f t="shared" si="190"/>
        <v>11</v>
      </c>
      <c r="D1767" t="s">
        <v>42</v>
      </c>
      <c r="E1767" t="s">
        <v>51</v>
      </c>
      <c r="F1767" t="s">
        <v>52</v>
      </c>
      <c r="G1767" t="s">
        <v>36</v>
      </c>
      <c r="H1767" t="s">
        <v>37</v>
      </c>
      <c r="I1767" s="5">
        <v>300</v>
      </c>
      <c r="J1767" s="5">
        <v>248</v>
      </c>
      <c r="K1767" s="5">
        <v>18</v>
      </c>
      <c r="L1767" s="5">
        <v>4</v>
      </c>
      <c r="M1767" s="5">
        <v>4</v>
      </c>
      <c r="N1767" s="7">
        <v>588.19000000000005</v>
      </c>
      <c r="O1767" s="7">
        <f t="shared" si="191"/>
        <v>2352.7600000000002</v>
      </c>
      <c r="P1767" s="4">
        <v>0.03</v>
      </c>
      <c r="Q1767" s="7">
        <f t="shared" si="192"/>
        <v>70.582800000000006</v>
      </c>
      <c r="R1767" s="7">
        <f t="shared" si="193"/>
        <v>2282.1772000000001</v>
      </c>
      <c r="S1767" s="7">
        <f t="shared" si="194"/>
        <v>570.54430000000002</v>
      </c>
      <c r="T1767" s="6">
        <f t="shared" si="195"/>
        <v>1.3333333333333334E-2</v>
      </c>
      <c r="V1767" t="s">
        <v>29</v>
      </c>
    </row>
    <row r="1768" spans="1:22">
      <c r="A1768" s="3">
        <v>45731</v>
      </c>
      <c r="B1768" t="str">
        <f t="shared" si="189"/>
        <v>yyyy-03</v>
      </c>
      <c r="C1768">
        <f t="shared" si="190"/>
        <v>11</v>
      </c>
      <c r="D1768" t="s">
        <v>53</v>
      </c>
      <c r="E1768" t="s">
        <v>54</v>
      </c>
      <c r="F1768" t="s">
        <v>55</v>
      </c>
      <c r="G1768" t="s">
        <v>27</v>
      </c>
      <c r="H1768" t="s">
        <v>63</v>
      </c>
      <c r="I1768" s="5">
        <v>152</v>
      </c>
      <c r="J1768" s="5">
        <v>124</v>
      </c>
      <c r="K1768" s="5">
        <v>7</v>
      </c>
      <c r="L1768" s="5">
        <v>2</v>
      </c>
      <c r="M1768" s="5">
        <v>2</v>
      </c>
      <c r="N1768" s="7">
        <v>1272.02</v>
      </c>
      <c r="O1768" s="7">
        <f t="shared" si="191"/>
        <v>2544.04</v>
      </c>
      <c r="P1768" s="4">
        <v>0</v>
      </c>
      <c r="Q1768" s="7">
        <f t="shared" si="192"/>
        <v>0</v>
      </c>
      <c r="R1768" s="7">
        <f t="shared" si="193"/>
        <v>2544.04</v>
      </c>
      <c r="S1768" s="7">
        <f t="shared" si="194"/>
        <v>1272.02</v>
      </c>
      <c r="T1768" s="6">
        <f t="shared" si="195"/>
        <v>1.3157894736842105E-2</v>
      </c>
      <c r="V1768" t="s">
        <v>29</v>
      </c>
    </row>
    <row r="1769" spans="1:22">
      <c r="A1769" s="3">
        <v>45731</v>
      </c>
      <c r="B1769" t="str">
        <f t="shared" si="189"/>
        <v>yyyy-03</v>
      </c>
      <c r="C1769">
        <f t="shared" si="190"/>
        <v>11</v>
      </c>
      <c r="D1769" t="s">
        <v>53</v>
      </c>
      <c r="E1769" t="s">
        <v>56</v>
      </c>
      <c r="F1769" t="s">
        <v>57</v>
      </c>
      <c r="G1769" t="s">
        <v>27</v>
      </c>
      <c r="H1769" t="s">
        <v>28</v>
      </c>
      <c r="I1769" s="5">
        <v>229</v>
      </c>
      <c r="J1769" s="5">
        <v>140</v>
      </c>
      <c r="K1769" s="5">
        <v>16</v>
      </c>
      <c r="L1769" s="5">
        <v>3</v>
      </c>
      <c r="M1769" s="5">
        <v>3</v>
      </c>
      <c r="N1769" s="7">
        <v>756.09</v>
      </c>
      <c r="O1769" s="7">
        <f t="shared" si="191"/>
        <v>2268.27</v>
      </c>
      <c r="P1769" s="4">
        <v>0.05</v>
      </c>
      <c r="Q1769" s="7">
        <f t="shared" si="192"/>
        <v>113.4135</v>
      </c>
      <c r="R1769" s="7">
        <f t="shared" si="193"/>
        <v>2154.8564999999999</v>
      </c>
      <c r="S1769" s="7">
        <f t="shared" si="194"/>
        <v>718.28549999999996</v>
      </c>
      <c r="T1769" s="6">
        <f t="shared" si="195"/>
        <v>1.3100436681222707E-2</v>
      </c>
      <c r="V1769" t="s">
        <v>29</v>
      </c>
    </row>
    <row r="1770" spans="1:22">
      <c r="A1770" s="3">
        <v>45731</v>
      </c>
      <c r="B1770" t="str">
        <f t="shared" si="189"/>
        <v>yyyy-03</v>
      </c>
      <c r="C1770">
        <f t="shared" si="190"/>
        <v>11</v>
      </c>
      <c r="D1770" t="s">
        <v>53</v>
      </c>
      <c r="E1770" t="s">
        <v>56</v>
      </c>
      <c r="F1770" t="s">
        <v>58</v>
      </c>
      <c r="G1770" t="s">
        <v>31</v>
      </c>
      <c r="H1770" t="s">
        <v>32</v>
      </c>
      <c r="I1770" s="5">
        <v>278</v>
      </c>
      <c r="J1770" s="5">
        <v>196</v>
      </c>
      <c r="K1770" s="5">
        <v>21</v>
      </c>
      <c r="L1770" s="5">
        <v>3</v>
      </c>
      <c r="M1770" s="5">
        <v>3</v>
      </c>
      <c r="N1770" s="7">
        <v>881.04</v>
      </c>
      <c r="O1770" s="7">
        <f t="shared" si="191"/>
        <v>2643.12</v>
      </c>
      <c r="P1770" s="4">
        <v>0</v>
      </c>
      <c r="Q1770" s="7">
        <f t="shared" si="192"/>
        <v>0</v>
      </c>
      <c r="R1770" s="7">
        <f t="shared" si="193"/>
        <v>2643.12</v>
      </c>
      <c r="S1770" s="7">
        <f t="shared" si="194"/>
        <v>881.04</v>
      </c>
      <c r="T1770" s="6">
        <f t="shared" si="195"/>
        <v>1.0791366906474821E-2</v>
      </c>
      <c r="V1770" t="s">
        <v>29</v>
      </c>
    </row>
    <row r="1771" spans="1:22">
      <c r="A1771" s="3">
        <v>45731</v>
      </c>
      <c r="B1771" t="str">
        <f t="shared" si="189"/>
        <v>yyyy-03</v>
      </c>
      <c r="C1771">
        <f t="shared" si="190"/>
        <v>11</v>
      </c>
      <c r="D1771" t="s">
        <v>53</v>
      </c>
      <c r="E1771" t="s">
        <v>59</v>
      </c>
      <c r="F1771" t="s">
        <v>60</v>
      </c>
      <c r="G1771" t="s">
        <v>31</v>
      </c>
      <c r="H1771" t="s">
        <v>32</v>
      </c>
      <c r="I1771" s="5">
        <v>180</v>
      </c>
      <c r="J1771" s="5">
        <v>98</v>
      </c>
      <c r="K1771" s="5">
        <v>10</v>
      </c>
      <c r="L1771" s="5">
        <v>2</v>
      </c>
      <c r="M1771" s="5">
        <v>2</v>
      </c>
      <c r="N1771" s="7">
        <v>679.52</v>
      </c>
      <c r="O1771" s="7">
        <f t="shared" si="191"/>
        <v>1359.04</v>
      </c>
      <c r="P1771" s="4">
        <v>0</v>
      </c>
      <c r="Q1771" s="7">
        <f t="shared" si="192"/>
        <v>0</v>
      </c>
      <c r="R1771" s="7">
        <f t="shared" si="193"/>
        <v>1359.04</v>
      </c>
      <c r="S1771" s="7">
        <f t="shared" si="194"/>
        <v>679.52</v>
      </c>
      <c r="T1771" s="6">
        <f t="shared" si="195"/>
        <v>1.1111111111111112E-2</v>
      </c>
      <c r="V1771" t="s">
        <v>29</v>
      </c>
    </row>
    <row r="1772" spans="1:22">
      <c r="A1772" s="3">
        <v>45731</v>
      </c>
      <c r="B1772" t="str">
        <f t="shared" si="189"/>
        <v>yyyy-03</v>
      </c>
      <c r="C1772">
        <f t="shared" si="190"/>
        <v>11</v>
      </c>
      <c r="D1772" t="s">
        <v>53</v>
      </c>
      <c r="E1772" t="s">
        <v>61</v>
      </c>
      <c r="F1772" t="s">
        <v>62</v>
      </c>
      <c r="G1772" t="s">
        <v>31</v>
      </c>
      <c r="H1772" t="s">
        <v>32</v>
      </c>
      <c r="I1772" s="5">
        <v>243</v>
      </c>
      <c r="J1772" s="5">
        <v>173</v>
      </c>
      <c r="K1772" s="5">
        <v>17</v>
      </c>
      <c r="L1772" s="5">
        <v>3</v>
      </c>
      <c r="M1772" s="5">
        <v>3</v>
      </c>
      <c r="N1772" s="7">
        <v>507.5</v>
      </c>
      <c r="O1772" s="7">
        <f t="shared" si="191"/>
        <v>1522.5</v>
      </c>
      <c r="P1772" s="4">
        <v>0.12</v>
      </c>
      <c r="Q1772" s="7">
        <f t="shared" si="192"/>
        <v>182.7</v>
      </c>
      <c r="R1772" s="7">
        <f t="shared" si="193"/>
        <v>1339.8</v>
      </c>
      <c r="S1772" s="7">
        <f t="shared" si="194"/>
        <v>446.59999999999997</v>
      </c>
      <c r="T1772" s="6">
        <f t="shared" si="195"/>
        <v>1.2345679012345678E-2</v>
      </c>
      <c r="U1772" t="s">
        <v>89</v>
      </c>
      <c r="V1772" t="s">
        <v>29</v>
      </c>
    </row>
    <row r="1773" spans="1:22">
      <c r="A1773" s="3">
        <v>45731</v>
      </c>
      <c r="B1773" t="str">
        <f t="shared" si="189"/>
        <v>yyyy-03</v>
      </c>
      <c r="C1773">
        <f t="shared" si="190"/>
        <v>11</v>
      </c>
      <c r="D1773" t="s">
        <v>53</v>
      </c>
      <c r="E1773" t="s">
        <v>64</v>
      </c>
      <c r="F1773" t="s">
        <v>65</v>
      </c>
      <c r="G1773" t="s">
        <v>31</v>
      </c>
      <c r="H1773" t="s">
        <v>32</v>
      </c>
      <c r="I1773" s="5">
        <v>269</v>
      </c>
      <c r="J1773" s="5">
        <v>191</v>
      </c>
      <c r="K1773" s="5">
        <v>21</v>
      </c>
      <c r="L1773" s="5">
        <v>4</v>
      </c>
      <c r="M1773" s="5">
        <v>4</v>
      </c>
      <c r="N1773" s="7">
        <v>805.51</v>
      </c>
      <c r="O1773" s="7">
        <f t="shared" si="191"/>
        <v>3222.04</v>
      </c>
      <c r="P1773" s="4">
        <v>0</v>
      </c>
      <c r="Q1773" s="7">
        <f t="shared" si="192"/>
        <v>0</v>
      </c>
      <c r="R1773" s="7">
        <f t="shared" si="193"/>
        <v>3222.04</v>
      </c>
      <c r="S1773" s="7">
        <f t="shared" si="194"/>
        <v>805.51</v>
      </c>
      <c r="T1773" s="6">
        <f t="shared" si="195"/>
        <v>1.4869888475836431E-2</v>
      </c>
      <c r="V1773" t="s">
        <v>29</v>
      </c>
    </row>
    <row r="1774" spans="1:22">
      <c r="A1774" s="3">
        <v>45731</v>
      </c>
      <c r="B1774" t="str">
        <f t="shared" si="189"/>
        <v>yyyy-03</v>
      </c>
      <c r="C1774">
        <f t="shared" si="190"/>
        <v>11</v>
      </c>
      <c r="D1774" t="s">
        <v>66</v>
      </c>
      <c r="E1774" t="s">
        <v>67</v>
      </c>
      <c r="F1774" t="s">
        <v>68</v>
      </c>
      <c r="G1774" t="s">
        <v>36</v>
      </c>
      <c r="H1774" t="s">
        <v>37</v>
      </c>
      <c r="I1774" s="5">
        <v>451</v>
      </c>
      <c r="J1774" s="5">
        <v>283</v>
      </c>
      <c r="K1774" s="5">
        <v>33</v>
      </c>
      <c r="L1774" s="5">
        <v>6</v>
      </c>
      <c r="M1774" s="5">
        <v>6</v>
      </c>
      <c r="N1774" s="7">
        <v>676.16</v>
      </c>
      <c r="O1774" s="7">
        <f t="shared" si="191"/>
        <v>4056.96</v>
      </c>
      <c r="P1774" s="4">
        <v>0</v>
      </c>
      <c r="Q1774" s="7">
        <f t="shared" si="192"/>
        <v>0</v>
      </c>
      <c r="R1774" s="7">
        <f t="shared" si="193"/>
        <v>4056.96</v>
      </c>
      <c r="S1774" s="7">
        <f t="shared" si="194"/>
        <v>676.16</v>
      </c>
      <c r="T1774" s="6">
        <f t="shared" si="195"/>
        <v>1.3303769401330377E-2</v>
      </c>
      <c r="V1774" t="s">
        <v>78</v>
      </c>
    </row>
    <row r="1775" spans="1:22">
      <c r="A1775" s="3">
        <v>45731</v>
      </c>
      <c r="B1775" t="str">
        <f t="shared" si="189"/>
        <v>yyyy-03</v>
      </c>
      <c r="C1775">
        <f t="shared" si="190"/>
        <v>11</v>
      </c>
      <c r="D1775" t="s">
        <v>66</v>
      </c>
      <c r="E1775" t="s">
        <v>67</v>
      </c>
      <c r="F1775" t="s">
        <v>69</v>
      </c>
      <c r="G1775" t="s">
        <v>27</v>
      </c>
      <c r="H1775" t="s">
        <v>28</v>
      </c>
      <c r="I1775" s="5">
        <v>311</v>
      </c>
      <c r="J1775" s="5">
        <v>234</v>
      </c>
      <c r="K1775" s="5">
        <v>14</v>
      </c>
      <c r="L1775" s="5">
        <v>4</v>
      </c>
      <c r="M1775" s="5">
        <v>4</v>
      </c>
      <c r="N1775" s="7">
        <v>395.35</v>
      </c>
      <c r="O1775" s="7">
        <f t="shared" si="191"/>
        <v>1581.4</v>
      </c>
      <c r="P1775" s="4">
        <v>0</v>
      </c>
      <c r="Q1775" s="7">
        <f t="shared" si="192"/>
        <v>0</v>
      </c>
      <c r="R1775" s="7">
        <f t="shared" si="193"/>
        <v>1581.4</v>
      </c>
      <c r="S1775" s="7">
        <f t="shared" si="194"/>
        <v>395.35</v>
      </c>
      <c r="T1775" s="6">
        <f t="shared" si="195"/>
        <v>1.2861736334405145E-2</v>
      </c>
      <c r="V1775" t="s">
        <v>29</v>
      </c>
    </row>
    <row r="1776" spans="1:22">
      <c r="A1776" s="3">
        <v>45731</v>
      </c>
      <c r="B1776" t="str">
        <f t="shared" si="189"/>
        <v>yyyy-03</v>
      </c>
      <c r="C1776">
        <f t="shared" si="190"/>
        <v>11</v>
      </c>
      <c r="D1776" t="s">
        <v>66</v>
      </c>
      <c r="E1776" t="s">
        <v>67</v>
      </c>
      <c r="F1776" t="s">
        <v>70</v>
      </c>
      <c r="G1776" t="s">
        <v>27</v>
      </c>
      <c r="H1776" t="s">
        <v>28</v>
      </c>
      <c r="I1776" s="5">
        <v>331</v>
      </c>
      <c r="J1776" s="5">
        <v>263</v>
      </c>
      <c r="K1776" s="5">
        <v>30</v>
      </c>
      <c r="L1776" s="5">
        <v>8</v>
      </c>
      <c r="M1776" s="5">
        <v>8</v>
      </c>
      <c r="N1776" s="7">
        <v>351.29</v>
      </c>
      <c r="O1776" s="7">
        <f t="shared" si="191"/>
        <v>2810.32</v>
      </c>
      <c r="P1776" s="4">
        <v>0</v>
      </c>
      <c r="Q1776" s="7">
        <f t="shared" si="192"/>
        <v>0</v>
      </c>
      <c r="R1776" s="7">
        <f t="shared" si="193"/>
        <v>2810.32</v>
      </c>
      <c r="S1776" s="7">
        <f t="shared" si="194"/>
        <v>351.29</v>
      </c>
      <c r="T1776" s="6">
        <f t="shared" si="195"/>
        <v>2.4169184290030211E-2</v>
      </c>
      <c r="V1776" t="s">
        <v>29</v>
      </c>
    </row>
    <row r="1777" spans="1:22">
      <c r="A1777" s="3">
        <v>45731</v>
      </c>
      <c r="B1777" t="str">
        <f t="shared" si="189"/>
        <v>yyyy-03</v>
      </c>
      <c r="C1777">
        <f t="shared" si="190"/>
        <v>11</v>
      </c>
      <c r="D1777" t="s">
        <v>66</v>
      </c>
      <c r="E1777" t="s">
        <v>71</v>
      </c>
      <c r="F1777" t="s">
        <v>72</v>
      </c>
      <c r="G1777" t="s">
        <v>36</v>
      </c>
      <c r="H1777" t="s">
        <v>37</v>
      </c>
      <c r="I1777" s="5">
        <v>341</v>
      </c>
      <c r="J1777" s="5">
        <v>257</v>
      </c>
      <c r="K1777" s="5">
        <v>28</v>
      </c>
      <c r="L1777" s="5">
        <v>6</v>
      </c>
      <c r="M1777" s="5">
        <v>7</v>
      </c>
      <c r="N1777" s="7">
        <v>129.31</v>
      </c>
      <c r="O1777" s="7">
        <f t="shared" si="191"/>
        <v>905.17000000000007</v>
      </c>
      <c r="P1777" s="4">
        <v>0</v>
      </c>
      <c r="Q1777" s="7">
        <f t="shared" si="192"/>
        <v>0</v>
      </c>
      <c r="R1777" s="7">
        <f t="shared" si="193"/>
        <v>905.17000000000007</v>
      </c>
      <c r="S1777" s="7">
        <f t="shared" si="194"/>
        <v>150.86166666666668</v>
      </c>
      <c r="T1777" s="6">
        <f t="shared" si="195"/>
        <v>1.7595307917888565E-2</v>
      </c>
      <c r="V1777" t="s">
        <v>29</v>
      </c>
    </row>
    <row r="1778" spans="1:22">
      <c r="A1778" s="3">
        <v>45731</v>
      </c>
      <c r="B1778" t="str">
        <f t="shared" si="189"/>
        <v>yyyy-03</v>
      </c>
      <c r="C1778">
        <f t="shared" si="190"/>
        <v>11</v>
      </c>
      <c r="D1778" t="s">
        <v>66</v>
      </c>
      <c r="E1778" t="s">
        <v>73</v>
      </c>
      <c r="F1778" t="s">
        <v>74</v>
      </c>
      <c r="G1778" t="s">
        <v>27</v>
      </c>
      <c r="H1778" t="s">
        <v>28</v>
      </c>
      <c r="I1778" s="5">
        <v>214</v>
      </c>
      <c r="J1778" s="5">
        <v>129</v>
      </c>
      <c r="K1778" s="5">
        <v>17</v>
      </c>
      <c r="L1778" s="5">
        <v>4</v>
      </c>
      <c r="M1778" s="5">
        <v>4</v>
      </c>
      <c r="N1778" s="7">
        <v>1177.21</v>
      </c>
      <c r="O1778" s="7">
        <f t="shared" si="191"/>
        <v>4708.84</v>
      </c>
      <c r="P1778" s="4">
        <v>0.05</v>
      </c>
      <c r="Q1778" s="7">
        <f t="shared" si="192"/>
        <v>235.44200000000001</v>
      </c>
      <c r="R1778" s="7">
        <f t="shared" si="193"/>
        <v>4473.3980000000001</v>
      </c>
      <c r="S1778" s="7">
        <f t="shared" si="194"/>
        <v>1118.3495</v>
      </c>
      <c r="T1778" s="6">
        <f t="shared" si="195"/>
        <v>1.8691588785046728E-2</v>
      </c>
      <c r="V1778" t="s">
        <v>29</v>
      </c>
    </row>
    <row r="1779" spans="1:22">
      <c r="A1779" s="3">
        <v>45731</v>
      </c>
      <c r="B1779" t="str">
        <f t="shared" si="189"/>
        <v>yyyy-03</v>
      </c>
      <c r="C1779">
        <f t="shared" si="190"/>
        <v>11</v>
      </c>
      <c r="D1779" t="s">
        <v>66</v>
      </c>
      <c r="E1779" t="s">
        <v>71</v>
      </c>
      <c r="F1779" t="s">
        <v>75</v>
      </c>
      <c r="G1779" t="s">
        <v>27</v>
      </c>
      <c r="H1779" t="s">
        <v>48</v>
      </c>
      <c r="I1779" s="5">
        <v>269</v>
      </c>
      <c r="J1779" s="5">
        <v>165</v>
      </c>
      <c r="K1779" s="5">
        <v>12</v>
      </c>
      <c r="L1779" s="5">
        <v>5</v>
      </c>
      <c r="M1779" s="5">
        <v>6</v>
      </c>
      <c r="N1779" s="7">
        <v>39.75</v>
      </c>
      <c r="O1779" s="7">
        <f t="shared" si="191"/>
        <v>238.5</v>
      </c>
      <c r="P1779" s="4">
        <v>0.05</v>
      </c>
      <c r="Q1779" s="7">
        <f t="shared" si="192"/>
        <v>11.925000000000001</v>
      </c>
      <c r="R1779" s="7">
        <f t="shared" si="193"/>
        <v>226.57499999999999</v>
      </c>
      <c r="S1779" s="7">
        <f t="shared" si="194"/>
        <v>45.314999999999998</v>
      </c>
      <c r="T1779" s="6">
        <f t="shared" si="195"/>
        <v>1.858736059479554E-2</v>
      </c>
      <c r="V1779" t="s">
        <v>29</v>
      </c>
    </row>
    <row r="1780" spans="1:22">
      <c r="A1780" s="3">
        <v>45731</v>
      </c>
      <c r="B1780" t="str">
        <f t="shared" si="189"/>
        <v>yyyy-03</v>
      </c>
      <c r="C1780">
        <f t="shared" si="190"/>
        <v>11</v>
      </c>
      <c r="D1780" t="s">
        <v>24</v>
      </c>
      <c r="E1780" t="s">
        <v>76</v>
      </c>
      <c r="F1780" t="s">
        <v>77</v>
      </c>
      <c r="G1780" t="s">
        <v>31</v>
      </c>
      <c r="H1780" t="s">
        <v>32</v>
      </c>
      <c r="I1780" s="5">
        <v>857</v>
      </c>
      <c r="J1780" s="5">
        <v>457</v>
      </c>
      <c r="K1780" s="5">
        <v>62</v>
      </c>
      <c r="L1780" s="5">
        <v>20</v>
      </c>
      <c r="M1780" s="5">
        <v>25</v>
      </c>
      <c r="N1780" s="7">
        <v>193.81</v>
      </c>
      <c r="O1780" s="7">
        <f t="shared" si="191"/>
        <v>4845.25</v>
      </c>
      <c r="P1780" s="4">
        <v>0</v>
      </c>
      <c r="Q1780" s="7">
        <f t="shared" si="192"/>
        <v>0</v>
      </c>
      <c r="R1780" s="7">
        <f t="shared" si="193"/>
        <v>4845.25</v>
      </c>
      <c r="S1780" s="7">
        <f t="shared" si="194"/>
        <v>242.26249999999999</v>
      </c>
      <c r="T1780" s="6">
        <f t="shared" si="195"/>
        <v>2.3337222870478413E-2</v>
      </c>
      <c r="V1780" t="s">
        <v>29</v>
      </c>
    </row>
    <row r="1781" spans="1:22">
      <c r="A1781" s="3">
        <v>45732</v>
      </c>
      <c r="B1781" t="str">
        <f t="shared" si="189"/>
        <v>yyyy-03</v>
      </c>
      <c r="C1781">
        <f t="shared" si="190"/>
        <v>11</v>
      </c>
      <c r="D1781" t="s">
        <v>24</v>
      </c>
      <c r="E1781" t="s">
        <v>25</v>
      </c>
      <c r="F1781" t="s">
        <v>26</v>
      </c>
      <c r="G1781" t="s">
        <v>27</v>
      </c>
      <c r="H1781" t="s">
        <v>63</v>
      </c>
      <c r="I1781" s="5">
        <v>1463</v>
      </c>
      <c r="J1781" s="5">
        <v>1135</v>
      </c>
      <c r="K1781" s="5">
        <v>193</v>
      </c>
      <c r="L1781" s="5">
        <v>42</v>
      </c>
      <c r="M1781" s="5">
        <v>42</v>
      </c>
      <c r="N1781" s="7">
        <v>959.37</v>
      </c>
      <c r="O1781" s="7">
        <f t="shared" si="191"/>
        <v>40293.54</v>
      </c>
      <c r="P1781" s="4">
        <v>0.13</v>
      </c>
      <c r="Q1781" s="7">
        <f t="shared" si="192"/>
        <v>5238.1602000000003</v>
      </c>
      <c r="R1781" s="7">
        <f t="shared" si="193"/>
        <v>35055.379800000002</v>
      </c>
      <c r="S1781" s="7">
        <f t="shared" si="194"/>
        <v>834.65190000000007</v>
      </c>
      <c r="T1781" s="6">
        <f t="shared" si="195"/>
        <v>2.8708133971291867E-2</v>
      </c>
      <c r="U1781" t="s">
        <v>88</v>
      </c>
      <c r="V1781" t="s">
        <v>29</v>
      </c>
    </row>
    <row r="1782" spans="1:22">
      <c r="A1782" s="3">
        <v>45732</v>
      </c>
      <c r="B1782" t="str">
        <f t="shared" si="189"/>
        <v>yyyy-03</v>
      </c>
      <c r="C1782">
        <f t="shared" si="190"/>
        <v>11</v>
      </c>
      <c r="D1782" t="s">
        <v>24</v>
      </c>
      <c r="E1782" t="s">
        <v>25</v>
      </c>
      <c r="F1782" t="s">
        <v>30</v>
      </c>
      <c r="G1782" t="s">
        <v>36</v>
      </c>
      <c r="H1782" t="s">
        <v>37</v>
      </c>
      <c r="I1782" s="5">
        <v>1438</v>
      </c>
      <c r="J1782" s="5">
        <v>838</v>
      </c>
      <c r="K1782" s="5">
        <v>106</v>
      </c>
      <c r="L1782" s="5">
        <v>29</v>
      </c>
      <c r="M1782" s="5">
        <v>29</v>
      </c>
      <c r="N1782" s="7">
        <v>385.44</v>
      </c>
      <c r="O1782" s="7">
        <f t="shared" si="191"/>
        <v>11177.76</v>
      </c>
      <c r="P1782" s="4">
        <v>0.13</v>
      </c>
      <c r="Q1782" s="7">
        <f t="shared" si="192"/>
        <v>1453.1088</v>
      </c>
      <c r="R1782" s="7">
        <f t="shared" si="193"/>
        <v>9724.6512000000002</v>
      </c>
      <c r="S1782" s="7">
        <f t="shared" si="194"/>
        <v>335.33280000000002</v>
      </c>
      <c r="T1782" s="6">
        <f t="shared" si="195"/>
        <v>2.0166898470097356E-2</v>
      </c>
      <c r="U1782" t="s">
        <v>88</v>
      </c>
      <c r="V1782" t="s">
        <v>78</v>
      </c>
    </row>
    <row r="1783" spans="1:22">
      <c r="A1783" s="3">
        <v>45732</v>
      </c>
      <c r="B1783" t="str">
        <f t="shared" si="189"/>
        <v>yyyy-03</v>
      </c>
      <c r="C1783">
        <f t="shared" si="190"/>
        <v>11</v>
      </c>
      <c r="D1783" t="s">
        <v>24</v>
      </c>
      <c r="E1783" t="s">
        <v>25</v>
      </c>
      <c r="F1783" t="s">
        <v>33</v>
      </c>
      <c r="G1783" t="s">
        <v>36</v>
      </c>
      <c r="H1783" t="s">
        <v>37</v>
      </c>
      <c r="I1783" s="5">
        <v>1568</v>
      </c>
      <c r="J1783" s="5">
        <v>1100</v>
      </c>
      <c r="K1783" s="5">
        <v>174</v>
      </c>
      <c r="L1783" s="5">
        <v>50</v>
      </c>
      <c r="M1783" s="5">
        <v>50</v>
      </c>
      <c r="N1783" s="7">
        <v>1818.83</v>
      </c>
      <c r="O1783" s="7">
        <f t="shared" si="191"/>
        <v>90941.5</v>
      </c>
      <c r="P1783" s="4">
        <v>0.13</v>
      </c>
      <c r="Q1783" s="7">
        <f t="shared" si="192"/>
        <v>11822.395</v>
      </c>
      <c r="R1783" s="7">
        <f t="shared" si="193"/>
        <v>79119.104999999996</v>
      </c>
      <c r="S1783" s="7">
        <f t="shared" si="194"/>
        <v>1582.3820999999998</v>
      </c>
      <c r="T1783" s="6">
        <f t="shared" si="195"/>
        <v>3.1887755102040817E-2</v>
      </c>
      <c r="U1783" t="s">
        <v>88</v>
      </c>
      <c r="V1783" t="s">
        <v>29</v>
      </c>
    </row>
    <row r="1784" spans="1:22">
      <c r="A1784" s="3">
        <v>45732</v>
      </c>
      <c r="B1784" t="str">
        <f t="shared" si="189"/>
        <v>yyyy-03</v>
      </c>
      <c r="C1784">
        <f t="shared" si="190"/>
        <v>11</v>
      </c>
      <c r="D1784" t="s">
        <v>24</v>
      </c>
      <c r="E1784" t="s">
        <v>34</v>
      </c>
      <c r="F1784" t="s">
        <v>35</v>
      </c>
      <c r="G1784" t="s">
        <v>27</v>
      </c>
      <c r="H1784" t="s">
        <v>63</v>
      </c>
      <c r="I1784" s="5">
        <v>740</v>
      </c>
      <c r="J1784" s="5">
        <v>591</v>
      </c>
      <c r="K1784" s="5">
        <v>75</v>
      </c>
      <c r="L1784" s="5">
        <v>18</v>
      </c>
      <c r="M1784" s="5">
        <v>18</v>
      </c>
      <c r="N1784" s="7">
        <v>885.33</v>
      </c>
      <c r="O1784" s="7">
        <f t="shared" si="191"/>
        <v>15935.94</v>
      </c>
      <c r="P1784" s="4">
        <v>0</v>
      </c>
      <c r="Q1784" s="7">
        <f t="shared" si="192"/>
        <v>0</v>
      </c>
      <c r="R1784" s="7">
        <f t="shared" si="193"/>
        <v>15935.94</v>
      </c>
      <c r="S1784" s="7">
        <f t="shared" si="194"/>
        <v>885.33</v>
      </c>
      <c r="T1784" s="6">
        <f t="shared" si="195"/>
        <v>2.4324324324324326E-2</v>
      </c>
      <c r="V1784" t="s">
        <v>29</v>
      </c>
    </row>
    <row r="1785" spans="1:22">
      <c r="A1785" s="3">
        <v>45732</v>
      </c>
      <c r="B1785" t="str">
        <f t="shared" si="189"/>
        <v>yyyy-03</v>
      </c>
      <c r="C1785">
        <f t="shared" si="190"/>
        <v>11</v>
      </c>
      <c r="D1785" t="s">
        <v>24</v>
      </c>
      <c r="E1785" t="s">
        <v>38</v>
      </c>
      <c r="F1785" t="s">
        <v>39</v>
      </c>
      <c r="G1785" t="s">
        <v>27</v>
      </c>
      <c r="H1785" t="s">
        <v>45</v>
      </c>
      <c r="I1785" s="5">
        <v>610</v>
      </c>
      <c r="J1785" s="5">
        <v>348</v>
      </c>
      <c r="K1785" s="5">
        <v>41</v>
      </c>
      <c r="L1785" s="5">
        <v>12</v>
      </c>
      <c r="M1785" s="5">
        <v>12</v>
      </c>
      <c r="N1785" s="7">
        <v>326.22000000000003</v>
      </c>
      <c r="O1785" s="7">
        <f t="shared" si="191"/>
        <v>3914.6400000000003</v>
      </c>
      <c r="P1785" s="4">
        <v>0</v>
      </c>
      <c r="Q1785" s="7">
        <f t="shared" si="192"/>
        <v>0</v>
      </c>
      <c r="R1785" s="7">
        <f t="shared" si="193"/>
        <v>3914.6400000000003</v>
      </c>
      <c r="S1785" s="7">
        <f t="shared" si="194"/>
        <v>326.22000000000003</v>
      </c>
      <c r="T1785" s="6">
        <f t="shared" si="195"/>
        <v>1.9672131147540985E-2</v>
      </c>
      <c r="V1785" t="s">
        <v>29</v>
      </c>
    </row>
    <row r="1786" spans="1:22">
      <c r="A1786" s="3">
        <v>45732</v>
      </c>
      <c r="B1786" t="str">
        <f t="shared" si="189"/>
        <v>yyyy-03</v>
      </c>
      <c r="C1786">
        <f t="shared" si="190"/>
        <v>11</v>
      </c>
      <c r="D1786" t="s">
        <v>24</v>
      </c>
      <c r="E1786" t="s">
        <v>40</v>
      </c>
      <c r="F1786" t="s">
        <v>41</v>
      </c>
      <c r="G1786" t="s">
        <v>27</v>
      </c>
      <c r="H1786" t="s">
        <v>45</v>
      </c>
      <c r="I1786" s="5">
        <v>690</v>
      </c>
      <c r="J1786" s="5">
        <v>531</v>
      </c>
      <c r="K1786" s="5">
        <v>57</v>
      </c>
      <c r="L1786" s="5">
        <v>11</v>
      </c>
      <c r="M1786" s="5">
        <v>12</v>
      </c>
      <c r="N1786" s="7">
        <v>178.35</v>
      </c>
      <c r="O1786" s="7">
        <f t="shared" si="191"/>
        <v>2140.1999999999998</v>
      </c>
      <c r="P1786" s="4">
        <v>0</v>
      </c>
      <c r="Q1786" s="7">
        <f t="shared" si="192"/>
        <v>0</v>
      </c>
      <c r="R1786" s="7">
        <f t="shared" si="193"/>
        <v>2140.1999999999998</v>
      </c>
      <c r="S1786" s="7">
        <f t="shared" si="194"/>
        <v>194.56363636363633</v>
      </c>
      <c r="T1786" s="6">
        <f t="shared" si="195"/>
        <v>1.5942028985507246E-2</v>
      </c>
      <c r="V1786" t="s">
        <v>29</v>
      </c>
    </row>
    <row r="1787" spans="1:22">
      <c r="A1787" s="3">
        <v>45732</v>
      </c>
      <c r="B1787" t="str">
        <f t="shared" si="189"/>
        <v>yyyy-03</v>
      </c>
      <c r="C1787">
        <f t="shared" si="190"/>
        <v>11</v>
      </c>
      <c r="D1787" t="s">
        <v>42</v>
      </c>
      <c r="E1787" t="s">
        <v>43</v>
      </c>
      <c r="F1787" t="s">
        <v>44</v>
      </c>
      <c r="G1787" t="s">
        <v>27</v>
      </c>
      <c r="H1787" t="s">
        <v>48</v>
      </c>
      <c r="I1787" s="5">
        <v>199</v>
      </c>
      <c r="J1787" s="5">
        <v>103</v>
      </c>
      <c r="K1787" s="5">
        <v>3</v>
      </c>
      <c r="L1787" s="5">
        <v>0</v>
      </c>
      <c r="M1787" s="5">
        <v>0</v>
      </c>
      <c r="N1787" s="7">
        <v>1259.52</v>
      </c>
      <c r="O1787" s="7">
        <f t="shared" si="191"/>
        <v>0</v>
      </c>
      <c r="P1787" s="4">
        <v>0.05</v>
      </c>
      <c r="Q1787" s="7">
        <f t="shared" si="192"/>
        <v>0</v>
      </c>
      <c r="R1787" s="7">
        <f t="shared" si="193"/>
        <v>0</v>
      </c>
      <c r="S1787" s="7">
        <f t="shared" si="194"/>
        <v>0</v>
      </c>
      <c r="T1787" s="6">
        <f t="shared" si="195"/>
        <v>0</v>
      </c>
      <c r="V1787" t="s">
        <v>81</v>
      </c>
    </row>
    <row r="1788" spans="1:22">
      <c r="A1788" s="3">
        <v>45732</v>
      </c>
      <c r="B1788" t="str">
        <f t="shared" si="189"/>
        <v>yyyy-03</v>
      </c>
      <c r="C1788">
        <f t="shared" si="190"/>
        <v>11</v>
      </c>
      <c r="D1788" t="s">
        <v>42</v>
      </c>
      <c r="E1788" t="s">
        <v>43</v>
      </c>
      <c r="F1788" t="s">
        <v>46</v>
      </c>
      <c r="G1788" t="s">
        <v>27</v>
      </c>
      <c r="H1788" t="s">
        <v>45</v>
      </c>
      <c r="I1788" s="5">
        <v>522</v>
      </c>
      <c r="J1788" s="5">
        <v>357</v>
      </c>
      <c r="K1788" s="5">
        <v>34</v>
      </c>
      <c r="L1788" s="5">
        <v>9</v>
      </c>
      <c r="M1788" s="5">
        <v>9</v>
      </c>
      <c r="N1788" s="7">
        <v>2198.8000000000002</v>
      </c>
      <c r="O1788" s="7">
        <f t="shared" si="191"/>
        <v>19789.2</v>
      </c>
      <c r="P1788" s="4">
        <v>0</v>
      </c>
      <c r="Q1788" s="7">
        <f t="shared" si="192"/>
        <v>0</v>
      </c>
      <c r="R1788" s="7">
        <f t="shared" si="193"/>
        <v>19789.2</v>
      </c>
      <c r="S1788" s="7">
        <f t="shared" si="194"/>
        <v>2198.8000000000002</v>
      </c>
      <c r="T1788" s="6">
        <f t="shared" si="195"/>
        <v>1.7241379310344827E-2</v>
      </c>
      <c r="V1788" t="s">
        <v>29</v>
      </c>
    </row>
    <row r="1789" spans="1:22">
      <c r="A1789" s="3">
        <v>45732</v>
      </c>
      <c r="B1789" t="str">
        <f t="shared" si="189"/>
        <v>yyyy-03</v>
      </c>
      <c r="C1789">
        <f t="shared" si="190"/>
        <v>11</v>
      </c>
      <c r="D1789" t="s">
        <v>42</v>
      </c>
      <c r="E1789" t="s">
        <v>43</v>
      </c>
      <c r="F1789" t="s">
        <v>47</v>
      </c>
      <c r="G1789" t="s">
        <v>31</v>
      </c>
      <c r="H1789" t="s">
        <v>32</v>
      </c>
      <c r="I1789" s="5">
        <v>562</v>
      </c>
      <c r="J1789" s="5">
        <v>422</v>
      </c>
      <c r="K1789" s="5">
        <v>33</v>
      </c>
      <c r="L1789" s="5">
        <v>7</v>
      </c>
      <c r="M1789" s="5">
        <v>7</v>
      </c>
      <c r="N1789" s="7">
        <v>588.66</v>
      </c>
      <c r="O1789" s="7">
        <f t="shared" si="191"/>
        <v>4120.62</v>
      </c>
      <c r="P1789" s="4">
        <v>0</v>
      </c>
      <c r="Q1789" s="7">
        <f t="shared" si="192"/>
        <v>0</v>
      </c>
      <c r="R1789" s="7">
        <f t="shared" si="193"/>
        <v>4120.62</v>
      </c>
      <c r="S1789" s="7">
        <f t="shared" si="194"/>
        <v>588.66</v>
      </c>
      <c r="T1789" s="6">
        <f t="shared" si="195"/>
        <v>1.2455516014234875E-2</v>
      </c>
      <c r="V1789" t="s">
        <v>29</v>
      </c>
    </row>
    <row r="1790" spans="1:22">
      <c r="A1790" s="3">
        <v>45732</v>
      </c>
      <c r="B1790" t="str">
        <f t="shared" si="189"/>
        <v>yyyy-03</v>
      </c>
      <c r="C1790">
        <f t="shared" si="190"/>
        <v>11</v>
      </c>
      <c r="D1790" t="s">
        <v>42</v>
      </c>
      <c r="E1790" t="s">
        <v>49</v>
      </c>
      <c r="F1790" t="s">
        <v>50</v>
      </c>
      <c r="G1790" t="s">
        <v>27</v>
      </c>
      <c r="H1790" t="s">
        <v>48</v>
      </c>
      <c r="I1790" s="5">
        <v>137</v>
      </c>
      <c r="J1790" s="5">
        <v>97</v>
      </c>
      <c r="K1790" s="5">
        <v>9</v>
      </c>
      <c r="L1790" s="5">
        <v>2</v>
      </c>
      <c r="M1790" s="5">
        <v>2</v>
      </c>
      <c r="N1790" s="7">
        <v>986.23</v>
      </c>
      <c r="O1790" s="7">
        <f t="shared" si="191"/>
        <v>1972.46</v>
      </c>
      <c r="P1790" s="4">
        <v>0</v>
      </c>
      <c r="Q1790" s="7">
        <f t="shared" si="192"/>
        <v>0</v>
      </c>
      <c r="R1790" s="7">
        <f t="shared" si="193"/>
        <v>1972.46</v>
      </c>
      <c r="S1790" s="7">
        <f t="shared" si="194"/>
        <v>986.23</v>
      </c>
      <c r="T1790" s="6">
        <f t="shared" si="195"/>
        <v>1.4598540145985401E-2</v>
      </c>
      <c r="V1790" t="s">
        <v>29</v>
      </c>
    </row>
    <row r="1791" spans="1:22">
      <c r="A1791" s="3">
        <v>45732</v>
      </c>
      <c r="B1791" t="str">
        <f t="shared" si="189"/>
        <v>yyyy-03</v>
      </c>
      <c r="C1791">
        <f t="shared" si="190"/>
        <v>11</v>
      </c>
      <c r="D1791" t="s">
        <v>42</v>
      </c>
      <c r="E1791" t="s">
        <v>51</v>
      </c>
      <c r="F1791" t="s">
        <v>52</v>
      </c>
      <c r="G1791" t="s">
        <v>27</v>
      </c>
      <c r="H1791" t="s">
        <v>48</v>
      </c>
      <c r="I1791" s="5">
        <v>240</v>
      </c>
      <c r="J1791" s="5">
        <v>189</v>
      </c>
      <c r="K1791" s="5">
        <v>20</v>
      </c>
      <c r="L1791" s="5">
        <v>4</v>
      </c>
      <c r="M1791" s="5">
        <v>4</v>
      </c>
      <c r="N1791" s="7">
        <v>581.35</v>
      </c>
      <c r="O1791" s="7">
        <f t="shared" si="191"/>
        <v>2325.4</v>
      </c>
      <c r="P1791" s="4">
        <v>0.03</v>
      </c>
      <c r="Q1791" s="7">
        <f t="shared" si="192"/>
        <v>69.762</v>
      </c>
      <c r="R1791" s="7">
        <f t="shared" si="193"/>
        <v>2255.6379999999999</v>
      </c>
      <c r="S1791" s="7">
        <f t="shared" si="194"/>
        <v>563.90949999999998</v>
      </c>
      <c r="T1791" s="6">
        <f t="shared" si="195"/>
        <v>1.6666666666666666E-2</v>
      </c>
      <c r="V1791" t="s">
        <v>29</v>
      </c>
    </row>
    <row r="1792" spans="1:22">
      <c r="A1792" s="3">
        <v>45732</v>
      </c>
      <c r="B1792" t="str">
        <f t="shared" si="189"/>
        <v>yyyy-03</v>
      </c>
      <c r="C1792">
        <f t="shared" si="190"/>
        <v>11</v>
      </c>
      <c r="D1792" t="s">
        <v>53</v>
      </c>
      <c r="E1792" t="s">
        <v>54</v>
      </c>
      <c r="F1792" t="s">
        <v>55</v>
      </c>
      <c r="G1792" t="s">
        <v>36</v>
      </c>
      <c r="H1792" t="s">
        <v>37</v>
      </c>
      <c r="I1792" s="5">
        <v>224</v>
      </c>
      <c r="J1792" s="5">
        <v>171</v>
      </c>
      <c r="K1792" s="5">
        <v>16</v>
      </c>
      <c r="L1792" s="5">
        <v>3</v>
      </c>
      <c r="M1792" s="5">
        <v>3</v>
      </c>
      <c r="N1792" s="7">
        <v>1322.38</v>
      </c>
      <c r="O1792" s="7">
        <f t="shared" si="191"/>
        <v>3967.1400000000003</v>
      </c>
      <c r="P1792" s="4">
        <v>0</v>
      </c>
      <c r="Q1792" s="7">
        <f t="shared" si="192"/>
        <v>0</v>
      </c>
      <c r="R1792" s="7">
        <f t="shared" si="193"/>
        <v>3967.1400000000003</v>
      </c>
      <c r="S1792" s="7">
        <f t="shared" si="194"/>
        <v>1322.38</v>
      </c>
      <c r="T1792" s="6">
        <f t="shared" si="195"/>
        <v>1.3392857142857142E-2</v>
      </c>
      <c r="V1792" t="s">
        <v>29</v>
      </c>
    </row>
    <row r="1793" spans="1:22">
      <c r="A1793" s="3">
        <v>45732</v>
      </c>
      <c r="B1793" t="str">
        <f t="shared" si="189"/>
        <v>yyyy-03</v>
      </c>
      <c r="C1793">
        <f t="shared" si="190"/>
        <v>11</v>
      </c>
      <c r="D1793" t="s">
        <v>53</v>
      </c>
      <c r="E1793" t="s">
        <v>56</v>
      </c>
      <c r="F1793" t="s">
        <v>57</v>
      </c>
      <c r="G1793" t="s">
        <v>27</v>
      </c>
      <c r="H1793" t="s">
        <v>63</v>
      </c>
      <c r="I1793" s="5">
        <v>178</v>
      </c>
      <c r="J1793" s="5">
        <v>123</v>
      </c>
      <c r="K1793" s="5">
        <v>14</v>
      </c>
      <c r="L1793" s="5">
        <v>2</v>
      </c>
      <c r="M1793" s="5">
        <v>2</v>
      </c>
      <c r="N1793" s="7">
        <v>761.97</v>
      </c>
      <c r="O1793" s="7">
        <f t="shared" si="191"/>
        <v>1523.94</v>
      </c>
      <c r="P1793" s="4">
        <v>0</v>
      </c>
      <c r="Q1793" s="7">
        <f t="shared" si="192"/>
        <v>0</v>
      </c>
      <c r="R1793" s="7">
        <f t="shared" si="193"/>
        <v>1523.94</v>
      </c>
      <c r="S1793" s="7">
        <f t="shared" si="194"/>
        <v>761.97</v>
      </c>
      <c r="T1793" s="6">
        <f t="shared" si="195"/>
        <v>1.1235955056179775E-2</v>
      </c>
      <c r="V1793" t="s">
        <v>29</v>
      </c>
    </row>
    <row r="1794" spans="1:22">
      <c r="A1794" s="3">
        <v>45732</v>
      </c>
      <c r="B1794" t="str">
        <f t="shared" si="189"/>
        <v>yyyy-03</v>
      </c>
      <c r="C1794">
        <f t="shared" si="190"/>
        <v>11</v>
      </c>
      <c r="D1794" t="s">
        <v>53</v>
      </c>
      <c r="E1794" t="s">
        <v>56</v>
      </c>
      <c r="F1794" t="s">
        <v>58</v>
      </c>
      <c r="G1794" t="s">
        <v>27</v>
      </c>
      <c r="H1794" t="s">
        <v>45</v>
      </c>
      <c r="I1794" s="5">
        <v>243</v>
      </c>
      <c r="J1794" s="5">
        <v>170</v>
      </c>
      <c r="K1794" s="5">
        <v>14</v>
      </c>
      <c r="L1794" s="5">
        <v>3</v>
      </c>
      <c r="M1794" s="5">
        <v>3</v>
      </c>
      <c r="N1794" s="7">
        <v>875.79</v>
      </c>
      <c r="O1794" s="7">
        <f t="shared" si="191"/>
        <v>2627.37</v>
      </c>
      <c r="P1794" s="4">
        <v>0</v>
      </c>
      <c r="Q1794" s="7">
        <f t="shared" si="192"/>
        <v>0</v>
      </c>
      <c r="R1794" s="7">
        <f t="shared" si="193"/>
        <v>2627.37</v>
      </c>
      <c r="S1794" s="7">
        <f t="shared" si="194"/>
        <v>875.79</v>
      </c>
      <c r="T1794" s="6">
        <f t="shared" si="195"/>
        <v>1.2345679012345678E-2</v>
      </c>
      <c r="V1794" t="s">
        <v>29</v>
      </c>
    </row>
    <row r="1795" spans="1:22">
      <c r="A1795" s="3">
        <v>45732</v>
      </c>
      <c r="B1795" t="str">
        <f t="shared" si="189"/>
        <v>yyyy-03</v>
      </c>
      <c r="C1795">
        <f t="shared" si="190"/>
        <v>11</v>
      </c>
      <c r="D1795" t="s">
        <v>53</v>
      </c>
      <c r="E1795" t="s">
        <v>59</v>
      </c>
      <c r="F1795" t="s">
        <v>60</v>
      </c>
      <c r="G1795" t="s">
        <v>31</v>
      </c>
      <c r="H1795" t="s">
        <v>32</v>
      </c>
      <c r="I1795" s="5">
        <v>251</v>
      </c>
      <c r="J1795" s="5">
        <v>197</v>
      </c>
      <c r="K1795" s="5">
        <v>23</v>
      </c>
      <c r="L1795" s="5">
        <v>3</v>
      </c>
      <c r="M1795" s="5">
        <v>3</v>
      </c>
      <c r="N1795" s="7">
        <v>682.23</v>
      </c>
      <c r="O1795" s="7">
        <f t="shared" si="191"/>
        <v>2046.69</v>
      </c>
      <c r="P1795" s="4">
        <v>0.05</v>
      </c>
      <c r="Q1795" s="7">
        <f t="shared" si="192"/>
        <v>102.33450000000001</v>
      </c>
      <c r="R1795" s="7">
        <f t="shared" si="193"/>
        <v>1944.3555000000001</v>
      </c>
      <c r="S1795" s="7">
        <f t="shared" si="194"/>
        <v>648.11850000000004</v>
      </c>
      <c r="T1795" s="6">
        <f t="shared" si="195"/>
        <v>1.1952191235059761E-2</v>
      </c>
      <c r="V1795" t="s">
        <v>29</v>
      </c>
    </row>
    <row r="1796" spans="1:22">
      <c r="A1796" s="3">
        <v>45732</v>
      </c>
      <c r="B1796" t="str">
        <f t="shared" si="189"/>
        <v>yyyy-03</v>
      </c>
      <c r="C1796">
        <f t="shared" si="190"/>
        <v>11</v>
      </c>
      <c r="D1796" t="s">
        <v>53</v>
      </c>
      <c r="E1796" t="s">
        <v>61</v>
      </c>
      <c r="F1796" t="s">
        <v>62</v>
      </c>
      <c r="G1796" t="s">
        <v>31</v>
      </c>
      <c r="H1796" t="s">
        <v>32</v>
      </c>
      <c r="I1796" s="5">
        <v>205</v>
      </c>
      <c r="J1796" s="5">
        <v>136</v>
      </c>
      <c r="K1796" s="5">
        <v>10</v>
      </c>
      <c r="L1796" s="5">
        <v>3</v>
      </c>
      <c r="M1796" s="5">
        <v>3</v>
      </c>
      <c r="N1796" s="7">
        <v>490.81</v>
      </c>
      <c r="O1796" s="7">
        <f t="shared" si="191"/>
        <v>1472.43</v>
      </c>
      <c r="P1796" s="4">
        <v>0.12</v>
      </c>
      <c r="Q1796" s="7">
        <f t="shared" si="192"/>
        <v>176.69159999999999</v>
      </c>
      <c r="R1796" s="7">
        <f t="shared" si="193"/>
        <v>1295.7384000000002</v>
      </c>
      <c r="S1796" s="7">
        <f t="shared" si="194"/>
        <v>431.91280000000006</v>
      </c>
      <c r="T1796" s="6">
        <f t="shared" si="195"/>
        <v>1.4634146341463415E-2</v>
      </c>
      <c r="U1796" t="s">
        <v>89</v>
      </c>
      <c r="V1796" t="s">
        <v>29</v>
      </c>
    </row>
    <row r="1797" spans="1:22">
      <c r="A1797" s="3">
        <v>45732</v>
      </c>
      <c r="B1797" t="str">
        <f t="shared" ref="B1797:B1860" si="196">TEXT(A1797,"yyyy-mm")</f>
        <v>yyyy-03</v>
      </c>
      <c r="C1797">
        <f t="shared" ref="C1797:C1860" si="197">WEEKNUM(A1797,2)</f>
        <v>11</v>
      </c>
      <c r="D1797" t="s">
        <v>53</v>
      </c>
      <c r="E1797" t="s">
        <v>64</v>
      </c>
      <c r="F1797" t="s">
        <v>65</v>
      </c>
      <c r="G1797" t="s">
        <v>31</v>
      </c>
      <c r="H1797" t="s">
        <v>32</v>
      </c>
      <c r="I1797" s="5">
        <v>270</v>
      </c>
      <c r="J1797" s="5">
        <v>208</v>
      </c>
      <c r="K1797" s="5">
        <v>20</v>
      </c>
      <c r="L1797" s="5">
        <v>3</v>
      </c>
      <c r="M1797" s="5">
        <v>3</v>
      </c>
      <c r="N1797" s="7">
        <v>775.69</v>
      </c>
      <c r="O1797" s="7">
        <f t="shared" ref="O1797:O1860" si="198">M1797*N1797</f>
        <v>2327.0700000000002</v>
      </c>
      <c r="P1797" s="4">
        <v>0</v>
      </c>
      <c r="Q1797" s="7">
        <f t="shared" ref="Q1797:Q1860" si="199">O1797*P1797</f>
        <v>0</v>
      </c>
      <c r="R1797" s="7">
        <f t="shared" ref="R1797:R1860" si="200">O1797-Q1797</f>
        <v>2327.0700000000002</v>
      </c>
      <c r="S1797" s="7">
        <f t="shared" ref="S1797:S1860" si="201">IFERROR(R1797/L1797,0)</f>
        <v>775.69</v>
      </c>
      <c r="T1797" s="6">
        <f t="shared" ref="T1797:T1860" si="202">IFERROR(L1797/I1797,0)</f>
        <v>1.1111111111111112E-2</v>
      </c>
      <c r="V1797" t="s">
        <v>29</v>
      </c>
    </row>
    <row r="1798" spans="1:22">
      <c r="A1798" s="3">
        <v>45732</v>
      </c>
      <c r="B1798" t="str">
        <f t="shared" si="196"/>
        <v>yyyy-03</v>
      </c>
      <c r="C1798">
        <f t="shared" si="197"/>
        <v>11</v>
      </c>
      <c r="D1798" t="s">
        <v>66</v>
      </c>
      <c r="E1798" t="s">
        <v>67</v>
      </c>
      <c r="F1798" t="s">
        <v>68</v>
      </c>
      <c r="G1798" t="s">
        <v>36</v>
      </c>
      <c r="H1798" t="s">
        <v>37</v>
      </c>
      <c r="I1798" s="5">
        <v>490</v>
      </c>
      <c r="J1798" s="5">
        <v>283</v>
      </c>
      <c r="K1798" s="5">
        <v>15</v>
      </c>
      <c r="L1798" s="5">
        <v>7</v>
      </c>
      <c r="M1798" s="5">
        <v>7</v>
      </c>
      <c r="N1798" s="7">
        <v>681.38</v>
      </c>
      <c r="O1798" s="7">
        <f t="shared" si="198"/>
        <v>4769.66</v>
      </c>
      <c r="P1798" s="4">
        <v>0.03</v>
      </c>
      <c r="Q1798" s="7">
        <f t="shared" si="199"/>
        <v>143.0898</v>
      </c>
      <c r="R1798" s="7">
        <f t="shared" si="200"/>
        <v>4626.5702000000001</v>
      </c>
      <c r="S1798" s="7">
        <f t="shared" si="201"/>
        <v>660.93860000000006</v>
      </c>
      <c r="T1798" s="6">
        <f t="shared" si="202"/>
        <v>1.4285714285714285E-2</v>
      </c>
      <c r="V1798" t="s">
        <v>29</v>
      </c>
    </row>
    <row r="1799" spans="1:22">
      <c r="A1799" s="3">
        <v>45732</v>
      </c>
      <c r="B1799" t="str">
        <f t="shared" si="196"/>
        <v>yyyy-03</v>
      </c>
      <c r="C1799">
        <f t="shared" si="197"/>
        <v>11</v>
      </c>
      <c r="D1799" t="s">
        <v>66</v>
      </c>
      <c r="E1799" t="s">
        <v>67</v>
      </c>
      <c r="F1799" t="s">
        <v>69</v>
      </c>
      <c r="G1799" t="s">
        <v>27</v>
      </c>
      <c r="H1799" t="s">
        <v>48</v>
      </c>
      <c r="I1799" s="5">
        <v>377</v>
      </c>
      <c r="J1799" s="5">
        <v>221</v>
      </c>
      <c r="K1799" s="5">
        <v>36</v>
      </c>
      <c r="L1799" s="5">
        <v>8</v>
      </c>
      <c r="M1799" s="5">
        <v>8</v>
      </c>
      <c r="N1799" s="7">
        <v>405.81</v>
      </c>
      <c r="O1799" s="7">
        <f t="shared" si="198"/>
        <v>3246.48</v>
      </c>
      <c r="P1799" s="4">
        <v>0</v>
      </c>
      <c r="Q1799" s="7">
        <f t="shared" si="199"/>
        <v>0</v>
      </c>
      <c r="R1799" s="7">
        <f t="shared" si="200"/>
        <v>3246.48</v>
      </c>
      <c r="S1799" s="7">
        <f t="shared" si="201"/>
        <v>405.81</v>
      </c>
      <c r="T1799" s="6">
        <f t="shared" si="202"/>
        <v>2.1220159151193633E-2</v>
      </c>
      <c r="V1799" t="s">
        <v>29</v>
      </c>
    </row>
    <row r="1800" spans="1:22">
      <c r="A1800" s="3">
        <v>45732</v>
      </c>
      <c r="B1800" t="str">
        <f t="shared" si="196"/>
        <v>yyyy-03</v>
      </c>
      <c r="C1800">
        <f t="shared" si="197"/>
        <v>11</v>
      </c>
      <c r="D1800" t="s">
        <v>66</v>
      </c>
      <c r="E1800" t="s">
        <v>67</v>
      </c>
      <c r="F1800" t="s">
        <v>70</v>
      </c>
      <c r="G1800" t="s">
        <v>27</v>
      </c>
      <c r="H1800" t="s">
        <v>63</v>
      </c>
      <c r="I1800" s="5">
        <v>250</v>
      </c>
      <c r="J1800" s="5">
        <v>141</v>
      </c>
      <c r="K1800" s="5">
        <v>21</v>
      </c>
      <c r="L1800" s="5">
        <v>5</v>
      </c>
      <c r="M1800" s="5">
        <v>5</v>
      </c>
      <c r="N1800" s="7">
        <v>351.65</v>
      </c>
      <c r="O1800" s="7">
        <f t="shared" si="198"/>
        <v>1758.25</v>
      </c>
      <c r="P1800" s="4">
        <v>0.03</v>
      </c>
      <c r="Q1800" s="7">
        <f t="shared" si="199"/>
        <v>52.747499999999995</v>
      </c>
      <c r="R1800" s="7">
        <f t="shared" si="200"/>
        <v>1705.5025000000001</v>
      </c>
      <c r="S1800" s="7">
        <f t="shared" si="201"/>
        <v>341.10050000000001</v>
      </c>
      <c r="T1800" s="6">
        <f t="shared" si="202"/>
        <v>0.02</v>
      </c>
      <c r="V1800" t="s">
        <v>29</v>
      </c>
    </row>
    <row r="1801" spans="1:22">
      <c r="A1801" s="3">
        <v>45732</v>
      </c>
      <c r="B1801" t="str">
        <f t="shared" si="196"/>
        <v>yyyy-03</v>
      </c>
      <c r="C1801">
        <f t="shared" si="197"/>
        <v>11</v>
      </c>
      <c r="D1801" t="s">
        <v>66</v>
      </c>
      <c r="E1801" t="s">
        <v>71</v>
      </c>
      <c r="F1801" t="s">
        <v>72</v>
      </c>
      <c r="G1801" t="s">
        <v>36</v>
      </c>
      <c r="H1801" t="s">
        <v>37</v>
      </c>
      <c r="I1801" s="5">
        <v>359</v>
      </c>
      <c r="J1801" s="5">
        <v>284</v>
      </c>
      <c r="K1801" s="5">
        <v>25</v>
      </c>
      <c r="L1801" s="5">
        <v>6</v>
      </c>
      <c r="M1801" s="5">
        <v>8</v>
      </c>
      <c r="N1801" s="7">
        <v>130.69</v>
      </c>
      <c r="O1801" s="7">
        <f t="shared" si="198"/>
        <v>1045.52</v>
      </c>
      <c r="P1801" s="4">
        <v>0.05</v>
      </c>
      <c r="Q1801" s="7">
        <f t="shared" si="199"/>
        <v>52.276000000000003</v>
      </c>
      <c r="R1801" s="7">
        <f t="shared" si="200"/>
        <v>993.24400000000003</v>
      </c>
      <c r="S1801" s="7">
        <f t="shared" si="201"/>
        <v>165.54066666666668</v>
      </c>
      <c r="T1801" s="6">
        <f t="shared" si="202"/>
        <v>1.6713091922005572E-2</v>
      </c>
      <c r="V1801" t="s">
        <v>29</v>
      </c>
    </row>
    <row r="1802" spans="1:22">
      <c r="A1802" s="3">
        <v>45732</v>
      </c>
      <c r="B1802" t="str">
        <f t="shared" si="196"/>
        <v>yyyy-03</v>
      </c>
      <c r="C1802">
        <f t="shared" si="197"/>
        <v>11</v>
      </c>
      <c r="D1802" t="s">
        <v>66</v>
      </c>
      <c r="E1802" t="s">
        <v>73</v>
      </c>
      <c r="F1802" t="s">
        <v>74</v>
      </c>
      <c r="G1802" t="s">
        <v>27</v>
      </c>
      <c r="H1802" t="s">
        <v>28</v>
      </c>
      <c r="I1802" s="5">
        <v>226</v>
      </c>
      <c r="J1802" s="5">
        <v>148</v>
      </c>
      <c r="K1802" s="5">
        <v>20</v>
      </c>
      <c r="L1802" s="5">
        <v>5</v>
      </c>
      <c r="M1802" s="5">
        <v>5</v>
      </c>
      <c r="N1802" s="7">
        <v>1214.24</v>
      </c>
      <c r="O1802" s="7">
        <f t="shared" si="198"/>
        <v>6071.2</v>
      </c>
      <c r="P1802" s="4">
        <v>0.03</v>
      </c>
      <c r="Q1802" s="7">
        <f t="shared" si="199"/>
        <v>182.136</v>
      </c>
      <c r="R1802" s="7">
        <f t="shared" si="200"/>
        <v>5889.0639999999994</v>
      </c>
      <c r="S1802" s="7">
        <f t="shared" si="201"/>
        <v>1177.8127999999999</v>
      </c>
      <c r="T1802" s="6">
        <f t="shared" si="202"/>
        <v>2.2123893805309734E-2</v>
      </c>
      <c r="V1802" t="s">
        <v>29</v>
      </c>
    </row>
    <row r="1803" spans="1:22">
      <c r="A1803" s="3">
        <v>45732</v>
      </c>
      <c r="B1803" t="str">
        <f t="shared" si="196"/>
        <v>yyyy-03</v>
      </c>
      <c r="C1803">
        <f t="shared" si="197"/>
        <v>11</v>
      </c>
      <c r="D1803" t="s">
        <v>66</v>
      </c>
      <c r="E1803" t="s">
        <v>71</v>
      </c>
      <c r="F1803" t="s">
        <v>75</v>
      </c>
      <c r="G1803" t="s">
        <v>27</v>
      </c>
      <c r="H1803" t="s">
        <v>45</v>
      </c>
      <c r="I1803" s="5">
        <v>293</v>
      </c>
      <c r="J1803" s="5">
        <v>157</v>
      </c>
      <c r="K1803" s="5">
        <v>26</v>
      </c>
      <c r="L1803" s="5">
        <v>6</v>
      </c>
      <c r="M1803" s="5">
        <v>8</v>
      </c>
      <c r="N1803" s="7">
        <v>37.909999999999997</v>
      </c>
      <c r="O1803" s="7">
        <f t="shared" si="198"/>
        <v>303.27999999999997</v>
      </c>
      <c r="P1803" s="4">
        <v>0</v>
      </c>
      <c r="Q1803" s="7">
        <f t="shared" si="199"/>
        <v>0</v>
      </c>
      <c r="R1803" s="7">
        <f t="shared" si="200"/>
        <v>303.27999999999997</v>
      </c>
      <c r="S1803" s="7">
        <f t="shared" si="201"/>
        <v>50.54666666666666</v>
      </c>
      <c r="T1803" s="6">
        <f t="shared" si="202"/>
        <v>2.0477815699658702E-2</v>
      </c>
      <c r="V1803" t="s">
        <v>29</v>
      </c>
    </row>
    <row r="1804" spans="1:22">
      <c r="A1804" s="3">
        <v>45732</v>
      </c>
      <c r="B1804" t="str">
        <f t="shared" si="196"/>
        <v>yyyy-03</v>
      </c>
      <c r="C1804">
        <f t="shared" si="197"/>
        <v>11</v>
      </c>
      <c r="D1804" t="s">
        <v>24</v>
      </c>
      <c r="E1804" t="s">
        <v>76</v>
      </c>
      <c r="F1804" t="s">
        <v>77</v>
      </c>
      <c r="G1804" t="s">
        <v>36</v>
      </c>
      <c r="H1804" t="s">
        <v>37</v>
      </c>
      <c r="I1804" s="5">
        <v>596</v>
      </c>
      <c r="J1804" s="5">
        <v>381</v>
      </c>
      <c r="K1804" s="5">
        <v>39</v>
      </c>
      <c r="L1804" s="5">
        <v>9</v>
      </c>
      <c r="M1804" s="5">
        <v>10</v>
      </c>
      <c r="N1804" s="7">
        <v>196.53</v>
      </c>
      <c r="O1804" s="7">
        <f t="shared" si="198"/>
        <v>1965.3</v>
      </c>
      <c r="P1804" s="4">
        <v>0</v>
      </c>
      <c r="Q1804" s="7">
        <f t="shared" si="199"/>
        <v>0</v>
      </c>
      <c r="R1804" s="7">
        <f t="shared" si="200"/>
        <v>1965.3</v>
      </c>
      <c r="S1804" s="7">
        <f t="shared" si="201"/>
        <v>218.36666666666667</v>
      </c>
      <c r="T1804" s="6">
        <f t="shared" si="202"/>
        <v>1.5100671140939598E-2</v>
      </c>
      <c r="V1804" t="s">
        <v>29</v>
      </c>
    </row>
    <row r="1805" spans="1:22">
      <c r="A1805" s="3">
        <v>45733</v>
      </c>
      <c r="B1805" t="str">
        <f t="shared" si="196"/>
        <v>yyyy-03</v>
      </c>
      <c r="C1805">
        <f t="shared" si="197"/>
        <v>12</v>
      </c>
      <c r="D1805" t="s">
        <v>24</v>
      </c>
      <c r="E1805" t="s">
        <v>25</v>
      </c>
      <c r="F1805" t="s">
        <v>26</v>
      </c>
      <c r="G1805" t="s">
        <v>36</v>
      </c>
      <c r="H1805" t="s">
        <v>37</v>
      </c>
      <c r="I1805" s="5">
        <v>1860</v>
      </c>
      <c r="J1805" s="5">
        <v>1502</v>
      </c>
      <c r="K1805" s="5">
        <v>137</v>
      </c>
      <c r="L1805" s="5">
        <v>30</v>
      </c>
      <c r="M1805" s="5">
        <v>30</v>
      </c>
      <c r="N1805" s="7">
        <v>969.08</v>
      </c>
      <c r="O1805" s="7">
        <f t="shared" si="198"/>
        <v>29072.400000000001</v>
      </c>
      <c r="P1805" s="4">
        <v>0</v>
      </c>
      <c r="Q1805" s="7">
        <f t="shared" si="199"/>
        <v>0</v>
      </c>
      <c r="R1805" s="7">
        <f t="shared" si="200"/>
        <v>29072.400000000001</v>
      </c>
      <c r="S1805" s="7">
        <f t="shared" si="201"/>
        <v>969.08</v>
      </c>
      <c r="T1805" s="6">
        <f t="shared" si="202"/>
        <v>1.6129032258064516E-2</v>
      </c>
      <c r="V1805" t="s">
        <v>29</v>
      </c>
    </row>
    <row r="1806" spans="1:22">
      <c r="A1806" s="3">
        <v>45733</v>
      </c>
      <c r="B1806" t="str">
        <f t="shared" si="196"/>
        <v>yyyy-03</v>
      </c>
      <c r="C1806">
        <f t="shared" si="197"/>
        <v>12</v>
      </c>
      <c r="D1806" t="s">
        <v>24</v>
      </c>
      <c r="E1806" t="s">
        <v>25</v>
      </c>
      <c r="F1806" t="s">
        <v>30</v>
      </c>
      <c r="G1806" t="s">
        <v>27</v>
      </c>
      <c r="H1806" t="s">
        <v>63</v>
      </c>
      <c r="I1806" s="5">
        <v>918</v>
      </c>
      <c r="J1806" s="5">
        <v>666</v>
      </c>
      <c r="K1806" s="5">
        <v>41</v>
      </c>
      <c r="L1806" s="5">
        <v>15</v>
      </c>
      <c r="M1806" s="5">
        <v>15</v>
      </c>
      <c r="N1806" s="7">
        <v>403.82</v>
      </c>
      <c r="O1806" s="7">
        <f t="shared" si="198"/>
        <v>6057.3</v>
      </c>
      <c r="P1806" s="4">
        <v>0.03</v>
      </c>
      <c r="Q1806" s="7">
        <f t="shared" si="199"/>
        <v>181.71899999999999</v>
      </c>
      <c r="R1806" s="7">
        <f t="shared" si="200"/>
        <v>5875.5810000000001</v>
      </c>
      <c r="S1806" s="7">
        <f t="shared" si="201"/>
        <v>391.7054</v>
      </c>
      <c r="T1806" s="6">
        <f t="shared" si="202"/>
        <v>1.6339869281045753E-2</v>
      </c>
      <c r="V1806" t="s">
        <v>29</v>
      </c>
    </row>
    <row r="1807" spans="1:22">
      <c r="A1807" s="3">
        <v>45733</v>
      </c>
      <c r="B1807" t="str">
        <f t="shared" si="196"/>
        <v>yyyy-03</v>
      </c>
      <c r="C1807">
        <f t="shared" si="197"/>
        <v>12</v>
      </c>
      <c r="D1807" t="s">
        <v>24</v>
      </c>
      <c r="E1807" t="s">
        <v>25</v>
      </c>
      <c r="F1807" t="s">
        <v>33</v>
      </c>
      <c r="G1807" t="s">
        <v>27</v>
      </c>
      <c r="H1807" t="s">
        <v>28</v>
      </c>
      <c r="I1807" s="5">
        <v>1503</v>
      </c>
      <c r="J1807" s="5">
        <v>975</v>
      </c>
      <c r="K1807" s="5">
        <v>85</v>
      </c>
      <c r="L1807" s="5">
        <v>30</v>
      </c>
      <c r="M1807" s="5">
        <v>30</v>
      </c>
      <c r="N1807" s="7">
        <v>1737.07</v>
      </c>
      <c r="O1807" s="7">
        <f t="shared" si="198"/>
        <v>52112.1</v>
      </c>
      <c r="P1807" s="4">
        <v>0</v>
      </c>
      <c r="Q1807" s="7">
        <f t="shared" si="199"/>
        <v>0</v>
      </c>
      <c r="R1807" s="7">
        <f t="shared" si="200"/>
        <v>52112.1</v>
      </c>
      <c r="S1807" s="7">
        <f t="shared" si="201"/>
        <v>1737.07</v>
      </c>
      <c r="T1807" s="6">
        <f t="shared" si="202"/>
        <v>1.9960079840319361E-2</v>
      </c>
      <c r="V1807" t="s">
        <v>29</v>
      </c>
    </row>
    <row r="1808" spans="1:22">
      <c r="A1808" s="3">
        <v>45733</v>
      </c>
      <c r="B1808" t="str">
        <f t="shared" si="196"/>
        <v>yyyy-03</v>
      </c>
      <c r="C1808">
        <f t="shared" si="197"/>
        <v>12</v>
      </c>
      <c r="D1808" t="s">
        <v>24</v>
      </c>
      <c r="E1808" t="s">
        <v>34</v>
      </c>
      <c r="F1808" t="s">
        <v>35</v>
      </c>
      <c r="G1808" t="s">
        <v>27</v>
      </c>
      <c r="H1808" t="s">
        <v>63</v>
      </c>
      <c r="I1808" s="5">
        <v>686</v>
      </c>
      <c r="J1808" s="5">
        <v>491</v>
      </c>
      <c r="K1808" s="5">
        <v>38</v>
      </c>
      <c r="L1808" s="5">
        <v>16</v>
      </c>
      <c r="M1808" s="5">
        <v>16</v>
      </c>
      <c r="N1808" s="7">
        <v>909.79</v>
      </c>
      <c r="O1808" s="7">
        <f t="shared" si="198"/>
        <v>14556.64</v>
      </c>
      <c r="P1808" s="4">
        <v>0</v>
      </c>
      <c r="Q1808" s="7">
        <f t="shared" si="199"/>
        <v>0</v>
      </c>
      <c r="R1808" s="7">
        <f t="shared" si="200"/>
        <v>14556.64</v>
      </c>
      <c r="S1808" s="7">
        <f t="shared" si="201"/>
        <v>909.79</v>
      </c>
      <c r="T1808" s="6">
        <f t="shared" si="202"/>
        <v>2.3323615160349854E-2</v>
      </c>
      <c r="V1808" t="s">
        <v>29</v>
      </c>
    </row>
    <row r="1809" spans="1:22">
      <c r="A1809" s="3">
        <v>45733</v>
      </c>
      <c r="B1809" t="str">
        <f t="shared" si="196"/>
        <v>yyyy-03</v>
      </c>
      <c r="C1809">
        <f t="shared" si="197"/>
        <v>12</v>
      </c>
      <c r="D1809" t="s">
        <v>24</v>
      </c>
      <c r="E1809" t="s">
        <v>38</v>
      </c>
      <c r="F1809" t="s">
        <v>39</v>
      </c>
      <c r="G1809" t="s">
        <v>27</v>
      </c>
      <c r="H1809" t="s">
        <v>63</v>
      </c>
      <c r="I1809" s="5">
        <v>570</v>
      </c>
      <c r="J1809" s="5">
        <v>316</v>
      </c>
      <c r="K1809" s="5">
        <v>52</v>
      </c>
      <c r="L1809" s="5">
        <v>13</v>
      </c>
      <c r="M1809" s="5">
        <v>13</v>
      </c>
      <c r="N1809" s="7">
        <v>323.39</v>
      </c>
      <c r="O1809" s="7">
        <f t="shared" si="198"/>
        <v>4204.07</v>
      </c>
      <c r="P1809" s="4">
        <v>0</v>
      </c>
      <c r="Q1809" s="7">
        <f t="shared" si="199"/>
        <v>0</v>
      </c>
      <c r="R1809" s="7">
        <f t="shared" si="200"/>
        <v>4204.07</v>
      </c>
      <c r="S1809" s="7">
        <f t="shared" si="201"/>
        <v>323.39</v>
      </c>
      <c r="T1809" s="6">
        <f t="shared" si="202"/>
        <v>2.2807017543859651E-2</v>
      </c>
      <c r="V1809" t="s">
        <v>29</v>
      </c>
    </row>
    <row r="1810" spans="1:22">
      <c r="A1810" s="3">
        <v>45733</v>
      </c>
      <c r="B1810" t="str">
        <f t="shared" si="196"/>
        <v>yyyy-03</v>
      </c>
      <c r="C1810">
        <f t="shared" si="197"/>
        <v>12</v>
      </c>
      <c r="D1810" t="s">
        <v>24</v>
      </c>
      <c r="E1810" t="s">
        <v>40</v>
      </c>
      <c r="F1810" t="s">
        <v>41</v>
      </c>
      <c r="G1810" t="s">
        <v>31</v>
      </c>
      <c r="H1810" t="s">
        <v>32</v>
      </c>
      <c r="I1810" s="5">
        <v>762</v>
      </c>
      <c r="J1810" s="5">
        <v>542</v>
      </c>
      <c r="K1810" s="5">
        <v>37</v>
      </c>
      <c r="L1810" s="5">
        <v>9</v>
      </c>
      <c r="M1810" s="5">
        <v>11</v>
      </c>
      <c r="N1810" s="7">
        <v>177.52</v>
      </c>
      <c r="O1810" s="7">
        <f t="shared" si="198"/>
        <v>1952.72</v>
      </c>
      <c r="P1810" s="4">
        <v>0</v>
      </c>
      <c r="Q1810" s="7">
        <f t="shared" si="199"/>
        <v>0</v>
      </c>
      <c r="R1810" s="7">
        <f t="shared" si="200"/>
        <v>1952.72</v>
      </c>
      <c r="S1810" s="7">
        <f t="shared" si="201"/>
        <v>216.9688888888889</v>
      </c>
      <c r="T1810" s="6">
        <f t="shared" si="202"/>
        <v>1.1811023622047244E-2</v>
      </c>
      <c r="V1810" t="s">
        <v>78</v>
      </c>
    </row>
    <row r="1811" spans="1:22">
      <c r="A1811" s="3">
        <v>45733</v>
      </c>
      <c r="B1811" t="str">
        <f t="shared" si="196"/>
        <v>yyyy-03</v>
      </c>
      <c r="C1811">
        <f t="shared" si="197"/>
        <v>12</v>
      </c>
      <c r="D1811" t="s">
        <v>42</v>
      </c>
      <c r="E1811" t="s">
        <v>43</v>
      </c>
      <c r="F1811" t="s">
        <v>44</v>
      </c>
      <c r="G1811" t="s">
        <v>36</v>
      </c>
      <c r="H1811" t="s">
        <v>37</v>
      </c>
      <c r="I1811" s="5">
        <v>438</v>
      </c>
      <c r="J1811" s="5">
        <v>232</v>
      </c>
      <c r="K1811" s="5">
        <v>23</v>
      </c>
      <c r="L1811" s="5">
        <v>7</v>
      </c>
      <c r="M1811" s="5">
        <v>7</v>
      </c>
      <c r="N1811" s="7">
        <v>1288.83</v>
      </c>
      <c r="O1811" s="7">
        <f t="shared" si="198"/>
        <v>9021.81</v>
      </c>
      <c r="P1811" s="4">
        <v>0</v>
      </c>
      <c r="Q1811" s="7">
        <f t="shared" si="199"/>
        <v>0</v>
      </c>
      <c r="R1811" s="7">
        <f t="shared" si="200"/>
        <v>9021.81</v>
      </c>
      <c r="S1811" s="7">
        <f t="shared" si="201"/>
        <v>1288.83</v>
      </c>
      <c r="T1811" s="6">
        <f t="shared" si="202"/>
        <v>1.5981735159817351E-2</v>
      </c>
      <c r="V1811" t="s">
        <v>29</v>
      </c>
    </row>
    <row r="1812" spans="1:22">
      <c r="A1812" s="3">
        <v>45733</v>
      </c>
      <c r="B1812" t="str">
        <f t="shared" si="196"/>
        <v>yyyy-03</v>
      </c>
      <c r="C1812">
        <f t="shared" si="197"/>
        <v>12</v>
      </c>
      <c r="D1812" t="s">
        <v>42</v>
      </c>
      <c r="E1812" t="s">
        <v>43</v>
      </c>
      <c r="F1812" t="s">
        <v>46</v>
      </c>
      <c r="G1812" t="s">
        <v>27</v>
      </c>
      <c r="H1812" t="s">
        <v>45</v>
      </c>
      <c r="I1812" s="5">
        <v>364</v>
      </c>
      <c r="J1812" s="5">
        <v>264</v>
      </c>
      <c r="K1812" s="5">
        <v>18</v>
      </c>
      <c r="L1812" s="5">
        <v>5</v>
      </c>
      <c r="M1812" s="5">
        <v>5</v>
      </c>
      <c r="N1812" s="7">
        <v>2214.61</v>
      </c>
      <c r="O1812" s="7">
        <f t="shared" si="198"/>
        <v>11073.050000000001</v>
      </c>
      <c r="P1812" s="4">
        <v>0</v>
      </c>
      <c r="Q1812" s="7">
        <f t="shared" si="199"/>
        <v>0</v>
      </c>
      <c r="R1812" s="7">
        <f t="shared" si="200"/>
        <v>11073.050000000001</v>
      </c>
      <c r="S1812" s="7">
        <f t="shared" si="201"/>
        <v>2214.61</v>
      </c>
      <c r="T1812" s="6">
        <f t="shared" si="202"/>
        <v>1.3736263736263736E-2</v>
      </c>
      <c r="V1812" t="s">
        <v>29</v>
      </c>
    </row>
    <row r="1813" spans="1:22">
      <c r="A1813" s="3">
        <v>45733</v>
      </c>
      <c r="B1813" t="str">
        <f t="shared" si="196"/>
        <v>yyyy-03</v>
      </c>
      <c r="C1813">
        <f t="shared" si="197"/>
        <v>12</v>
      </c>
      <c r="D1813" t="s">
        <v>42</v>
      </c>
      <c r="E1813" t="s">
        <v>43</v>
      </c>
      <c r="F1813" t="s">
        <v>47</v>
      </c>
      <c r="G1813" t="s">
        <v>31</v>
      </c>
      <c r="H1813" t="s">
        <v>32</v>
      </c>
      <c r="I1813" s="5">
        <v>610</v>
      </c>
      <c r="J1813" s="5">
        <v>435</v>
      </c>
      <c r="K1813" s="5">
        <v>21</v>
      </c>
      <c r="L1813" s="5">
        <v>7</v>
      </c>
      <c r="M1813" s="5">
        <v>7</v>
      </c>
      <c r="N1813" s="7">
        <v>598.94000000000005</v>
      </c>
      <c r="O1813" s="7">
        <f t="shared" si="198"/>
        <v>4192.58</v>
      </c>
      <c r="P1813" s="4">
        <v>0</v>
      </c>
      <c r="Q1813" s="7">
        <f t="shared" si="199"/>
        <v>0</v>
      </c>
      <c r="R1813" s="7">
        <f t="shared" si="200"/>
        <v>4192.58</v>
      </c>
      <c r="S1813" s="7">
        <f t="shared" si="201"/>
        <v>598.93999999999994</v>
      </c>
      <c r="T1813" s="6">
        <f t="shared" si="202"/>
        <v>1.1475409836065573E-2</v>
      </c>
      <c r="V1813" t="s">
        <v>29</v>
      </c>
    </row>
    <row r="1814" spans="1:22">
      <c r="A1814" s="3">
        <v>45733</v>
      </c>
      <c r="B1814" t="str">
        <f t="shared" si="196"/>
        <v>yyyy-03</v>
      </c>
      <c r="C1814">
        <f t="shared" si="197"/>
        <v>12</v>
      </c>
      <c r="D1814" t="s">
        <v>42</v>
      </c>
      <c r="E1814" t="s">
        <v>49</v>
      </c>
      <c r="F1814" t="s">
        <v>50</v>
      </c>
      <c r="G1814" t="s">
        <v>27</v>
      </c>
      <c r="H1814" t="s">
        <v>63</v>
      </c>
      <c r="I1814" s="5">
        <v>85</v>
      </c>
      <c r="J1814" s="5">
        <v>54</v>
      </c>
      <c r="K1814" s="5">
        <v>4</v>
      </c>
      <c r="L1814" s="5">
        <v>1</v>
      </c>
      <c r="M1814" s="5">
        <v>1</v>
      </c>
      <c r="N1814" s="7">
        <v>1009.8</v>
      </c>
      <c r="O1814" s="7">
        <f t="shared" si="198"/>
        <v>1009.8</v>
      </c>
      <c r="P1814" s="4">
        <v>0</v>
      </c>
      <c r="Q1814" s="7">
        <f t="shared" si="199"/>
        <v>0</v>
      </c>
      <c r="R1814" s="7">
        <f t="shared" si="200"/>
        <v>1009.8</v>
      </c>
      <c r="S1814" s="7">
        <f t="shared" si="201"/>
        <v>1009.8</v>
      </c>
      <c r="T1814" s="6">
        <f t="shared" si="202"/>
        <v>1.1764705882352941E-2</v>
      </c>
      <c r="V1814" t="s">
        <v>29</v>
      </c>
    </row>
    <row r="1815" spans="1:22">
      <c r="A1815" s="3">
        <v>45733</v>
      </c>
      <c r="B1815" t="str">
        <f t="shared" si="196"/>
        <v>yyyy-03</v>
      </c>
      <c r="C1815">
        <f t="shared" si="197"/>
        <v>12</v>
      </c>
      <c r="D1815" t="s">
        <v>42</v>
      </c>
      <c r="E1815" t="s">
        <v>51</v>
      </c>
      <c r="F1815" t="s">
        <v>52</v>
      </c>
      <c r="G1815" t="s">
        <v>27</v>
      </c>
      <c r="H1815" t="s">
        <v>63</v>
      </c>
      <c r="I1815" s="5">
        <v>194</v>
      </c>
      <c r="J1815" s="5">
        <v>145</v>
      </c>
      <c r="K1815" s="5">
        <v>13</v>
      </c>
      <c r="L1815" s="5">
        <v>3</v>
      </c>
      <c r="M1815" s="5">
        <v>3</v>
      </c>
      <c r="N1815" s="7">
        <v>599.01</v>
      </c>
      <c r="O1815" s="7">
        <f t="shared" si="198"/>
        <v>1797.03</v>
      </c>
      <c r="P1815" s="4">
        <v>0</v>
      </c>
      <c r="Q1815" s="7">
        <f t="shared" si="199"/>
        <v>0</v>
      </c>
      <c r="R1815" s="7">
        <f t="shared" si="200"/>
        <v>1797.03</v>
      </c>
      <c r="S1815" s="7">
        <f t="shared" si="201"/>
        <v>599.01</v>
      </c>
      <c r="T1815" s="6">
        <f t="shared" si="202"/>
        <v>1.5463917525773196E-2</v>
      </c>
      <c r="V1815" t="s">
        <v>29</v>
      </c>
    </row>
    <row r="1816" spans="1:22">
      <c r="A1816" s="3">
        <v>45733</v>
      </c>
      <c r="B1816" t="str">
        <f t="shared" si="196"/>
        <v>yyyy-03</v>
      </c>
      <c r="C1816">
        <f t="shared" si="197"/>
        <v>12</v>
      </c>
      <c r="D1816" t="s">
        <v>53</v>
      </c>
      <c r="E1816" t="s">
        <v>54</v>
      </c>
      <c r="F1816" t="s">
        <v>55</v>
      </c>
      <c r="G1816" t="s">
        <v>27</v>
      </c>
      <c r="H1816" t="s">
        <v>28</v>
      </c>
      <c r="I1816" s="5">
        <v>169</v>
      </c>
      <c r="J1816" s="5">
        <v>118</v>
      </c>
      <c r="K1816" s="5">
        <v>9</v>
      </c>
      <c r="L1816" s="5">
        <v>2</v>
      </c>
      <c r="M1816" s="5">
        <v>2</v>
      </c>
      <c r="N1816" s="7">
        <v>1282.4000000000001</v>
      </c>
      <c r="O1816" s="7">
        <f t="shared" si="198"/>
        <v>2564.8000000000002</v>
      </c>
      <c r="P1816" s="4">
        <v>0</v>
      </c>
      <c r="Q1816" s="7">
        <f t="shared" si="199"/>
        <v>0</v>
      </c>
      <c r="R1816" s="7">
        <f t="shared" si="200"/>
        <v>2564.8000000000002</v>
      </c>
      <c r="S1816" s="7">
        <f t="shared" si="201"/>
        <v>1282.4000000000001</v>
      </c>
      <c r="T1816" s="6">
        <f t="shared" si="202"/>
        <v>1.1834319526627219E-2</v>
      </c>
      <c r="V1816" t="s">
        <v>29</v>
      </c>
    </row>
    <row r="1817" spans="1:22">
      <c r="A1817" s="3">
        <v>45733</v>
      </c>
      <c r="B1817" t="str">
        <f t="shared" si="196"/>
        <v>yyyy-03</v>
      </c>
      <c r="C1817">
        <f t="shared" si="197"/>
        <v>12</v>
      </c>
      <c r="D1817" t="s">
        <v>53</v>
      </c>
      <c r="E1817" t="s">
        <v>56</v>
      </c>
      <c r="F1817" t="s">
        <v>57</v>
      </c>
      <c r="G1817" t="s">
        <v>31</v>
      </c>
      <c r="H1817" t="s">
        <v>32</v>
      </c>
      <c r="I1817" s="5">
        <v>223</v>
      </c>
      <c r="J1817" s="5">
        <v>141</v>
      </c>
      <c r="K1817" s="5">
        <v>10</v>
      </c>
      <c r="L1817" s="5">
        <v>2</v>
      </c>
      <c r="M1817" s="5">
        <v>2</v>
      </c>
      <c r="N1817" s="7">
        <v>720.26</v>
      </c>
      <c r="O1817" s="7">
        <f t="shared" si="198"/>
        <v>1440.52</v>
      </c>
      <c r="P1817" s="4">
        <v>0</v>
      </c>
      <c r="Q1817" s="7">
        <f t="shared" si="199"/>
        <v>0</v>
      </c>
      <c r="R1817" s="7">
        <f t="shared" si="200"/>
        <v>1440.52</v>
      </c>
      <c r="S1817" s="7">
        <f t="shared" si="201"/>
        <v>720.26</v>
      </c>
      <c r="T1817" s="6">
        <f t="shared" si="202"/>
        <v>8.9686098654708519E-3</v>
      </c>
      <c r="V1817" t="s">
        <v>29</v>
      </c>
    </row>
    <row r="1818" spans="1:22">
      <c r="A1818" s="3">
        <v>45733</v>
      </c>
      <c r="B1818" t="str">
        <f t="shared" si="196"/>
        <v>yyyy-03</v>
      </c>
      <c r="C1818">
        <f t="shared" si="197"/>
        <v>12</v>
      </c>
      <c r="D1818" t="s">
        <v>53</v>
      </c>
      <c r="E1818" t="s">
        <v>56</v>
      </c>
      <c r="F1818" t="s">
        <v>58</v>
      </c>
      <c r="G1818" t="s">
        <v>27</v>
      </c>
      <c r="H1818" t="s">
        <v>63</v>
      </c>
      <c r="I1818" s="5">
        <v>161</v>
      </c>
      <c r="J1818" s="5">
        <v>84</v>
      </c>
      <c r="K1818" s="5">
        <v>10</v>
      </c>
      <c r="L1818" s="5">
        <v>2</v>
      </c>
      <c r="M1818" s="5">
        <v>2</v>
      </c>
      <c r="N1818" s="7">
        <v>882.56</v>
      </c>
      <c r="O1818" s="7">
        <f t="shared" si="198"/>
        <v>1765.12</v>
      </c>
      <c r="P1818" s="4">
        <v>0.05</v>
      </c>
      <c r="Q1818" s="7">
        <f t="shared" si="199"/>
        <v>88.256</v>
      </c>
      <c r="R1818" s="7">
        <f t="shared" si="200"/>
        <v>1676.8639999999998</v>
      </c>
      <c r="S1818" s="7">
        <f t="shared" si="201"/>
        <v>838.4319999999999</v>
      </c>
      <c r="T1818" s="6">
        <f t="shared" si="202"/>
        <v>1.2422360248447204E-2</v>
      </c>
      <c r="V1818" t="s">
        <v>29</v>
      </c>
    </row>
    <row r="1819" spans="1:22">
      <c r="A1819" s="3">
        <v>45733</v>
      </c>
      <c r="B1819" t="str">
        <f t="shared" si="196"/>
        <v>yyyy-03</v>
      </c>
      <c r="C1819">
        <f t="shared" si="197"/>
        <v>12</v>
      </c>
      <c r="D1819" t="s">
        <v>53</v>
      </c>
      <c r="E1819" t="s">
        <v>59</v>
      </c>
      <c r="F1819" t="s">
        <v>60</v>
      </c>
      <c r="G1819" t="s">
        <v>31</v>
      </c>
      <c r="H1819" t="s">
        <v>32</v>
      </c>
      <c r="I1819" s="5">
        <v>175</v>
      </c>
      <c r="J1819" s="5">
        <v>124</v>
      </c>
      <c r="K1819" s="5">
        <v>8</v>
      </c>
      <c r="L1819" s="5">
        <v>2</v>
      </c>
      <c r="M1819" s="5">
        <v>2</v>
      </c>
      <c r="N1819" s="7">
        <v>688.91</v>
      </c>
      <c r="O1819" s="7">
        <f t="shared" si="198"/>
        <v>1377.82</v>
      </c>
      <c r="P1819" s="4">
        <v>0</v>
      </c>
      <c r="Q1819" s="7">
        <f t="shared" si="199"/>
        <v>0</v>
      </c>
      <c r="R1819" s="7">
        <f t="shared" si="200"/>
        <v>1377.82</v>
      </c>
      <c r="S1819" s="7">
        <f t="shared" si="201"/>
        <v>688.91</v>
      </c>
      <c r="T1819" s="6">
        <f t="shared" si="202"/>
        <v>1.1428571428571429E-2</v>
      </c>
      <c r="V1819" t="s">
        <v>29</v>
      </c>
    </row>
    <row r="1820" spans="1:22">
      <c r="A1820" s="3">
        <v>45733</v>
      </c>
      <c r="B1820" t="str">
        <f t="shared" si="196"/>
        <v>yyyy-03</v>
      </c>
      <c r="C1820">
        <f t="shared" si="197"/>
        <v>12</v>
      </c>
      <c r="D1820" t="s">
        <v>53</v>
      </c>
      <c r="E1820" t="s">
        <v>61</v>
      </c>
      <c r="F1820" t="s">
        <v>62</v>
      </c>
      <c r="G1820" t="s">
        <v>27</v>
      </c>
      <c r="H1820" t="s">
        <v>28</v>
      </c>
      <c r="I1820" s="5">
        <v>178</v>
      </c>
      <c r="J1820" s="5">
        <v>99</v>
      </c>
      <c r="K1820" s="5">
        <v>11</v>
      </c>
      <c r="L1820" s="5">
        <v>3</v>
      </c>
      <c r="M1820" s="5">
        <v>3</v>
      </c>
      <c r="N1820" s="7">
        <v>482.24</v>
      </c>
      <c r="O1820" s="7">
        <f t="shared" si="198"/>
        <v>1446.72</v>
      </c>
      <c r="P1820" s="4">
        <v>0.12</v>
      </c>
      <c r="Q1820" s="7">
        <f t="shared" si="199"/>
        <v>173.60640000000001</v>
      </c>
      <c r="R1820" s="7">
        <f t="shared" si="200"/>
        <v>1273.1136000000001</v>
      </c>
      <c r="S1820" s="7">
        <f t="shared" si="201"/>
        <v>424.37120000000004</v>
      </c>
      <c r="T1820" s="6">
        <f t="shared" si="202"/>
        <v>1.6853932584269662E-2</v>
      </c>
      <c r="U1820" t="s">
        <v>89</v>
      </c>
      <c r="V1820" t="s">
        <v>29</v>
      </c>
    </row>
    <row r="1821" spans="1:22">
      <c r="A1821" s="3">
        <v>45733</v>
      </c>
      <c r="B1821" t="str">
        <f t="shared" si="196"/>
        <v>yyyy-03</v>
      </c>
      <c r="C1821">
        <f t="shared" si="197"/>
        <v>12</v>
      </c>
      <c r="D1821" t="s">
        <v>53</v>
      </c>
      <c r="E1821" t="s">
        <v>64</v>
      </c>
      <c r="F1821" t="s">
        <v>65</v>
      </c>
      <c r="G1821" t="s">
        <v>36</v>
      </c>
      <c r="H1821" t="s">
        <v>37</v>
      </c>
      <c r="I1821" s="5">
        <v>204</v>
      </c>
      <c r="J1821" s="5">
        <v>120</v>
      </c>
      <c r="K1821" s="5">
        <v>9</v>
      </c>
      <c r="L1821" s="5">
        <v>3</v>
      </c>
      <c r="M1821" s="5">
        <v>3</v>
      </c>
      <c r="N1821" s="7">
        <v>773.02</v>
      </c>
      <c r="O1821" s="7">
        <f t="shared" si="198"/>
        <v>2319.06</v>
      </c>
      <c r="P1821" s="4">
        <v>0</v>
      </c>
      <c r="Q1821" s="7">
        <f t="shared" si="199"/>
        <v>0</v>
      </c>
      <c r="R1821" s="7">
        <f t="shared" si="200"/>
        <v>2319.06</v>
      </c>
      <c r="S1821" s="7">
        <f t="shared" si="201"/>
        <v>773.02</v>
      </c>
      <c r="T1821" s="6">
        <f t="shared" si="202"/>
        <v>1.4705882352941176E-2</v>
      </c>
      <c r="V1821" t="s">
        <v>29</v>
      </c>
    </row>
    <row r="1822" spans="1:22">
      <c r="A1822" s="3">
        <v>45733</v>
      </c>
      <c r="B1822" t="str">
        <f t="shared" si="196"/>
        <v>yyyy-03</v>
      </c>
      <c r="C1822">
        <f t="shared" si="197"/>
        <v>12</v>
      </c>
      <c r="D1822" t="s">
        <v>66</v>
      </c>
      <c r="E1822" t="s">
        <v>67</v>
      </c>
      <c r="F1822" t="s">
        <v>68</v>
      </c>
      <c r="G1822" t="s">
        <v>27</v>
      </c>
      <c r="H1822" t="s">
        <v>28</v>
      </c>
      <c r="I1822" s="5">
        <v>288</v>
      </c>
      <c r="J1822" s="5">
        <v>185</v>
      </c>
      <c r="K1822" s="5">
        <v>28</v>
      </c>
      <c r="L1822" s="5">
        <v>6</v>
      </c>
      <c r="M1822" s="5">
        <v>6</v>
      </c>
      <c r="N1822" s="7">
        <v>686.5</v>
      </c>
      <c r="O1822" s="7">
        <f t="shared" si="198"/>
        <v>4119</v>
      </c>
      <c r="P1822" s="4">
        <v>0.1</v>
      </c>
      <c r="Q1822" s="7">
        <f t="shared" si="199"/>
        <v>411.90000000000003</v>
      </c>
      <c r="R1822" s="7">
        <f t="shared" si="200"/>
        <v>3707.1</v>
      </c>
      <c r="S1822" s="7">
        <f t="shared" si="201"/>
        <v>617.85</v>
      </c>
      <c r="T1822" s="6">
        <f t="shared" si="202"/>
        <v>2.0833333333333332E-2</v>
      </c>
      <c r="U1822" t="s">
        <v>90</v>
      </c>
      <c r="V1822" t="s">
        <v>29</v>
      </c>
    </row>
    <row r="1823" spans="1:22">
      <c r="A1823" s="3">
        <v>45733</v>
      </c>
      <c r="B1823" t="str">
        <f t="shared" si="196"/>
        <v>yyyy-03</v>
      </c>
      <c r="C1823">
        <f t="shared" si="197"/>
        <v>12</v>
      </c>
      <c r="D1823" t="s">
        <v>66</v>
      </c>
      <c r="E1823" t="s">
        <v>67</v>
      </c>
      <c r="F1823" t="s">
        <v>69</v>
      </c>
      <c r="G1823" t="s">
        <v>27</v>
      </c>
      <c r="H1823" t="s">
        <v>48</v>
      </c>
      <c r="I1823" s="5">
        <v>322</v>
      </c>
      <c r="J1823" s="5">
        <v>235</v>
      </c>
      <c r="K1823" s="5">
        <v>28</v>
      </c>
      <c r="L1823" s="5">
        <v>9</v>
      </c>
      <c r="M1823" s="5">
        <v>9</v>
      </c>
      <c r="N1823" s="7">
        <v>387.17</v>
      </c>
      <c r="O1823" s="7">
        <f t="shared" si="198"/>
        <v>3484.53</v>
      </c>
      <c r="P1823" s="4">
        <v>0.1</v>
      </c>
      <c r="Q1823" s="7">
        <f t="shared" si="199"/>
        <v>348.45300000000003</v>
      </c>
      <c r="R1823" s="7">
        <f t="shared" si="200"/>
        <v>3136.0770000000002</v>
      </c>
      <c r="S1823" s="7">
        <f t="shared" si="201"/>
        <v>348.45300000000003</v>
      </c>
      <c r="T1823" s="6">
        <f t="shared" si="202"/>
        <v>2.7950310559006212E-2</v>
      </c>
      <c r="U1823" t="s">
        <v>90</v>
      </c>
      <c r="V1823" t="s">
        <v>29</v>
      </c>
    </row>
    <row r="1824" spans="1:22">
      <c r="A1824" s="3">
        <v>45733</v>
      </c>
      <c r="B1824" t="str">
        <f t="shared" si="196"/>
        <v>yyyy-03</v>
      </c>
      <c r="C1824">
        <f t="shared" si="197"/>
        <v>12</v>
      </c>
      <c r="D1824" t="s">
        <v>66</v>
      </c>
      <c r="E1824" t="s">
        <v>67</v>
      </c>
      <c r="F1824" t="s">
        <v>70</v>
      </c>
      <c r="G1824" t="s">
        <v>31</v>
      </c>
      <c r="H1824" t="s">
        <v>32</v>
      </c>
      <c r="I1824" s="5">
        <v>454</v>
      </c>
      <c r="J1824" s="5">
        <v>251</v>
      </c>
      <c r="K1824" s="5">
        <v>33</v>
      </c>
      <c r="L1824" s="5">
        <v>12</v>
      </c>
      <c r="M1824" s="5">
        <v>12</v>
      </c>
      <c r="N1824" s="7">
        <v>337.36</v>
      </c>
      <c r="O1824" s="7">
        <f t="shared" si="198"/>
        <v>4048.32</v>
      </c>
      <c r="P1824" s="4">
        <v>0.1</v>
      </c>
      <c r="Q1824" s="7">
        <f t="shared" si="199"/>
        <v>404.83200000000005</v>
      </c>
      <c r="R1824" s="7">
        <f t="shared" si="200"/>
        <v>3643.4880000000003</v>
      </c>
      <c r="S1824" s="7">
        <f t="shared" si="201"/>
        <v>303.62400000000002</v>
      </c>
      <c r="T1824" s="6">
        <f t="shared" si="202"/>
        <v>2.643171806167401E-2</v>
      </c>
      <c r="U1824" t="s">
        <v>90</v>
      </c>
      <c r="V1824" t="s">
        <v>29</v>
      </c>
    </row>
    <row r="1825" spans="1:22">
      <c r="A1825" s="3">
        <v>45733</v>
      </c>
      <c r="B1825" t="str">
        <f t="shared" si="196"/>
        <v>yyyy-03</v>
      </c>
      <c r="C1825">
        <f t="shared" si="197"/>
        <v>12</v>
      </c>
      <c r="D1825" t="s">
        <v>66</v>
      </c>
      <c r="E1825" t="s">
        <v>71</v>
      </c>
      <c r="F1825" t="s">
        <v>72</v>
      </c>
      <c r="G1825" t="s">
        <v>27</v>
      </c>
      <c r="H1825" t="s">
        <v>28</v>
      </c>
      <c r="I1825" s="5">
        <v>307</v>
      </c>
      <c r="J1825" s="5">
        <v>162</v>
      </c>
      <c r="K1825" s="5">
        <v>31</v>
      </c>
      <c r="L1825" s="5">
        <v>7</v>
      </c>
      <c r="M1825" s="5">
        <v>8</v>
      </c>
      <c r="N1825" s="7">
        <v>126.93</v>
      </c>
      <c r="O1825" s="7">
        <f t="shared" si="198"/>
        <v>1015.44</v>
      </c>
      <c r="P1825" s="4">
        <v>0</v>
      </c>
      <c r="Q1825" s="7">
        <f t="shared" si="199"/>
        <v>0</v>
      </c>
      <c r="R1825" s="7">
        <f t="shared" si="200"/>
        <v>1015.44</v>
      </c>
      <c r="S1825" s="7">
        <f t="shared" si="201"/>
        <v>145.06285714285715</v>
      </c>
      <c r="T1825" s="6">
        <f t="shared" si="202"/>
        <v>2.2801302931596091E-2</v>
      </c>
      <c r="V1825" t="s">
        <v>29</v>
      </c>
    </row>
    <row r="1826" spans="1:22">
      <c r="A1826" s="3">
        <v>45733</v>
      </c>
      <c r="B1826" t="str">
        <f t="shared" si="196"/>
        <v>yyyy-03</v>
      </c>
      <c r="C1826">
        <f t="shared" si="197"/>
        <v>12</v>
      </c>
      <c r="D1826" t="s">
        <v>66</v>
      </c>
      <c r="E1826" t="s">
        <v>73</v>
      </c>
      <c r="F1826" t="s">
        <v>74</v>
      </c>
      <c r="G1826" t="s">
        <v>27</v>
      </c>
      <c r="H1826" t="s">
        <v>45</v>
      </c>
      <c r="I1826" s="5">
        <v>187</v>
      </c>
      <c r="J1826" s="5">
        <v>121</v>
      </c>
      <c r="K1826" s="5">
        <v>6</v>
      </c>
      <c r="L1826" s="5">
        <v>3</v>
      </c>
      <c r="M1826" s="5">
        <v>3</v>
      </c>
      <c r="N1826" s="7">
        <v>1203.32</v>
      </c>
      <c r="O1826" s="7">
        <f t="shared" si="198"/>
        <v>3609.96</v>
      </c>
      <c r="P1826" s="4">
        <v>0</v>
      </c>
      <c r="Q1826" s="7">
        <f t="shared" si="199"/>
        <v>0</v>
      </c>
      <c r="R1826" s="7">
        <f t="shared" si="200"/>
        <v>3609.96</v>
      </c>
      <c r="S1826" s="7">
        <f t="shared" si="201"/>
        <v>1203.32</v>
      </c>
      <c r="T1826" s="6">
        <f t="shared" si="202"/>
        <v>1.6042780748663103E-2</v>
      </c>
      <c r="V1826" t="s">
        <v>29</v>
      </c>
    </row>
    <row r="1827" spans="1:22">
      <c r="A1827" s="3">
        <v>45733</v>
      </c>
      <c r="B1827" t="str">
        <f t="shared" si="196"/>
        <v>yyyy-03</v>
      </c>
      <c r="C1827">
        <f t="shared" si="197"/>
        <v>12</v>
      </c>
      <c r="D1827" t="s">
        <v>66</v>
      </c>
      <c r="E1827" t="s">
        <v>71</v>
      </c>
      <c r="F1827" t="s">
        <v>75</v>
      </c>
      <c r="G1827" t="s">
        <v>36</v>
      </c>
      <c r="H1827" t="s">
        <v>37</v>
      </c>
      <c r="I1827" s="5">
        <v>434</v>
      </c>
      <c r="J1827" s="5">
        <v>356</v>
      </c>
      <c r="K1827" s="5">
        <v>31</v>
      </c>
      <c r="L1827" s="5">
        <v>9</v>
      </c>
      <c r="M1827" s="5">
        <v>10</v>
      </c>
      <c r="N1827" s="7">
        <v>38.5</v>
      </c>
      <c r="O1827" s="7">
        <f t="shared" si="198"/>
        <v>385</v>
      </c>
      <c r="P1827" s="4">
        <v>0</v>
      </c>
      <c r="Q1827" s="7">
        <f t="shared" si="199"/>
        <v>0</v>
      </c>
      <c r="R1827" s="7">
        <f t="shared" si="200"/>
        <v>385</v>
      </c>
      <c r="S1827" s="7">
        <f t="shared" si="201"/>
        <v>42.777777777777779</v>
      </c>
      <c r="T1827" s="6">
        <f t="shared" si="202"/>
        <v>2.0737327188940093E-2</v>
      </c>
      <c r="V1827" t="s">
        <v>29</v>
      </c>
    </row>
    <row r="1828" spans="1:22">
      <c r="A1828" s="3">
        <v>45733</v>
      </c>
      <c r="B1828" t="str">
        <f t="shared" si="196"/>
        <v>yyyy-03</v>
      </c>
      <c r="C1828">
        <f t="shared" si="197"/>
        <v>12</v>
      </c>
      <c r="D1828" t="s">
        <v>24</v>
      </c>
      <c r="E1828" t="s">
        <v>76</v>
      </c>
      <c r="F1828" t="s">
        <v>77</v>
      </c>
      <c r="G1828" t="s">
        <v>31</v>
      </c>
      <c r="H1828" t="s">
        <v>32</v>
      </c>
      <c r="I1828" s="5">
        <v>682</v>
      </c>
      <c r="J1828" s="5">
        <v>424</v>
      </c>
      <c r="K1828" s="5">
        <v>75</v>
      </c>
      <c r="L1828" s="5">
        <v>17</v>
      </c>
      <c r="M1828" s="5">
        <v>23</v>
      </c>
      <c r="N1828" s="7">
        <v>202.43</v>
      </c>
      <c r="O1828" s="7">
        <f t="shared" si="198"/>
        <v>4655.8900000000003</v>
      </c>
      <c r="P1828" s="4">
        <v>0</v>
      </c>
      <c r="Q1828" s="7">
        <f t="shared" si="199"/>
        <v>0</v>
      </c>
      <c r="R1828" s="7">
        <f t="shared" si="200"/>
        <v>4655.8900000000003</v>
      </c>
      <c r="S1828" s="7">
        <f t="shared" si="201"/>
        <v>273.87588235294118</v>
      </c>
      <c r="T1828" s="6">
        <f t="shared" si="202"/>
        <v>2.4926686217008796E-2</v>
      </c>
      <c r="V1828" t="s">
        <v>29</v>
      </c>
    </row>
    <row r="1829" spans="1:22">
      <c r="A1829" s="3">
        <v>45734</v>
      </c>
      <c r="B1829" t="str">
        <f t="shared" si="196"/>
        <v>yyyy-03</v>
      </c>
      <c r="C1829">
        <f t="shared" si="197"/>
        <v>12</v>
      </c>
      <c r="D1829" t="s">
        <v>24</v>
      </c>
      <c r="E1829" t="s">
        <v>25</v>
      </c>
      <c r="F1829" t="s">
        <v>26</v>
      </c>
      <c r="G1829" t="s">
        <v>27</v>
      </c>
      <c r="H1829" t="s">
        <v>28</v>
      </c>
      <c r="I1829" s="5">
        <v>1655</v>
      </c>
      <c r="J1829" s="5">
        <v>873</v>
      </c>
      <c r="K1829" s="5">
        <v>89</v>
      </c>
      <c r="L1829" s="5">
        <v>35</v>
      </c>
      <c r="M1829" s="5">
        <v>35</v>
      </c>
      <c r="N1829" s="7">
        <v>990.7</v>
      </c>
      <c r="O1829" s="7">
        <f t="shared" si="198"/>
        <v>34674.5</v>
      </c>
      <c r="P1829" s="4">
        <v>0</v>
      </c>
      <c r="Q1829" s="7">
        <f t="shared" si="199"/>
        <v>0</v>
      </c>
      <c r="R1829" s="7">
        <f t="shared" si="200"/>
        <v>34674.5</v>
      </c>
      <c r="S1829" s="7">
        <f t="shared" si="201"/>
        <v>990.7</v>
      </c>
      <c r="T1829" s="6">
        <f t="shared" si="202"/>
        <v>2.1148036253776436E-2</v>
      </c>
      <c r="V1829" t="s">
        <v>29</v>
      </c>
    </row>
    <row r="1830" spans="1:22">
      <c r="A1830" s="3">
        <v>45734</v>
      </c>
      <c r="B1830" t="str">
        <f t="shared" si="196"/>
        <v>yyyy-03</v>
      </c>
      <c r="C1830">
        <f t="shared" si="197"/>
        <v>12</v>
      </c>
      <c r="D1830" t="s">
        <v>24</v>
      </c>
      <c r="E1830" t="s">
        <v>25</v>
      </c>
      <c r="F1830" t="s">
        <v>30</v>
      </c>
      <c r="G1830" t="s">
        <v>36</v>
      </c>
      <c r="H1830" t="s">
        <v>37</v>
      </c>
      <c r="I1830" s="5">
        <v>1980</v>
      </c>
      <c r="J1830" s="5">
        <v>1395</v>
      </c>
      <c r="K1830" s="5">
        <v>118</v>
      </c>
      <c r="L1830" s="5">
        <v>41</v>
      </c>
      <c r="M1830" s="5">
        <v>41</v>
      </c>
      <c r="N1830" s="7">
        <v>391.03</v>
      </c>
      <c r="O1830" s="7">
        <f t="shared" si="198"/>
        <v>16032.23</v>
      </c>
      <c r="P1830" s="4">
        <v>0</v>
      </c>
      <c r="Q1830" s="7">
        <f t="shared" si="199"/>
        <v>0</v>
      </c>
      <c r="R1830" s="7">
        <f t="shared" si="200"/>
        <v>16032.23</v>
      </c>
      <c r="S1830" s="7">
        <f t="shared" si="201"/>
        <v>391.03</v>
      </c>
      <c r="T1830" s="6">
        <f t="shared" si="202"/>
        <v>2.0707070707070709E-2</v>
      </c>
      <c r="V1830" t="s">
        <v>29</v>
      </c>
    </row>
    <row r="1831" spans="1:22">
      <c r="A1831" s="3">
        <v>45734</v>
      </c>
      <c r="B1831" t="str">
        <f t="shared" si="196"/>
        <v>yyyy-03</v>
      </c>
      <c r="C1831">
        <f t="shared" si="197"/>
        <v>12</v>
      </c>
      <c r="D1831" t="s">
        <v>24</v>
      </c>
      <c r="E1831" t="s">
        <v>25</v>
      </c>
      <c r="F1831" t="s">
        <v>33</v>
      </c>
      <c r="G1831" t="s">
        <v>27</v>
      </c>
      <c r="H1831" t="s">
        <v>63</v>
      </c>
      <c r="I1831" s="5">
        <v>1230</v>
      </c>
      <c r="J1831" s="5">
        <v>997</v>
      </c>
      <c r="K1831" s="5">
        <v>140</v>
      </c>
      <c r="L1831" s="5">
        <v>31</v>
      </c>
      <c r="M1831" s="5">
        <v>31</v>
      </c>
      <c r="N1831" s="7">
        <v>1774.19</v>
      </c>
      <c r="O1831" s="7">
        <f t="shared" si="198"/>
        <v>54999.89</v>
      </c>
      <c r="P1831" s="4">
        <v>0</v>
      </c>
      <c r="Q1831" s="7">
        <f t="shared" si="199"/>
        <v>0</v>
      </c>
      <c r="R1831" s="7">
        <f t="shared" si="200"/>
        <v>54999.89</v>
      </c>
      <c r="S1831" s="7">
        <f t="shared" si="201"/>
        <v>1774.19</v>
      </c>
      <c r="T1831" s="6">
        <f t="shared" si="202"/>
        <v>2.5203252032520326E-2</v>
      </c>
      <c r="V1831" t="s">
        <v>29</v>
      </c>
    </row>
    <row r="1832" spans="1:22">
      <c r="A1832" s="3">
        <v>45734</v>
      </c>
      <c r="B1832" t="str">
        <f t="shared" si="196"/>
        <v>yyyy-03</v>
      </c>
      <c r="C1832">
        <f t="shared" si="197"/>
        <v>12</v>
      </c>
      <c r="D1832" t="s">
        <v>24</v>
      </c>
      <c r="E1832" t="s">
        <v>34</v>
      </c>
      <c r="F1832" t="s">
        <v>35</v>
      </c>
      <c r="G1832" t="s">
        <v>31</v>
      </c>
      <c r="H1832" t="s">
        <v>32</v>
      </c>
      <c r="I1832" s="5">
        <v>1384</v>
      </c>
      <c r="J1832" s="5">
        <v>944</v>
      </c>
      <c r="K1832" s="5">
        <v>135</v>
      </c>
      <c r="L1832" s="5">
        <v>33</v>
      </c>
      <c r="M1832" s="5">
        <v>33</v>
      </c>
      <c r="N1832" s="7">
        <v>864.77</v>
      </c>
      <c r="O1832" s="7">
        <f t="shared" si="198"/>
        <v>28537.41</v>
      </c>
      <c r="P1832" s="4">
        <v>0</v>
      </c>
      <c r="Q1832" s="7">
        <f t="shared" si="199"/>
        <v>0</v>
      </c>
      <c r="R1832" s="7">
        <f t="shared" si="200"/>
        <v>28537.41</v>
      </c>
      <c r="S1832" s="7">
        <f t="shared" si="201"/>
        <v>864.77</v>
      </c>
      <c r="T1832" s="6">
        <f t="shared" si="202"/>
        <v>2.3843930635838149E-2</v>
      </c>
      <c r="V1832" t="s">
        <v>29</v>
      </c>
    </row>
    <row r="1833" spans="1:22">
      <c r="A1833" s="3">
        <v>45734</v>
      </c>
      <c r="B1833" t="str">
        <f t="shared" si="196"/>
        <v>yyyy-03</v>
      </c>
      <c r="C1833">
        <f t="shared" si="197"/>
        <v>12</v>
      </c>
      <c r="D1833" t="s">
        <v>24</v>
      </c>
      <c r="E1833" t="s">
        <v>38</v>
      </c>
      <c r="F1833" t="s">
        <v>39</v>
      </c>
      <c r="G1833" t="s">
        <v>27</v>
      </c>
      <c r="H1833" t="s">
        <v>63</v>
      </c>
      <c r="I1833" s="5">
        <v>749</v>
      </c>
      <c r="J1833" s="5">
        <v>535</v>
      </c>
      <c r="K1833" s="5">
        <v>26</v>
      </c>
      <c r="L1833" s="5">
        <v>11</v>
      </c>
      <c r="M1833" s="5">
        <v>11</v>
      </c>
      <c r="N1833" s="7">
        <v>324.66000000000003</v>
      </c>
      <c r="O1833" s="7">
        <f t="shared" si="198"/>
        <v>3571.26</v>
      </c>
      <c r="P1833" s="4">
        <v>0</v>
      </c>
      <c r="Q1833" s="7">
        <f t="shared" si="199"/>
        <v>0</v>
      </c>
      <c r="R1833" s="7">
        <f t="shared" si="200"/>
        <v>3571.26</v>
      </c>
      <c r="S1833" s="7">
        <f t="shared" si="201"/>
        <v>324.66000000000003</v>
      </c>
      <c r="T1833" s="6">
        <f t="shared" si="202"/>
        <v>1.4686248331108143E-2</v>
      </c>
      <c r="V1833" t="s">
        <v>29</v>
      </c>
    </row>
    <row r="1834" spans="1:22">
      <c r="A1834" s="3">
        <v>45734</v>
      </c>
      <c r="B1834" t="str">
        <f t="shared" si="196"/>
        <v>yyyy-03</v>
      </c>
      <c r="C1834">
        <f t="shared" si="197"/>
        <v>12</v>
      </c>
      <c r="D1834" t="s">
        <v>24</v>
      </c>
      <c r="E1834" t="s">
        <v>40</v>
      </c>
      <c r="F1834" t="s">
        <v>41</v>
      </c>
      <c r="G1834" t="s">
        <v>27</v>
      </c>
      <c r="H1834" t="s">
        <v>28</v>
      </c>
      <c r="I1834" s="5">
        <v>857</v>
      </c>
      <c r="J1834" s="5">
        <v>512</v>
      </c>
      <c r="K1834" s="5">
        <v>52</v>
      </c>
      <c r="L1834" s="5">
        <v>13</v>
      </c>
      <c r="M1834" s="5">
        <v>16</v>
      </c>
      <c r="N1834" s="7">
        <v>181.95</v>
      </c>
      <c r="O1834" s="7">
        <f t="shared" si="198"/>
        <v>2911.2</v>
      </c>
      <c r="P1834" s="4">
        <v>0</v>
      </c>
      <c r="Q1834" s="7">
        <f t="shared" si="199"/>
        <v>0</v>
      </c>
      <c r="R1834" s="7">
        <f t="shared" si="200"/>
        <v>2911.2</v>
      </c>
      <c r="S1834" s="7">
        <f t="shared" si="201"/>
        <v>223.93846153846152</v>
      </c>
      <c r="T1834" s="6">
        <f t="shared" si="202"/>
        <v>1.5169194865810968E-2</v>
      </c>
      <c r="V1834" t="s">
        <v>29</v>
      </c>
    </row>
    <row r="1835" spans="1:22">
      <c r="A1835" s="3">
        <v>45734</v>
      </c>
      <c r="B1835" t="str">
        <f t="shared" si="196"/>
        <v>yyyy-03</v>
      </c>
      <c r="C1835">
        <f t="shared" si="197"/>
        <v>12</v>
      </c>
      <c r="D1835" t="s">
        <v>42</v>
      </c>
      <c r="E1835" t="s">
        <v>43</v>
      </c>
      <c r="F1835" t="s">
        <v>44</v>
      </c>
      <c r="G1835" t="s">
        <v>31</v>
      </c>
      <c r="H1835" t="s">
        <v>32</v>
      </c>
      <c r="I1835" s="5">
        <v>535</v>
      </c>
      <c r="J1835" s="5">
        <v>393</v>
      </c>
      <c r="K1835" s="5">
        <v>37</v>
      </c>
      <c r="L1835" s="5">
        <v>8</v>
      </c>
      <c r="M1835" s="5">
        <v>8</v>
      </c>
      <c r="N1835" s="7">
        <v>1302.2</v>
      </c>
      <c r="O1835" s="7">
        <f t="shared" si="198"/>
        <v>10417.6</v>
      </c>
      <c r="P1835" s="4">
        <v>0.05</v>
      </c>
      <c r="Q1835" s="7">
        <f t="shared" si="199"/>
        <v>520.88</v>
      </c>
      <c r="R1835" s="7">
        <f t="shared" si="200"/>
        <v>9896.7200000000012</v>
      </c>
      <c r="S1835" s="7">
        <f t="shared" si="201"/>
        <v>1237.0900000000001</v>
      </c>
      <c r="T1835" s="6">
        <f t="shared" si="202"/>
        <v>1.4953271028037384E-2</v>
      </c>
      <c r="V1835" t="s">
        <v>29</v>
      </c>
    </row>
    <row r="1836" spans="1:22">
      <c r="A1836" s="3">
        <v>45734</v>
      </c>
      <c r="B1836" t="str">
        <f t="shared" si="196"/>
        <v>yyyy-03</v>
      </c>
      <c r="C1836">
        <f t="shared" si="197"/>
        <v>12</v>
      </c>
      <c r="D1836" t="s">
        <v>42</v>
      </c>
      <c r="E1836" t="s">
        <v>43</v>
      </c>
      <c r="F1836" t="s">
        <v>46</v>
      </c>
      <c r="G1836" t="s">
        <v>36</v>
      </c>
      <c r="H1836" t="s">
        <v>37</v>
      </c>
      <c r="I1836" s="5">
        <v>412</v>
      </c>
      <c r="J1836" s="5">
        <v>292</v>
      </c>
      <c r="K1836" s="5">
        <v>19</v>
      </c>
      <c r="L1836" s="5">
        <v>4</v>
      </c>
      <c r="M1836" s="5">
        <v>4</v>
      </c>
      <c r="N1836" s="7">
        <v>2220.5700000000002</v>
      </c>
      <c r="O1836" s="7">
        <f t="shared" si="198"/>
        <v>8882.2800000000007</v>
      </c>
      <c r="P1836" s="4">
        <v>0</v>
      </c>
      <c r="Q1836" s="7">
        <f t="shared" si="199"/>
        <v>0</v>
      </c>
      <c r="R1836" s="7">
        <f t="shared" si="200"/>
        <v>8882.2800000000007</v>
      </c>
      <c r="S1836" s="7">
        <f t="shared" si="201"/>
        <v>2220.5700000000002</v>
      </c>
      <c r="T1836" s="6">
        <f t="shared" si="202"/>
        <v>9.7087378640776691E-3</v>
      </c>
      <c r="V1836" t="s">
        <v>78</v>
      </c>
    </row>
    <row r="1837" spans="1:22">
      <c r="A1837" s="3">
        <v>45734</v>
      </c>
      <c r="B1837" t="str">
        <f t="shared" si="196"/>
        <v>yyyy-03</v>
      </c>
      <c r="C1837">
        <f t="shared" si="197"/>
        <v>12</v>
      </c>
      <c r="D1837" t="s">
        <v>42</v>
      </c>
      <c r="E1837" t="s">
        <v>43</v>
      </c>
      <c r="F1837" t="s">
        <v>47</v>
      </c>
      <c r="G1837" t="s">
        <v>27</v>
      </c>
      <c r="H1837" t="s">
        <v>48</v>
      </c>
      <c r="I1837" s="5">
        <v>313</v>
      </c>
      <c r="J1837" s="5">
        <v>184</v>
      </c>
      <c r="K1837" s="5">
        <v>14</v>
      </c>
      <c r="L1837" s="5">
        <v>3</v>
      </c>
      <c r="M1837" s="5">
        <v>3</v>
      </c>
      <c r="N1837" s="7">
        <v>579.36</v>
      </c>
      <c r="O1837" s="7">
        <f t="shared" si="198"/>
        <v>1738.08</v>
      </c>
      <c r="P1837" s="4">
        <v>0</v>
      </c>
      <c r="Q1837" s="7">
        <f t="shared" si="199"/>
        <v>0</v>
      </c>
      <c r="R1837" s="7">
        <f t="shared" si="200"/>
        <v>1738.08</v>
      </c>
      <c r="S1837" s="7">
        <f t="shared" si="201"/>
        <v>579.36</v>
      </c>
      <c r="T1837" s="6">
        <f t="shared" si="202"/>
        <v>9.5846645367412137E-3</v>
      </c>
      <c r="V1837" t="s">
        <v>29</v>
      </c>
    </row>
    <row r="1838" spans="1:22">
      <c r="A1838" s="3">
        <v>45734</v>
      </c>
      <c r="B1838" t="str">
        <f t="shared" si="196"/>
        <v>yyyy-03</v>
      </c>
      <c r="C1838">
        <f t="shared" si="197"/>
        <v>12</v>
      </c>
      <c r="D1838" t="s">
        <v>42</v>
      </c>
      <c r="E1838" t="s">
        <v>49</v>
      </c>
      <c r="F1838" t="s">
        <v>50</v>
      </c>
      <c r="G1838" t="s">
        <v>36</v>
      </c>
      <c r="H1838" t="s">
        <v>37</v>
      </c>
      <c r="I1838" s="5">
        <v>163</v>
      </c>
      <c r="J1838" s="5">
        <v>99</v>
      </c>
      <c r="K1838" s="5">
        <v>6</v>
      </c>
      <c r="L1838" s="5">
        <v>2</v>
      </c>
      <c r="M1838" s="5">
        <v>2</v>
      </c>
      <c r="N1838" s="7">
        <v>972</v>
      </c>
      <c r="O1838" s="7">
        <f t="shared" si="198"/>
        <v>1944</v>
      </c>
      <c r="P1838" s="4">
        <v>0.03</v>
      </c>
      <c r="Q1838" s="7">
        <f t="shared" si="199"/>
        <v>58.32</v>
      </c>
      <c r="R1838" s="7">
        <f t="shared" si="200"/>
        <v>1885.68</v>
      </c>
      <c r="S1838" s="7">
        <f t="shared" si="201"/>
        <v>942.84</v>
      </c>
      <c r="T1838" s="6">
        <f t="shared" si="202"/>
        <v>1.2269938650306749E-2</v>
      </c>
      <c r="V1838" t="s">
        <v>29</v>
      </c>
    </row>
    <row r="1839" spans="1:22">
      <c r="A1839" s="3">
        <v>45734</v>
      </c>
      <c r="B1839" t="str">
        <f t="shared" si="196"/>
        <v>yyyy-03</v>
      </c>
      <c r="C1839">
        <f t="shared" si="197"/>
        <v>12</v>
      </c>
      <c r="D1839" t="s">
        <v>42</v>
      </c>
      <c r="E1839" t="s">
        <v>51</v>
      </c>
      <c r="F1839" t="s">
        <v>52</v>
      </c>
      <c r="G1839" t="s">
        <v>36</v>
      </c>
      <c r="H1839" t="s">
        <v>37</v>
      </c>
      <c r="I1839" s="5">
        <v>260</v>
      </c>
      <c r="J1839" s="5">
        <v>202</v>
      </c>
      <c r="K1839" s="5">
        <v>13</v>
      </c>
      <c r="L1839" s="5">
        <v>4</v>
      </c>
      <c r="M1839" s="5">
        <v>4</v>
      </c>
      <c r="N1839" s="7">
        <v>599.79999999999995</v>
      </c>
      <c r="O1839" s="7">
        <f t="shared" si="198"/>
        <v>2399.1999999999998</v>
      </c>
      <c r="P1839" s="4">
        <v>0</v>
      </c>
      <c r="Q1839" s="7">
        <f t="shared" si="199"/>
        <v>0</v>
      </c>
      <c r="R1839" s="7">
        <f t="shared" si="200"/>
        <v>2399.1999999999998</v>
      </c>
      <c r="S1839" s="7">
        <f t="shared" si="201"/>
        <v>599.79999999999995</v>
      </c>
      <c r="T1839" s="6">
        <f t="shared" si="202"/>
        <v>1.5384615384615385E-2</v>
      </c>
      <c r="V1839" t="s">
        <v>29</v>
      </c>
    </row>
    <row r="1840" spans="1:22">
      <c r="A1840" s="3">
        <v>45734</v>
      </c>
      <c r="B1840" t="str">
        <f t="shared" si="196"/>
        <v>yyyy-03</v>
      </c>
      <c r="C1840">
        <f t="shared" si="197"/>
        <v>12</v>
      </c>
      <c r="D1840" t="s">
        <v>53</v>
      </c>
      <c r="E1840" t="s">
        <v>54</v>
      </c>
      <c r="F1840" t="s">
        <v>55</v>
      </c>
      <c r="G1840" t="s">
        <v>27</v>
      </c>
      <c r="H1840" t="s">
        <v>28</v>
      </c>
      <c r="I1840" s="5">
        <v>168</v>
      </c>
      <c r="J1840" s="5">
        <v>117</v>
      </c>
      <c r="K1840" s="5">
        <v>10</v>
      </c>
      <c r="L1840" s="5">
        <v>2</v>
      </c>
      <c r="M1840" s="5">
        <v>2</v>
      </c>
      <c r="N1840" s="7">
        <v>1248.18</v>
      </c>
      <c r="O1840" s="7">
        <f t="shared" si="198"/>
        <v>2496.36</v>
      </c>
      <c r="P1840" s="4">
        <v>0.03</v>
      </c>
      <c r="Q1840" s="7">
        <f t="shared" si="199"/>
        <v>74.890799999999999</v>
      </c>
      <c r="R1840" s="7">
        <f t="shared" si="200"/>
        <v>2421.4692</v>
      </c>
      <c r="S1840" s="7">
        <f t="shared" si="201"/>
        <v>1210.7346</v>
      </c>
      <c r="T1840" s="6">
        <f t="shared" si="202"/>
        <v>1.1904761904761904E-2</v>
      </c>
      <c r="V1840" t="s">
        <v>29</v>
      </c>
    </row>
    <row r="1841" spans="1:22">
      <c r="A1841" s="3">
        <v>45734</v>
      </c>
      <c r="B1841" t="str">
        <f t="shared" si="196"/>
        <v>yyyy-03</v>
      </c>
      <c r="C1841">
        <f t="shared" si="197"/>
        <v>12</v>
      </c>
      <c r="D1841" t="s">
        <v>53</v>
      </c>
      <c r="E1841" t="s">
        <v>56</v>
      </c>
      <c r="F1841" t="s">
        <v>57</v>
      </c>
      <c r="G1841" t="s">
        <v>27</v>
      </c>
      <c r="H1841" t="s">
        <v>45</v>
      </c>
      <c r="I1841" s="5">
        <v>110</v>
      </c>
      <c r="J1841" s="5">
        <v>79</v>
      </c>
      <c r="K1841" s="5">
        <v>6</v>
      </c>
      <c r="L1841" s="5">
        <v>1</v>
      </c>
      <c r="M1841" s="5">
        <v>1</v>
      </c>
      <c r="N1841" s="7">
        <v>755.88</v>
      </c>
      <c r="O1841" s="7">
        <f t="shared" si="198"/>
        <v>755.88</v>
      </c>
      <c r="P1841" s="4">
        <v>0</v>
      </c>
      <c r="Q1841" s="7">
        <f t="shared" si="199"/>
        <v>0</v>
      </c>
      <c r="R1841" s="7">
        <f t="shared" si="200"/>
        <v>755.88</v>
      </c>
      <c r="S1841" s="7">
        <f t="shared" si="201"/>
        <v>755.88</v>
      </c>
      <c r="T1841" s="6">
        <f t="shared" si="202"/>
        <v>9.0909090909090905E-3</v>
      </c>
      <c r="V1841" t="s">
        <v>29</v>
      </c>
    </row>
    <row r="1842" spans="1:22">
      <c r="A1842" s="3">
        <v>45734</v>
      </c>
      <c r="B1842" t="str">
        <f t="shared" si="196"/>
        <v>yyyy-03</v>
      </c>
      <c r="C1842">
        <f t="shared" si="197"/>
        <v>12</v>
      </c>
      <c r="D1842" t="s">
        <v>53</v>
      </c>
      <c r="E1842" t="s">
        <v>56</v>
      </c>
      <c r="F1842" t="s">
        <v>58</v>
      </c>
      <c r="G1842" t="s">
        <v>27</v>
      </c>
      <c r="H1842" t="s">
        <v>28</v>
      </c>
      <c r="I1842" s="5">
        <v>243</v>
      </c>
      <c r="J1842" s="5">
        <v>157</v>
      </c>
      <c r="K1842" s="5">
        <v>15</v>
      </c>
      <c r="L1842" s="5">
        <v>3</v>
      </c>
      <c r="M1842" s="5">
        <v>3</v>
      </c>
      <c r="N1842" s="7">
        <v>897.07</v>
      </c>
      <c r="O1842" s="7">
        <f t="shared" si="198"/>
        <v>2691.21</v>
      </c>
      <c r="P1842" s="4">
        <v>0</v>
      </c>
      <c r="Q1842" s="7">
        <f t="shared" si="199"/>
        <v>0</v>
      </c>
      <c r="R1842" s="7">
        <f t="shared" si="200"/>
        <v>2691.21</v>
      </c>
      <c r="S1842" s="7">
        <f t="shared" si="201"/>
        <v>897.07</v>
      </c>
      <c r="T1842" s="6">
        <f t="shared" si="202"/>
        <v>1.2345679012345678E-2</v>
      </c>
      <c r="V1842" t="s">
        <v>29</v>
      </c>
    </row>
    <row r="1843" spans="1:22">
      <c r="A1843" s="3">
        <v>45734</v>
      </c>
      <c r="B1843" t="str">
        <f t="shared" si="196"/>
        <v>yyyy-03</v>
      </c>
      <c r="C1843">
        <f t="shared" si="197"/>
        <v>12</v>
      </c>
      <c r="D1843" t="s">
        <v>53</v>
      </c>
      <c r="E1843" t="s">
        <v>59</v>
      </c>
      <c r="F1843" t="s">
        <v>60</v>
      </c>
      <c r="G1843" t="s">
        <v>27</v>
      </c>
      <c r="H1843" t="s">
        <v>45</v>
      </c>
      <c r="I1843" s="5">
        <v>179</v>
      </c>
      <c r="J1843" s="5">
        <v>145</v>
      </c>
      <c r="K1843" s="5">
        <v>14</v>
      </c>
      <c r="L1843" s="5">
        <v>2</v>
      </c>
      <c r="M1843" s="5">
        <v>2</v>
      </c>
      <c r="N1843" s="7">
        <v>702.53</v>
      </c>
      <c r="O1843" s="7">
        <f t="shared" si="198"/>
        <v>1405.06</v>
      </c>
      <c r="P1843" s="4">
        <v>0</v>
      </c>
      <c r="Q1843" s="7">
        <f t="shared" si="199"/>
        <v>0</v>
      </c>
      <c r="R1843" s="7">
        <f t="shared" si="200"/>
        <v>1405.06</v>
      </c>
      <c r="S1843" s="7">
        <f t="shared" si="201"/>
        <v>702.53</v>
      </c>
      <c r="T1843" s="6">
        <f t="shared" si="202"/>
        <v>1.11731843575419E-2</v>
      </c>
      <c r="V1843" t="s">
        <v>29</v>
      </c>
    </row>
    <row r="1844" spans="1:22">
      <c r="A1844" s="3">
        <v>45734</v>
      </c>
      <c r="B1844" t="str">
        <f t="shared" si="196"/>
        <v>yyyy-03</v>
      </c>
      <c r="C1844">
        <f t="shared" si="197"/>
        <v>12</v>
      </c>
      <c r="D1844" t="s">
        <v>53</v>
      </c>
      <c r="E1844" t="s">
        <v>61</v>
      </c>
      <c r="F1844" t="s">
        <v>62</v>
      </c>
      <c r="G1844" t="s">
        <v>27</v>
      </c>
      <c r="H1844" t="s">
        <v>28</v>
      </c>
      <c r="I1844" s="5">
        <v>139</v>
      </c>
      <c r="J1844" s="5">
        <v>110</v>
      </c>
      <c r="K1844" s="5">
        <v>7</v>
      </c>
      <c r="L1844" s="5">
        <v>2</v>
      </c>
      <c r="M1844" s="5">
        <v>2</v>
      </c>
      <c r="N1844" s="7">
        <v>482.39</v>
      </c>
      <c r="O1844" s="7">
        <f t="shared" si="198"/>
        <v>964.78</v>
      </c>
      <c r="P1844" s="4">
        <v>0.12</v>
      </c>
      <c r="Q1844" s="7">
        <f t="shared" si="199"/>
        <v>115.77359999999999</v>
      </c>
      <c r="R1844" s="7">
        <f t="shared" si="200"/>
        <v>849.00639999999999</v>
      </c>
      <c r="S1844" s="7">
        <f t="shared" si="201"/>
        <v>424.50319999999999</v>
      </c>
      <c r="T1844" s="6">
        <f t="shared" si="202"/>
        <v>1.4388489208633094E-2</v>
      </c>
      <c r="U1844" t="s">
        <v>89</v>
      </c>
      <c r="V1844" t="s">
        <v>29</v>
      </c>
    </row>
    <row r="1845" spans="1:22">
      <c r="A1845" s="3">
        <v>45734</v>
      </c>
      <c r="B1845" t="str">
        <f t="shared" si="196"/>
        <v>yyyy-03</v>
      </c>
      <c r="C1845">
        <f t="shared" si="197"/>
        <v>12</v>
      </c>
      <c r="D1845" t="s">
        <v>53</v>
      </c>
      <c r="E1845" t="s">
        <v>64</v>
      </c>
      <c r="F1845" t="s">
        <v>65</v>
      </c>
      <c r="G1845" t="s">
        <v>27</v>
      </c>
      <c r="H1845" t="s">
        <v>63</v>
      </c>
      <c r="I1845" s="5">
        <v>116</v>
      </c>
      <c r="J1845" s="5">
        <v>95</v>
      </c>
      <c r="K1845" s="5">
        <v>10</v>
      </c>
      <c r="L1845" s="5">
        <v>2</v>
      </c>
      <c r="M1845" s="5">
        <v>2</v>
      </c>
      <c r="N1845" s="7">
        <v>807.86</v>
      </c>
      <c r="O1845" s="7">
        <f t="shared" si="198"/>
        <v>1615.72</v>
      </c>
      <c r="P1845" s="4">
        <v>0</v>
      </c>
      <c r="Q1845" s="7">
        <f t="shared" si="199"/>
        <v>0</v>
      </c>
      <c r="R1845" s="7">
        <f t="shared" si="200"/>
        <v>1615.72</v>
      </c>
      <c r="S1845" s="7">
        <f t="shared" si="201"/>
        <v>807.86</v>
      </c>
      <c r="T1845" s="6">
        <f t="shared" si="202"/>
        <v>1.7241379310344827E-2</v>
      </c>
      <c r="V1845" t="s">
        <v>29</v>
      </c>
    </row>
    <row r="1846" spans="1:22">
      <c r="A1846" s="3">
        <v>45734</v>
      </c>
      <c r="B1846" t="str">
        <f t="shared" si="196"/>
        <v>yyyy-03</v>
      </c>
      <c r="C1846">
        <f t="shared" si="197"/>
        <v>12</v>
      </c>
      <c r="D1846" t="s">
        <v>66</v>
      </c>
      <c r="E1846" t="s">
        <v>67</v>
      </c>
      <c r="F1846" t="s">
        <v>68</v>
      </c>
      <c r="G1846" t="s">
        <v>27</v>
      </c>
      <c r="H1846" t="s">
        <v>63</v>
      </c>
      <c r="I1846" s="5">
        <v>243</v>
      </c>
      <c r="J1846" s="5">
        <v>193</v>
      </c>
      <c r="K1846" s="5">
        <v>19</v>
      </c>
      <c r="L1846" s="5">
        <v>5</v>
      </c>
      <c r="M1846" s="5">
        <v>5</v>
      </c>
      <c r="N1846" s="7">
        <v>689.97</v>
      </c>
      <c r="O1846" s="7">
        <f t="shared" si="198"/>
        <v>3449.8500000000004</v>
      </c>
      <c r="P1846" s="4">
        <v>0.1</v>
      </c>
      <c r="Q1846" s="7">
        <f t="shared" si="199"/>
        <v>344.98500000000007</v>
      </c>
      <c r="R1846" s="7">
        <f t="shared" si="200"/>
        <v>3104.8650000000002</v>
      </c>
      <c r="S1846" s="7">
        <f t="shared" si="201"/>
        <v>620.97300000000007</v>
      </c>
      <c r="T1846" s="6">
        <f t="shared" si="202"/>
        <v>2.0576131687242798E-2</v>
      </c>
      <c r="U1846" t="s">
        <v>90</v>
      </c>
      <c r="V1846" t="s">
        <v>29</v>
      </c>
    </row>
    <row r="1847" spans="1:22">
      <c r="A1847" s="3">
        <v>45734</v>
      </c>
      <c r="B1847" t="str">
        <f t="shared" si="196"/>
        <v>yyyy-03</v>
      </c>
      <c r="C1847">
        <f t="shared" si="197"/>
        <v>12</v>
      </c>
      <c r="D1847" t="s">
        <v>66</v>
      </c>
      <c r="E1847" t="s">
        <v>67</v>
      </c>
      <c r="F1847" t="s">
        <v>69</v>
      </c>
      <c r="G1847" t="s">
        <v>27</v>
      </c>
      <c r="H1847" t="s">
        <v>48</v>
      </c>
      <c r="I1847" s="5">
        <v>184</v>
      </c>
      <c r="J1847" s="5">
        <v>128</v>
      </c>
      <c r="K1847" s="5">
        <v>14</v>
      </c>
      <c r="L1847" s="5">
        <v>4</v>
      </c>
      <c r="M1847" s="5">
        <v>4</v>
      </c>
      <c r="N1847" s="7">
        <v>383.32</v>
      </c>
      <c r="O1847" s="7">
        <f t="shared" si="198"/>
        <v>1533.28</v>
      </c>
      <c r="P1847" s="4">
        <v>0.1</v>
      </c>
      <c r="Q1847" s="7">
        <f t="shared" si="199"/>
        <v>153.328</v>
      </c>
      <c r="R1847" s="7">
        <f t="shared" si="200"/>
        <v>1379.952</v>
      </c>
      <c r="S1847" s="7">
        <f t="shared" si="201"/>
        <v>344.988</v>
      </c>
      <c r="T1847" s="6">
        <f t="shared" si="202"/>
        <v>2.1739130434782608E-2</v>
      </c>
      <c r="U1847" t="s">
        <v>90</v>
      </c>
      <c r="V1847" t="s">
        <v>29</v>
      </c>
    </row>
    <row r="1848" spans="1:22">
      <c r="A1848" s="3">
        <v>45734</v>
      </c>
      <c r="B1848" t="str">
        <f t="shared" si="196"/>
        <v>yyyy-03</v>
      </c>
      <c r="C1848">
        <f t="shared" si="197"/>
        <v>12</v>
      </c>
      <c r="D1848" t="s">
        <v>66</v>
      </c>
      <c r="E1848" t="s">
        <v>67</v>
      </c>
      <c r="F1848" t="s">
        <v>70</v>
      </c>
      <c r="G1848" t="s">
        <v>31</v>
      </c>
      <c r="H1848" t="s">
        <v>32</v>
      </c>
      <c r="I1848" s="5">
        <v>415</v>
      </c>
      <c r="J1848" s="5">
        <v>249</v>
      </c>
      <c r="K1848" s="5">
        <v>24</v>
      </c>
      <c r="L1848" s="5">
        <v>7</v>
      </c>
      <c r="M1848" s="5">
        <v>7</v>
      </c>
      <c r="N1848" s="7">
        <v>337</v>
      </c>
      <c r="O1848" s="7">
        <f t="shared" si="198"/>
        <v>2359</v>
      </c>
      <c r="P1848" s="4">
        <v>0.1</v>
      </c>
      <c r="Q1848" s="7">
        <f t="shared" si="199"/>
        <v>235.9</v>
      </c>
      <c r="R1848" s="7">
        <f t="shared" si="200"/>
        <v>2123.1</v>
      </c>
      <c r="S1848" s="7">
        <f t="shared" si="201"/>
        <v>303.3</v>
      </c>
      <c r="T1848" s="6">
        <f t="shared" si="202"/>
        <v>1.6867469879518072E-2</v>
      </c>
      <c r="U1848" t="s">
        <v>90</v>
      </c>
      <c r="V1848" t="s">
        <v>29</v>
      </c>
    </row>
    <row r="1849" spans="1:22">
      <c r="A1849" s="3">
        <v>45734</v>
      </c>
      <c r="B1849" t="str">
        <f t="shared" si="196"/>
        <v>yyyy-03</v>
      </c>
      <c r="C1849">
        <f t="shared" si="197"/>
        <v>12</v>
      </c>
      <c r="D1849" t="s">
        <v>66</v>
      </c>
      <c r="E1849" t="s">
        <v>71</v>
      </c>
      <c r="F1849" t="s">
        <v>72</v>
      </c>
      <c r="G1849" t="s">
        <v>27</v>
      </c>
      <c r="H1849" t="s">
        <v>48</v>
      </c>
      <c r="I1849" s="5">
        <v>294</v>
      </c>
      <c r="J1849" s="5">
        <v>161</v>
      </c>
      <c r="K1849" s="5">
        <v>14</v>
      </c>
      <c r="L1849" s="5">
        <v>6</v>
      </c>
      <c r="M1849" s="5">
        <v>8</v>
      </c>
      <c r="N1849" s="7">
        <v>129.06</v>
      </c>
      <c r="O1849" s="7">
        <f t="shared" si="198"/>
        <v>1032.48</v>
      </c>
      <c r="P1849" s="4">
        <v>0</v>
      </c>
      <c r="Q1849" s="7">
        <f t="shared" si="199"/>
        <v>0</v>
      </c>
      <c r="R1849" s="7">
        <f t="shared" si="200"/>
        <v>1032.48</v>
      </c>
      <c r="S1849" s="7">
        <f t="shared" si="201"/>
        <v>172.08</v>
      </c>
      <c r="T1849" s="6">
        <f t="shared" si="202"/>
        <v>2.0408163265306121E-2</v>
      </c>
      <c r="V1849" t="s">
        <v>29</v>
      </c>
    </row>
    <row r="1850" spans="1:22">
      <c r="A1850" s="3">
        <v>45734</v>
      </c>
      <c r="B1850" t="str">
        <f t="shared" si="196"/>
        <v>yyyy-03</v>
      </c>
      <c r="C1850">
        <f t="shared" si="197"/>
        <v>12</v>
      </c>
      <c r="D1850" t="s">
        <v>66</v>
      </c>
      <c r="E1850" t="s">
        <v>73</v>
      </c>
      <c r="F1850" t="s">
        <v>74</v>
      </c>
      <c r="G1850" t="s">
        <v>27</v>
      </c>
      <c r="H1850" t="s">
        <v>28</v>
      </c>
      <c r="I1850" s="5">
        <v>229</v>
      </c>
      <c r="J1850" s="5">
        <v>149</v>
      </c>
      <c r="K1850" s="5">
        <v>15</v>
      </c>
      <c r="L1850" s="5">
        <v>5</v>
      </c>
      <c r="M1850" s="5">
        <v>5</v>
      </c>
      <c r="N1850" s="7">
        <v>1179.25</v>
      </c>
      <c r="O1850" s="7">
        <f t="shared" si="198"/>
        <v>5896.25</v>
      </c>
      <c r="P1850" s="4">
        <v>0</v>
      </c>
      <c r="Q1850" s="7">
        <f t="shared" si="199"/>
        <v>0</v>
      </c>
      <c r="R1850" s="7">
        <f t="shared" si="200"/>
        <v>5896.25</v>
      </c>
      <c r="S1850" s="7">
        <f t="shared" si="201"/>
        <v>1179.25</v>
      </c>
      <c r="T1850" s="6">
        <f t="shared" si="202"/>
        <v>2.1834061135371178E-2</v>
      </c>
      <c r="V1850" t="s">
        <v>29</v>
      </c>
    </row>
    <row r="1851" spans="1:22">
      <c r="A1851" s="3">
        <v>45734</v>
      </c>
      <c r="B1851" t="str">
        <f t="shared" si="196"/>
        <v>yyyy-03</v>
      </c>
      <c r="C1851">
        <f t="shared" si="197"/>
        <v>12</v>
      </c>
      <c r="D1851" t="s">
        <v>66</v>
      </c>
      <c r="E1851" t="s">
        <v>71</v>
      </c>
      <c r="F1851" t="s">
        <v>75</v>
      </c>
      <c r="G1851" t="s">
        <v>27</v>
      </c>
      <c r="H1851" t="s">
        <v>63</v>
      </c>
      <c r="I1851" s="5">
        <v>181</v>
      </c>
      <c r="J1851" s="5">
        <v>109</v>
      </c>
      <c r="K1851" s="5">
        <v>8</v>
      </c>
      <c r="L1851" s="5">
        <v>3</v>
      </c>
      <c r="M1851" s="5">
        <v>4</v>
      </c>
      <c r="N1851" s="7">
        <v>37.65</v>
      </c>
      <c r="O1851" s="7">
        <f t="shared" si="198"/>
        <v>150.6</v>
      </c>
      <c r="P1851" s="4">
        <v>0.05</v>
      </c>
      <c r="Q1851" s="7">
        <f t="shared" si="199"/>
        <v>7.53</v>
      </c>
      <c r="R1851" s="7">
        <f t="shared" si="200"/>
        <v>143.07</v>
      </c>
      <c r="S1851" s="7">
        <f t="shared" si="201"/>
        <v>47.69</v>
      </c>
      <c r="T1851" s="6">
        <f t="shared" si="202"/>
        <v>1.6574585635359115E-2</v>
      </c>
      <c r="V1851" t="s">
        <v>29</v>
      </c>
    </row>
    <row r="1852" spans="1:22">
      <c r="A1852" s="3">
        <v>45734</v>
      </c>
      <c r="B1852" t="str">
        <f t="shared" si="196"/>
        <v>yyyy-03</v>
      </c>
      <c r="C1852">
        <f t="shared" si="197"/>
        <v>12</v>
      </c>
      <c r="D1852" t="s">
        <v>24</v>
      </c>
      <c r="E1852" t="s">
        <v>76</v>
      </c>
      <c r="F1852" t="s">
        <v>77</v>
      </c>
      <c r="G1852" t="s">
        <v>27</v>
      </c>
      <c r="H1852" t="s">
        <v>28</v>
      </c>
      <c r="I1852" s="5">
        <v>565</v>
      </c>
      <c r="J1852" s="5">
        <v>301</v>
      </c>
      <c r="K1852" s="5">
        <v>55</v>
      </c>
      <c r="L1852" s="5">
        <v>14</v>
      </c>
      <c r="M1852" s="5">
        <v>16</v>
      </c>
      <c r="N1852" s="7">
        <v>201.71</v>
      </c>
      <c r="O1852" s="7">
        <f t="shared" si="198"/>
        <v>3227.36</v>
      </c>
      <c r="P1852" s="4">
        <v>0</v>
      </c>
      <c r="Q1852" s="7">
        <f t="shared" si="199"/>
        <v>0</v>
      </c>
      <c r="R1852" s="7">
        <f t="shared" si="200"/>
        <v>3227.36</v>
      </c>
      <c r="S1852" s="7">
        <f t="shared" si="201"/>
        <v>230.52571428571429</v>
      </c>
      <c r="T1852" s="6">
        <f t="shared" si="202"/>
        <v>2.4778761061946902E-2</v>
      </c>
      <c r="V1852" t="s">
        <v>29</v>
      </c>
    </row>
    <row r="1853" spans="1:22">
      <c r="A1853" s="3">
        <v>45735</v>
      </c>
      <c r="B1853" t="str">
        <f t="shared" si="196"/>
        <v>yyyy-03</v>
      </c>
      <c r="C1853">
        <f t="shared" si="197"/>
        <v>12</v>
      </c>
      <c r="D1853" t="s">
        <v>24</v>
      </c>
      <c r="E1853" t="s">
        <v>25</v>
      </c>
      <c r="F1853" t="s">
        <v>26</v>
      </c>
      <c r="G1853" t="s">
        <v>27</v>
      </c>
      <c r="H1853" t="s">
        <v>45</v>
      </c>
      <c r="I1853" s="5">
        <v>1321</v>
      </c>
      <c r="J1853" s="5">
        <v>1005</v>
      </c>
      <c r="K1853" s="5">
        <v>119</v>
      </c>
      <c r="L1853" s="5">
        <v>27</v>
      </c>
      <c r="M1853" s="5">
        <v>27</v>
      </c>
      <c r="N1853" s="7">
        <v>999.2</v>
      </c>
      <c r="O1853" s="7">
        <f t="shared" si="198"/>
        <v>26978.400000000001</v>
      </c>
      <c r="P1853" s="4">
        <v>0.03</v>
      </c>
      <c r="Q1853" s="7">
        <f t="shared" si="199"/>
        <v>809.35199999999998</v>
      </c>
      <c r="R1853" s="7">
        <f t="shared" si="200"/>
        <v>26169.048000000003</v>
      </c>
      <c r="S1853" s="7">
        <f t="shared" si="201"/>
        <v>969.22400000000005</v>
      </c>
      <c r="T1853" s="6">
        <f t="shared" si="202"/>
        <v>2.0439061317183951E-2</v>
      </c>
      <c r="V1853" t="s">
        <v>29</v>
      </c>
    </row>
    <row r="1854" spans="1:22">
      <c r="A1854" s="3">
        <v>45735</v>
      </c>
      <c r="B1854" t="str">
        <f t="shared" si="196"/>
        <v>yyyy-03</v>
      </c>
      <c r="C1854">
        <f t="shared" si="197"/>
        <v>12</v>
      </c>
      <c r="D1854" t="s">
        <v>24</v>
      </c>
      <c r="E1854" t="s">
        <v>25</v>
      </c>
      <c r="F1854" t="s">
        <v>30</v>
      </c>
      <c r="G1854" t="s">
        <v>36</v>
      </c>
      <c r="H1854" t="s">
        <v>37</v>
      </c>
      <c r="I1854" s="5">
        <v>1412</v>
      </c>
      <c r="J1854" s="5">
        <v>1121</v>
      </c>
      <c r="K1854" s="5">
        <v>148</v>
      </c>
      <c r="L1854" s="5">
        <v>36</v>
      </c>
      <c r="M1854" s="5">
        <v>36</v>
      </c>
      <c r="N1854" s="7">
        <v>397.64</v>
      </c>
      <c r="O1854" s="7">
        <f t="shared" si="198"/>
        <v>14315.039999999999</v>
      </c>
      <c r="P1854" s="4">
        <v>0</v>
      </c>
      <c r="Q1854" s="7">
        <f t="shared" si="199"/>
        <v>0</v>
      </c>
      <c r="R1854" s="7">
        <f t="shared" si="200"/>
        <v>14315.039999999999</v>
      </c>
      <c r="S1854" s="7">
        <f t="shared" si="201"/>
        <v>397.64</v>
      </c>
      <c r="T1854" s="6">
        <f t="shared" si="202"/>
        <v>2.5495750708215296E-2</v>
      </c>
      <c r="V1854" t="s">
        <v>29</v>
      </c>
    </row>
    <row r="1855" spans="1:22">
      <c r="A1855" s="3">
        <v>45735</v>
      </c>
      <c r="B1855" t="str">
        <f t="shared" si="196"/>
        <v>yyyy-03</v>
      </c>
      <c r="C1855">
        <f t="shared" si="197"/>
        <v>12</v>
      </c>
      <c r="D1855" t="s">
        <v>24</v>
      </c>
      <c r="E1855" t="s">
        <v>25</v>
      </c>
      <c r="F1855" t="s">
        <v>33</v>
      </c>
      <c r="G1855" t="s">
        <v>36</v>
      </c>
      <c r="H1855" t="s">
        <v>37</v>
      </c>
      <c r="I1855" s="5">
        <v>1878</v>
      </c>
      <c r="J1855" s="5">
        <v>1131</v>
      </c>
      <c r="K1855" s="5">
        <v>96</v>
      </c>
      <c r="L1855" s="5">
        <v>39</v>
      </c>
      <c r="M1855" s="5">
        <v>39</v>
      </c>
      <c r="N1855" s="7">
        <v>1743.55</v>
      </c>
      <c r="O1855" s="7">
        <f t="shared" si="198"/>
        <v>67998.45</v>
      </c>
      <c r="P1855" s="4">
        <v>0</v>
      </c>
      <c r="Q1855" s="7">
        <f t="shared" si="199"/>
        <v>0</v>
      </c>
      <c r="R1855" s="7">
        <f t="shared" si="200"/>
        <v>67998.45</v>
      </c>
      <c r="S1855" s="7">
        <f t="shared" si="201"/>
        <v>1743.55</v>
      </c>
      <c r="T1855" s="6">
        <f t="shared" si="202"/>
        <v>2.0766773162939296E-2</v>
      </c>
      <c r="V1855" t="s">
        <v>29</v>
      </c>
    </row>
    <row r="1856" spans="1:22">
      <c r="A1856" s="3">
        <v>45735</v>
      </c>
      <c r="B1856" t="str">
        <f t="shared" si="196"/>
        <v>yyyy-03</v>
      </c>
      <c r="C1856">
        <f t="shared" si="197"/>
        <v>12</v>
      </c>
      <c r="D1856" t="s">
        <v>24</v>
      </c>
      <c r="E1856" t="s">
        <v>34</v>
      </c>
      <c r="F1856" t="s">
        <v>35</v>
      </c>
      <c r="G1856" t="s">
        <v>36</v>
      </c>
      <c r="H1856" t="s">
        <v>37</v>
      </c>
      <c r="I1856" s="5">
        <v>972</v>
      </c>
      <c r="J1856" s="5">
        <v>801</v>
      </c>
      <c r="K1856" s="5">
        <v>85</v>
      </c>
      <c r="L1856" s="5">
        <v>18</v>
      </c>
      <c r="M1856" s="5">
        <v>18</v>
      </c>
      <c r="N1856" s="7">
        <v>884.97</v>
      </c>
      <c r="O1856" s="7">
        <f t="shared" si="198"/>
        <v>15929.460000000001</v>
      </c>
      <c r="P1856" s="4">
        <v>0</v>
      </c>
      <c r="Q1856" s="7">
        <f t="shared" si="199"/>
        <v>0</v>
      </c>
      <c r="R1856" s="7">
        <f t="shared" si="200"/>
        <v>15929.460000000001</v>
      </c>
      <c r="S1856" s="7">
        <f t="shared" si="201"/>
        <v>884.97</v>
      </c>
      <c r="T1856" s="6">
        <f t="shared" si="202"/>
        <v>1.8518518518518517E-2</v>
      </c>
      <c r="V1856" t="s">
        <v>29</v>
      </c>
    </row>
    <row r="1857" spans="1:22">
      <c r="A1857" s="3">
        <v>45735</v>
      </c>
      <c r="B1857" t="str">
        <f t="shared" si="196"/>
        <v>yyyy-03</v>
      </c>
      <c r="C1857">
        <f t="shared" si="197"/>
        <v>12</v>
      </c>
      <c r="D1857" t="s">
        <v>24</v>
      </c>
      <c r="E1857" t="s">
        <v>38</v>
      </c>
      <c r="F1857" t="s">
        <v>39</v>
      </c>
      <c r="G1857" t="s">
        <v>27</v>
      </c>
      <c r="H1857" t="s">
        <v>28</v>
      </c>
      <c r="I1857" s="5">
        <v>681</v>
      </c>
      <c r="J1857" s="5">
        <v>410</v>
      </c>
      <c r="K1857" s="5">
        <v>12</v>
      </c>
      <c r="L1857" s="5">
        <v>0</v>
      </c>
      <c r="M1857" s="5">
        <v>0</v>
      </c>
      <c r="N1857" s="7">
        <v>316.64999999999998</v>
      </c>
      <c r="O1857" s="7">
        <f t="shared" si="198"/>
        <v>0</v>
      </c>
      <c r="P1857" s="4">
        <v>0</v>
      </c>
      <c r="Q1857" s="7">
        <f t="shared" si="199"/>
        <v>0</v>
      </c>
      <c r="R1857" s="7">
        <f t="shared" si="200"/>
        <v>0</v>
      </c>
      <c r="S1857" s="7">
        <f t="shared" si="201"/>
        <v>0</v>
      </c>
      <c r="T1857" s="6">
        <f t="shared" si="202"/>
        <v>0</v>
      </c>
      <c r="V1857" t="s">
        <v>81</v>
      </c>
    </row>
    <row r="1858" spans="1:22">
      <c r="A1858" s="3">
        <v>45735</v>
      </c>
      <c r="B1858" t="str">
        <f t="shared" si="196"/>
        <v>yyyy-03</v>
      </c>
      <c r="C1858">
        <f t="shared" si="197"/>
        <v>12</v>
      </c>
      <c r="D1858" t="s">
        <v>24</v>
      </c>
      <c r="E1858" t="s">
        <v>40</v>
      </c>
      <c r="F1858" t="s">
        <v>41</v>
      </c>
      <c r="G1858" t="s">
        <v>36</v>
      </c>
      <c r="H1858" t="s">
        <v>37</v>
      </c>
      <c r="I1858" s="5">
        <v>705</v>
      </c>
      <c r="J1858" s="5">
        <v>399</v>
      </c>
      <c r="K1858" s="5">
        <v>64</v>
      </c>
      <c r="L1858" s="5">
        <v>18</v>
      </c>
      <c r="M1858" s="5">
        <v>19</v>
      </c>
      <c r="N1858" s="7">
        <v>172.08</v>
      </c>
      <c r="O1858" s="7">
        <f t="shared" si="198"/>
        <v>3269.5200000000004</v>
      </c>
      <c r="P1858" s="4">
        <v>0</v>
      </c>
      <c r="Q1858" s="7">
        <f t="shared" si="199"/>
        <v>0</v>
      </c>
      <c r="R1858" s="7">
        <f t="shared" si="200"/>
        <v>3269.5200000000004</v>
      </c>
      <c r="S1858" s="7">
        <f t="shared" si="201"/>
        <v>181.64000000000001</v>
      </c>
      <c r="T1858" s="6">
        <f t="shared" si="202"/>
        <v>2.553191489361702E-2</v>
      </c>
      <c r="V1858" t="s">
        <v>29</v>
      </c>
    </row>
    <row r="1859" spans="1:22">
      <c r="A1859" s="3">
        <v>45735</v>
      </c>
      <c r="B1859" t="str">
        <f t="shared" si="196"/>
        <v>yyyy-03</v>
      </c>
      <c r="C1859">
        <f t="shared" si="197"/>
        <v>12</v>
      </c>
      <c r="D1859" t="s">
        <v>42</v>
      </c>
      <c r="E1859" t="s">
        <v>43</v>
      </c>
      <c r="F1859" t="s">
        <v>44</v>
      </c>
      <c r="G1859" t="s">
        <v>27</v>
      </c>
      <c r="H1859" t="s">
        <v>48</v>
      </c>
      <c r="I1859" s="5">
        <v>402</v>
      </c>
      <c r="J1859" s="5">
        <v>282</v>
      </c>
      <c r="K1859" s="5">
        <v>29</v>
      </c>
      <c r="L1859" s="5">
        <v>7</v>
      </c>
      <c r="M1859" s="5">
        <v>7</v>
      </c>
      <c r="N1859" s="7">
        <v>1305.92</v>
      </c>
      <c r="O1859" s="7">
        <f t="shared" si="198"/>
        <v>9141.44</v>
      </c>
      <c r="P1859" s="4">
        <v>0</v>
      </c>
      <c r="Q1859" s="7">
        <f t="shared" si="199"/>
        <v>0</v>
      </c>
      <c r="R1859" s="7">
        <f t="shared" si="200"/>
        <v>9141.44</v>
      </c>
      <c r="S1859" s="7">
        <f t="shared" si="201"/>
        <v>1305.92</v>
      </c>
      <c r="T1859" s="6">
        <f t="shared" si="202"/>
        <v>1.7412935323383085E-2</v>
      </c>
      <c r="V1859" t="s">
        <v>29</v>
      </c>
    </row>
    <row r="1860" spans="1:22">
      <c r="A1860" s="3">
        <v>45735</v>
      </c>
      <c r="B1860" t="str">
        <f t="shared" si="196"/>
        <v>yyyy-03</v>
      </c>
      <c r="C1860">
        <f t="shared" si="197"/>
        <v>12</v>
      </c>
      <c r="D1860" t="s">
        <v>42</v>
      </c>
      <c r="E1860" t="s">
        <v>43</v>
      </c>
      <c r="F1860" t="s">
        <v>46</v>
      </c>
      <c r="G1860" t="s">
        <v>27</v>
      </c>
      <c r="H1860" t="s">
        <v>28</v>
      </c>
      <c r="I1860" s="5">
        <v>618</v>
      </c>
      <c r="J1860" s="5">
        <v>488</v>
      </c>
      <c r="K1860" s="5">
        <v>28</v>
      </c>
      <c r="L1860" s="5">
        <v>10</v>
      </c>
      <c r="M1860" s="5">
        <v>10</v>
      </c>
      <c r="N1860" s="7">
        <v>2206</v>
      </c>
      <c r="O1860" s="7">
        <f t="shared" si="198"/>
        <v>22060</v>
      </c>
      <c r="P1860" s="4">
        <v>0</v>
      </c>
      <c r="Q1860" s="7">
        <f t="shared" si="199"/>
        <v>0</v>
      </c>
      <c r="R1860" s="7">
        <f t="shared" si="200"/>
        <v>22060</v>
      </c>
      <c r="S1860" s="7">
        <f t="shared" si="201"/>
        <v>2206</v>
      </c>
      <c r="T1860" s="6">
        <f t="shared" si="202"/>
        <v>1.6181229773462782E-2</v>
      </c>
      <c r="V1860" t="s">
        <v>29</v>
      </c>
    </row>
    <row r="1861" spans="1:22">
      <c r="A1861" s="3">
        <v>45735</v>
      </c>
      <c r="B1861" t="str">
        <f t="shared" ref="B1861:B1924" si="203">TEXT(A1861,"yyyy-mm")</f>
        <v>yyyy-03</v>
      </c>
      <c r="C1861">
        <f t="shared" ref="C1861:C1924" si="204">WEEKNUM(A1861,2)</f>
        <v>12</v>
      </c>
      <c r="D1861" t="s">
        <v>42</v>
      </c>
      <c r="E1861" t="s">
        <v>43</v>
      </c>
      <c r="F1861" t="s">
        <v>47</v>
      </c>
      <c r="G1861" t="s">
        <v>27</v>
      </c>
      <c r="H1861" t="s">
        <v>48</v>
      </c>
      <c r="I1861" s="5">
        <v>379</v>
      </c>
      <c r="J1861" s="5">
        <v>234</v>
      </c>
      <c r="K1861" s="5">
        <v>24</v>
      </c>
      <c r="L1861" s="5">
        <v>5</v>
      </c>
      <c r="M1861" s="5">
        <v>5</v>
      </c>
      <c r="N1861" s="7">
        <v>600.21</v>
      </c>
      <c r="O1861" s="7">
        <f t="shared" ref="O1861:O1924" si="205">M1861*N1861</f>
        <v>3001.05</v>
      </c>
      <c r="P1861" s="4">
        <v>0</v>
      </c>
      <c r="Q1861" s="7">
        <f t="shared" ref="Q1861:Q1924" si="206">O1861*P1861</f>
        <v>0</v>
      </c>
      <c r="R1861" s="7">
        <f t="shared" ref="R1861:R1924" si="207">O1861-Q1861</f>
        <v>3001.05</v>
      </c>
      <c r="S1861" s="7">
        <f t="shared" ref="S1861:S1924" si="208">IFERROR(R1861/L1861,0)</f>
        <v>600.21</v>
      </c>
      <c r="T1861" s="6">
        <f t="shared" ref="T1861:T1924" si="209">IFERROR(L1861/I1861,0)</f>
        <v>1.3192612137203167E-2</v>
      </c>
      <c r="V1861" t="s">
        <v>29</v>
      </c>
    </row>
    <row r="1862" spans="1:22">
      <c r="A1862" s="3">
        <v>45735</v>
      </c>
      <c r="B1862" t="str">
        <f t="shared" si="203"/>
        <v>yyyy-03</v>
      </c>
      <c r="C1862">
        <f t="shared" si="204"/>
        <v>12</v>
      </c>
      <c r="D1862" t="s">
        <v>42</v>
      </c>
      <c r="E1862" t="s">
        <v>49</v>
      </c>
      <c r="F1862" t="s">
        <v>50</v>
      </c>
      <c r="G1862" t="s">
        <v>27</v>
      </c>
      <c r="H1862" t="s">
        <v>48</v>
      </c>
      <c r="I1862" s="5">
        <v>161</v>
      </c>
      <c r="J1862" s="5">
        <v>97</v>
      </c>
      <c r="K1862" s="5">
        <v>5</v>
      </c>
      <c r="L1862" s="5">
        <v>2</v>
      </c>
      <c r="M1862" s="5">
        <v>2</v>
      </c>
      <c r="N1862" s="7">
        <v>964.88</v>
      </c>
      <c r="O1862" s="7">
        <f t="shared" si="205"/>
        <v>1929.76</v>
      </c>
      <c r="P1862" s="4">
        <v>0</v>
      </c>
      <c r="Q1862" s="7">
        <f t="shared" si="206"/>
        <v>0</v>
      </c>
      <c r="R1862" s="7">
        <f t="shared" si="207"/>
        <v>1929.76</v>
      </c>
      <c r="S1862" s="7">
        <f t="shared" si="208"/>
        <v>964.88</v>
      </c>
      <c r="T1862" s="6">
        <f t="shared" si="209"/>
        <v>1.2422360248447204E-2</v>
      </c>
      <c r="V1862" t="s">
        <v>29</v>
      </c>
    </row>
    <row r="1863" spans="1:22">
      <c r="A1863" s="3">
        <v>45735</v>
      </c>
      <c r="B1863" t="str">
        <f t="shared" si="203"/>
        <v>yyyy-03</v>
      </c>
      <c r="C1863">
        <f t="shared" si="204"/>
        <v>12</v>
      </c>
      <c r="D1863" t="s">
        <v>42</v>
      </c>
      <c r="E1863" t="s">
        <v>51</v>
      </c>
      <c r="F1863" t="s">
        <v>52</v>
      </c>
      <c r="G1863" t="s">
        <v>36</v>
      </c>
      <c r="H1863" t="s">
        <v>37</v>
      </c>
      <c r="I1863" s="5">
        <v>278</v>
      </c>
      <c r="J1863" s="5">
        <v>212</v>
      </c>
      <c r="K1863" s="5">
        <v>18</v>
      </c>
      <c r="L1863" s="5">
        <v>4</v>
      </c>
      <c r="M1863" s="5">
        <v>4</v>
      </c>
      <c r="N1863" s="7">
        <v>601.65</v>
      </c>
      <c r="O1863" s="7">
        <f t="shared" si="205"/>
        <v>2406.6</v>
      </c>
      <c r="P1863" s="4">
        <v>0</v>
      </c>
      <c r="Q1863" s="7">
        <f t="shared" si="206"/>
        <v>0</v>
      </c>
      <c r="R1863" s="7">
        <f t="shared" si="207"/>
        <v>2406.6</v>
      </c>
      <c r="S1863" s="7">
        <f t="shared" si="208"/>
        <v>601.65</v>
      </c>
      <c r="T1863" s="6">
        <f t="shared" si="209"/>
        <v>1.4388489208633094E-2</v>
      </c>
      <c r="V1863" t="s">
        <v>29</v>
      </c>
    </row>
    <row r="1864" spans="1:22">
      <c r="A1864" s="3">
        <v>45735</v>
      </c>
      <c r="B1864" t="str">
        <f t="shared" si="203"/>
        <v>yyyy-03</v>
      </c>
      <c r="C1864">
        <f t="shared" si="204"/>
        <v>12</v>
      </c>
      <c r="D1864" t="s">
        <v>53</v>
      </c>
      <c r="E1864" t="s">
        <v>54</v>
      </c>
      <c r="F1864" t="s">
        <v>55</v>
      </c>
      <c r="G1864" t="s">
        <v>27</v>
      </c>
      <c r="H1864" t="s">
        <v>48</v>
      </c>
      <c r="I1864" s="5">
        <v>122</v>
      </c>
      <c r="J1864" s="5">
        <v>82</v>
      </c>
      <c r="K1864" s="5">
        <v>7</v>
      </c>
      <c r="L1864" s="5">
        <v>1</v>
      </c>
      <c r="M1864" s="5">
        <v>1</v>
      </c>
      <c r="N1864" s="7">
        <v>1289.6400000000001</v>
      </c>
      <c r="O1864" s="7">
        <f t="shared" si="205"/>
        <v>1289.6400000000001</v>
      </c>
      <c r="P1864" s="4">
        <v>0.05</v>
      </c>
      <c r="Q1864" s="7">
        <f t="shared" si="206"/>
        <v>64.482000000000014</v>
      </c>
      <c r="R1864" s="7">
        <f t="shared" si="207"/>
        <v>1225.1580000000001</v>
      </c>
      <c r="S1864" s="7">
        <f t="shared" si="208"/>
        <v>1225.1580000000001</v>
      </c>
      <c r="T1864" s="6">
        <f t="shared" si="209"/>
        <v>8.1967213114754103E-3</v>
      </c>
      <c r="V1864" t="s">
        <v>78</v>
      </c>
    </row>
    <row r="1865" spans="1:22">
      <c r="A1865" s="3">
        <v>45735</v>
      </c>
      <c r="B1865" t="str">
        <f t="shared" si="203"/>
        <v>yyyy-03</v>
      </c>
      <c r="C1865">
        <f t="shared" si="204"/>
        <v>12</v>
      </c>
      <c r="D1865" t="s">
        <v>53</v>
      </c>
      <c r="E1865" t="s">
        <v>56</v>
      </c>
      <c r="F1865" t="s">
        <v>57</v>
      </c>
      <c r="G1865" t="s">
        <v>31</v>
      </c>
      <c r="H1865" t="s">
        <v>32</v>
      </c>
      <c r="I1865" s="5">
        <v>234</v>
      </c>
      <c r="J1865" s="5">
        <v>155</v>
      </c>
      <c r="K1865" s="5">
        <v>7</v>
      </c>
      <c r="L1865" s="5">
        <v>3</v>
      </c>
      <c r="M1865" s="5">
        <v>3</v>
      </c>
      <c r="N1865" s="7">
        <v>731.21</v>
      </c>
      <c r="O1865" s="7">
        <f t="shared" si="205"/>
        <v>2193.63</v>
      </c>
      <c r="P1865" s="4">
        <v>0.03</v>
      </c>
      <c r="Q1865" s="7">
        <f t="shared" si="206"/>
        <v>65.808899999999994</v>
      </c>
      <c r="R1865" s="7">
        <f t="shared" si="207"/>
        <v>2127.8211000000001</v>
      </c>
      <c r="S1865" s="7">
        <f t="shared" si="208"/>
        <v>709.27370000000008</v>
      </c>
      <c r="T1865" s="6">
        <f t="shared" si="209"/>
        <v>1.282051282051282E-2</v>
      </c>
      <c r="V1865" t="s">
        <v>29</v>
      </c>
    </row>
    <row r="1866" spans="1:22">
      <c r="A1866" s="3">
        <v>45735</v>
      </c>
      <c r="B1866" t="str">
        <f t="shared" si="203"/>
        <v>yyyy-03</v>
      </c>
      <c r="C1866">
        <f t="shared" si="204"/>
        <v>12</v>
      </c>
      <c r="D1866" t="s">
        <v>53</v>
      </c>
      <c r="E1866" t="s">
        <v>56</v>
      </c>
      <c r="F1866" t="s">
        <v>58</v>
      </c>
      <c r="G1866" t="s">
        <v>27</v>
      </c>
      <c r="H1866" t="s">
        <v>28</v>
      </c>
      <c r="I1866" s="5">
        <v>143</v>
      </c>
      <c r="J1866" s="5">
        <v>111</v>
      </c>
      <c r="K1866" s="5">
        <v>10</v>
      </c>
      <c r="L1866" s="5">
        <v>2</v>
      </c>
      <c r="M1866" s="5">
        <v>2</v>
      </c>
      <c r="N1866" s="7">
        <v>914.13</v>
      </c>
      <c r="O1866" s="7">
        <f t="shared" si="205"/>
        <v>1828.26</v>
      </c>
      <c r="P1866" s="4">
        <v>0</v>
      </c>
      <c r="Q1866" s="7">
        <f t="shared" si="206"/>
        <v>0</v>
      </c>
      <c r="R1866" s="7">
        <f t="shared" si="207"/>
        <v>1828.26</v>
      </c>
      <c r="S1866" s="7">
        <f t="shared" si="208"/>
        <v>914.13</v>
      </c>
      <c r="T1866" s="6">
        <f t="shared" si="209"/>
        <v>1.3986013986013986E-2</v>
      </c>
      <c r="V1866" t="s">
        <v>29</v>
      </c>
    </row>
    <row r="1867" spans="1:22">
      <c r="A1867" s="3">
        <v>45735</v>
      </c>
      <c r="B1867" t="str">
        <f t="shared" si="203"/>
        <v>yyyy-03</v>
      </c>
      <c r="C1867">
        <f t="shared" si="204"/>
        <v>12</v>
      </c>
      <c r="D1867" t="s">
        <v>53</v>
      </c>
      <c r="E1867" t="s">
        <v>59</v>
      </c>
      <c r="F1867" t="s">
        <v>60</v>
      </c>
      <c r="G1867" t="s">
        <v>27</v>
      </c>
      <c r="H1867" t="s">
        <v>28</v>
      </c>
      <c r="I1867" s="5">
        <v>113</v>
      </c>
      <c r="J1867" s="5">
        <v>83</v>
      </c>
      <c r="K1867" s="5">
        <v>7</v>
      </c>
      <c r="L1867" s="5">
        <v>1</v>
      </c>
      <c r="M1867" s="5">
        <v>1</v>
      </c>
      <c r="N1867" s="7">
        <v>684.11</v>
      </c>
      <c r="O1867" s="7">
        <f t="shared" si="205"/>
        <v>684.11</v>
      </c>
      <c r="P1867" s="4">
        <v>0.03</v>
      </c>
      <c r="Q1867" s="7">
        <f t="shared" si="206"/>
        <v>20.523299999999999</v>
      </c>
      <c r="R1867" s="7">
        <f t="shared" si="207"/>
        <v>663.58670000000006</v>
      </c>
      <c r="S1867" s="7">
        <f t="shared" si="208"/>
        <v>663.58670000000006</v>
      </c>
      <c r="T1867" s="6">
        <f t="shared" si="209"/>
        <v>8.8495575221238937E-3</v>
      </c>
      <c r="V1867" t="s">
        <v>29</v>
      </c>
    </row>
    <row r="1868" spans="1:22">
      <c r="A1868" s="3">
        <v>45735</v>
      </c>
      <c r="B1868" t="str">
        <f t="shared" si="203"/>
        <v>yyyy-03</v>
      </c>
      <c r="C1868">
        <f t="shared" si="204"/>
        <v>12</v>
      </c>
      <c r="D1868" t="s">
        <v>53</v>
      </c>
      <c r="E1868" t="s">
        <v>61</v>
      </c>
      <c r="F1868" t="s">
        <v>62</v>
      </c>
      <c r="G1868" t="s">
        <v>27</v>
      </c>
      <c r="H1868" t="s">
        <v>28</v>
      </c>
      <c r="I1868" s="5">
        <v>127</v>
      </c>
      <c r="J1868" s="5">
        <v>93</v>
      </c>
      <c r="K1868" s="5">
        <v>8</v>
      </c>
      <c r="L1868" s="5">
        <v>2</v>
      </c>
      <c r="M1868" s="5">
        <v>2</v>
      </c>
      <c r="N1868" s="7">
        <v>508.35</v>
      </c>
      <c r="O1868" s="7">
        <f t="shared" si="205"/>
        <v>1016.7</v>
      </c>
      <c r="P1868" s="4">
        <v>0.12</v>
      </c>
      <c r="Q1868" s="7">
        <f t="shared" si="206"/>
        <v>122.004</v>
      </c>
      <c r="R1868" s="7">
        <f t="shared" si="207"/>
        <v>894.69600000000003</v>
      </c>
      <c r="S1868" s="7">
        <f t="shared" si="208"/>
        <v>447.34800000000001</v>
      </c>
      <c r="T1868" s="6">
        <f t="shared" si="209"/>
        <v>1.5748031496062992E-2</v>
      </c>
      <c r="U1868" t="s">
        <v>89</v>
      </c>
      <c r="V1868" t="s">
        <v>29</v>
      </c>
    </row>
    <row r="1869" spans="1:22">
      <c r="A1869" s="3">
        <v>45735</v>
      </c>
      <c r="B1869" t="str">
        <f t="shared" si="203"/>
        <v>yyyy-03</v>
      </c>
      <c r="C1869">
        <f t="shared" si="204"/>
        <v>12</v>
      </c>
      <c r="D1869" t="s">
        <v>53</v>
      </c>
      <c r="E1869" t="s">
        <v>64</v>
      </c>
      <c r="F1869" t="s">
        <v>65</v>
      </c>
      <c r="G1869" t="s">
        <v>27</v>
      </c>
      <c r="H1869" t="s">
        <v>45</v>
      </c>
      <c r="I1869" s="5">
        <v>151</v>
      </c>
      <c r="J1869" s="5">
        <v>110</v>
      </c>
      <c r="K1869" s="5">
        <v>9</v>
      </c>
      <c r="L1869" s="5">
        <v>1</v>
      </c>
      <c r="M1869" s="5">
        <v>1</v>
      </c>
      <c r="N1869" s="7">
        <v>784.36</v>
      </c>
      <c r="O1869" s="7">
        <f t="shared" si="205"/>
        <v>784.36</v>
      </c>
      <c r="P1869" s="4">
        <v>0</v>
      </c>
      <c r="Q1869" s="7">
        <f t="shared" si="206"/>
        <v>0</v>
      </c>
      <c r="R1869" s="7">
        <f t="shared" si="207"/>
        <v>784.36</v>
      </c>
      <c r="S1869" s="7">
        <f t="shared" si="208"/>
        <v>784.36</v>
      </c>
      <c r="T1869" s="6">
        <f t="shared" si="209"/>
        <v>6.6225165562913907E-3</v>
      </c>
      <c r="V1869" t="s">
        <v>29</v>
      </c>
    </row>
    <row r="1870" spans="1:22">
      <c r="A1870" s="3">
        <v>45735</v>
      </c>
      <c r="B1870" t="str">
        <f t="shared" si="203"/>
        <v>yyyy-03</v>
      </c>
      <c r="C1870">
        <f t="shared" si="204"/>
        <v>12</v>
      </c>
      <c r="D1870" t="s">
        <v>66</v>
      </c>
      <c r="E1870" t="s">
        <v>67</v>
      </c>
      <c r="F1870" t="s">
        <v>68</v>
      </c>
      <c r="G1870" t="s">
        <v>27</v>
      </c>
      <c r="H1870" t="s">
        <v>45</v>
      </c>
      <c r="I1870" s="5">
        <v>273</v>
      </c>
      <c r="J1870" s="5">
        <v>200</v>
      </c>
      <c r="K1870" s="5">
        <v>13</v>
      </c>
      <c r="L1870" s="5">
        <v>6</v>
      </c>
      <c r="M1870" s="5">
        <v>6</v>
      </c>
      <c r="N1870" s="7">
        <v>699.68</v>
      </c>
      <c r="O1870" s="7">
        <f t="shared" si="205"/>
        <v>4198.08</v>
      </c>
      <c r="P1870" s="4">
        <v>0.1</v>
      </c>
      <c r="Q1870" s="7">
        <f t="shared" si="206"/>
        <v>419.80799999999999</v>
      </c>
      <c r="R1870" s="7">
        <f t="shared" si="207"/>
        <v>3778.2719999999999</v>
      </c>
      <c r="S1870" s="7">
        <f t="shared" si="208"/>
        <v>629.71199999999999</v>
      </c>
      <c r="T1870" s="6">
        <f t="shared" si="209"/>
        <v>2.197802197802198E-2</v>
      </c>
      <c r="U1870" t="s">
        <v>90</v>
      </c>
      <c r="V1870" t="s">
        <v>29</v>
      </c>
    </row>
    <row r="1871" spans="1:22">
      <c r="A1871" s="3">
        <v>45735</v>
      </c>
      <c r="B1871" t="str">
        <f t="shared" si="203"/>
        <v>yyyy-03</v>
      </c>
      <c r="C1871">
        <f t="shared" si="204"/>
        <v>12</v>
      </c>
      <c r="D1871" t="s">
        <v>66</v>
      </c>
      <c r="E1871" t="s">
        <v>67</v>
      </c>
      <c r="F1871" t="s">
        <v>69</v>
      </c>
      <c r="G1871" t="s">
        <v>31</v>
      </c>
      <c r="H1871" t="s">
        <v>32</v>
      </c>
      <c r="I1871" s="5">
        <v>320</v>
      </c>
      <c r="J1871" s="5">
        <v>246</v>
      </c>
      <c r="K1871" s="5">
        <v>18</v>
      </c>
      <c r="L1871" s="5">
        <v>6</v>
      </c>
      <c r="M1871" s="5">
        <v>6</v>
      </c>
      <c r="N1871" s="7">
        <v>400.02</v>
      </c>
      <c r="O1871" s="7">
        <f t="shared" si="205"/>
        <v>2400.12</v>
      </c>
      <c r="P1871" s="4">
        <v>0.1</v>
      </c>
      <c r="Q1871" s="7">
        <f t="shared" si="206"/>
        <v>240.012</v>
      </c>
      <c r="R1871" s="7">
        <f t="shared" si="207"/>
        <v>2160.1079999999997</v>
      </c>
      <c r="S1871" s="7">
        <f t="shared" si="208"/>
        <v>360.01799999999997</v>
      </c>
      <c r="T1871" s="6">
        <f t="shared" si="209"/>
        <v>1.8749999999999999E-2</v>
      </c>
      <c r="U1871" t="s">
        <v>90</v>
      </c>
      <c r="V1871" t="s">
        <v>29</v>
      </c>
    </row>
    <row r="1872" spans="1:22">
      <c r="A1872" s="3">
        <v>45735</v>
      </c>
      <c r="B1872" t="str">
        <f t="shared" si="203"/>
        <v>yyyy-03</v>
      </c>
      <c r="C1872">
        <f t="shared" si="204"/>
        <v>12</v>
      </c>
      <c r="D1872" t="s">
        <v>66</v>
      </c>
      <c r="E1872" t="s">
        <v>67</v>
      </c>
      <c r="F1872" t="s">
        <v>70</v>
      </c>
      <c r="G1872" t="s">
        <v>31</v>
      </c>
      <c r="H1872" t="s">
        <v>32</v>
      </c>
      <c r="I1872" s="5">
        <v>401</v>
      </c>
      <c r="J1872" s="5">
        <v>240</v>
      </c>
      <c r="K1872" s="5">
        <v>19</v>
      </c>
      <c r="L1872" s="5">
        <v>8</v>
      </c>
      <c r="M1872" s="5">
        <v>8</v>
      </c>
      <c r="N1872" s="7">
        <v>336.07</v>
      </c>
      <c r="O1872" s="7">
        <f t="shared" si="205"/>
        <v>2688.56</v>
      </c>
      <c r="P1872" s="4">
        <v>0.1</v>
      </c>
      <c r="Q1872" s="7">
        <f t="shared" si="206"/>
        <v>268.85599999999999</v>
      </c>
      <c r="R1872" s="7">
        <f t="shared" si="207"/>
        <v>2419.7039999999997</v>
      </c>
      <c r="S1872" s="7">
        <f t="shared" si="208"/>
        <v>302.46299999999997</v>
      </c>
      <c r="T1872" s="6">
        <f t="shared" si="209"/>
        <v>1.9950124688279301E-2</v>
      </c>
      <c r="U1872" t="s">
        <v>90</v>
      </c>
      <c r="V1872" t="s">
        <v>29</v>
      </c>
    </row>
    <row r="1873" spans="1:22">
      <c r="A1873" s="3">
        <v>45735</v>
      </c>
      <c r="B1873" t="str">
        <f t="shared" si="203"/>
        <v>yyyy-03</v>
      </c>
      <c r="C1873">
        <f t="shared" si="204"/>
        <v>12</v>
      </c>
      <c r="D1873" t="s">
        <v>66</v>
      </c>
      <c r="E1873" t="s">
        <v>71</v>
      </c>
      <c r="F1873" t="s">
        <v>72</v>
      </c>
      <c r="G1873" t="s">
        <v>27</v>
      </c>
      <c r="H1873" t="s">
        <v>28</v>
      </c>
      <c r="I1873" s="5">
        <v>335</v>
      </c>
      <c r="J1873" s="5">
        <v>275</v>
      </c>
      <c r="K1873" s="5">
        <v>31</v>
      </c>
      <c r="L1873" s="5">
        <v>5</v>
      </c>
      <c r="M1873" s="5">
        <v>7</v>
      </c>
      <c r="N1873" s="7">
        <v>129.12</v>
      </c>
      <c r="O1873" s="7">
        <f t="shared" si="205"/>
        <v>903.84</v>
      </c>
      <c r="P1873" s="4">
        <v>0.05</v>
      </c>
      <c r="Q1873" s="7">
        <f t="shared" si="206"/>
        <v>45.192000000000007</v>
      </c>
      <c r="R1873" s="7">
        <f t="shared" si="207"/>
        <v>858.64800000000002</v>
      </c>
      <c r="S1873" s="7">
        <f t="shared" si="208"/>
        <v>171.7296</v>
      </c>
      <c r="T1873" s="6">
        <f t="shared" si="209"/>
        <v>1.4925373134328358E-2</v>
      </c>
      <c r="V1873" t="s">
        <v>29</v>
      </c>
    </row>
    <row r="1874" spans="1:22">
      <c r="A1874" s="3">
        <v>45735</v>
      </c>
      <c r="B1874" t="str">
        <f t="shared" si="203"/>
        <v>yyyy-03</v>
      </c>
      <c r="C1874">
        <f t="shared" si="204"/>
        <v>12</v>
      </c>
      <c r="D1874" t="s">
        <v>66</v>
      </c>
      <c r="E1874" t="s">
        <v>73</v>
      </c>
      <c r="F1874" t="s">
        <v>74</v>
      </c>
      <c r="G1874" t="s">
        <v>36</v>
      </c>
      <c r="H1874" t="s">
        <v>37</v>
      </c>
      <c r="I1874" s="5">
        <v>200</v>
      </c>
      <c r="J1874" s="5">
        <v>142</v>
      </c>
      <c r="K1874" s="5">
        <v>13</v>
      </c>
      <c r="L1874" s="5">
        <v>4</v>
      </c>
      <c r="M1874" s="5">
        <v>4</v>
      </c>
      <c r="N1874" s="7">
        <v>1182.3900000000001</v>
      </c>
      <c r="O1874" s="7">
        <f t="shared" si="205"/>
        <v>4729.5600000000004</v>
      </c>
      <c r="P1874" s="4">
        <v>0.05</v>
      </c>
      <c r="Q1874" s="7">
        <f t="shared" si="206"/>
        <v>236.47800000000004</v>
      </c>
      <c r="R1874" s="7">
        <f t="shared" si="207"/>
        <v>4493.0820000000003</v>
      </c>
      <c r="S1874" s="7">
        <f t="shared" si="208"/>
        <v>1123.2705000000001</v>
      </c>
      <c r="T1874" s="6">
        <f t="shared" si="209"/>
        <v>0.02</v>
      </c>
      <c r="V1874" t="s">
        <v>29</v>
      </c>
    </row>
    <row r="1875" spans="1:22">
      <c r="A1875" s="3">
        <v>45735</v>
      </c>
      <c r="B1875" t="str">
        <f t="shared" si="203"/>
        <v>yyyy-03</v>
      </c>
      <c r="C1875">
        <f t="shared" si="204"/>
        <v>12</v>
      </c>
      <c r="D1875" t="s">
        <v>66</v>
      </c>
      <c r="E1875" t="s">
        <v>71</v>
      </c>
      <c r="F1875" t="s">
        <v>75</v>
      </c>
      <c r="G1875" t="s">
        <v>31</v>
      </c>
      <c r="H1875" t="s">
        <v>32</v>
      </c>
      <c r="I1875" s="5">
        <v>426</v>
      </c>
      <c r="J1875" s="5">
        <v>280</v>
      </c>
      <c r="K1875" s="5">
        <v>21</v>
      </c>
      <c r="L1875" s="5">
        <v>8</v>
      </c>
      <c r="M1875" s="5">
        <v>11</v>
      </c>
      <c r="N1875" s="7">
        <v>39.24</v>
      </c>
      <c r="O1875" s="7">
        <f t="shared" si="205"/>
        <v>431.64000000000004</v>
      </c>
      <c r="P1875" s="4">
        <v>0</v>
      </c>
      <c r="Q1875" s="7">
        <f t="shared" si="206"/>
        <v>0</v>
      </c>
      <c r="R1875" s="7">
        <f t="shared" si="207"/>
        <v>431.64000000000004</v>
      </c>
      <c r="S1875" s="7">
        <f t="shared" si="208"/>
        <v>53.955000000000005</v>
      </c>
      <c r="T1875" s="6">
        <f t="shared" si="209"/>
        <v>1.8779342723004695E-2</v>
      </c>
      <c r="V1875" t="s">
        <v>29</v>
      </c>
    </row>
    <row r="1876" spans="1:22">
      <c r="A1876" s="3">
        <v>45735</v>
      </c>
      <c r="B1876" t="str">
        <f t="shared" si="203"/>
        <v>yyyy-03</v>
      </c>
      <c r="C1876">
        <f t="shared" si="204"/>
        <v>12</v>
      </c>
      <c r="D1876" t="s">
        <v>24</v>
      </c>
      <c r="E1876" t="s">
        <v>76</v>
      </c>
      <c r="F1876" t="s">
        <v>77</v>
      </c>
      <c r="G1876" t="s">
        <v>27</v>
      </c>
      <c r="H1876" t="s">
        <v>63</v>
      </c>
      <c r="I1876" s="5">
        <v>340</v>
      </c>
      <c r="J1876" s="5">
        <v>261</v>
      </c>
      <c r="K1876" s="5">
        <v>28</v>
      </c>
      <c r="L1876" s="5">
        <v>5</v>
      </c>
      <c r="M1876" s="5">
        <v>6</v>
      </c>
      <c r="N1876" s="7">
        <v>200.58</v>
      </c>
      <c r="O1876" s="7">
        <f t="shared" si="205"/>
        <v>1203.48</v>
      </c>
      <c r="P1876" s="4">
        <v>0</v>
      </c>
      <c r="Q1876" s="7">
        <f t="shared" si="206"/>
        <v>0</v>
      </c>
      <c r="R1876" s="7">
        <f t="shared" si="207"/>
        <v>1203.48</v>
      </c>
      <c r="S1876" s="7">
        <f t="shared" si="208"/>
        <v>240.696</v>
      </c>
      <c r="T1876" s="6">
        <f t="shared" si="209"/>
        <v>1.4705882352941176E-2</v>
      </c>
      <c r="V1876" t="s">
        <v>29</v>
      </c>
    </row>
    <row r="1877" spans="1:22">
      <c r="A1877" s="3">
        <v>45736</v>
      </c>
      <c r="B1877" t="str">
        <f t="shared" si="203"/>
        <v>yyyy-03</v>
      </c>
      <c r="C1877">
        <f t="shared" si="204"/>
        <v>12</v>
      </c>
      <c r="D1877" t="s">
        <v>24</v>
      </c>
      <c r="E1877" t="s">
        <v>25</v>
      </c>
      <c r="F1877" t="s">
        <v>26</v>
      </c>
      <c r="G1877" t="s">
        <v>27</v>
      </c>
      <c r="H1877" t="s">
        <v>48</v>
      </c>
      <c r="I1877" s="5">
        <v>1241</v>
      </c>
      <c r="J1877" s="5">
        <v>914</v>
      </c>
      <c r="K1877" s="5">
        <v>61</v>
      </c>
      <c r="L1877" s="5">
        <v>19</v>
      </c>
      <c r="M1877" s="5">
        <v>19</v>
      </c>
      <c r="N1877" s="7">
        <v>995.5</v>
      </c>
      <c r="O1877" s="7">
        <f t="shared" si="205"/>
        <v>18914.5</v>
      </c>
      <c r="P1877" s="4">
        <v>0</v>
      </c>
      <c r="Q1877" s="7">
        <f t="shared" si="206"/>
        <v>0</v>
      </c>
      <c r="R1877" s="7">
        <f t="shared" si="207"/>
        <v>18914.5</v>
      </c>
      <c r="S1877" s="7">
        <f t="shared" si="208"/>
        <v>995.5</v>
      </c>
      <c r="T1877" s="6">
        <f t="shared" si="209"/>
        <v>1.5310233682514102E-2</v>
      </c>
      <c r="V1877" t="s">
        <v>29</v>
      </c>
    </row>
    <row r="1878" spans="1:22">
      <c r="A1878" s="3">
        <v>45736</v>
      </c>
      <c r="B1878" t="str">
        <f t="shared" si="203"/>
        <v>yyyy-03</v>
      </c>
      <c r="C1878">
        <f t="shared" si="204"/>
        <v>12</v>
      </c>
      <c r="D1878" t="s">
        <v>24</v>
      </c>
      <c r="E1878" t="s">
        <v>25</v>
      </c>
      <c r="F1878" t="s">
        <v>30</v>
      </c>
      <c r="G1878" t="s">
        <v>31</v>
      </c>
      <c r="H1878" t="s">
        <v>32</v>
      </c>
      <c r="I1878" s="5">
        <v>1376</v>
      </c>
      <c r="J1878" s="5">
        <v>897</v>
      </c>
      <c r="K1878" s="5">
        <v>26</v>
      </c>
      <c r="L1878" s="5">
        <v>0</v>
      </c>
      <c r="M1878" s="5">
        <v>0</v>
      </c>
      <c r="N1878" s="7">
        <v>387.37</v>
      </c>
      <c r="O1878" s="7">
        <f t="shared" si="205"/>
        <v>0</v>
      </c>
      <c r="P1878" s="4">
        <v>0</v>
      </c>
      <c r="Q1878" s="7">
        <f t="shared" si="206"/>
        <v>0</v>
      </c>
      <c r="R1878" s="7">
        <f t="shared" si="207"/>
        <v>0</v>
      </c>
      <c r="S1878" s="7">
        <f t="shared" si="208"/>
        <v>0</v>
      </c>
      <c r="T1878" s="6">
        <f t="shared" si="209"/>
        <v>0</v>
      </c>
      <c r="V1878" t="s">
        <v>81</v>
      </c>
    </row>
    <row r="1879" spans="1:22">
      <c r="A1879" s="3">
        <v>45736</v>
      </c>
      <c r="B1879" t="str">
        <f t="shared" si="203"/>
        <v>yyyy-03</v>
      </c>
      <c r="C1879">
        <f t="shared" si="204"/>
        <v>12</v>
      </c>
      <c r="D1879" t="s">
        <v>24</v>
      </c>
      <c r="E1879" t="s">
        <v>25</v>
      </c>
      <c r="F1879" t="s">
        <v>33</v>
      </c>
      <c r="G1879" t="s">
        <v>27</v>
      </c>
      <c r="H1879" t="s">
        <v>45</v>
      </c>
      <c r="I1879" s="5">
        <v>1583</v>
      </c>
      <c r="J1879" s="5">
        <v>1055</v>
      </c>
      <c r="K1879" s="5">
        <v>133</v>
      </c>
      <c r="L1879" s="5">
        <v>31</v>
      </c>
      <c r="M1879" s="5">
        <v>31</v>
      </c>
      <c r="N1879" s="7">
        <v>1769.15</v>
      </c>
      <c r="O1879" s="7">
        <f t="shared" si="205"/>
        <v>54843.65</v>
      </c>
      <c r="P1879" s="4">
        <v>0</v>
      </c>
      <c r="Q1879" s="7">
        <f t="shared" si="206"/>
        <v>0</v>
      </c>
      <c r="R1879" s="7">
        <f t="shared" si="207"/>
        <v>54843.65</v>
      </c>
      <c r="S1879" s="7">
        <f t="shared" si="208"/>
        <v>1769.15</v>
      </c>
      <c r="T1879" s="6">
        <f t="shared" si="209"/>
        <v>1.9583070120025269E-2</v>
      </c>
      <c r="V1879" t="s">
        <v>29</v>
      </c>
    </row>
    <row r="1880" spans="1:22">
      <c r="A1880" s="3">
        <v>45736</v>
      </c>
      <c r="B1880" t="str">
        <f t="shared" si="203"/>
        <v>yyyy-03</v>
      </c>
      <c r="C1880">
        <f t="shared" si="204"/>
        <v>12</v>
      </c>
      <c r="D1880" t="s">
        <v>24</v>
      </c>
      <c r="E1880" t="s">
        <v>34</v>
      </c>
      <c r="F1880" t="s">
        <v>35</v>
      </c>
      <c r="G1880" t="s">
        <v>31</v>
      </c>
      <c r="H1880" t="s">
        <v>32</v>
      </c>
      <c r="I1880" s="5">
        <v>951</v>
      </c>
      <c r="J1880" s="5">
        <v>784</v>
      </c>
      <c r="K1880" s="5">
        <v>85</v>
      </c>
      <c r="L1880" s="5">
        <v>15</v>
      </c>
      <c r="M1880" s="5">
        <v>15</v>
      </c>
      <c r="N1880" s="7">
        <v>907.02</v>
      </c>
      <c r="O1880" s="7">
        <f t="shared" si="205"/>
        <v>13605.3</v>
      </c>
      <c r="P1880" s="4">
        <v>0</v>
      </c>
      <c r="Q1880" s="7">
        <f t="shared" si="206"/>
        <v>0</v>
      </c>
      <c r="R1880" s="7">
        <f t="shared" si="207"/>
        <v>13605.3</v>
      </c>
      <c r="S1880" s="7">
        <f t="shared" si="208"/>
        <v>907.02</v>
      </c>
      <c r="T1880" s="6">
        <f t="shared" si="209"/>
        <v>1.5772870662460567E-2</v>
      </c>
      <c r="V1880" t="s">
        <v>29</v>
      </c>
    </row>
    <row r="1881" spans="1:22">
      <c r="A1881" s="3">
        <v>45736</v>
      </c>
      <c r="B1881" t="str">
        <f t="shared" si="203"/>
        <v>yyyy-03</v>
      </c>
      <c r="C1881">
        <f t="shared" si="204"/>
        <v>12</v>
      </c>
      <c r="D1881" t="s">
        <v>24</v>
      </c>
      <c r="E1881" t="s">
        <v>38</v>
      </c>
      <c r="F1881" t="s">
        <v>39</v>
      </c>
      <c r="G1881" t="s">
        <v>36</v>
      </c>
      <c r="H1881" t="s">
        <v>37</v>
      </c>
      <c r="I1881" s="5">
        <v>888</v>
      </c>
      <c r="J1881" s="5">
        <v>710</v>
      </c>
      <c r="K1881" s="5">
        <v>62</v>
      </c>
      <c r="L1881" s="5">
        <v>19</v>
      </c>
      <c r="M1881" s="5">
        <v>19</v>
      </c>
      <c r="N1881" s="7">
        <v>335.22</v>
      </c>
      <c r="O1881" s="7">
        <f t="shared" si="205"/>
        <v>6369.18</v>
      </c>
      <c r="P1881" s="4">
        <v>0.03</v>
      </c>
      <c r="Q1881" s="7">
        <f t="shared" si="206"/>
        <v>191.0754</v>
      </c>
      <c r="R1881" s="7">
        <f t="shared" si="207"/>
        <v>6178.1046000000006</v>
      </c>
      <c r="S1881" s="7">
        <f t="shared" si="208"/>
        <v>325.16340000000002</v>
      </c>
      <c r="T1881" s="6">
        <f t="shared" si="209"/>
        <v>2.1396396396396396E-2</v>
      </c>
      <c r="V1881" t="s">
        <v>29</v>
      </c>
    </row>
    <row r="1882" spans="1:22">
      <c r="A1882" s="3">
        <v>45736</v>
      </c>
      <c r="B1882" t="str">
        <f t="shared" si="203"/>
        <v>yyyy-03</v>
      </c>
      <c r="C1882">
        <f t="shared" si="204"/>
        <v>12</v>
      </c>
      <c r="D1882" t="s">
        <v>24</v>
      </c>
      <c r="E1882" t="s">
        <v>40</v>
      </c>
      <c r="F1882" t="s">
        <v>41</v>
      </c>
      <c r="G1882" t="s">
        <v>27</v>
      </c>
      <c r="H1882" t="s">
        <v>28</v>
      </c>
      <c r="I1882" s="5">
        <v>697</v>
      </c>
      <c r="J1882" s="5">
        <v>390</v>
      </c>
      <c r="K1882" s="5">
        <v>43</v>
      </c>
      <c r="L1882" s="5">
        <v>17</v>
      </c>
      <c r="M1882" s="5">
        <v>23</v>
      </c>
      <c r="N1882" s="7">
        <v>176.61</v>
      </c>
      <c r="O1882" s="7">
        <f t="shared" si="205"/>
        <v>4062.03</v>
      </c>
      <c r="P1882" s="4">
        <v>0</v>
      </c>
      <c r="Q1882" s="7">
        <f t="shared" si="206"/>
        <v>0</v>
      </c>
      <c r="R1882" s="7">
        <f t="shared" si="207"/>
        <v>4062.03</v>
      </c>
      <c r="S1882" s="7">
        <f t="shared" si="208"/>
        <v>238.94294117647061</v>
      </c>
      <c r="T1882" s="6">
        <f t="shared" si="209"/>
        <v>2.4390243902439025E-2</v>
      </c>
      <c r="V1882" t="s">
        <v>29</v>
      </c>
    </row>
    <row r="1883" spans="1:22">
      <c r="A1883" s="3">
        <v>45736</v>
      </c>
      <c r="B1883" t="str">
        <f t="shared" si="203"/>
        <v>yyyy-03</v>
      </c>
      <c r="C1883">
        <f t="shared" si="204"/>
        <v>12</v>
      </c>
      <c r="D1883" t="s">
        <v>42</v>
      </c>
      <c r="E1883" t="s">
        <v>43</v>
      </c>
      <c r="F1883" t="s">
        <v>44</v>
      </c>
      <c r="G1883" t="s">
        <v>27</v>
      </c>
      <c r="H1883" t="s">
        <v>45</v>
      </c>
      <c r="I1883" s="5">
        <v>433</v>
      </c>
      <c r="J1883" s="5">
        <v>321</v>
      </c>
      <c r="K1883" s="5">
        <v>32</v>
      </c>
      <c r="L1883" s="5">
        <v>7</v>
      </c>
      <c r="M1883" s="5">
        <v>7</v>
      </c>
      <c r="N1883" s="7">
        <v>1280.1600000000001</v>
      </c>
      <c r="O1883" s="7">
        <f t="shared" si="205"/>
        <v>8961.1200000000008</v>
      </c>
      <c r="P1883" s="4">
        <v>0</v>
      </c>
      <c r="Q1883" s="7">
        <f t="shared" si="206"/>
        <v>0</v>
      </c>
      <c r="R1883" s="7">
        <f t="shared" si="207"/>
        <v>8961.1200000000008</v>
      </c>
      <c r="S1883" s="7">
        <f t="shared" si="208"/>
        <v>1280.1600000000001</v>
      </c>
      <c r="T1883" s="6">
        <f t="shared" si="209"/>
        <v>1.6166281755196306E-2</v>
      </c>
      <c r="V1883" t="s">
        <v>29</v>
      </c>
    </row>
    <row r="1884" spans="1:22">
      <c r="A1884" s="3">
        <v>45736</v>
      </c>
      <c r="B1884" t="str">
        <f t="shared" si="203"/>
        <v>yyyy-03</v>
      </c>
      <c r="C1884">
        <f t="shared" si="204"/>
        <v>12</v>
      </c>
      <c r="D1884" t="s">
        <v>42</v>
      </c>
      <c r="E1884" t="s">
        <v>43</v>
      </c>
      <c r="F1884" t="s">
        <v>46</v>
      </c>
      <c r="G1884" t="s">
        <v>31</v>
      </c>
      <c r="H1884" t="s">
        <v>32</v>
      </c>
      <c r="I1884" s="5">
        <v>623</v>
      </c>
      <c r="J1884" s="5">
        <v>334</v>
      </c>
      <c r="K1884" s="5">
        <v>34</v>
      </c>
      <c r="L1884" s="5">
        <v>9</v>
      </c>
      <c r="M1884" s="5">
        <v>9</v>
      </c>
      <c r="N1884" s="7">
        <v>2174.1999999999998</v>
      </c>
      <c r="O1884" s="7">
        <f t="shared" si="205"/>
        <v>19567.8</v>
      </c>
      <c r="P1884" s="4">
        <v>0</v>
      </c>
      <c r="Q1884" s="7">
        <f t="shared" si="206"/>
        <v>0</v>
      </c>
      <c r="R1884" s="7">
        <f t="shared" si="207"/>
        <v>19567.8</v>
      </c>
      <c r="S1884" s="7">
        <f t="shared" si="208"/>
        <v>2174.1999999999998</v>
      </c>
      <c r="T1884" s="6">
        <f t="shared" si="209"/>
        <v>1.4446227929373997E-2</v>
      </c>
      <c r="V1884" t="s">
        <v>29</v>
      </c>
    </row>
    <row r="1885" spans="1:22">
      <c r="A1885" s="3">
        <v>45736</v>
      </c>
      <c r="B1885" t="str">
        <f t="shared" si="203"/>
        <v>yyyy-03</v>
      </c>
      <c r="C1885">
        <f t="shared" si="204"/>
        <v>12</v>
      </c>
      <c r="D1885" t="s">
        <v>42</v>
      </c>
      <c r="E1885" t="s">
        <v>43</v>
      </c>
      <c r="F1885" t="s">
        <v>47</v>
      </c>
      <c r="G1885" t="s">
        <v>31</v>
      </c>
      <c r="H1885" t="s">
        <v>32</v>
      </c>
      <c r="I1885" s="5">
        <v>555</v>
      </c>
      <c r="J1885" s="5">
        <v>380</v>
      </c>
      <c r="K1885" s="5">
        <v>40</v>
      </c>
      <c r="L1885" s="5">
        <v>8</v>
      </c>
      <c r="M1885" s="5">
        <v>8</v>
      </c>
      <c r="N1885" s="7">
        <v>581.11</v>
      </c>
      <c r="O1885" s="7">
        <f t="shared" si="205"/>
        <v>4648.88</v>
      </c>
      <c r="P1885" s="4">
        <v>0</v>
      </c>
      <c r="Q1885" s="7">
        <f t="shared" si="206"/>
        <v>0</v>
      </c>
      <c r="R1885" s="7">
        <f t="shared" si="207"/>
        <v>4648.88</v>
      </c>
      <c r="S1885" s="7">
        <f t="shared" si="208"/>
        <v>581.11</v>
      </c>
      <c r="T1885" s="6">
        <f t="shared" si="209"/>
        <v>1.4414414414414415E-2</v>
      </c>
      <c r="V1885" t="s">
        <v>29</v>
      </c>
    </row>
    <row r="1886" spans="1:22">
      <c r="A1886" s="3">
        <v>45736</v>
      </c>
      <c r="B1886" t="str">
        <f t="shared" si="203"/>
        <v>yyyy-03</v>
      </c>
      <c r="C1886">
        <f t="shared" si="204"/>
        <v>12</v>
      </c>
      <c r="D1886" t="s">
        <v>42</v>
      </c>
      <c r="E1886" t="s">
        <v>49</v>
      </c>
      <c r="F1886" t="s">
        <v>50</v>
      </c>
      <c r="G1886" t="s">
        <v>27</v>
      </c>
      <c r="H1886" t="s">
        <v>63</v>
      </c>
      <c r="I1886" s="5">
        <v>77</v>
      </c>
      <c r="J1886" s="5">
        <v>43</v>
      </c>
      <c r="K1886" s="5">
        <v>4</v>
      </c>
      <c r="L1886" s="5">
        <v>1</v>
      </c>
      <c r="M1886" s="5">
        <v>1</v>
      </c>
      <c r="N1886" s="7">
        <v>978.48</v>
      </c>
      <c r="O1886" s="7">
        <f t="shared" si="205"/>
        <v>978.48</v>
      </c>
      <c r="P1886" s="4">
        <v>0.03</v>
      </c>
      <c r="Q1886" s="7">
        <f t="shared" si="206"/>
        <v>29.354399999999998</v>
      </c>
      <c r="R1886" s="7">
        <f t="shared" si="207"/>
        <v>949.12560000000008</v>
      </c>
      <c r="S1886" s="7">
        <f t="shared" si="208"/>
        <v>949.12560000000008</v>
      </c>
      <c r="T1886" s="6">
        <f t="shared" si="209"/>
        <v>1.2987012987012988E-2</v>
      </c>
      <c r="V1886" t="s">
        <v>29</v>
      </c>
    </row>
    <row r="1887" spans="1:22">
      <c r="A1887" s="3">
        <v>45736</v>
      </c>
      <c r="B1887" t="str">
        <f t="shared" si="203"/>
        <v>yyyy-03</v>
      </c>
      <c r="C1887">
        <f t="shared" si="204"/>
        <v>12</v>
      </c>
      <c r="D1887" t="s">
        <v>42</v>
      </c>
      <c r="E1887" t="s">
        <v>51</v>
      </c>
      <c r="F1887" t="s">
        <v>52</v>
      </c>
      <c r="G1887" t="s">
        <v>36</v>
      </c>
      <c r="H1887" t="s">
        <v>37</v>
      </c>
      <c r="I1887" s="5">
        <v>269</v>
      </c>
      <c r="J1887" s="5">
        <v>165</v>
      </c>
      <c r="K1887" s="5">
        <v>12</v>
      </c>
      <c r="L1887" s="5">
        <v>3</v>
      </c>
      <c r="M1887" s="5">
        <v>3</v>
      </c>
      <c r="N1887" s="7">
        <v>580.27</v>
      </c>
      <c r="O1887" s="7">
        <f t="shared" si="205"/>
        <v>1740.81</v>
      </c>
      <c r="P1887" s="4">
        <v>0</v>
      </c>
      <c r="Q1887" s="7">
        <f t="shared" si="206"/>
        <v>0</v>
      </c>
      <c r="R1887" s="7">
        <f t="shared" si="207"/>
        <v>1740.81</v>
      </c>
      <c r="S1887" s="7">
        <f t="shared" si="208"/>
        <v>580.27</v>
      </c>
      <c r="T1887" s="6">
        <f t="shared" si="209"/>
        <v>1.1152416356877323E-2</v>
      </c>
      <c r="V1887" t="s">
        <v>78</v>
      </c>
    </row>
    <row r="1888" spans="1:22">
      <c r="A1888" s="3">
        <v>45736</v>
      </c>
      <c r="B1888" t="str">
        <f t="shared" si="203"/>
        <v>yyyy-03</v>
      </c>
      <c r="C1888">
        <f t="shared" si="204"/>
        <v>12</v>
      </c>
      <c r="D1888" t="s">
        <v>53</v>
      </c>
      <c r="E1888" t="s">
        <v>54</v>
      </c>
      <c r="F1888" t="s">
        <v>55</v>
      </c>
      <c r="G1888" t="s">
        <v>31</v>
      </c>
      <c r="H1888" t="s">
        <v>32</v>
      </c>
      <c r="I1888" s="5">
        <v>181</v>
      </c>
      <c r="J1888" s="5">
        <v>147</v>
      </c>
      <c r="K1888" s="5">
        <v>11</v>
      </c>
      <c r="L1888" s="5">
        <v>2</v>
      </c>
      <c r="M1888" s="5">
        <v>2</v>
      </c>
      <c r="N1888" s="7">
        <v>1307.03</v>
      </c>
      <c r="O1888" s="7">
        <f t="shared" si="205"/>
        <v>2614.06</v>
      </c>
      <c r="P1888" s="4">
        <v>0</v>
      </c>
      <c r="Q1888" s="7">
        <f t="shared" si="206"/>
        <v>0</v>
      </c>
      <c r="R1888" s="7">
        <f t="shared" si="207"/>
        <v>2614.06</v>
      </c>
      <c r="S1888" s="7">
        <f t="shared" si="208"/>
        <v>1307.03</v>
      </c>
      <c r="T1888" s="6">
        <f t="shared" si="209"/>
        <v>1.1049723756906077E-2</v>
      </c>
      <c r="V1888" t="s">
        <v>29</v>
      </c>
    </row>
    <row r="1889" spans="1:22">
      <c r="A1889" s="3">
        <v>45736</v>
      </c>
      <c r="B1889" t="str">
        <f t="shared" si="203"/>
        <v>yyyy-03</v>
      </c>
      <c r="C1889">
        <f t="shared" si="204"/>
        <v>12</v>
      </c>
      <c r="D1889" t="s">
        <v>53</v>
      </c>
      <c r="E1889" t="s">
        <v>56</v>
      </c>
      <c r="F1889" t="s">
        <v>57</v>
      </c>
      <c r="G1889" t="s">
        <v>27</v>
      </c>
      <c r="H1889" t="s">
        <v>28</v>
      </c>
      <c r="I1889" s="5">
        <v>131</v>
      </c>
      <c r="J1889" s="5">
        <v>97</v>
      </c>
      <c r="K1889" s="5">
        <v>11</v>
      </c>
      <c r="L1889" s="5">
        <v>2</v>
      </c>
      <c r="M1889" s="5">
        <v>2</v>
      </c>
      <c r="N1889" s="7">
        <v>736.93</v>
      </c>
      <c r="O1889" s="7">
        <f t="shared" si="205"/>
        <v>1473.86</v>
      </c>
      <c r="P1889" s="4">
        <v>0.05</v>
      </c>
      <c r="Q1889" s="7">
        <f t="shared" si="206"/>
        <v>73.692999999999998</v>
      </c>
      <c r="R1889" s="7">
        <f t="shared" si="207"/>
        <v>1400.1669999999999</v>
      </c>
      <c r="S1889" s="7">
        <f t="shared" si="208"/>
        <v>700.08349999999996</v>
      </c>
      <c r="T1889" s="6">
        <f t="shared" si="209"/>
        <v>1.5267175572519083E-2</v>
      </c>
      <c r="V1889" t="s">
        <v>29</v>
      </c>
    </row>
    <row r="1890" spans="1:22">
      <c r="A1890" s="3">
        <v>45736</v>
      </c>
      <c r="B1890" t="str">
        <f t="shared" si="203"/>
        <v>yyyy-03</v>
      </c>
      <c r="C1890">
        <f t="shared" si="204"/>
        <v>12</v>
      </c>
      <c r="D1890" t="s">
        <v>53</v>
      </c>
      <c r="E1890" t="s">
        <v>56</v>
      </c>
      <c r="F1890" t="s">
        <v>58</v>
      </c>
      <c r="G1890" t="s">
        <v>31</v>
      </c>
      <c r="H1890" t="s">
        <v>32</v>
      </c>
      <c r="I1890" s="5">
        <v>248</v>
      </c>
      <c r="J1890" s="5">
        <v>178</v>
      </c>
      <c r="K1890" s="5">
        <v>10</v>
      </c>
      <c r="L1890" s="5">
        <v>3</v>
      </c>
      <c r="M1890" s="5">
        <v>3</v>
      </c>
      <c r="N1890" s="7">
        <v>909.84</v>
      </c>
      <c r="O1890" s="7">
        <f t="shared" si="205"/>
        <v>2729.52</v>
      </c>
      <c r="P1890" s="4">
        <v>0.05</v>
      </c>
      <c r="Q1890" s="7">
        <f t="shared" si="206"/>
        <v>136.476</v>
      </c>
      <c r="R1890" s="7">
        <f t="shared" si="207"/>
        <v>2593.0439999999999</v>
      </c>
      <c r="S1890" s="7">
        <f t="shared" si="208"/>
        <v>864.34799999999996</v>
      </c>
      <c r="T1890" s="6">
        <f t="shared" si="209"/>
        <v>1.2096774193548387E-2</v>
      </c>
      <c r="V1890" t="s">
        <v>29</v>
      </c>
    </row>
    <row r="1891" spans="1:22">
      <c r="A1891" s="3">
        <v>45736</v>
      </c>
      <c r="B1891" t="str">
        <f t="shared" si="203"/>
        <v>yyyy-03</v>
      </c>
      <c r="C1891">
        <f t="shared" si="204"/>
        <v>12</v>
      </c>
      <c r="D1891" t="s">
        <v>53</v>
      </c>
      <c r="E1891" t="s">
        <v>59</v>
      </c>
      <c r="F1891" t="s">
        <v>60</v>
      </c>
      <c r="G1891" t="s">
        <v>27</v>
      </c>
      <c r="H1891" t="s">
        <v>28</v>
      </c>
      <c r="I1891" s="5">
        <v>170</v>
      </c>
      <c r="J1891" s="5">
        <v>107</v>
      </c>
      <c r="K1891" s="5">
        <v>11</v>
      </c>
      <c r="L1891" s="5">
        <v>1</v>
      </c>
      <c r="M1891" s="5">
        <v>1</v>
      </c>
      <c r="N1891" s="7">
        <v>673.86</v>
      </c>
      <c r="O1891" s="7">
        <f t="shared" si="205"/>
        <v>673.86</v>
      </c>
      <c r="P1891" s="4">
        <v>0</v>
      </c>
      <c r="Q1891" s="7">
        <f t="shared" si="206"/>
        <v>0</v>
      </c>
      <c r="R1891" s="7">
        <f t="shared" si="207"/>
        <v>673.86</v>
      </c>
      <c r="S1891" s="7">
        <f t="shared" si="208"/>
        <v>673.86</v>
      </c>
      <c r="T1891" s="6">
        <f t="shared" si="209"/>
        <v>5.8823529411764705E-3</v>
      </c>
      <c r="V1891" t="s">
        <v>29</v>
      </c>
    </row>
    <row r="1892" spans="1:22">
      <c r="A1892" s="3">
        <v>45736</v>
      </c>
      <c r="B1892" t="str">
        <f t="shared" si="203"/>
        <v>yyyy-03</v>
      </c>
      <c r="C1892">
        <f t="shared" si="204"/>
        <v>12</v>
      </c>
      <c r="D1892" t="s">
        <v>53</v>
      </c>
      <c r="E1892" t="s">
        <v>61</v>
      </c>
      <c r="F1892" t="s">
        <v>62</v>
      </c>
      <c r="G1892" t="s">
        <v>27</v>
      </c>
      <c r="H1892" t="s">
        <v>45</v>
      </c>
      <c r="I1892" s="5">
        <v>105</v>
      </c>
      <c r="J1892" s="5">
        <v>81</v>
      </c>
      <c r="K1892" s="5">
        <v>4</v>
      </c>
      <c r="L1892" s="5">
        <v>1</v>
      </c>
      <c r="M1892" s="5">
        <v>1</v>
      </c>
      <c r="N1892" s="7">
        <v>490.62</v>
      </c>
      <c r="O1892" s="7">
        <f t="shared" si="205"/>
        <v>490.62</v>
      </c>
      <c r="P1892" s="4">
        <v>0.12</v>
      </c>
      <c r="Q1892" s="7">
        <f t="shared" si="206"/>
        <v>58.874400000000001</v>
      </c>
      <c r="R1892" s="7">
        <f t="shared" si="207"/>
        <v>431.74560000000002</v>
      </c>
      <c r="S1892" s="7">
        <f t="shared" si="208"/>
        <v>431.74560000000002</v>
      </c>
      <c r="T1892" s="6">
        <f t="shared" si="209"/>
        <v>9.5238095238095247E-3</v>
      </c>
      <c r="U1892" t="s">
        <v>89</v>
      </c>
      <c r="V1892" t="s">
        <v>29</v>
      </c>
    </row>
    <row r="1893" spans="1:22">
      <c r="A1893" s="3">
        <v>45736</v>
      </c>
      <c r="B1893" t="str">
        <f t="shared" si="203"/>
        <v>yyyy-03</v>
      </c>
      <c r="C1893">
        <f t="shared" si="204"/>
        <v>12</v>
      </c>
      <c r="D1893" t="s">
        <v>53</v>
      </c>
      <c r="E1893" t="s">
        <v>64</v>
      </c>
      <c r="F1893" t="s">
        <v>65</v>
      </c>
      <c r="G1893" t="s">
        <v>27</v>
      </c>
      <c r="H1893" t="s">
        <v>63</v>
      </c>
      <c r="I1893" s="5">
        <v>106</v>
      </c>
      <c r="J1893" s="5">
        <v>63</v>
      </c>
      <c r="K1893" s="5">
        <v>4</v>
      </c>
      <c r="L1893" s="5">
        <v>1</v>
      </c>
      <c r="M1893" s="5">
        <v>1</v>
      </c>
      <c r="N1893" s="7">
        <v>781.69</v>
      </c>
      <c r="O1893" s="7">
        <f t="shared" si="205"/>
        <v>781.69</v>
      </c>
      <c r="P1893" s="4">
        <v>0</v>
      </c>
      <c r="Q1893" s="7">
        <f t="shared" si="206"/>
        <v>0</v>
      </c>
      <c r="R1893" s="7">
        <f t="shared" si="207"/>
        <v>781.69</v>
      </c>
      <c r="S1893" s="7">
        <f t="shared" si="208"/>
        <v>781.69</v>
      </c>
      <c r="T1893" s="6">
        <f t="shared" si="209"/>
        <v>9.433962264150943E-3</v>
      </c>
      <c r="V1893" t="s">
        <v>29</v>
      </c>
    </row>
    <row r="1894" spans="1:22">
      <c r="A1894" s="3">
        <v>45736</v>
      </c>
      <c r="B1894" t="str">
        <f t="shared" si="203"/>
        <v>yyyy-03</v>
      </c>
      <c r="C1894">
        <f t="shared" si="204"/>
        <v>12</v>
      </c>
      <c r="D1894" t="s">
        <v>66</v>
      </c>
      <c r="E1894" t="s">
        <v>67</v>
      </c>
      <c r="F1894" t="s">
        <v>68</v>
      </c>
      <c r="G1894" t="s">
        <v>31</v>
      </c>
      <c r="H1894" t="s">
        <v>32</v>
      </c>
      <c r="I1894" s="5">
        <v>393</v>
      </c>
      <c r="J1894" s="5">
        <v>289</v>
      </c>
      <c r="K1894" s="5">
        <v>21</v>
      </c>
      <c r="L1894" s="5">
        <v>9</v>
      </c>
      <c r="M1894" s="5">
        <v>9</v>
      </c>
      <c r="N1894" s="7">
        <v>707.64</v>
      </c>
      <c r="O1894" s="7">
        <f t="shared" si="205"/>
        <v>6368.76</v>
      </c>
      <c r="P1894" s="4">
        <v>0.1</v>
      </c>
      <c r="Q1894" s="7">
        <f t="shared" si="206"/>
        <v>636.87600000000009</v>
      </c>
      <c r="R1894" s="7">
        <f t="shared" si="207"/>
        <v>5731.884</v>
      </c>
      <c r="S1894" s="7">
        <f t="shared" si="208"/>
        <v>636.87599999999998</v>
      </c>
      <c r="T1894" s="6">
        <f t="shared" si="209"/>
        <v>2.2900763358778626E-2</v>
      </c>
      <c r="U1894" t="s">
        <v>90</v>
      </c>
      <c r="V1894" t="s">
        <v>29</v>
      </c>
    </row>
    <row r="1895" spans="1:22">
      <c r="A1895" s="3">
        <v>45736</v>
      </c>
      <c r="B1895" t="str">
        <f t="shared" si="203"/>
        <v>yyyy-03</v>
      </c>
      <c r="C1895">
        <f t="shared" si="204"/>
        <v>12</v>
      </c>
      <c r="D1895" t="s">
        <v>66</v>
      </c>
      <c r="E1895" t="s">
        <v>67</v>
      </c>
      <c r="F1895" t="s">
        <v>69</v>
      </c>
      <c r="G1895" t="s">
        <v>36</v>
      </c>
      <c r="H1895" t="s">
        <v>37</v>
      </c>
      <c r="I1895" s="5">
        <v>371</v>
      </c>
      <c r="J1895" s="5">
        <v>241</v>
      </c>
      <c r="K1895" s="5">
        <v>31</v>
      </c>
      <c r="L1895" s="5">
        <v>11</v>
      </c>
      <c r="M1895" s="5">
        <v>11</v>
      </c>
      <c r="N1895" s="7">
        <v>399.08</v>
      </c>
      <c r="O1895" s="7">
        <f t="shared" si="205"/>
        <v>4389.88</v>
      </c>
      <c r="P1895" s="4">
        <v>0.1</v>
      </c>
      <c r="Q1895" s="7">
        <f t="shared" si="206"/>
        <v>438.98800000000006</v>
      </c>
      <c r="R1895" s="7">
        <f t="shared" si="207"/>
        <v>3950.8919999999998</v>
      </c>
      <c r="S1895" s="7">
        <f t="shared" si="208"/>
        <v>359.17199999999997</v>
      </c>
      <c r="T1895" s="6">
        <f t="shared" si="209"/>
        <v>2.9649595687331536E-2</v>
      </c>
      <c r="U1895" t="s">
        <v>90</v>
      </c>
      <c r="V1895" t="s">
        <v>29</v>
      </c>
    </row>
    <row r="1896" spans="1:22">
      <c r="A1896" s="3">
        <v>45736</v>
      </c>
      <c r="B1896" t="str">
        <f t="shared" si="203"/>
        <v>yyyy-03</v>
      </c>
      <c r="C1896">
        <f t="shared" si="204"/>
        <v>12</v>
      </c>
      <c r="D1896" t="s">
        <v>66</v>
      </c>
      <c r="E1896" t="s">
        <v>67</v>
      </c>
      <c r="F1896" t="s">
        <v>70</v>
      </c>
      <c r="G1896" t="s">
        <v>36</v>
      </c>
      <c r="H1896" t="s">
        <v>37</v>
      </c>
      <c r="I1896" s="5">
        <v>391</v>
      </c>
      <c r="J1896" s="5">
        <v>209</v>
      </c>
      <c r="K1896" s="5">
        <v>40</v>
      </c>
      <c r="L1896" s="5">
        <v>9</v>
      </c>
      <c r="M1896" s="5">
        <v>9</v>
      </c>
      <c r="N1896" s="7">
        <v>349.46</v>
      </c>
      <c r="O1896" s="7">
        <f t="shared" si="205"/>
        <v>3145.14</v>
      </c>
      <c r="P1896" s="4">
        <v>0.1</v>
      </c>
      <c r="Q1896" s="7">
        <f t="shared" si="206"/>
        <v>314.51400000000001</v>
      </c>
      <c r="R1896" s="7">
        <f t="shared" si="207"/>
        <v>2830.6259999999997</v>
      </c>
      <c r="S1896" s="7">
        <f t="shared" si="208"/>
        <v>314.51399999999995</v>
      </c>
      <c r="T1896" s="6">
        <f t="shared" si="209"/>
        <v>2.3017902813299233E-2</v>
      </c>
      <c r="U1896" t="s">
        <v>90</v>
      </c>
      <c r="V1896" t="s">
        <v>29</v>
      </c>
    </row>
    <row r="1897" spans="1:22">
      <c r="A1897" s="3">
        <v>45736</v>
      </c>
      <c r="B1897" t="str">
        <f t="shared" si="203"/>
        <v>yyyy-03</v>
      </c>
      <c r="C1897">
        <f t="shared" si="204"/>
        <v>12</v>
      </c>
      <c r="D1897" t="s">
        <v>66</v>
      </c>
      <c r="E1897" t="s">
        <v>71</v>
      </c>
      <c r="F1897" t="s">
        <v>72</v>
      </c>
      <c r="G1897" t="s">
        <v>36</v>
      </c>
      <c r="H1897" t="s">
        <v>37</v>
      </c>
      <c r="I1897" s="5">
        <v>333</v>
      </c>
      <c r="J1897" s="5">
        <v>174</v>
      </c>
      <c r="K1897" s="5">
        <v>30</v>
      </c>
      <c r="L1897" s="5">
        <v>7</v>
      </c>
      <c r="M1897" s="5">
        <v>9</v>
      </c>
      <c r="N1897" s="7">
        <v>125.7</v>
      </c>
      <c r="O1897" s="7">
        <f t="shared" si="205"/>
        <v>1131.3</v>
      </c>
      <c r="P1897" s="4">
        <v>0.03</v>
      </c>
      <c r="Q1897" s="7">
        <f t="shared" si="206"/>
        <v>33.939</v>
      </c>
      <c r="R1897" s="7">
        <f t="shared" si="207"/>
        <v>1097.3609999999999</v>
      </c>
      <c r="S1897" s="7">
        <f t="shared" si="208"/>
        <v>156.76585714285713</v>
      </c>
      <c r="T1897" s="6">
        <f t="shared" si="209"/>
        <v>2.1021021021021023E-2</v>
      </c>
      <c r="V1897" t="s">
        <v>29</v>
      </c>
    </row>
    <row r="1898" spans="1:22">
      <c r="A1898" s="3">
        <v>45736</v>
      </c>
      <c r="B1898" t="str">
        <f t="shared" si="203"/>
        <v>yyyy-03</v>
      </c>
      <c r="C1898">
        <f t="shared" si="204"/>
        <v>12</v>
      </c>
      <c r="D1898" t="s">
        <v>66</v>
      </c>
      <c r="E1898" t="s">
        <v>73</v>
      </c>
      <c r="F1898" t="s">
        <v>74</v>
      </c>
      <c r="G1898" t="s">
        <v>27</v>
      </c>
      <c r="H1898" t="s">
        <v>28</v>
      </c>
      <c r="I1898" s="5">
        <v>169</v>
      </c>
      <c r="J1898" s="5">
        <v>138</v>
      </c>
      <c r="K1898" s="5">
        <v>11</v>
      </c>
      <c r="L1898" s="5">
        <v>3</v>
      </c>
      <c r="M1898" s="5">
        <v>3</v>
      </c>
      <c r="N1898" s="7">
        <v>1178.81</v>
      </c>
      <c r="O1898" s="7">
        <f t="shared" si="205"/>
        <v>3536.43</v>
      </c>
      <c r="P1898" s="4">
        <v>0</v>
      </c>
      <c r="Q1898" s="7">
        <f t="shared" si="206"/>
        <v>0</v>
      </c>
      <c r="R1898" s="7">
        <f t="shared" si="207"/>
        <v>3536.43</v>
      </c>
      <c r="S1898" s="7">
        <f t="shared" si="208"/>
        <v>1178.81</v>
      </c>
      <c r="T1898" s="6">
        <f t="shared" si="209"/>
        <v>1.7751479289940829E-2</v>
      </c>
      <c r="V1898" t="s">
        <v>29</v>
      </c>
    </row>
    <row r="1899" spans="1:22">
      <c r="A1899" s="3">
        <v>45736</v>
      </c>
      <c r="B1899" t="str">
        <f t="shared" si="203"/>
        <v>yyyy-03</v>
      </c>
      <c r="C1899">
        <f t="shared" si="204"/>
        <v>12</v>
      </c>
      <c r="D1899" t="s">
        <v>66</v>
      </c>
      <c r="E1899" t="s">
        <v>71</v>
      </c>
      <c r="F1899" t="s">
        <v>75</v>
      </c>
      <c r="G1899" t="s">
        <v>27</v>
      </c>
      <c r="H1899" t="s">
        <v>28</v>
      </c>
      <c r="I1899" s="5">
        <v>271</v>
      </c>
      <c r="J1899" s="5">
        <v>153</v>
      </c>
      <c r="K1899" s="5">
        <v>24</v>
      </c>
      <c r="L1899" s="5">
        <v>6</v>
      </c>
      <c r="M1899" s="5">
        <v>8</v>
      </c>
      <c r="N1899" s="7">
        <v>38.18</v>
      </c>
      <c r="O1899" s="7">
        <f t="shared" si="205"/>
        <v>305.44</v>
      </c>
      <c r="P1899" s="4">
        <v>0.03</v>
      </c>
      <c r="Q1899" s="7">
        <f t="shared" si="206"/>
        <v>9.1631999999999998</v>
      </c>
      <c r="R1899" s="7">
        <f t="shared" si="207"/>
        <v>296.27679999999998</v>
      </c>
      <c r="S1899" s="7">
        <f t="shared" si="208"/>
        <v>49.379466666666666</v>
      </c>
      <c r="T1899" s="6">
        <f t="shared" si="209"/>
        <v>2.2140221402214021E-2</v>
      </c>
      <c r="V1899" t="s">
        <v>29</v>
      </c>
    </row>
    <row r="1900" spans="1:22">
      <c r="A1900" s="3">
        <v>45736</v>
      </c>
      <c r="B1900" t="str">
        <f t="shared" si="203"/>
        <v>yyyy-03</v>
      </c>
      <c r="C1900">
        <f t="shared" si="204"/>
        <v>12</v>
      </c>
      <c r="D1900" t="s">
        <v>24</v>
      </c>
      <c r="E1900" t="s">
        <v>76</v>
      </c>
      <c r="F1900" t="s">
        <v>77</v>
      </c>
      <c r="G1900" t="s">
        <v>27</v>
      </c>
      <c r="H1900" t="s">
        <v>28</v>
      </c>
      <c r="I1900" s="5">
        <v>497</v>
      </c>
      <c r="J1900" s="5">
        <v>274</v>
      </c>
      <c r="K1900" s="5">
        <v>49</v>
      </c>
      <c r="L1900" s="5">
        <v>12</v>
      </c>
      <c r="M1900" s="5">
        <v>13</v>
      </c>
      <c r="N1900" s="7">
        <v>200.71</v>
      </c>
      <c r="O1900" s="7">
        <f t="shared" si="205"/>
        <v>2609.23</v>
      </c>
      <c r="P1900" s="4">
        <v>0</v>
      </c>
      <c r="Q1900" s="7">
        <f t="shared" si="206"/>
        <v>0</v>
      </c>
      <c r="R1900" s="7">
        <f t="shared" si="207"/>
        <v>2609.23</v>
      </c>
      <c r="S1900" s="7">
        <f t="shared" si="208"/>
        <v>217.43583333333333</v>
      </c>
      <c r="T1900" s="6">
        <f t="shared" si="209"/>
        <v>2.4144869215291749E-2</v>
      </c>
      <c r="V1900" t="s">
        <v>29</v>
      </c>
    </row>
    <row r="1901" spans="1:22">
      <c r="A1901" s="3">
        <v>45737</v>
      </c>
      <c r="B1901" t="str">
        <f t="shared" si="203"/>
        <v>yyyy-03</v>
      </c>
      <c r="C1901">
        <f t="shared" si="204"/>
        <v>12</v>
      </c>
      <c r="D1901" t="s">
        <v>24</v>
      </c>
      <c r="E1901" t="s">
        <v>25</v>
      </c>
      <c r="F1901" t="s">
        <v>26</v>
      </c>
      <c r="G1901" t="s">
        <v>27</v>
      </c>
      <c r="H1901" t="s">
        <v>48</v>
      </c>
      <c r="I1901" s="5">
        <v>1437</v>
      </c>
      <c r="J1901" s="5">
        <v>825</v>
      </c>
      <c r="K1901" s="5">
        <v>70</v>
      </c>
      <c r="L1901" s="5">
        <v>24</v>
      </c>
      <c r="M1901" s="5">
        <v>24</v>
      </c>
      <c r="N1901" s="7">
        <v>972.61</v>
      </c>
      <c r="O1901" s="7">
        <f t="shared" si="205"/>
        <v>23342.639999999999</v>
      </c>
      <c r="P1901" s="4">
        <v>0.03</v>
      </c>
      <c r="Q1901" s="7">
        <f t="shared" si="206"/>
        <v>700.27919999999995</v>
      </c>
      <c r="R1901" s="7">
        <f t="shared" si="207"/>
        <v>22642.360799999999</v>
      </c>
      <c r="S1901" s="7">
        <f t="shared" si="208"/>
        <v>943.43169999999998</v>
      </c>
      <c r="T1901" s="6">
        <f t="shared" si="209"/>
        <v>1.6701461377870562E-2</v>
      </c>
      <c r="V1901" t="s">
        <v>29</v>
      </c>
    </row>
    <row r="1902" spans="1:22">
      <c r="A1902" s="3">
        <v>45737</v>
      </c>
      <c r="B1902" t="str">
        <f t="shared" si="203"/>
        <v>yyyy-03</v>
      </c>
      <c r="C1902">
        <f t="shared" si="204"/>
        <v>12</v>
      </c>
      <c r="D1902" t="s">
        <v>24</v>
      </c>
      <c r="E1902" t="s">
        <v>25</v>
      </c>
      <c r="F1902" t="s">
        <v>30</v>
      </c>
      <c r="G1902" t="s">
        <v>36</v>
      </c>
      <c r="H1902" t="s">
        <v>37</v>
      </c>
      <c r="I1902" s="5">
        <v>1550</v>
      </c>
      <c r="J1902" s="5">
        <v>1078</v>
      </c>
      <c r="K1902" s="5">
        <v>128</v>
      </c>
      <c r="L1902" s="5">
        <v>25</v>
      </c>
      <c r="M1902" s="5">
        <v>25</v>
      </c>
      <c r="N1902" s="7">
        <v>398.83</v>
      </c>
      <c r="O1902" s="7">
        <f t="shared" si="205"/>
        <v>9970.75</v>
      </c>
      <c r="P1902" s="4">
        <v>0.03</v>
      </c>
      <c r="Q1902" s="7">
        <f t="shared" si="206"/>
        <v>299.1225</v>
      </c>
      <c r="R1902" s="7">
        <f t="shared" si="207"/>
        <v>9671.6275000000005</v>
      </c>
      <c r="S1902" s="7">
        <f t="shared" si="208"/>
        <v>386.86510000000004</v>
      </c>
      <c r="T1902" s="6">
        <f t="shared" si="209"/>
        <v>1.6129032258064516E-2</v>
      </c>
      <c r="V1902" t="s">
        <v>29</v>
      </c>
    </row>
    <row r="1903" spans="1:22">
      <c r="A1903" s="3">
        <v>45737</v>
      </c>
      <c r="B1903" t="str">
        <f t="shared" si="203"/>
        <v>yyyy-03</v>
      </c>
      <c r="C1903">
        <f t="shared" si="204"/>
        <v>12</v>
      </c>
      <c r="D1903" t="s">
        <v>24</v>
      </c>
      <c r="E1903" t="s">
        <v>25</v>
      </c>
      <c r="F1903" t="s">
        <v>33</v>
      </c>
      <c r="G1903" t="s">
        <v>27</v>
      </c>
      <c r="H1903" t="s">
        <v>28</v>
      </c>
      <c r="I1903" s="5">
        <v>1751</v>
      </c>
      <c r="J1903" s="5">
        <v>1024</v>
      </c>
      <c r="K1903" s="5">
        <v>138</v>
      </c>
      <c r="L1903" s="5">
        <v>30</v>
      </c>
      <c r="M1903" s="5">
        <v>30</v>
      </c>
      <c r="N1903" s="7">
        <v>1803.86</v>
      </c>
      <c r="O1903" s="7">
        <f t="shared" si="205"/>
        <v>54115.799999999996</v>
      </c>
      <c r="P1903" s="4">
        <v>0</v>
      </c>
      <c r="Q1903" s="7">
        <f t="shared" si="206"/>
        <v>0</v>
      </c>
      <c r="R1903" s="7">
        <f t="shared" si="207"/>
        <v>54115.799999999996</v>
      </c>
      <c r="S1903" s="7">
        <f t="shared" si="208"/>
        <v>1803.86</v>
      </c>
      <c r="T1903" s="6">
        <f t="shared" si="209"/>
        <v>1.7133066818960593E-2</v>
      </c>
      <c r="V1903" t="s">
        <v>29</v>
      </c>
    </row>
    <row r="1904" spans="1:22">
      <c r="A1904" s="3">
        <v>45737</v>
      </c>
      <c r="B1904" t="str">
        <f t="shared" si="203"/>
        <v>yyyy-03</v>
      </c>
      <c r="C1904">
        <f t="shared" si="204"/>
        <v>12</v>
      </c>
      <c r="D1904" t="s">
        <v>24</v>
      </c>
      <c r="E1904" t="s">
        <v>34</v>
      </c>
      <c r="F1904" t="s">
        <v>35</v>
      </c>
      <c r="G1904" t="s">
        <v>27</v>
      </c>
      <c r="H1904" t="s">
        <v>28</v>
      </c>
      <c r="I1904" s="5">
        <v>1192</v>
      </c>
      <c r="J1904" s="5">
        <v>664</v>
      </c>
      <c r="K1904" s="5">
        <v>59</v>
      </c>
      <c r="L1904" s="5">
        <v>29</v>
      </c>
      <c r="M1904" s="5">
        <v>29</v>
      </c>
      <c r="N1904" s="7">
        <v>910.99</v>
      </c>
      <c r="O1904" s="7">
        <f t="shared" si="205"/>
        <v>26418.71</v>
      </c>
      <c r="P1904" s="4">
        <v>0</v>
      </c>
      <c r="Q1904" s="7">
        <f t="shared" si="206"/>
        <v>0</v>
      </c>
      <c r="R1904" s="7">
        <f t="shared" si="207"/>
        <v>26418.71</v>
      </c>
      <c r="S1904" s="7">
        <f t="shared" si="208"/>
        <v>910.99</v>
      </c>
      <c r="T1904" s="6">
        <f t="shared" si="209"/>
        <v>2.4328859060402684E-2</v>
      </c>
      <c r="V1904" t="s">
        <v>29</v>
      </c>
    </row>
    <row r="1905" spans="1:22">
      <c r="A1905" s="3">
        <v>45737</v>
      </c>
      <c r="B1905" t="str">
        <f t="shared" si="203"/>
        <v>yyyy-03</v>
      </c>
      <c r="C1905">
        <f t="shared" si="204"/>
        <v>12</v>
      </c>
      <c r="D1905" t="s">
        <v>24</v>
      </c>
      <c r="E1905" t="s">
        <v>38</v>
      </c>
      <c r="F1905" t="s">
        <v>39</v>
      </c>
      <c r="G1905" t="s">
        <v>31</v>
      </c>
      <c r="H1905" t="s">
        <v>32</v>
      </c>
      <c r="I1905" s="5">
        <v>814</v>
      </c>
      <c r="J1905" s="5">
        <v>434</v>
      </c>
      <c r="K1905" s="5">
        <v>54</v>
      </c>
      <c r="L1905" s="5">
        <v>12</v>
      </c>
      <c r="M1905" s="5">
        <v>12</v>
      </c>
      <c r="N1905" s="7">
        <v>332.97</v>
      </c>
      <c r="O1905" s="7">
        <f t="shared" si="205"/>
        <v>3995.6400000000003</v>
      </c>
      <c r="P1905" s="4">
        <v>0.05</v>
      </c>
      <c r="Q1905" s="7">
        <f t="shared" si="206"/>
        <v>199.78200000000004</v>
      </c>
      <c r="R1905" s="7">
        <f t="shared" si="207"/>
        <v>3795.8580000000002</v>
      </c>
      <c r="S1905" s="7">
        <f t="shared" si="208"/>
        <v>316.32150000000001</v>
      </c>
      <c r="T1905" s="6">
        <f t="shared" si="209"/>
        <v>1.4742014742014743E-2</v>
      </c>
      <c r="V1905" t="s">
        <v>29</v>
      </c>
    </row>
    <row r="1906" spans="1:22">
      <c r="A1906" s="3">
        <v>45737</v>
      </c>
      <c r="B1906" t="str">
        <f t="shared" si="203"/>
        <v>yyyy-03</v>
      </c>
      <c r="C1906">
        <f t="shared" si="204"/>
        <v>12</v>
      </c>
      <c r="D1906" t="s">
        <v>24</v>
      </c>
      <c r="E1906" t="s">
        <v>40</v>
      </c>
      <c r="F1906" t="s">
        <v>41</v>
      </c>
      <c r="G1906" t="s">
        <v>27</v>
      </c>
      <c r="H1906" t="s">
        <v>48</v>
      </c>
      <c r="I1906" s="5">
        <v>564</v>
      </c>
      <c r="J1906" s="5">
        <v>360</v>
      </c>
      <c r="K1906" s="5">
        <v>23</v>
      </c>
      <c r="L1906" s="5">
        <v>9</v>
      </c>
      <c r="M1906" s="5">
        <v>10</v>
      </c>
      <c r="N1906" s="7">
        <v>180.4</v>
      </c>
      <c r="O1906" s="7">
        <f t="shared" si="205"/>
        <v>1804</v>
      </c>
      <c r="P1906" s="4">
        <v>0.05</v>
      </c>
      <c r="Q1906" s="7">
        <f t="shared" si="206"/>
        <v>90.2</v>
      </c>
      <c r="R1906" s="7">
        <f t="shared" si="207"/>
        <v>1713.8</v>
      </c>
      <c r="S1906" s="7">
        <f t="shared" si="208"/>
        <v>190.42222222222222</v>
      </c>
      <c r="T1906" s="6">
        <f t="shared" si="209"/>
        <v>1.5957446808510637E-2</v>
      </c>
      <c r="V1906" t="s">
        <v>29</v>
      </c>
    </row>
    <row r="1907" spans="1:22">
      <c r="A1907" s="3">
        <v>45737</v>
      </c>
      <c r="B1907" t="str">
        <f t="shared" si="203"/>
        <v>yyyy-03</v>
      </c>
      <c r="C1907">
        <f t="shared" si="204"/>
        <v>12</v>
      </c>
      <c r="D1907" t="s">
        <v>42</v>
      </c>
      <c r="E1907" t="s">
        <v>43</v>
      </c>
      <c r="F1907" t="s">
        <v>44</v>
      </c>
      <c r="G1907" t="s">
        <v>36</v>
      </c>
      <c r="H1907" t="s">
        <v>37</v>
      </c>
      <c r="I1907" s="5">
        <v>358</v>
      </c>
      <c r="J1907" s="5">
        <v>258</v>
      </c>
      <c r="K1907" s="5">
        <v>21</v>
      </c>
      <c r="L1907" s="5">
        <v>6</v>
      </c>
      <c r="M1907" s="5">
        <v>6</v>
      </c>
      <c r="N1907" s="7">
        <v>1250.73</v>
      </c>
      <c r="O1907" s="7">
        <f t="shared" si="205"/>
        <v>7504.38</v>
      </c>
      <c r="P1907" s="4">
        <v>0.05</v>
      </c>
      <c r="Q1907" s="7">
        <f t="shared" si="206"/>
        <v>375.21900000000005</v>
      </c>
      <c r="R1907" s="7">
        <f t="shared" si="207"/>
        <v>7129.1610000000001</v>
      </c>
      <c r="S1907" s="7">
        <f t="shared" si="208"/>
        <v>1188.1935000000001</v>
      </c>
      <c r="T1907" s="6">
        <f t="shared" si="209"/>
        <v>1.6759776536312849E-2</v>
      </c>
      <c r="V1907" t="s">
        <v>29</v>
      </c>
    </row>
    <row r="1908" spans="1:22">
      <c r="A1908" s="3">
        <v>45737</v>
      </c>
      <c r="B1908" t="str">
        <f t="shared" si="203"/>
        <v>yyyy-03</v>
      </c>
      <c r="C1908">
        <f t="shared" si="204"/>
        <v>12</v>
      </c>
      <c r="D1908" t="s">
        <v>42</v>
      </c>
      <c r="E1908" t="s">
        <v>43</v>
      </c>
      <c r="F1908" t="s">
        <v>46</v>
      </c>
      <c r="G1908" t="s">
        <v>27</v>
      </c>
      <c r="H1908" t="s">
        <v>28</v>
      </c>
      <c r="I1908" s="5">
        <v>430</v>
      </c>
      <c r="J1908" s="5">
        <v>325</v>
      </c>
      <c r="K1908" s="5">
        <v>21</v>
      </c>
      <c r="L1908" s="5">
        <v>6</v>
      </c>
      <c r="M1908" s="5">
        <v>6</v>
      </c>
      <c r="N1908" s="7">
        <v>2164.96</v>
      </c>
      <c r="O1908" s="7">
        <f t="shared" si="205"/>
        <v>12989.76</v>
      </c>
      <c r="P1908" s="4">
        <v>0</v>
      </c>
      <c r="Q1908" s="7">
        <f t="shared" si="206"/>
        <v>0</v>
      </c>
      <c r="R1908" s="7">
        <f t="shared" si="207"/>
        <v>12989.76</v>
      </c>
      <c r="S1908" s="7">
        <f t="shared" si="208"/>
        <v>2164.96</v>
      </c>
      <c r="T1908" s="6">
        <f t="shared" si="209"/>
        <v>1.3953488372093023E-2</v>
      </c>
      <c r="V1908" t="s">
        <v>29</v>
      </c>
    </row>
    <row r="1909" spans="1:22">
      <c r="A1909" s="3">
        <v>45737</v>
      </c>
      <c r="B1909" t="str">
        <f t="shared" si="203"/>
        <v>yyyy-03</v>
      </c>
      <c r="C1909">
        <f t="shared" si="204"/>
        <v>12</v>
      </c>
      <c r="D1909" t="s">
        <v>42</v>
      </c>
      <c r="E1909" t="s">
        <v>43</v>
      </c>
      <c r="F1909" t="s">
        <v>47</v>
      </c>
      <c r="G1909" t="s">
        <v>27</v>
      </c>
      <c r="H1909" t="s">
        <v>63</v>
      </c>
      <c r="I1909" s="5">
        <v>349</v>
      </c>
      <c r="J1909" s="5">
        <v>202</v>
      </c>
      <c r="K1909" s="5">
        <v>22</v>
      </c>
      <c r="L1909" s="5">
        <v>6</v>
      </c>
      <c r="M1909" s="5">
        <v>6</v>
      </c>
      <c r="N1909" s="7">
        <v>589.57000000000005</v>
      </c>
      <c r="O1909" s="7">
        <f t="shared" si="205"/>
        <v>3537.42</v>
      </c>
      <c r="P1909" s="4">
        <v>0</v>
      </c>
      <c r="Q1909" s="7">
        <f t="shared" si="206"/>
        <v>0</v>
      </c>
      <c r="R1909" s="7">
        <f t="shared" si="207"/>
        <v>3537.42</v>
      </c>
      <c r="S1909" s="7">
        <f t="shared" si="208"/>
        <v>589.57000000000005</v>
      </c>
      <c r="T1909" s="6">
        <f t="shared" si="209"/>
        <v>1.7191977077363897E-2</v>
      </c>
      <c r="V1909" t="s">
        <v>29</v>
      </c>
    </row>
    <row r="1910" spans="1:22">
      <c r="A1910" s="3">
        <v>45737</v>
      </c>
      <c r="B1910" t="str">
        <f t="shared" si="203"/>
        <v>yyyy-03</v>
      </c>
      <c r="C1910">
        <f t="shared" si="204"/>
        <v>12</v>
      </c>
      <c r="D1910" t="s">
        <v>42</v>
      </c>
      <c r="E1910" t="s">
        <v>49</v>
      </c>
      <c r="F1910" t="s">
        <v>50</v>
      </c>
      <c r="G1910" t="s">
        <v>31</v>
      </c>
      <c r="H1910" t="s">
        <v>32</v>
      </c>
      <c r="I1910" s="5">
        <v>176</v>
      </c>
      <c r="J1910" s="5">
        <v>106</v>
      </c>
      <c r="K1910" s="5">
        <v>8</v>
      </c>
      <c r="L1910" s="5">
        <v>2</v>
      </c>
      <c r="M1910" s="5">
        <v>2</v>
      </c>
      <c r="N1910" s="7">
        <v>1009.04</v>
      </c>
      <c r="O1910" s="7">
        <f t="shared" si="205"/>
        <v>2018.08</v>
      </c>
      <c r="P1910" s="4">
        <v>0</v>
      </c>
      <c r="Q1910" s="7">
        <f t="shared" si="206"/>
        <v>0</v>
      </c>
      <c r="R1910" s="7">
        <f t="shared" si="207"/>
        <v>2018.08</v>
      </c>
      <c r="S1910" s="7">
        <f t="shared" si="208"/>
        <v>1009.04</v>
      </c>
      <c r="T1910" s="6">
        <f t="shared" si="209"/>
        <v>1.1363636363636364E-2</v>
      </c>
      <c r="V1910" t="s">
        <v>29</v>
      </c>
    </row>
    <row r="1911" spans="1:22">
      <c r="A1911" s="3">
        <v>45737</v>
      </c>
      <c r="B1911" t="str">
        <f t="shared" si="203"/>
        <v>yyyy-03</v>
      </c>
      <c r="C1911">
        <f t="shared" si="204"/>
        <v>12</v>
      </c>
      <c r="D1911" t="s">
        <v>42</v>
      </c>
      <c r="E1911" t="s">
        <v>51</v>
      </c>
      <c r="F1911" t="s">
        <v>52</v>
      </c>
      <c r="G1911" t="s">
        <v>36</v>
      </c>
      <c r="H1911" t="s">
        <v>37</v>
      </c>
      <c r="I1911" s="5">
        <v>205</v>
      </c>
      <c r="J1911" s="5">
        <v>131</v>
      </c>
      <c r="K1911" s="5">
        <v>15</v>
      </c>
      <c r="L1911" s="5">
        <v>2</v>
      </c>
      <c r="M1911" s="5">
        <v>2</v>
      </c>
      <c r="N1911" s="7">
        <v>589.16</v>
      </c>
      <c r="O1911" s="7">
        <f t="shared" si="205"/>
        <v>1178.32</v>
      </c>
      <c r="P1911" s="4">
        <v>0.05</v>
      </c>
      <c r="Q1911" s="7">
        <f t="shared" si="206"/>
        <v>58.915999999999997</v>
      </c>
      <c r="R1911" s="7">
        <f t="shared" si="207"/>
        <v>1119.404</v>
      </c>
      <c r="S1911" s="7">
        <f t="shared" si="208"/>
        <v>559.702</v>
      </c>
      <c r="T1911" s="6">
        <f t="shared" si="209"/>
        <v>9.7560975609756097E-3</v>
      </c>
      <c r="V1911" t="s">
        <v>78</v>
      </c>
    </row>
    <row r="1912" spans="1:22">
      <c r="A1912" s="3">
        <v>45737</v>
      </c>
      <c r="B1912" t="str">
        <f t="shared" si="203"/>
        <v>yyyy-03</v>
      </c>
      <c r="C1912">
        <f t="shared" si="204"/>
        <v>12</v>
      </c>
      <c r="D1912" t="s">
        <v>53</v>
      </c>
      <c r="E1912" t="s">
        <v>54</v>
      </c>
      <c r="F1912" t="s">
        <v>55</v>
      </c>
      <c r="G1912" t="s">
        <v>36</v>
      </c>
      <c r="H1912" t="s">
        <v>37</v>
      </c>
      <c r="I1912" s="5">
        <v>219</v>
      </c>
      <c r="J1912" s="5">
        <v>161</v>
      </c>
      <c r="K1912" s="5">
        <v>19</v>
      </c>
      <c r="L1912" s="5">
        <v>3</v>
      </c>
      <c r="M1912" s="5">
        <v>3</v>
      </c>
      <c r="N1912" s="7">
        <v>1247.1600000000001</v>
      </c>
      <c r="O1912" s="7">
        <f t="shared" si="205"/>
        <v>3741.4800000000005</v>
      </c>
      <c r="P1912" s="4">
        <v>0</v>
      </c>
      <c r="Q1912" s="7">
        <f t="shared" si="206"/>
        <v>0</v>
      </c>
      <c r="R1912" s="7">
        <f t="shared" si="207"/>
        <v>3741.4800000000005</v>
      </c>
      <c r="S1912" s="7">
        <f t="shared" si="208"/>
        <v>1247.1600000000001</v>
      </c>
      <c r="T1912" s="6">
        <f t="shared" si="209"/>
        <v>1.3698630136986301E-2</v>
      </c>
      <c r="V1912" t="s">
        <v>29</v>
      </c>
    </row>
    <row r="1913" spans="1:22">
      <c r="A1913" s="3">
        <v>45737</v>
      </c>
      <c r="B1913" t="str">
        <f t="shared" si="203"/>
        <v>yyyy-03</v>
      </c>
      <c r="C1913">
        <f t="shared" si="204"/>
        <v>12</v>
      </c>
      <c r="D1913" t="s">
        <v>53</v>
      </c>
      <c r="E1913" t="s">
        <v>56</v>
      </c>
      <c r="F1913" t="s">
        <v>57</v>
      </c>
      <c r="G1913" t="s">
        <v>36</v>
      </c>
      <c r="H1913" t="s">
        <v>37</v>
      </c>
      <c r="I1913" s="5">
        <v>166</v>
      </c>
      <c r="J1913" s="5">
        <v>116</v>
      </c>
      <c r="K1913" s="5">
        <v>9</v>
      </c>
      <c r="L1913" s="5">
        <v>2</v>
      </c>
      <c r="M1913" s="5">
        <v>2</v>
      </c>
      <c r="N1913" s="7">
        <v>719.72</v>
      </c>
      <c r="O1913" s="7">
        <f t="shared" si="205"/>
        <v>1439.44</v>
      </c>
      <c r="P1913" s="4">
        <v>0</v>
      </c>
      <c r="Q1913" s="7">
        <f t="shared" si="206"/>
        <v>0</v>
      </c>
      <c r="R1913" s="7">
        <f t="shared" si="207"/>
        <v>1439.44</v>
      </c>
      <c r="S1913" s="7">
        <f t="shared" si="208"/>
        <v>719.72</v>
      </c>
      <c r="T1913" s="6">
        <f t="shared" si="209"/>
        <v>1.2048192771084338E-2</v>
      </c>
      <c r="V1913" t="s">
        <v>29</v>
      </c>
    </row>
    <row r="1914" spans="1:22">
      <c r="A1914" s="3">
        <v>45737</v>
      </c>
      <c r="B1914" t="str">
        <f t="shared" si="203"/>
        <v>yyyy-03</v>
      </c>
      <c r="C1914">
        <f t="shared" si="204"/>
        <v>12</v>
      </c>
      <c r="D1914" t="s">
        <v>53</v>
      </c>
      <c r="E1914" t="s">
        <v>56</v>
      </c>
      <c r="F1914" t="s">
        <v>58</v>
      </c>
      <c r="G1914" t="s">
        <v>27</v>
      </c>
      <c r="H1914" t="s">
        <v>45</v>
      </c>
      <c r="I1914" s="5">
        <v>143</v>
      </c>
      <c r="J1914" s="5">
        <v>98</v>
      </c>
      <c r="K1914" s="5">
        <v>8</v>
      </c>
      <c r="L1914" s="5">
        <v>1</v>
      </c>
      <c r="M1914" s="5">
        <v>1</v>
      </c>
      <c r="N1914" s="7">
        <v>893.65</v>
      </c>
      <c r="O1914" s="7">
        <f t="shared" si="205"/>
        <v>893.65</v>
      </c>
      <c r="P1914" s="4">
        <v>0</v>
      </c>
      <c r="Q1914" s="7">
        <f t="shared" si="206"/>
        <v>0</v>
      </c>
      <c r="R1914" s="7">
        <f t="shared" si="207"/>
        <v>893.65</v>
      </c>
      <c r="S1914" s="7">
        <f t="shared" si="208"/>
        <v>893.65</v>
      </c>
      <c r="T1914" s="6">
        <f t="shared" si="209"/>
        <v>6.993006993006993E-3</v>
      </c>
      <c r="V1914" t="s">
        <v>29</v>
      </c>
    </row>
    <row r="1915" spans="1:22">
      <c r="A1915" s="3">
        <v>45737</v>
      </c>
      <c r="B1915" t="str">
        <f t="shared" si="203"/>
        <v>yyyy-03</v>
      </c>
      <c r="C1915">
        <f t="shared" si="204"/>
        <v>12</v>
      </c>
      <c r="D1915" t="s">
        <v>53</v>
      </c>
      <c r="E1915" t="s">
        <v>59</v>
      </c>
      <c r="F1915" t="s">
        <v>60</v>
      </c>
      <c r="G1915" t="s">
        <v>27</v>
      </c>
      <c r="H1915" t="s">
        <v>28</v>
      </c>
      <c r="I1915" s="5">
        <v>146</v>
      </c>
      <c r="J1915" s="5">
        <v>86</v>
      </c>
      <c r="K1915" s="5">
        <v>10</v>
      </c>
      <c r="L1915" s="5">
        <v>2</v>
      </c>
      <c r="M1915" s="5">
        <v>2</v>
      </c>
      <c r="N1915" s="7">
        <v>694.77</v>
      </c>
      <c r="O1915" s="7">
        <f t="shared" si="205"/>
        <v>1389.54</v>
      </c>
      <c r="P1915" s="4">
        <v>0</v>
      </c>
      <c r="Q1915" s="7">
        <f t="shared" si="206"/>
        <v>0</v>
      </c>
      <c r="R1915" s="7">
        <f t="shared" si="207"/>
        <v>1389.54</v>
      </c>
      <c r="S1915" s="7">
        <f t="shared" si="208"/>
        <v>694.77</v>
      </c>
      <c r="T1915" s="6">
        <f t="shared" si="209"/>
        <v>1.3698630136986301E-2</v>
      </c>
      <c r="V1915" t="s">
        <v>29</v>
      </c>
    </row>
    <row r="1916" spans="1:22">
      <c r="A1916" s="3">
        <v>45737</v>
      </c>
      <c r="B1916" t="str">
        <f t="shared" si="203"/>
        <v>yyyy-03</v>
      </c>
      <c r="C1916">
        <f t="shared" si="204"/>
        <v>12</v>
      </c>
      <c r="D1916" t="s">
        <v>53</v>
      </c>
      <c r="E1916" t="s">
        <v>61</v>
      </c>
      <c r="F1916" t="s">
        <v>62</v>
      </c>
      <c r="G1916" t="s">
        <v>36</v>
      </c>
      <c r="H1916" t="s">
        <v>37</v>
      </c>
      <c r="I1916" s="5">
        <v>180</v>
      </c>
      <c r="J1916" s="5">
        <v>130</v>
      </c>
      <c r="K1916" s="5">
        <v>9</v>
      </c>
      <c r="L1916" s="5">
        <v>2</v>
      </c>
      <c r="M1916" s="5">
        <v>2</v>
      </c>
      <c r="N1916" s="7">
        <v>490.15</v>
      </c>
      <c r="O1916" s="7">
        <f t="shared" si="205"/>
        <v>980.3</v>
      </c>
      <c r="P1916" s="4">
        <v>0.12</v>
      </c>
      <c r="Q1916" s="7">
        <f t="shared" si="206"/>
        <v>117.636</v>
      </c>
      <c r="R1916" s="7">
        <f t="shared" si="207"/>
        <v>862.66399999999999</v>
      </c>
      <c r="S1916" s="7">
        <f t="shared" si="208"/>
        <v>431.33199999999999</v>
      </c>
      <c r="T1916" s="6">
        <f t="shared" si="209"/>
        <v>1.1111111111111112E-2</v>
      </c>
      <c r="U1916" t="s">
        <v>89</v>
      </c>
      <c r="V1916" t="s">
        <v>29</v>
      </c>
    </row>
    <row r="1917" spans="1:22">
      <c r="A1917" s="3">
        <v>45737</v>
      </c>
      <c r="B1917" t="str">
        <f t="shared" si="203"/>
        <v>yyyy-03</v>
      </c>
      <c r="C1917">
        <f t="shared" si="204"/>
        <v>12</v>
      </c>
      <c r="D1917" t="s">
        <v>53</v>
      </c>
      <c r="E1917" t="s">
        <v>64</v>
      </c>
      <c r="F1917" t="s">
        <v>65</v>
      </c>
      <c r="G1917" t="s">
        <v>27</v>
      </c>
      <c r="H1917" t="s">
        <v>28</v>
      </c>
      <c r="I1917" s="5">
        <v>226</v>
      </c>
      <c r="J1917" s="5">
        <v>180</v>
      </c>
      <c r="K1917" s="5">
        <v>9</v>
      </c>
      <c r="L1917" s="5">
        <v>2</v>
      </c>
      <c r="M1917" s="5">
        <v>2</v>
      </c>
      <c r="N1917" s="7">
        <v>812.26</v>
      </c>
      <c r="O1917" s="7">
        <f t="shared" si="205"/>
        <v>1624.52</v>
      </c>
      <c r="P1917" s="4">
        <v>0</v>
      </c>
      <c r="Q1917" s="7">
        <f t="shared" si="206"/>
        <v>0</v>
      </c>
      <c r="R1917" s="7">
        <f t="shared" si="207"/>
        <v>1624.52</v>
      </c>
      <c r="S1917" s="7">
        <f t="shared" si="208"/>
        <v>812.26</v>
      </c>
      <c r="T1917" s="6">
        <f t="shared" si="209"/>
        <v>8.8495575221238937E-3</v>
      </c>
      <c r="V1917" t="s">
        <v>29</v>
      </c>
    </row>
    <row r="1918" spans="1:22">
      <c r="A1918" s="3">
        <v>45737</v>
      </c>
      <c r="B1918" t="str">
        <f t="shared" si="203"/>
        <v>yyyy-03</v>
      </c>
      <c r="C1918">
        <f t="shared" si="204"/>
        <v>12</v>
      </c>
      <c r="D1918" t="s">
        <v>66</v>
      </c>
      <c r="E1918" t="s">
        <v>67</v>
      </c>
      <c r="F1918" t="s">
        <v>68</v>
      </c>
      <c r="G1918" t="s">
        <v>31</v>
      </c>
      <c r="H1918" t="s">
        <v>32</v>
      </c>
      <c r="I1918" s="5">
        <v>358</v>
      </c>
      <c r="J1918" s="5">
        <v>270</v>
      </c>
      <c r="K1918" s="5">
        <v>32</v>
      </c>
      <c r="L1918" s="5">
        <v>7</v>
      </c>
      <c r="M1918" s="5">
        <v>7</v>
      </c>
      <c r="N1918" s="7">
        <v>695.25</v>
      </c>
      <c r="O1918" s="7">
        <f t="shared" si="205"/>
        <v>4866.75</v>
      </c>
      <c r="P1918" s="4">
        <v>0.1</v>
      </c>
      <c r="Q1918" s="7">
        <f t="shared" si="206"/>
        <v>486.67500000000001</v>
      </c>
      <c r="R1918" s="7">
        <f t="shared" si="207"/>
        <v>4380.0749999999998</v>
      </c>
      <c r="S1918" s="7">
        <f t="shared" si="208"/>
        <v>625.72500000000002</v>
      </c>
      <c r="T1918" s="6">
        <f t="shared" si="209"/>
        <v>1.9553072625698324E-2</v>
      </c>
      <c r="U1918" t="s">
        <v>90</v>
      </c>
      <c r="V1918" t="s">
        <v>29</v>
      </c>
    </row>
    <row r="1919" spans="1:22">
      <c r="A1919" s="3">
        <v>45737</v>
      </c>
      <c r="B1919" t="str">
        <f t="shared" si="203"/>
        <v>yyyy-03</v>
      </c>
      <c r="C1919">
        <f t="shared" si="204"/>
        <v>12</v>
      </c>
      <c r="D1919" t="s">
        <v>66</v>
      </c>
      <c r="E1919" t="s">
        <v>67</v>
      </c>
      <c r="F1919" t="s">
        <v>69</v>
      </c>
      <c r="G1919" t="s">
        <v>27</v>
      </c>
      <c r="H1919" t="s">
        <v>48</v>
      </c>
      <c r="I1919" s="5">
        <v>396</v>
      </c>
      <c r="J1919" s="5">
        <v>273</v>
      </c>
      <c r="K1919" s="5">
        <v>34</v>
      </c>
      <c r="L1919" s="5">
        <v>7</v>
      </c>
      <c r="M1919" s="5">
        <v>7</v>
      </c>
      <c r="N1919" s="7">
        <v>391.86</v>
      </c>
      <c r="O1919" s="7">
        <f t="shared" si="205"/>
        <v>2743.02</v>
      </c>
      <c r="P1919" s="4">
        <v>0.1</v>
      </c>
      <c r="Q1919" s="7">
        <f t="shared" si="206"/>
        <v>274.30200000000002</v>
      </c>
      <c r="R1919" s="7">
        <f t="shared" si="207"/>
        <v>2468.7179999999998</v>
      </c>
      <c r="S1919" s="7">
        <f t="shared" si="208"/>
        <v>352.67399999999998</v>
      </c>
      <c r="T1919" s="6">
        <f t="shared" si="209"/>
        <v>1.7676767676767676E-2</v>
      </c>
      <c r="U1919" t="s">
        <v>90</v>
      </c>
      <c r="V1919" t="s">
        <v>29</v>
      </c>
    </row>
    <row r="1920" spans="1:22">
      <c r="A1920" s="3">
        <v>45737</v>
      </c>
      <c r="B1920" t="str">
        <f t="shared" si="203"/>
        <v>yyyy-03</v>
      </c>
      <c r="C1920">
        <f t="shared" si="204"/>
        <v>12</v>
      </c>
      <c r="D1920" t="s">
        <v>66</v>
      </c>
      <c r="E1920" t="s">
        <v>67</v>
      </c>
      <c r="F1920" t="s">
        <v>70</v>
      </c>
      <c r="G1920" t="s">
        <v>31</v>
      </c>
      <c r="H1920" t="s">
        <v>32</v>
      </c>
      <c r="I1920" s="5">
        <v>443</v>
      </c>
      <c r="J1920" s="5">
        <v>293</v>
      </c>
      <c r="K1920" s="5">
        <v>34</v>
      </c>
      <c r="L1920" s="5">
        <v>7</v>
      </c>
      <c r="M1920" s="5">
        <v>7</v>
      </c>
      <c r="N1920" s="7">
        <v>344.68</v>
      </c>
      <c r="O1920" s="7">
        <f t="shared" si="205"/>
        <v>2412.7600000000002</v>
      </c>
      <c r="P1920" s="4">
        <v>0.1</v>
      </c>
      <c r="Q1920" s="7">
        <f t="shared" si="206"/>
        <v>241.27600000000004</v>
      </c>
      <c r="R1920" s="7">
        <f t="shared" si="207"/>
        <v>2171.4840000000004</v>
      </c>
      <c r="S1920" s="7">
        <f t="shared" si="208"/>
        <v>310.21200000000005</v>
      </c>
      <c r="T1920" s="6">
        <f t="shared" si="209"/>
        <v>1.580135440180587E-2</v>
      </c>
      <c r="U1920" t="s">
        <v>90</v>
      </c>
      <c r="V1920" t="s">
        <v>78</v>
      </c>
    </row>
    <row r="1921" spans="1:22">
      <c r="A1921" s="3">
        <v>45737</v>
      </c>
      <c r="B1921" t="str">
        <f t="shared" si="203"/>
        <v>yyyy-03</v>
      </c>
      <c r="C1921">
        <f t="shared" si="204"/>
        <v>12</v>
      </c>
      <c r="D1921" t="s">
        <v>66</v>
      </c>
      <c r="E1921" t="s">
        <v>71</v>
      </c>
      <c r="F1921" t="s">
        <v>72</v>
      </c>
      <c r="G1921" t="s">
        <v>36</v>
      </c>
      <c r="H1921" t="s">
        <v>37</v>
      </c>
      <c r="I1921" s="5">
        <v>351</v>
      </c>
      <c r="J1921" s="5">
        <v>224</v>
      </c>
      <c r="K1921" s="5">
        <v>19</v>
      </c>
      <c r="L1921" s="5">
        <v>5</v>
      </c>
      <c r="M1921" s="5">
        <v>6</v>
      </c>
      <c r="N1921" s="7">
        <v>128.83000000000001</v>
      </c>
      <c r="O1921" s="7">
        <f t="shared" si="205"/>
        <v>772.98</v>
      </c>
      <c r="P1921" s="4">
        <v>0.05</v>
      </c>
      <c r="Q1921" s="7">
        <f t="shared" si="206"/>
        <v>38.649000000000001</v>
      </c>
      <c r="R1921" s="7">
        <f t="shared" si="207"/>
        <v>734.33100000000002</v>
      </c>
      <c r="S1921" s="7">
        <f t="shared" si="208"/>
        <v>146.86619999999999</v>
      </c>
      <c r="T1921" s="6">
        <f t="shared" si="209"/>
        <v>1.4245014245014245E-2</v>
      </c>
      <c r="V1921" t="s">
        <v>29</v>
      </c>
    </row>
    <row r="1922" spans="1:22">
      <c r="A1922" s="3">
        <v>45737</v>
      </c>
      <c r="B1922" t="str">
        <f t="shared" si="203"/>
        <v>yyyy-03</v>
      </c>
      <c r="C1922">
        <f t="shared" si="204"/>
        <v>12</v>
      </c>
      <c r="D1922" t="s">
        <v>66</v>
      </c>
      <c r="E1922" t="s">
        <v>73</v>
      </c>
      <c r="F1922" t="s">
        <v>74</v>
      </c>
      <c r="G1922" t="s">
        <v>31</v>
      </c>
      <c r="H1922" t="s">
        <v>32</v>
      </c>
      <c r="I1922" s="5">
        <v>204</v>
      </c>
      <c r="J1922" s="5">
        <v>143</v>
      </c>
      <c r="K1922" s="5">
        <v>17</v>
      </c>
      <c r="L1922" s="5">
        <v>5</v>
      </c>
      <c r="M1922" s="5">
        <v>5</v>
      </c>
      <c r="N1922" s="7">
        <v>1161.18</v>
      </c>
      <c r="O1922" s="7">
        <f t="shared" si="205"/>
        <v>5805.9000000000005</v>
      </c>
      <c r="P1922" s="4">
        <v>0</v>
      </c>
      <c r="Q1922" s="7">
        <f t="shared" si="206"/>
        <v>0</v>
      </c>
      <c r="R1922" s="7">
        <f t="shared" si="207"/>
        <v>5805.9000000000005</v>
      </c>
      <c r="S1922" s="7">
        <f t="shared" si="208"/>
        <v>1161.18</v>
      </c>
      <c r="T1922" s="6">
        <f t="shared" si="209"/>
        <v>2.4509803921568627E-2</v>
      </c>
      <c r="V1922" t="s">
        <v>29</v>
      </c>
    </row>
    <row r="1923" spans="1:22">
      <c r="A1923" s="3">
        <v>45737</v>
      </c>
      <c r="B1923" t="str">
        <f t="shared" si="203"/>
        <v>yyyy-03</v>
      </c>
      <c r="C1923">
        <f t="shared" si="204"/>
        <v>12</v>
      </c>
      <c r="D1923" t="s">
        <v>66</v>
      </c>
      <c r="E1923" t="s">
        <v>71</v>
      </c>
      <c r="F1923" t="s">
        <v>75</v>
      </c>
      <c r="G1923" t="s">
        <v>27</v>
      </c>
      <c r="H1923" t="s">
        <v>63</v>
      </c>
      <c r="I1923" s="5">
        <v>239</v>
      </c>
      <c r="J1923" s="5">
        <v>176</v>
      </c>
      <c r="K1923" s="5">
        <v>28</v>
      </c>
      <c r="L1923" s="5">
        <v>6</v>
      </c>
      <c r="M1923" s="5">
        <v>7</v>
      </c>
      <c r="N1923" s="7">
        <v>39.58</v>
      </c>
      <c r="O1923" s="7">
        <f t="shared" si="205"/>
        <v>277.06</v>
      </c>
      <c r="P1923" s="4">
        <v>0</v>
      </c>
      <c r="Q1923" s="7">
        <f t="shared" si="206"/>
        <v>0</v>
      </c>
      <c r="R1923" s="7">
        <f t="shared" si="207"/>
        <v>277.06</v>
      </c>
      <c r="S1923" s="7">
        <f t="shared" si="208"/>
        <v>46.176666666666669</v>
      </c>
      <c r="T1923" s="6">
        <f t="shared" si="209"/>
        <v>2.5104602510460251E-2</v>
      </c>
      <c r="V1923" t="s">
        <v>29</v>
      </c>
    </row>
    <row r="1924" spans="1:22">
      <c r="A1924" s="3">
        <v>45737</v>
      </c>
      <c r="B1924" t="str">
        <f t="shared" si="203"/>
        <v>yyyy-03</v>
      </c>
      <c r="C1924">
        <f t="shared" si="204"/>
        <v>12</v>
      </c>
      <c r="D1924" t="s">
        <v>24</v>
      </c>
      <c r="E1924" t="s">
        <v>76</v>
      </c>
      <c r="F1924" t="s">
        <v>77</v>
      </c>
      <c r="G1924" t="s">
        <v>31</v>
      </c>
      <c r="H1924" t="s">
        <v>32</v>
      </c>
      <c r="I1924" s="5">
        <v>667</v>
      </c>
      <c r="J1924" s="5">
        <v>407</v>
      </c>
      <c r="K1924" s="5">
        <v>63</v>
      </c>
      <c r="L1924" s="5">
        <v>14</v>
      </c>
      <c r="M1924" s="5">
        <v>18</v>
      </c>
      <c r="N1924" s="7">
        <v>192.55</v>
      </c>
      <c r="O1924" s="7">
        <f t="shared" si="205"/>
        <v>3465.9</v>
      </c>
      <c r="P1924" s="4">
        <v>0.03</v>
      </c>
      <c r="Q1924" s="7">
        <f t="shared" si="206"/>
        <v>103.977</v>
      </c>
      <c r="R1924" s="7">
        <f t="shared" si="207"/>
        <v>3361.9230000000002</v>
      </c>
      <c r="S1924" s="7">
        <f t="shared" si="208"/>
        <v>240.13735714285716</v>
      </c>
      <c r="T1924" s="6">
        <f t="shared" si="209"/>
        <v>2.0989505247376312E-2</v>
      </c>
      <c r="V1924" t="s">
        <v>29</v>
      </c>
    </row>
    <row r="1925" spans="1:22">
      <c r="A1925" s="3">
        <v>45738</v>
      </c>
      <c r="B1925" t="str">
        <f t="shared" ref="B1925:B1988" si="210">TEXT(A1925,"yyyy-mm")</f>
        <v>yyyy-03</v>
      </c>
      <c r="C1925">
        <f t="shared" ref="C1925:C1988" si="211">WEEKNUM(A1925,2)</f>
        <v>12</v>
      </c>
      <c r="D1925" t="s">
        <v>24</v>
      </c>
      <c r="E1925" t="s">
        <v>25</v>
      </c>
      <c r="F1925" t="s">
        <v>26</v>
      </c>
      <c r="G1925" t="s">
        <v>27</v>
      </c>
      <c r="H1925" t="s">
        <v>48</v>
      </c>
      <c r="I1925" s="5">
        <v>1465</v>
      </c>
      <c r="J1925" s="5">
        <v>761</v>
      </c>
      <c r="K1925" s="5">
        <v>149</v>
      </c>
      <c r="L1925" s="5">
        <v>31</v>
      </c>
      <c r="M1925" s="5">
        <v>31</v>
      </c>
      <c r="N1925" s="7">
        <v>996.93</v>
      </c>
      <c r="O1925" s="7">
        <f t="shared" ref="O1925:O1988" si="212">M1925*N1925</f>
        <v>30904.829999999998</v>
      </c>
      <c r="P1925" s="4">
        <v>0</v>
      </c>
      <c r="Q1925" s="7">
        <f t="shared" ref="Q1925:Q1988" si="213">O1925*P1925</f>
        <v>0</v>
      </c>
      <c r="R1925" s="7">
        <f t="shared" ref="R1925:R1988" si="214">O1925-Q1925</f>
        <v>30904.829999999998</v>
      </c>
      <c r="S1925" s="7">
        <f t="shared" ref="S1925:S1988" si="215">IFERROR(R1925/L1925,0)</f>
        <v>996.93</v>
      </c>
      <c r="T1925" s="6">
        <f t="shared" ref="T1925:T1988" si="216">IFERROR(L1925/I1925,0)</f>
        <v>2.1160409556313993E-2</v>
      </c>
      <c r="V1925" t="s">
        <v>29</v>
      </c>
    </row>
    <row r="1926" spans="1:22">
      <c r="A1926" s="3">
        <v>45738</v>
      </c>
      <c r="B1926" t="str">
        <f t="shared" si="210"/>
        <v>yyyy-03</v>
      </c>
      <c r="C1926">
        <f t="shared" si="211"/>
        <v>12</v>
      </c>
      <c r="D1926" t="s">
        <v>24</v>
      </c>
      <c r="E1926" t="s">
        <v>25</v>
      </c>
      <c r="F1926" t="s">
        <v>30</v>
      </c>
      <c r="G1926" t="s">
        <v>31</v>
      </c>
      <c r="H1926" t="s">
        <v>32</v>
      </c>
      <c r="I1926" s="5">
        <v>1738</v>
      </c>
      <c r="J1926" s="5">
        <v>1124</v>
      </c>
      <c r="K1926" s="5">
        <v>149</v>
      </c>
      <c r="L1926" s="5">
        <v>44</v>
      </c>
      <c r="M1926" s="5">
        <v>44</v>
      </c>
      <c r="N1926" s="7">
        <v>386.3</v>
      </c>
      <c r="O1926" s="7">
        <f t="shared" si="212"/>
        <v>16997.2</v>
      </c>
      <c r="P1926" s="4">
        <v>0.05</v>
      </c>
      <c r="Q1926" s="7">
        <f t="shared" si="213"/>
        <v>849.86000000000013</v>
      </c>
      <c r="R1926" s="7">
        <f t="shared" si="214"/>
        <v>16147.34</v>
      </c>
      <c r="S1926" s="7">
        <f t="shared" si="215"/>
        <v>366.98500000000001</v>
      </c>
      <c r="T1926" s="6">
        <f t="shared" si="216"/>
        <v>2.5316455696202531E-2</v>
      </c>
      <c r="V1926" t="s">
        <v>29</v>
      </c>
    </row>
    <row r="1927" spans="1:22">
      <c r="A1927" s="3">
        <v>45738</v>
      </c>
      <c r="B1927" t="str">
        <f t="shared" si="210"/>
        <v>yyyy-03</v>
      </c>
      <c r="C1927">
        <f t="shared" si="211"/>
        <v>12</v>
      </c>
      <c r="D1927" t="s">
        <v>24</v>
      </c>
      <c r="E1927" t="s">
        <v>25</v>
      </c>
      <c r="F1927" t="s">
        <v>33</v>
      </c>
      <c r="G1927" t="s">
        <v>27</v>
      </c>
      <c r="H1927" t="s">
        <v>48</v>
      </c>
      <c r="I1927" s="5">
        <v>868</v>
      </c>
      <c r="J1927" s="5">
        <v>615</v>
      </c>
      <c r="K1927" s="5">
        <v>98</v>
      </c>
      <c r="L1927" s="5">
        <v>21</v>
      </c>
      <c r="M1927" s="5">
        <v>21</v>
      </c>
      <c r="N1927" s="7">
        <v>1733.34</v>
      </c>
      <c r="O1927" s="7">
        <f t="shared" si="212"/>
        <v>36400.14</v>
      </c>
      <c r="P1927" s="4">
        <v>0</v>
      </c>
      <c r="Q1927" s="7">
        <f t="shared" si="213"/>
        <v>0</v>
      </c>
      <c r="R1927" s="7">
        <f t="shared" si="214"/>
        <v>36400.14</v>
      </c>
      <c r="S1927" s="7">
        <f t="shared" si="215"/>
        <v>1733.34</v>
      </c>
      <c r="T1927" s="6">
        <f t="shared" si="216"/>
        <v>2.4193548387096774E-2</v>
      </c>
      <c r="V1927" t="s">
        <v>29</v>
      </c>
    </row>
    <row r="1928" spans="1:22">
      <c r="A1928" s="3">
        <v>45738</v>
      </c>
      <c r="B1928" t="str">
        <f t="shared" si="210"/>
        <v>yyyy-03</v>
      </c>
      <c r="C1928">
        <f t="shared" si="211"/>
        <v>12</v>
      </c>
      <c r="D1928" t="s">
        <v>24</v>
      </c>
      <c r="E1928" t="s">
        <v>34</v>
      </c>
      <c r="F1928" t="s">
        <v>35</v>
      </c>
      <c r="G1928" t="s">
        <v>27</v>
      </c>
      <c r="H1928" t="s">
        <v>28</v>
      </c>
      <c r="I1928" s="5">
        <v>1054</v>
      </c>
      <c r="J1928" s="5">
        <v>814</v>
      </c>
      <c r="K1928" s="5">
        <v>79</v>
      </c>
      <c r="L1928" s="5">
        <v>18</v>
      </c>
      <c r="M1928" s="5">
        <v>18</v>
      </c>
      <c r="N1928" s="7">
        <v>876.01</v>
      </c>
      <c r="O1928" s="7">
        <f t="shared" si="212"/>
        <v>15768.18</v>
      </c>
      <c r="P1928" s="4">
        <v>0.05</v>
      </c>
      <c r="Q1928" s="7">
        <f t="shared" si="213"/>
        <v>788.40900000000011</v>
      </c>
      <c r="R1928" s="7">
        <f t="shared" si="214"/>
        <v>14979.771000000001</v>
      </c>
      <c r="S1928" s="7">
        <f t="shared" si="215"/>
        <v>832.20950000000005</v>
      </c>
      <c r="T1928" s="6">
        <f t="shared" si="216"/>
        <v>1.7077798861480076E-2</v>
      </c>
      <c r="V1928" t="s">
        <v>29</v>
      </c>
    </row>
    <row r="1929" spans="1:22">
      <c r="A1929" s="3">
        <v>45738</v>
      </c>
      <c r="B1929" t="str">
        <f t="shared" si="210"/>
        <v>yyyy-03</v>
      </c>
      <c r="C1929">
        <f t="shared" si="211"/>
        <v>12</v>
      </c>
      <c r="D1929" t="s">
        <v>24</v>
      </c>
      <c r="E1929" t="s">
        <v>38</v>
      </c>
      <c r="F1929" t="s">
        <v>39</v>
      </c>
      <c r="G1929" t="s">
        <v>31</v>
      </c>
      <c r="H1929" t="s">
        <v>32</v>
      </c>
      <c r="I1929" s="5">
        <v>1250</v>
      </c>
      <c r="J1929" s="5">
        <v>1010</v>
      </c>
      <c r="K1929" s="5">
        <v>46</v>
      </c>
      <c r="L1929" s="5">
        <v>22</v>
      </c>
      <c r="M1929" s="5">
        <v>22</v>
      </c>
      <c r="N1929" s="7">
        <v>331.36</v>
      </c>
      <c r="O1929" s="7">
        <f t="shared" si="212"/>
        <v>7289.92</v>
      </c>
      <c r="P1929" s="4">
        <v>0</v>
      </c>
      <c r="Q1929" s="7">
        <f t="shared" si="213"/>
        <v>0</v>
      </c>
      <c r="R1929" s="7">
        <f t="shared" si="214"/>
        <v>7289.92</v>
      </c>
      <c r="S1929" s="7">
        <f t="shared" si="215"/>
        <v>331.36</v>
      </c>
      <c r="T1929" s="6">
        <f t="shared" si="216"/>
        <v>1.7600000000000001E-2</v>
      </c>
      <c r="V1929" t="s">
        <v>78</v>
      </c>
    </row>
    <row r="1930" spans="1:22">
      <c r="A1930" s="3">
        <v>45738</v>
      </c>
      <c r="B1930" t="str">
        <f t="shared" si="210"/>
        <v>yyyy-03</v>
      </c>
      <c r="C1930">
        <f t="shared" si="211"/>
        <v>12</v>
      </c>
      <c r="D1930" t="s">
        <v>24</v>
      </c>
      <c r="E1930" t="s">
        <v>40</v>
      </c>
      <c r="F1930" t="s">
        <v>41</v>
      </c>
      <c r="G1930" t="s">
        <v>27</v>
      </c>
      <c r="H1930" t="s">
        <v>63</v>
      </c>
      <c r="I1930" s="5">
        <v>521</v>
      </c>
      <c r="J1930" s="5">
        <v>424</v>
      </c>
      <c r="K1930" s="5">
        <v>50</v>
      </c>
      <c r="L1930" s="5">
        <v>8</v>
      </c>
      <c r="M1930" s="5">
        <v>10</v>
      </c>
      <c r="N1930" s="7">
        <v>180.9</v>
      </c>
      <c r="O1930" s="7">
        <f t="shared" si="212"/>
        <v>1809</v>
      </c>
      <c r="P1930" s="4">
        <v>0.05</v>
      </c>
      <c r="Q1930" s="7">
        <f t="shared" si="213"/>
        <v>90.45</v>
      </c>
      <c r="R1930" s="7">
        <f t="shared" si="214"/>
        <v>1718.55</v>
      </c>
      <c r="S1930" s="7">
        <f t="shared" si="215"/>
        <v>214.81874999999999</v>
      </c>
      <c r="T1930" s="6">
        <f t="shared" si="216"/>
        <v>1.5355086372360844E-2</v>
      </c>
      <c r="V1930" t="s">
        <v>29</v>
      </c>
    </row>
    <row r="1931" spans="1:22">
      <c r="A1931" s="3">
        <v>45738</v>
      </c>
      <c r="B1931" t="str">
        <f t="shared" si="210"/>
        <v>yyyy-03</v>
      </c>
      <c r="C1931">
        <f t="shared" si="211"/>
        <v>12</v>
      </c>
      <c r="D1931" t="s">
        <v>42</v>
      </c>
      <c r="E1931" t="s">
        <v>43</v>
      </c>
      <c r="F1931" t="s">
        <v>44</v>
      </c>
      <c r="G1931" t="s">
        <v>27</v>
      </c>
      <c r="H1931" t="s">
        <v>48</v>
      </c>
      <c r="I1931" s="5">
        <v>393</v>
      </c>
      <c r="J1931" s="5">
        <v>256</v>
      </c>
      <c r="K1931" s="5">
        <v>18</v>
      </c>
      <c r="L1931" s="5">
        <v>6</v>
      </c>
      <c r="M1931" s="5">
        <v>6</v>
      </c>
      <c r="N1931" s="7">
        <v>1320.85</v>
      </c>
      <c r="O1931" s="7">
        <f t="shared" si="212"/>
        <v>7925.0999999999995</v>
      </c>
      <c r="P1931" s="4">
        <v>0</v>
      </c>
      <c r="Q1931" s="7">
        <f t="shared" si="213"/>
        <v>0</v>
      </c>
      <c r="R1931" s="7">
        <f t="shared" si="214"/>
        <v>7925.0999999999995</v>
      </c>
      <c r="S1931" s="7">
        <f t="shared" si="215"/>
        <v>1320.85</v>
      </c>
      <c r="T1931" s="6">
        <f t="shared" si="216"/>
        <v>1.5267175572519083E-2</v>
      </c>
      <c r="V1931" t="s">
        <v>29</v>
      </c>
    </row>
    <row r="1932" spans="1:22">
      <c r="A1932" s="3">
        <v>45738</v>
      </c>
      <c r="B1932" t="str">
        <f t="shared" si="210"/>
        <v>yyyy-03</v>
      </c>
      <c r="C1932">
        <f t="shared" si="211"/>
        <v>12</v>
      </c>
      <c r="D1932" t="s">
        <v>42</v>
      </c>
      <c r="E1932" t="s">
        <v>43</v>
      </c>
      <c r="F1932" t="s">
        <v>46</v>
      </c>
      <c r="G1932" t="s">
        <v>27</v>
      </c>
      <c r="H1932" t="s">
        <v>48</v>
      </c>
      <c r="I1932" s="5">
        <v>378</v>
      </c>
      <c r="J1932" s="5">
        <v>263</v>
      </c>
      <c r="K1932" s="5">
        <v>12</v>
      </c>
      <c r="L1932" s="5">
        <v>3</v>
      </c>
      <c r="M1932" s="5">
        <v>3</v>
      </c>
      <c r="N1932" s="7">
        <v>2167.8000000000002</v>
      </c>
      <c r="O1932" s="7">
        <f t="shared" si="212"/>
        <v>6503.4000000000005</v>
      </c>
      <c r="P1932" s="4">
        <v>0</v>
      </c>
      <c r="Q1932" s="7">
        <f t="shared" si="213"/>
        <v>0</v>
      </c>
      <c r="R1932" s="7">
        <f t="shared" si="214"/>
        <v>6503.4000000000005</v>
      </c>
      <c r="S1932" s="7">
        <f t="shared" si="215"/>
        <v>2167.8000000000002</v>
      </c>
      <c r="T1932" s="6">
        <f t="shared" si="216"/>
        <v>7.9365079365079361E-3</v>
      </c>
      <c r="V1932" t="s">
        <v>78</v>
      </c>
    </row>
    <row r="1933" spans="1:22">
      <c r="A1933" s="3">
        <v>45738</v>
      </c>
      <c r="B1933" t="str">
        <f t="shared" si="210"/>
        <v>yyyy-03</v>
      </c>
      <c r="C1933">
        <f t="shared" si="211"/>
        <v>12</v>
      </c>
      <c r="D1933" t="s">
        <v>42</v>
      </c>
      <c r="E1933" t="s">
        <v>43</v>
      </c>
      <c r="F1933" t="s">
        <v>47</v>
      </c>
      <c r="G1933" t="s">
        <v>36</v>
      </c>
      <c r="H1933" t="s">
        <v>37</v>
      </c>
      <c r="I1933" s="5">
        <v>256</v>
      </c>
      <c r="J1933" s="5">
        <v>184</v>
      </c>
      <c r="K1933" s="5">
        <v>5</v>
      </c>
      <c r="L1933" s="5">
        <v>0</v>
      </c>
      <c r="M1933" s="5">
        <v>0</v>
      </c>
      <c r="N1933" s="7">
        <v>600.61</v>
      </c>
      <c r="O1933" s="7">
        <f t="shared" si="212"/>
        <v>0</v>
      </c>
      <c r="P1933" s="4">
        <v>0</v>
      </c>
      <c r="Q1933" s="7">
        <f t="shared" si="213"/>
        <v>0</v>
      </c>
      <c r="R1933" s="7">
        <f t="shared" si="214"/>
        <v>0</v>
      </c>
      <c r="S1933" s="7">
        <f t="shared" si="215"/>
        <v>0</v>
      </c>
      <c r="T1933" s="6">
        <f t="shared" si="216"/>
        <v>0</v>
      </c>
      <c r="V1933" t="s">
        <v>81</v>
      </c>
    </row>
    <row r="1934" spans="1:22">
      <c r="A1934" s="3">
        <v>45738</v>
      </c>
      <c r="B1934" t="str">
        <f t="shared" si="210"/>
        <v>yyyy-03</v>
      </c>
      <c r="C1934">
        <f t="shared" si="211"/>
        <v>12</v>
      </c>
      <c r="D1934" t="s">
        <v>42</v>
      </c>
      <c r="E1934" t="s">
        <v>49</v>
      </c>
      <c r="F1934" t="s">
        <v>50</v>
      </c>
      <c r="G1934" t="s">
        <v>27</v>
      </c>
      <c r="H1934" t="s">
        <v>45</v>
      </c>
      <c r="I1934" s="5">
        <v>161</v>
      </c>
      <c r="J1934" s="5">
        <v>90</v>
      </c>
      <c r="K1934" s="5">
        <v>8</v>
      </c>
      <c r="L1934" s="5">
        <v>2</v>
      </c>
      <c r="M1934" s="5">
        <v>2</v>
      </c>
      <c r="N1934" s="7">
        <v>993.39</v>
      </c>
      <c r="O1934" s="7">
        <f t="shared" si="212"/>
        <v>1986.78</v>
      </c>
      <c r="P1934" s="4">
        <v>0</v>
      </c>
      <c r="Q1934" s="7">
        <f t="shared" si="213"/>
        <v>0</v>
      </c>
      <c r="R1934" s="7">
        <f t="shared" si="214"/>
        <v>1986.78</v>
      </c>
      <c r="S1934" s="7">
        <f t="shared" si="215"/>
        <v>993.39</v>
      </c>
      <c r="T1934" s="6">
        <f t="shared" si="216"/>
        <v>1.2422360248447204E-2</v>
      </c>
      <c r="V1934" t="s">
        <v>29</v>
      </c>
    </row>
    <row r="1935" spans="1:22">
      <c r="A1935" s="3">
        <v>45738</v>
      </c>
      <c r="B1935" t="str">
        <f t="shared" si="210"/>
        <v>yyyy-03</v>
      </c>
      <c r="C1935">
        <f t="shared" si="211"/>
        <v>12</v>
      </c>
      <c r="D1935" t="s">
        <v>42</v>
      </c>
      <c r="E1935" t="s">
        <v>51</v>
      </c>
      <c r="F1935" t="s">
        <v>52</v>
      </c>
      <c r="G1935" t="s">
        <v>27</v>
      </c>
      <c r="H1935" t="s">
        <v>48</v>
      </c>
      <c r="I1935" s="5">
        <v>208</v>
      </c>
      <c r="J1935" s="5">
        <v>138</v>
      </c>
      <c r="K1935" s="5">
        <v>9</v>
      </c>
      <c r="L1935" s="5">
        <v>2</v>
      </c>
      <c r="M1935" s="5">
        <v>2</v>
      </c>
      <c r="N1935" s="7">
        <v>597.48</v>
      </c>
      <c r="O1935" s="7">
        <f t="shared" si="212"/>
        <v>1194.96</v>
      </c>
      <c r="P1935" s="4">
        <v>0</v>
      </c>
      <c r="Q1935" s="7">
        <f t="shared" si="213"/>
        <v>0</v>
      </c>
      <c r="R1935" s="7">
        <f t="shared" si="214"/>
        <v>1194.96</v>
      </c>
      <c r="S1935" s="7">
        <f t="shared" si="215"/>
        <v>597.48</v>
      </c>
      <c r="T1935" s="6">
        <f t="shared" si="216"/>
        <v>9.6153846153846159E-3</v>
      </c>
      <c r="V1935" t="s">
        <v>29</v>
      </c>
    </row>
    <row r="1936" spans="1:22">
      <c r="A1936" s="3">
        <v>45738</v>
      </c>
      <c r="B1936" t="str">
        <f t="shared" si="210"/>
        <v>yyyy-03</v>
      </c>
      <c r="C1936">
        <f t="shared" si="211"/>
        <v>12</v>
      </c>
      <c r="D1936" t="s">
        <v>53</v>
      </c>
      <c r="E1936" t="s">
        <v>54</v>
      </c>
      <c r="F1936" t="s">
        <v>55</v>
      </c>
      <c r="G1936" t="s">
        <v>27</v>
      </c>
      <c r="H1936" t="s">
        <v>45</v>
      </c>
      <c r="I1936" s="5">
        <v>167</v>
      </c>
      <c r="J1936" s="5">
        <v>97</v>
      </c>
      <c r="K1936" s="5">
        <v>7</v>
      </c>
      <c r="L1936" s="5">
        <v>2</v>
      </c>
      <c r="M1936" s="5">
        <v>2</v>
      </c>
      <c r="N1936" s="7">
        <v>1307.0899999999999</v>
      </c>
      <c r="O1936" s="7">
        <f t="shared" si="212"/>
        <v>2614.1799999999998</v>
      </c>
      <c r="P1936" s="4">
        <v>0</v>
      </c>
      <c r="Q1936" s="7">
        <f t="shared" si="213"/>
        <v>0</v>
      </c>
      <c r="R1936" s="7">
        <f t="shared" si="214"/>
        <v>2614.1799999999998</v>
      </c>
      <c r="S1936" s="7">
        <f t="shared" si="215"/>
        <v>1307.0899999999999</v>
      </c>
      <c r="T1936" s="6">
        <f t="shared" si="216"/>
        <v>1.1976047904191617E-2</v>
      </c>
      <c r="V1936" t="s">
        <v>29</v>
      </c>
    </row>
    <row r="1937" spans="1:22">
      <c r="A1937" s="3">
        <v>45738</v>
      </c>
      <c r="B1937" t="str">
        <f t="shared" si="210"/>
        <v>yyyy-03</v>
      </c>
      <c r="C1937">
        <f t="shared" si="211"/>
        <v>12</v>
      </c>
      <c r="D1937" t="s">
        <v>53</v>
      </c>
      <c r="E1937" t="s">
        <v>56</v>
      </c>
      <c r="F1937" t="s">
        <v>57</v>
      </c>
      <c r="G1937" t="s">
        <v>27</v>
      </c>
      <c r="H1937" t="s">
        <v>45</v>
      </c>
      <c r="I1937" s="5">
        <v>235</v>
      </c>
      <c r="J1937" s="5">
        <v>163</v>
      </c>
      <c r="K1937" s="5">
        <v>9</v>
      </c>
      <c r="L1937" s="5">
        <v>3</v>
      </c>
      <c r="M1937" s="5">
        <v>3</v>
      </c>
      <c r="N1937" s="7">
        <v>740.08</v>
      </c>
      <c r="O1937" s="7">
        <f t="shared" si="212"/>
        <v>2220.2400000000002</v>
      </c>
      <c r="P1937" s="4">
        <v>0</v>
      </c>
      <c r="Q1937" s="7">
        <f t="shared" si="213"/>
        <v>0</v>
      </c>
      <c r="R1937" s="7">
        <f t="shared" si="214"/>
        <v>2220.2400000000002</v>
      </c>
      <c r="S1937" s="7">
        <f t="shared" si="215"/>
        <v>740.08</v>
      </c>
      <c r="T1937" s="6">
        <f t="shared" si="216"/>
        <v>1.276595744680851E-2</v>
      </c>
      <c r="V1937" t="s">
        <v>29</v>
      </c>
    </row>
    <row r="1938" spans="1:22">
      <c r="A1938" s="3">
        <v>45738</v>
      </c>
      <c r="B1938" t="str">
        <f t="shared" si="210"/>
        <v>yyyy-03</v>
      </c>
      <c r="C1938">
        <f t="shared" si="211"/>
        <v>12</v>
      </c>
      <c r="D1938" t="s">
        <v>53</v>
      </c>
      <c r="E1938" t="s">
        <v>56</v>
      </c>
      <c r="F1938" t="s">
        <v>58</v>
      </c>
      <c r="G1938" t="s">
        <v>36</v>
      </c>
      <c r="H1938" t="s">
        <v>37</v>
      </c>
      <c r="I1938" s="5">
        <v>261</v>
      </c>
      <c r="J1938" s="5">
        <v>156</v>
      </c>
      <c r="K1938" s="5">
        <v>13</v>
      </c>
      <c r="L1938" s="5">
        <v>3</v>
      </c>
      <c r="M1938" s="5">
        <v>3</v>
      </c>
      <c r="N1938" s="7">
        <v>912.58</v>
      </c>
      <c r="O1938" s="7">
        <f t="shared" si="212"/>
        <v>2737.7400000000002</v>
      </c>
      <c r="P1938" s="4">
        <v>0.05</v>
      </c>
      <c r="Q1938" s="7">
        <f t="shared" si="213"/>
        <v>136.88700000000003</v>
      </c>
      <c r="R1938" s="7">
        <f t="shared" si="214"/>
        <v>2600.8530000000001</v>
      </c>
      <c r="S1938" s="7">
        <f t="shared" si="215"/>
        <v>866.95100000000002</v>
      </c>
      <c r="T1938" s="6">
        <f t="shared" si="216"/>
        <v>1.1494252873563218E-2</v>
      </c>
      <c r="V1938" t="s">
        <v>29</v>
      </c>
    </row>
    <row r="1939" spans="1:22">
      <c r="A1939" s="3">
        <v>45738</v>
      </c>
      <c r="B1939" t="str">
        <f t="shared" si="210"/>
        <v>yyyy-03</v>
      </c>
      <c r="C1939">
        <f t="shared" si="211"/>
        <v>12</v>
      </c>
      <c r="D1939" t="s">
        <v>53</v>
      </c>
      <c r="E1939" t="s">
        <v>59</v>
      </c>
      <c r="F1939" t="s">
        <v>60</v>
      </c>
      <c r="G1939" t="s">
        <v>36</v>
      </c>
      <c r="H1939" t="s">
        <v>37</v>
      </c>
      <c r="I1939" s="5">
        <v>179</v>
      </c>
      <c r="J1939" s="5">
        <v>95</v>
      </c>
      <c r="K1939" s="5">
        <v>8</v>
      </c>
      <c r="L1939" s="5">
        <v>2</v>
      </c>
      <c r="M1939" s="5">
        <v>2</v>
      </c>
      <c r="N1939" s="7">
        <v>712.55</v>
      </c>
      <c r="O1939" s="7">
        <f t="shared" si="212"/>
        <v>1425.1</v>
      </c>
      <c r="P1939" s="4">
        <v>0</v>
      </c>
      <c r="Q1939" s="7">
        <f t="shared" si="213"/>
        <v>0</v>
      </c>
      <c r="R1939" s="7">
        <f t="shared" si="214"/>
        <v>1425.1</v>
      </c>
      <c r="S1939" s="7">
        <f t="shared" si="215"/>
        <v>712.55</v>
      </c>
      <c r="T1939" s="6">
        <f t="shared" si="216"/>
        <v>1.11731843575419E-2</v>
      </c>
      <c r="V1939" t="s">
        <v>29</v>
      </c>
    </row>
    <row r="1940" spans="1:22">
      <c r="A1940" s="3">
        <v>45738</v>
      </c>
      <c r="B1940" t="str">
        <f t="shared" si="210"/>
        <v>yyyy-03</v>
      </c>
      <c r="C1940">
        <f t="shared" si="211"/>
        <v>12</v>
      </c>
      <c r="D1940" t="s">
        <v>53</v>
      </c>
      <c r="E1940" t="s">
        <v>61</v>
      </c>
      <c r="F1940" t="s">
        <v>62</v>
      </c>
      <c r="G1940" t="s">
        <v>27</v>
      </c>
      <c r="H1940" t="s">
        <v>63</v>
      </c>
      <c r="I1940" s="5">
        <v>155</v>
      </c>
      <c r="J1940" s="5">
        <v>125</v>
      </c>
      <c r="K1940" s="5">
        <v>15</v>
      </c>
      <c r="L1940" s="5">
        <v>2</v>
      </c>
      <c r="M1940" s="5">
        <v>2</v>
      </c>
      <c r="N1940" s="7">
        <v>488.56</v>
      </c>
      <c r="O1940" s="7">
        <f t="shared" si="212"/>
        <v>977.12</v>
      </c>
      <c r="P1940" s="4">
        <v>0.12</v>
      </c>
      <c r="Q1940" s="7">
        <f t="shared" si="213"/>
        <v>117.25439999999999</v>
      </c>
      <c r="R1940" s="7">
        <f t="shared" si="214"/>
        <v>859.86559999999997</v>
      </c>
      <c r="S1940" s="7">
        <f t="shared" si="215"/>
        <v>429.93279999999999</v>
      </c>
      <c r="T1940" s="6">
        <f t="shared" si="216"/>
        <v>1.2903225806451613E-2</v>
      </c>
      <c r="U1940" t="s">
        <v>89</v>
      </c>
      <c r="V1940" t="s">
        <v>29</v>
      </c>
    </row>
    <row r="1941" spans="1:22">
      <c r="A1941" s="3">
        <v>45738</v>
      </c>
      <c r="B1941" t="str">
        <f t="shared" si="210"/>
        <v>yyyy-03</v>
      </c>
      <c r="C1941">
        <f t="shared" si="211"/>
        <v>12</v>
      </c>
      <c r="D1941" t="s">
        <v>53</v>
      </c>
      <c r="E1941" t="s">
        <v>64</v>
      </c>
      <c r="F1941" t="s">
        <v>65</v>
      </c>
      <c r="G1941" t="s">
        <v>31</v>
      </c>
      <c r="H1941" t="s">
        <v>32</v>
      </c>
      <c r="I1941" s="5">
        <v>246</v>
      </c>
      <c r="J1941" s="5">
        <v>169</v>
      </c>
      <c r="K1941" s="5">
        <v>18</v>
      </c>
      <c r="L1941" s="5">
        <v>3</v>
      </c>
      <c r="M1941" s="5">
        <v>3</v>
      </c>
      <c r="N1941" s="7">
        <v>811.48</v>
      </c>
      <c r="O1941" s="7">
        <f t="shared" si="212"/>
        <v>2434.44</v>
      </c>
      <c r="P1941" s="4">
        <v>0.05</v>
      </c>
      <c r="Q1941" s="7">
        <f t="shared" si="213"/>
        <v>121.72200000000001</v>
      </c>
      <c r="R1941" s="7">
        <f t="shared" si="214"/>
        <v>2312.7179999999998</v>
      </c>
      <c r="S1941" s="7">
        <f t="shared" si="215"/>
        <v>770.90599999999995</v>
      </c>
      <c r="T1941" s="6">
        <f t="shared" si="216"/>
        <v>1.2195121951219513E-2</v>
      </c>
      <c r="V1941" t="s">
        <v>29</v>
      </c>
    </row>
    <row r="1942" spans="1:22">
      <c r="A1942" s="3">
        <v>45738</v>
      </c>
      <c r="B1942" t="str">
        <f t="shared" si="210"/>
        <v>yyyy-03</v>
      </c>
      <c r="C1942">
        <f t="shared" si="211"/>
        <v>12</v>
      </c>
      <c r="D1942" t="s">
        <v>66</v>
      </c>
      <c r="E1942" t="s">
        <v>67</v>
      </c>
      <c r="F1942" t="s">
        <v>68</v>
      </c>
      <c r="G1942" t="s">
        <v>27</v>
      </c>
      <c r="H1942" t="s">
        <v>45</v>
      </c>
      <c r="I1942" s="5">
        <v>479</v>
      </c>
      <c r="J1942" s="5">
        <v>315</v>
      </c>
      <c r="K1942" s="5">
        <v>37</v>
      </c>
      <c r="L1942" s="5">
        <v>10</v>
      </c>
      <c r="M1942" s="5">
        <v>10</v>
      </c>
      <c r="N1942" s="7">
        <v>677.73</v>
      </c>
      <c r="O1942" s="7">
        <f t="shared" si="212"/>
        <v>6777.3</v>
      </c>
      <c r="P1942" s="4">
        <v>0.1</v>
      </c>
      <c r="Q1942" s="7">
        <f t="shared" si="213"/>
        <v>677.73</v>
      </c>
      <c r="R1942" s="7">
        <f t="shared" si="214"/>
        <v>6099.57</v>
      </c>
      <c r="S1942" s="7">
        <f t="shared" si="215"/>
        <v>609.95699999999999</v>
      </c>
      <c r="T1942" s="6">
        <f t="shared" si="216"/>
        <v>2.0876826722338204E-2</v>
      </c>
      <c r="U1942" t="s">
        <v>90</v>
      </c>
      <c r="V1942" t="s">
        <v>29</v>
      </c>
    </row>
    <row r="1943" spans="1:22">
      <c r="A1943" s="3">
        <v>45738</v>
      </c>
      <c r="B1943" t="str">
        <f t="shared" si="210"/>
        <v>yyyy-03</v>
      </c>
      <c r="C1943">
        <f t="shared" si="211"/>
        <v>12</v>
      </c>
      <c r="D1943" t="s">
        <v>66</v>
      </c>
      <c r="E1943" t="s">
        <v>67</v>
      </c>
      <c r="F1943" t="s">
        <v>69</v>
      </c>
      <c r="G1943" t="s">
        <v>27</v>
      </c>
      <c r="H1943" t="s">
        <v>28</v>
      </c>
      <c r="I1943" s="5">
        <v>418</v>
      </c>
      <c r="J1943" s="5">
        <v>338</v>
      </c>
      <c r="K1943" s="5">
        <v>33</v>
      </c>
      <c r="L1943" s="5">
        <v>11</v>
      </c>
      <c r="M1943" s="5">
        <v>11</v>
      </c>
      <c r="N1943" s="7">
        <v>398.1</v>
      </c>
      <c r="O1943" s="7">
        <f t="shared" si="212"/>
        <v>4379.1000000000004</v>
      </c>
      <c r="P1943" s="4">
        <v>0.1</v>
      </c>
      <c r="Q1943" s="7">
        <f t="shared" si="213"/>
        <v>437.91000000000008</v>
      </c>
      <c r="R1943" s="7">
        <f t="shared" si="214"/>
        <v>3941.1900000000005</v>
      </c>
      <c r="S1943" s="7">
        <f t="shared" si="215"/>
        <v>358.29</v>
      </c>
      <c r="T1943" s="6">
        <f t="shared" si="216"/>
        <v>2.6315789473684209E-2</v>
      </c>
      <c r="U1943" t="s">
        <v>90</v>
      </c>
      <c r="V1943" t="s">
        <v>29</v>
      </c>
    </row>
    <row r="1944" spans="1:22">
      <c r="A1944" s="3">
        <v>45738</v>
      </c>
      <c r="B1944" t="str">
        <f t="shared" si="210"/>
        <v>yyyy-03</v>
      </c>
      <c r="C1944">
        <f t="shared" si="211"/>
        <v>12</v>
      </c>
      <c r="D1944" t="s">
        <v>66</v>
      </c>
      <c r="E1944" t="s">
        <v>67</v>
      </c>
      <c r="F1944" t="s">
        <v>70</v>
      </c>
      <c r="G1944" t="s">
        <v>36</v>
      </c>
      <c r="H1944" t="s">
        <v>37</v>
      </c>
      <c r="I1944" s="5">
        <v>441</v>
      </c>
      <c r="J1944" s="5">
        <v>364</v>
      </c>
      <c r="K1944" s="5">
        <v>42</v>
      </c>
      <c r="L1944" s="5">
        <v>6</v>
      </c>
      <c r="M1944" s="5">
        <v>6</v>
      </c>
      <c r="N1944" s="7">
        <v>355.91</v>
      </c>
      <c r="O1944" s="7">
        <f t="shared" si="212"/>
        <v>2135.46</v>
      </c>
      <c r="P1944" s="4">
        <v>0.1</v>
      </c>
      <c r="Q1944" s="7">
        <f t="shared" si="213"/>
        <v>213.54600000000002</v>
      </c>
      <c r="R1944" s="7">
        <f t="shared" si="214"/>
        <v>1921.914</v>
      </c>
      <c r="S1944" s="7">
        <f t="shared" si="215"/>
        <v>320.31900000000002</v>
      </c>
      <c r="T1944" s="6">
        <f t="shared" si="216"/>
        <v>1.3605442176870748E-2</v>
      </c>
      <c r="U1944" t="s">
        <v>90</v>
      </c>
      <c r="V1944" t="s">
        <v>78</v>
      </c>
    </row>
    <row r="1945" spans="1:22">
      <c r="A1945" s="3">
        <v>45738</v>
      </c>
      <c r="B1945" t="str">
        <f t="shared" si="210"/>
        <v>yyyy-03</v>
      </c>
      <c r="C1945">
        <f t="shared" si="211"/>
        <v>12</v>
      </c>
      <c r="D1945" t="s">
        <v>66</v>
      </c>
      <c r="E1945" t="s">
        <v>71</v>
      </c>
      <c r="F1945" t="s">
        <v>72</v>
      </c>
      <c r="G1945" t="s">
        <v>36</v>
      </c>
      <c r="H1945" t="s">
        <v>37</v>
      </c>
      <c r="I1945" s="5">
        <v>537</v>
      </c>
      <c r="J1945" s="5">
        <v>282</v>
      </c>
      <c r="K1945" s="5">
        <v>33</v>
      </c>
      <c r="L1945" s="5">
        <v>9</v>
      </c>
      <c r="M1945" s="5">
        <v>11</v>
      </c>
      <c r="N1945" s="7">
        <v>124.26</v>
      </c>
      <c r="O1945" s="7">
        <f t="shared" si="212"/>
        <v>1366.8600000000001</v>
      </c>
      <c r="P1945" s="4">
        <v>0.03</v>
      </c>
      <c r="Q1945" s="7">
        <f t="shared" si="213"/>
        <v>41.005800000000001</v>
      </c>
      <c r="R1945" s="7">
        <f t="shared" si="214"/>
        <v>1325.8542000000002</v>
      </c>
      <c r="S1945" s="7">
        <f t="shared" si="215"/>
        <v>147.31713333333335</v>
      </c>
      <c r="T1945" s="6">
        <f t="shared" si="216"/>
        <v>1.6759776536312849E-2</v>
      </c>
      <c r="V1945" t="s">
        <v>29</v>
      </c>
    </row>
    <row r="1946" spans="1:22">
      <c r="A1946" s="3">
        <v>45738</v>
      </c>
      <c r="B1946" t="str">
        <f t="shared" si="210"/>
        <v>yyyy-03</v>
      </c>
      <c r="C1946">
        <f t="shared" si="211"/>
        <v>12</v>
      </c>
      <c r="D1946" t="s">
        <v>66</v>
      </c>
      <c r="E1946" t="s">
        <v>73</v>
      </c>
      <c r="F1946" t="s">
        <v>74</v>
      </c>
      <c r="G1946" t="s">
        <v>27</v>
      </c>
      <c r="H1946" t="s">
        <v>45</v>
      </c>
      <c r="I1946" s="5">
        <v>262</v>
      </c>
      <c r="J1946" s="5">
        <v>169</v>
      </c>
      <c r="K1946" s="5">
        <v>24</v>
      </c>
      <c r="L1946" s="5">
        <v>5</v>
      </c>
      <c r="M1946" s="5">
        <v>5</v>
      </c>
      <c r="N1946" s="7">
        <v>1217.22</v>
      </c>
      <c r="O1946" s="7">
        <f t="shared" si="212"/>
        <v>6086.1</v>
      </c>
      <c r="P1946" s="4">
        <v>0</v>
      </c>
      <c r="Q1946" s="7">
        <f t="shared" si="213"/>
        <v>0</v>
      </c>
      <c r="R1946" s="7">
        <f t="shared" si="214"/>
        <v>6086.1</v>
      </c>
      <c r="S1946" s="7">
        <f t="shared" si="215"/>
        <v>1217.22</v>
      </c>
      <c r="T1946" s="6">
        <f t="shared" si="216"/>
        <v>1.9083969465648856E-2</v>
      </c>
      <c r="V1946" t="s">
        <v>29</v>
      </c>
    </row>
    <row r="1947" spans="1:22">
      <c r="A1947" s="3">
        <v>45738</v>
      </c>
      <c r="B1947" t="str">
        <f t="shared" si="210"/>
        <v>yyyy-03</v>
      </c>
      <c r="C1947">
        <f t="shared" si="211"/>
        <v>12</v>
      </c>
      <c r="D1947" t="s">
        <v>66</v>
      </c>
      <c r="E1947" t="s">
        <v>71</v>
      </c>
      <c r="F1947" t="s">
        <v>75</v>
      </c>
      <c r="G1947" t="s">
        <v>36</v>
      </c>
      <c r="H1947" t="s">
        <v>37</v>
      </c>
      <c r="I1947" s="5">
        <v>519</v>
      </c>
      <c r="J1947" s="5">
        <v>377</v>
      </c>
      <c r="K1947" s="5">
        <v>39</v>
      </c>
      <c r="L1947" s="5">
        <v>8</v>
      </c>
      <c r="M1947" s="5">
        <v>11</v>
      </c>
      <c r="N1947" s="7">
        <v>38.28</v>
      </c>
      <c r="O1947" s="7">
        <f t="shared" si="212"/>
        <v>421.08000000000004</v>
      </c>
      <c r="P1947" s="4">
        <v>0</v>
      </c>
      <c r="Q1947" s="7">
        <f t="shared" si="213"/>
        <v>0</v>
      </c>
      <c r="R1947" s="7">
        <f t="shared" si="214"/>
        <v>421.08000000000004</v>
      </c>
      <c r="S1947" s="7">
        <f t="shared" si="215"/>
        <v>52.635000000000005</v>
      </c>
      <c r="T1947" s="6">
        <f t="shared" si="216"/>
        <v>1.5414258188824663E-2</v>
      </c>
      <c r="V1947" t="s">
        <v>29</v>
      </c>
    </row>
    <row r="1948" spans="1:22">
      <c r="A1948" s="3">
        <v>45738</v>
      </c>
      <c r="B1948" t="str">
        <f t="shared" si="210"/>
        <v>yyyy-03</v>
      </c>
      <c r="C1948">
        <f t="shared" si="211"/>
        <v>12</v>
      </c>
      <c r="D1948" t="s">
        <v>24</v>
      </c>
      <c r="E1948" t="s">
        <v>76</v>
      </c>
      <c r="F1948" t="s">
        <v>77</v>
      </c>
      <c r="G1948" t="s">
        <v>27</v>
      </c>
      <c r="H1948" t="s">
        <v>63</v>
      </c>
      <c r="I1948" s="5">
        <v>437</v>
      </c>
      <c r="J1948" s="5">
        <v>283</v>
      </c>
      <c r="K1948" s="5">
        <v>48</v>
      </c>
      <c r="L1948" s="5">
        <v>10</v>
      </c>
      <c r="M1948" s="5">
        <v>11</v>
      </c>
      <c r="N1948" s="7">
        <v>193.6</v>
      </c>
      <c r="O1948" s="7">
        <f t="shared" si="212"/>
        <v>2129.6</v>
      </c>
      <c r="P1948" s="4">
        <v>0</v>
      </c>
      <c r="Q1948" s="7">
        <f t="shared" si="213"/>
        <v>0</v>
      </c>
      <c r="R1948" s="7">
        <f t="shared" si="214"/>
        <v>2129.6</v>
      </c>
      <c r="S1948" s="7">
        <f t="shared" si="215"/>
        <v>212.95999999999998</v>
      </c>
      <c r="T1948" s="6">
        <f t="shared" si="216"/>
        <v>2.2883295194508008E-2</v>
      </c>
      <c r="V1948" t="s">
        <v>29</v>
      </c>
    </row>
    <row r="1949" spans="1:22">
      <c r="A1949" s="3">
        <v>45739</v>
      </c>
      <c r="B1949" t="str">
        <f t="shared" si="210"/>
        <v>yyyy-03</v>
      </c>
      <c r="C1949">
        <f t="shared" si="211"/>
        <v>12</v>
      </c>
      <c r="D1949" t="s">
        <v>24</v>
      </c>
      <c r="E1949" t="s">
        <v>25</v>
      </c>
      <c r="F1949" t="s">
        <v>26</v>
      </c>
      <c r="G1949" t="s">
        <v>27</v>
      </c>
      <c r="H1949" t="s">
        <v>45</v>
      </c>
      <c r="I1949" s="5">
        <v>1283</v>
      </c>
      <c r="J1949" s="5">
        <v>940</v>
      </c>
      <c r="K1949" s="5">
        <v>105</v>
      </c>
      <c r="L1949" s="5">
        <v>28</v>
      </c>
      <c r="M1949" s="5">
        <v>28</v>
      </c>
      <c r="N1949" s="7">
        <v>979.41</v>
      </c>
      <c r="O1949" s="7">
        <f t="shared" si="212"/>
        <v>27423.48</v>
      </c>
      <c r="P1949" s="4">
        <v>0</v>
      </c>
      <c r="Q1949" s="7">
        <f t="shared" si="213"/>
        <v>0</v>
      </c>
      <c r="R1949" s="7">
        <f t="shared" si="214"/>
        <v>27423.48</v>
      </c>
      <c r="S1949" s="7">
        <f t="shared" si="215"/>
        <v>979.41</v>
      </c>
      <c r="T1949" s="6">
        <f t="shared" si="216"/>
        <v>2.1823850350740453E-2</v>
      </c>
      <c r="V1949" t="s">
        <v>29</v>
      </c>
    </row>
    <row r="1950" spans="1:22">
      <c r="A1950" s="3">
        <v>45739</v>
      </c>
      <c r="B1950" t="str">
        <f t="shared" si="210"/>
        <v>yyyy-03</v>
      </c>
      <c r="C1950">
        <f t="shared" si="211"/>
        <v>12</v>
      </c>
      <c r="D1950" t="s">
        <v>24</v>
      </c>
      <c r="E1950" t="s">
        <v>25</v>
      </c>
      <c r="F1950" t="s">
        <v>30</v>
      </c>
      <c r="G1950" t="s">
        <v>36</v>
      </c>
      <c r="H1950" t="s">
        <v>37</v>
      </c>
      <c r="I1950" s="5">
        <v>2239</v>
      </c>
      <c r="J1950" s="5">
        <v>1505</v>
      </c>
      <c r="K1950" s="5">
        <v>214</v>
      </c>
      <c r="L1950" s="5">
        <v>52</v>
      </c>
      <c r="M1950" s="5">
        <v>52</v>
      </c>
      <c r="N1950" s="7">
        <v>394.14</v>
      </c>
      <c r="O1950" s="7">
        <f t="shared" si="212"/>
        <v>20495.28</v>
      </c>
      <c r="P1950" s="4">
        <v>0</v>
      </c>
      <c r="Q1950" s="7">
        <f t="shared" si="213"/>
        <v>0</v>
      </c>
      <c r="R1950" s="7">
        <f t="shared" si="214"/>
        <v>20495.28</v>
      </c>
      <c r="S1950" s="7">
        <f t="shared" si="215"/>
        <v>394.14</v>
      </c>
      <c r="T1950" s="6">
        <f t="shared" si="216"/>
        <v>2.3224653863331845E-2</v>
      </c>
      <c r="V1950" t="s">
        <v>29</v>
      </c>
    </row>
    <row r="1951" spans="1:22">
      <c r="A1951" s="3">
        <v>45739</v>
      </c>
      <c r="B1951" t="str">
        <f t="shared" si="210"/>
        <v>yyyy-03</v>
      </c>
      <c r="C1951">
        <f t="shared" si="211"/>
        <v>12</v>
      </c>
      <c r="D1951" t="s">
        <v>24</v>
      </c>
      <c r="E1951" t="s">
        <v>25</v>
      </c>
      <c r="F1951" t="s">
        <v>33</v>
      </c>
      <c r="G1951" t="s">
        <v>27</v>
      </c>
      <c r="H1951" t="s">
        <v>28</v>
      </c>
      <c r="I1951" s="5">
        <v>1473</v>
      </c>
      <c r="J1951" s="5">
        <v>778</v>
      </c>
      <c r="K1951" s="5">
        <v>111</v>
      </c>
      <c r="L1951" s="5">
        <v>26</v>
      </c>
      <c r="M1951" s="5">
        <v>26</v>
      </c>
      <c r="N1951" s="7">
        <v>1728.09</v>
      </c>
      <c r="O1951" s="7">
        <f t="shared" si="212"/>
        <v>44930.34</v>
      </c>
      <c r="P1951" s="4">
        <v>0</v>
      </c>
      <c r="Q1951" s="7">
        <f t="shared" si="213"/>
        <v>0</v>
      </c>
      <c r="R1951" s="7">
        <f t="shared" si="214"/>
        <v>44930.34</v>
      </c>
      <c r="S1951" s="7">
        <f t="shared" si="215"/>
        <v>1728.09</v>
      </c>
      <c r="T1951" s="6">
        <f t="shared" si="216"/>
        <v>1.7651052274270197E-2</v>
      </c>
      <c r="V1951" t="s">
        <v>29</v>
      </c>
    </row>
    <row r="1952" spans="1:22">
      <c r="A1952" s="3">
        <v>45739</v>
      </c>
      <c r="B1952" t="str">
        <f t="shared" si="210"/>
        <v>yyyy-03</v>
      </c>
      <c r="C1952">
        <f t="shared" si="211"/>
        <v>12</v>
      </c>
      <c r="D1952" t="s">
        <v>24</v>
      </c>
      <c r="E1952" t="s">
        <v>34</v>
      </c>
      <c r="F1952" t="s">
        <v>35</v>
      </c>
      <c r="G1952" t="s">
        <v>36</v>
      </c>
      <c r="H1952" t="s">
        <v>37</v>
      </c>
      <c r="I1952" s="5">
        <v>1073</v>
      </c>
      <c r="J1952" s="5">
        <v>880</v>
      </c>
      <c r="K1952" s="5">
        <v>84</v>
      </c>
      <c r="L1952" s="5">
        <v>25</v>
      </c>
      <c r="M1952" s="5">
        <v>25</v>
      </c>
      <c r="N1952" s="7">
        <v>894.27</v>
      </c>
      <c r="O1952" s="7">
        <f t="shared" si="212"/>
        <v>22356.75</v>
      </c>
      <c r="P1952" s="4">
        <v>0.05</v>
      </c>
      <c r="Q1952" s="7">
        <f t="shared" si="213"/>
        <v>1117.8375000000001</v>
      </c>
      <c r="R1952" s="7">
        <f t="shared" si="214"/>
        <v>21238.912499999999</v>
      </c>
      <c r="S1952" s="7">
        <f t="shared" si="215"/>
        <v>849.55649999999991</v>
      </c>
      <c r="T1952" s="6">
        <f t="shared" si="216"/>
        <v>2.3299161230195712E-2</v>
      </c>
      <c r="V1952" t="s">
        <v>29</v>
      </c>
    </row>
    <row r="1953" spans="1:22">
      <c r="A1953" s="3">
        <v>45739</v>
      </c>
      <c r="B1953" t="str">
        <f t="shared" si="210"/>
        <v>yyyy-03</v>
      </c>
      <c r="C1953">
        <f t="shared" si="211"/>
        <v>12</v>
      </c>
      <c r="D1953" t="s">
        <v>24</v>
      </c>
      <c r="E1953" t="s">
        <v>38</v>
      </c>
      <c r="F1953" t="s">
        <v>39</v>
      </c>
      <c r="G1953" t="s">
        <v>31</v>
      </c>
      <c r="H1953" t="s">
        <v>32</v>
      </c>
      <c r="I1953" s="5">
        <v>1172</v>
      </c>
      <c r="J1953" s="5">
        <v>626</v>
      </c>
      <c r="K1953" s="5">
        <v>123</v>
      </c>
      <c r="L1953" s="5">
        <v>25</v>
      </c>
      <c r="M1953" s="5">
        <v>25</v>
      </c>
      <c r="N1953" s="7">
        <v>317.26</v>
      </c>
      <c r="O1953" s="7">
        <f t="shared" si="212"/>
        <v>7931.5</v>
      </c>
      <c r="P1953" s="4">
        <v>0</v>
      </c>
      <c r="Q1953" s="7">
        <f t="shared" si="213"/>
        <v>0</v>
      </c>
      <c r="R1953" s="7">
        <f t="shared" si="214"/>
        <v>7931.5</v>
      </c>
      <c r="S1953" s="7">
        <f t="shared" si="215"/>
        <v>317.26</v>
      </c>
      <c r="T1953" s="6">
        <f t="shared" si="216"/>
        <v>2.1331058020477817E-2</v>
      </c>
      <c r="V1953" t="s">
        <v>29</v>
      </c>
    </row>
    <row r="1954" spans="1:22">
      <c r="A1954" s="3">
        <v>45739</v>
      </c>
      <c r="B1954" t="str">
        <f t="shared" si="210"/>
        <v>yyyy-03</v>
      </c>
      <c r="C1954">
        <f t="shared" si="211"/>
        <v>12</v>
      </c>
      <c r="D1954" t="s">
        <v>24</v>
      </c>
      <c r="E1954" t="s">
        <v>40</v>
      </c>
      <c r="F1954" t="s">
        <v>41</v>
      </c>
      <c r="G1954" t="s">
        <v>36</v>
      </c>
      <c r="H1954" t="s">
        <v>37</v>
      </c>
      <c r="I1954" s="5">
        <v>874</v>
      </c>
      <c r="J1954" s="5">
        <v>713</v>
      </c>
      <c r="K1954" s="5">
        <v>69</v>
      </c>
      <c r="L1954" s="5">
        <v>23</v>
      </c>
      <c r="M1954" s="5">
        <v>30</v>
      </c>
      <c r="N1954" s="7">
        <v>182.15</v>
      </c>
      <c r="O1954" s="7">
        <f t="shared" si="212"/>
        <v>5464.5</v>
      </c>
      <c r="P1954" s="4">
        <v>0.03</v>
      </c>
      <c r="Q1954" s="7">
        <f t="shared" si="213"/>
        <v>163.935</v>
      </c>
      <c r="R1954" s="7">
        <f t="shared" si="214"/>
        <v>5300.5649999999996</v>
      </c>
      <c r="S1954" s="7">
        <f t="shared" si="215"/>
        <v>230.45934782608694</v>
      </c>
      <c r="T1954" s="6">
        <f t="shared" si="216"/>
        <v>2.6315789473684209E-2</v>
      </c>
      <c r="V1954" t="s">
        <v>29</v>
      </c>
    </row>
    <row r="1955" spans="1:22">
      <c r="A1955" s="3">
        <v>45739</v>
      </c>
      <c r="B1955" t="str">
        <f t="shared" si="210"/>
        <v>yyyy-03</v>
      </c>
      <c r="C1955">
        <f t="shared" si="211"/>
        <v>12</v>
      </c>
      <c r="D1955" t="s">
        <v>42</v>
      </c>
      <c r="E1955" t="s">
        <v>43</v>
      </c>
      <c r="F1955" t="s">
        <v>44</v>
      </c>
      <c r="G1955" t="s">
        <v>36</v>
      </c>
      <c r="H1955" t="s">
        <v>37</v>
      </c>
      <c r="I1955" s="5">
        <v>563</v>
      </c>
      <c r="J1955" s="5">
        <v>300</v>
      </c>
      <c r="K1955" s="5">
        <v>22</v>
      </c>
      <c r="L1955" s="5">
        <v>8</v>
      </c>
      <c r="M1955" s="5">
        <v>8</v>
      </c>
      <c r="N1955" s="7">
        <v>1284.99</v>
      </c>
      <c r="O1955" s="7">
        <f t="shared" si="212"/>
        <v>10279.92</v>
      </c>
      <c r="P1955" s="4">
        <v>0</v>
      </c>
      <c r="Q1955" s="7">
        <f t="shared" si="213"/>
        <v>0</v>
      </c>
      <c r="R1955" s="7">
        <f t="shared" si="214"/>
        <v>10279.92</v>
      </c>
      <c r="S1955" s="7">
        <f t="shared" si="215"/>
        <v>1284.99</v>
      </c>
      <c r="T1955" s="6">
        <f t="shared" si="216"/>
        <v>1.4209591474245116E-2</v>
      </c>
      <c r="V1955" t="s">
        <v>29</v>
      </c>
    </row>
    <row r="1956" spans="1:22">
      <c r="A1956" s="3">
        <v>45739</v>
      </c>
      <c r="B1956" t="str">
        <f t="shared" si="210"/>
        <v>yyyy-03</v>
      </c>
      <c r="C1956">
        <f t="shared" si="211"/>
        <v>12</v>
      </c>
      <c r="D1956" t="s">
        <v>42</v>
      </c>
      <c r="E1956" t="s">
        <v>43</v>
      </c>
      <c r="F1956" t="s">
        <v>46</v>
      </c>
      <c r="G1956" t="s">
        <v>27</v>
      </c>
      <c r="H1956" t="s">
        <v>63</v>
      </c>
      <c r="I1956" s="5">
        <v>339</v>
      </c>
      <c r="J1956" s="5">
        <v>218</v>
      </c>
      <c r="K1956" s="5">
        <v>24</v>
      </c>
      <c r="L1956" s="5">
        <v>5</v>
      </c>
      <c r="M1956" s="5">
        <v>5</v>
      </c>
      <c r="N1956" s="7">
        <v>2118.8000000000002</v>
      </c>
      <c r="O1956" s="7">
        <f t="shared" si="212"/>
        <v>10594</v>
      </c>
      <c r="P1956" s="4">
        <v>0</v>
      </c>
      <c r="Q1956" s="7">
        <f t="shared" si="213"/>
        <v>0</v>
      </c>
      <c r="R1956" s="7">
        <f t="shared" si="214"/>
        <v>10594</v>
      </c>
      <c r="S1956" s="7">
        <f t="shared" si="215"/>
        <v>2118.8000000000002</v>
      </c>
      <c r="T1956" s="6">
        <f t="shared" si="216"/>
        <v>1.4749262536873156E-2</v>
      </c>
      <c r="V1956" t="s">
        <v>29</v>
      </c>
    </row>
    <row r="1957" spans="1:22">
      <c r="A1957" s="3">
        <v>45739</v>
      </c>
      <c r="B1957" t="str">
        <f t="shared" si="210"/>
        <v>yyyy-03</v>
      </c>
      <c r="C1957">
        <f t="shared" si="211"/>
        <v>12</v>
      </c>
      <c r="D1957" t="s">
        <v>42</v>
      </c>
      <c r="E1957" t="s">
        <v>43</v>
      </c>
      <c r="F1957" t="s">
        <v>47</v>
      </c>
      <c r="G1957" t="s">
        <v>27</v>
      </c>
      <c r="H1957" t="s">
        <v>28</v>
      </c>
      <c r="I1957" s="5">
        <v>531</v>
      </c>
      <c r="J1957" s="5">
        <v>423</v>
      </c>
      <c r="K1957" s="5">
        <v>40</v>
      </c>
      <c r="L1957" s="5">
        <v>10</v>
      </c>
      <c r="M1957" s="5">
        <v>10</v>
      </c>
      <c r="N1957" s="7">
        <v>579.54</v>
      </c>
      <c r="O1957" s="7">
        <f t="shared" si="212"/>
        <v>5795.4</v>
      </c>
      <c r="P1957" s="4">
        <v>0.05</v>
      </c>
      <c r="Q1957" s="7">
        <f t="shared" si="213"/>
        <v>289.77</v>
      </c>
      <c r="R1957" s="7">
        <f t="shared" si="214"/>
        <v>5505.6299999999992</v>
      </c>
      <c r="S1957" s="7">
        <f t="shared" si="215"/>
        <v>550.56299999999987</v>
      </c>
      <c r="T1957" s="6">
        <f t="shared" si="216"/>
        <v>1.8832391713747645E-2</v>
      </c>
      <c r="V1957" t="s">
        <v>29</v>
      </c>
    </row>
    <row r="1958" spans="1:22">
      <c r="A1958" s="3">
        <v>45739</v>
      </c>
      <c r="B1958" t="str">
        <f t="shared" si="210"/>
        <v>yyyy-03</v>
      </c>
      <c r="C1958">
        <f t="shared" si="211"/>
        <v>12</v>
      </c>
      <c r="D1958" t="s">
        <v>42</v>
      </c>
      <c r="E1958" t="s">
        <v>49</v>
      </c>
      <c r="F1958" t="s">
        <v>50</v>
      </c>
      <c r="G1958" t="s">
        <v>27</v>
      </c>
      <c r="H1958" t="s">
        <v>48</v>
      </c>
      <c r="I1958" s="5">
        <v>170</v>
      </c>
      <c r="J1958" s="5">
        <v>118</v>
      </c>
      <c r="K1958" s="5">
        <v>14</v>
      </c>
      <c r="L1958" s="5">
        <v>2</v>
      </c>
      <c r="M1958" s="5">
        <v>2</v>
      </c>
      <c r="N1958" s="7">
        <v>981.52</v>
      </c>
      <c r="O1958" s="7">
        <f t="shared" si="212"/>
        <v>1963.04</v>
      </c>
      <c r="P1958" s="4">
        <v>0</v>
      </c>
      <c r="Q1958" s="7">
        <f t="shared" si="213"/>
        <v>0</v>
      </c>
      <c r="R1958" s="7">
        <f t="shared" si="214"/>
        <v>1963.04</v>
      </c>
      <c r="S1958" s="7">
        <f t="shared" si="215"/>
        <v>981.52</v>
      </c>
      <c r="T1958" s="6">
        <f t="shared" si="216"/>
        <v>1.1764705882352941E-2</v>
      </c>
      <c r="V1958" t="s">
        <v>29</v>
      </c>
    </row>
    <row r="1959" spans="1:22">
      <c r="A1959" s="3">
        <v>45739</v>
      </c>
      <c r="B1959" t="str">
        <f t="shared" si="210"/>
        <v>yyyy-03</v>
      </c>
      <c r="C1959">
        <f t="shared" si="211"/>
        <v>12</v>
      </c>
      <c r="D1959" t="s">
        <v>42</v>
      </c>
      <c r="E1959" t="s">
        <v>51</v>
      </c>
      <c r="F1959" t="s">
        <v>52</v>
      </c>
      <c r="G1959" t="s">
        <v>31</v>
      </c>
      <c r="H1959" t="s">
        <v>32</v>
      </c>
      <c r="I1959" s="5">
        <v>266</v>
      </c>
      <c r="J1959" s="5">
        <v>208</v>
      </c>
      <c r="K1959" s="5">
        <v>11</v>
      </c>
      <c r="L1959" s="5">
        <v>3</v>
      </c>
      <c r="M1959" s="5">
        <v>3</v>
      </c>
      <c r="N1959" s="7">
        <v>587.54</v>
      </c>
      <c r="O1959" s="7">
        <f t="shared" si="212"/>
        <v>1762.62</v>
      </c>
      <c r="P1959" s="4">
        <v>0</v>
      </c>
      <c r="Q1959" s="7">
        <f t="shared" si="213"/>
        <v>0</v>
      </c>
      <c r="R1959" s="7">
        <f t="shared" si="214"/>
        <v>1762.62</v>
      </c>
      <c r="S1959" s="7">
        <f t="shared" si="215"/>
        <v>587.54</v>
      </c>
      <c r="T1959" s="6">
        <f t="shared" si="216"/>
        <v>1.1278195488721804E-2</v>
      </c>
      <c r="V1959" t="s">
        <v>29</v>
      </c>
    </row>
    <row r="1960" spans="1:22">
      <c r="A1960" s="3">
        <v>45739</v>
      </c>
      <c r="B1960" t="str">
        <f t="shared" si="210"/>
        <v>yyyy-03</v>
      </c>
      <c r="C1960">
        <f t="shared" si="211"/>
        <v>12</v>
      </c>
      <c r="D1960" t="s">
        <v>53</v>
      </c>
      <c r="E1960" t="s">
        <v>54</v>
      </c>
      <c r="F1960" t="s">
        <v>55</v>
      </c>
      <c r="G1960" t="s">
        <v>31</v>
      </c>
      <c r="H1960" t="s">
        <v>32</v>
      </c>
      <c r="I1960" s="5">
        <v>252</v>
      </c>
      <c r="J1960" s="5">
        <v>160</v>
      </c>
      <c r="K1960" s="5">
        <v>9</v>
      </c>
      <c r="L1960" s="5">
        <v>2</v>
      </c>
      <c r="M1960" s="5">
        <v>2</v>
      </c>
      <c r="N1960" s="7">
        <v>1255.28</v>
      </c>
      <c r="O1960" s="7">
        <f t="shared" si="212"/>
        <v>2510.56</v>
      </c>
      <c r="P1960" s="4">
        <v>0</v>
      </c>
      <c r="Q1960" s="7">
        <f t="shared" si="213"/>
        <v>0</v>
      </c>
      <c r="R1960" s="7">
        <f t="shared" si="214"/>
        <v>2510.56</v>
      </c>
      <c r="S1960" s="7">
        <f t="shared" si="215"/>
        <v>1255.28</v>
      </c>
      <c r="T1960" s="6">
        <f t="shared" si="216"/>
        <v>7.9365079365079361E-3</v>
      </c>
      <c r="V1960" t="s">
        <v>29</v>
      </c>
    </row>
    <row r="1961" spans="1:22">
      <c r="A1961" s="3">
        <v>45739</v>
      </c>
      <c r="B1961" t="str">
        <f t="shared" si="210"/>
        <v>yyyy-03</v>
      </c>
      <c r="C1961">
        <f t="shared" si="211"/>
        <v>12</v>
      </c>
      <c r="D1961" t="s">
        <v>53</v>
      </c>
      <c r="E1961" t="s">
        <v>56</v>
      </c>
      <c r="F1961" t="s">
        <v>57</v>
      </c>
      <c r="G1961" t="s">
        <v>27</v>
      </c>
      <c r="H1961" t="s">
        <v>28</v>
      </c>
      <c r="I1961" s="5">
        <v>194</v>
      </c>
      <c r="J1961" s="5">
        <v>135</v>
      </c>
      <c r="K1961" s="5">
        <v>8</v>
      </c>
      <c r="L1961" s="5">
        <v>3</v>
      </c>
      <c r="M1961" s="5">
        <v>3</v>
      </c>
      <c r="N1961" s="7">
        <v>733.92</v>
      </c>
      <c r="O1961" s="7">
        <f t="shared" si="212"/>
        <v>2201.7599999999998</v>
      </c>
      <c r="P1961" s="4">
        <v>0</v>
      </c>
      <c r="Q1961" s="7">
        <f t="shared" si="213"/>
        <v>0</v>
      </c>
      <c r="R1961" s="7">
        <f t="shared" si="214"/>
        <v>2201.7599999999998</v>
      </c>
      <c r="S1961" s="7">
        <f t="shared" si="215"/>
        <v>733.92</v>
      </c>
      <c r="T1961" s="6">
        <f t="shared" si="216"/>
        <v>1.5463917525773196E-2</v>
      </c>
      <c r="V1961" t="s">
        <v>29</v>
      </c>
    </row>
    <row r="1962" spans="1:22">
      <c r="A1962" s="3">
        <v>45739</v>
      </c>
      <c r="B1962" t="str">
        <f t="shared" si="210"/>
        <v>yyyy-03</v>
      </c>
      <c r="C1962">
        <f t="shared" si="211"/>
        <v>12</v>
      </c>
      <c r="D1962" t="s">
        <v>53</v>
      </c>
      <c r="E1962" t="s">
        <v>56</v>
      </c>
      <c r="F1962" t="s">
        <v>58</v>
      </c>
      <c r="G1962" t="s">
        <v>31</v>
      </c>
      <c r="H1962" t="s">
        <v>32</v>
      </c>
      <c r="I1962" s="5">
        <v>229</v>
      </c>
      <c r="J1962" s="5">
        <v>121</v>
      </c>
      <c r="K1962" s="5">
        <v>9</v>
      </c>
      <c r="L1962" s="5">
        <v>2</v>
      </c>
      <c r="M1962" s="5">
        <v>2</v>
      </c>
      <c r="N1962" s="7">
        <v>899.54</v>
      </c>
      <c r="O1962" s="7">
        <f t="shared" si="212"/>
        <v>1799.08</v>
      </c>
      <c r="P1962" s="4">
        <v>0</v>
      </c>
      <c r="Q1962" s="7">
        <f t="shared" si="213"/>
        <v>0</v>
      </c>
      <c r="R1962" s="7">
        <f t="shared" si="214"/>
        <v>1799.08</v>
      </c>
      <c r="S1962" s="7">
        <f t="shared" si="215"/>
        <v>899.54</v>
      </c>
      <c r="T1962" s="6">
        <f t="shared" si="216"/>
        <v>8.7336244541484712E-3</v>
      </c>
      <c r="V1962" t="s">
        <v>29</v>
      </c>
    </row>
    <row r="1963" spans="1:22">
      <c r="A1963" s="3">
        <v>45739</v>
      </c>
      <c r="B1963" t="str">
        <f t="shared" si="210"/>
        <v>yyyy-03</v>
      </c>
      <c r="C1963">
        <f t="shared" si="211"/>
        <v>12</v>
      </c>
      <c r="D1963" t="s">
        <v>53</v>
      </c>
      <c r="E1963" t="s">
        <v>59</v>
      </c>
      <c r="F1963" t="s">
        <v>60</v>
      </c>
      <c r="G1963" t="s">
        <v>36</v>
      </c>
      <c r="H1963" t="s">
        <v>37</v>
      </c>
      <c r="I1963" s="5">
        <v>218</v>
      </c>
      <c r="J1963" s="5">
        <v>141</v>
      </c>
      <c r="K1963" s="5">
        <v>16</v>
      </c>
      <c r="L1963" s="5">
        <v>2</v>
      </c>
      <c r="M1963" s="5">
        <v>2</v>
      </c>
      <c r="N1963" s="7">
        <v>675.93</v>
      </c>
      <c r="O1963" s="7">
        <f t="shared" si="212"/>
        <v>1351.86</v>
      </c>
      <c r="P1963" s="4">
        <v>0</v>
      </c>
      <c r="Q1963" s="7">
        <f t="shared" si="213"/>
        <v>0</v>
      </c>
      <c r="R1963" s="7">
        <f t="shared" si="214"/>
        <v>1351.86</v>
      </c>
      <c r="S1963" s="7">
        <f t="shared" si="215"/>
        <v>675.93</v>
      </c>
      <c r="T1963" s="6">
        <f t="shared" si="216"/>
        <v>9.1743119266055051E-3</v>
      </c>
      <c r="V1963" t="s">
        <v>29</v>
      </c>
    </row>
    <row r="1964" spans="1:22">
      <c r="A1964" s="3">
        <v>45739</v>
      </c>
      <c r="B1964" t="str">
        <f t="shared" si="210"/>
        <v>yyyy-03</v>
      </c>
      <c r="C1964">
        <f t="shared" si="211"/>
        <v>12</v>
      </c>
      <c r="D1964" t="s">
        <v>53</v>
      </c>
      <c r="E1964" t="s">
        <v>61</v>
      </c>
      <c r="F1964" t="s">
        <v>62</v>
      </c>
      <c r="G1964" t="s">
        <v>36</v>
      </c>
      <c r="H1964" t="s">
        <v>37</v>
      </c>
      <c r="I1964" s="5">
        <v>191</v>
      </c>
      <c r="J1964" s="5">
        <v>146</v>
      </c>
      <c r="K1964" s="5">
        <v>16</v>
      </c>
      <c r="L1964" s="5">
        <v>3</v>
      </c>
      <c r="M1964" s="5">
        <v>3</v>
      </c>
      <c r="N1964" s="7">
        <v>489.06</v>
      </c>
      <c r="O1964" s="7">
        <f t="shared" si="212"/>
        <v>1467.18</v>
      </c>
      <c r="P1964" s="4">
        <v>0.12</v>
      </c>
      <c r="Q1964" s="7">
        <f t="shared" si="213"/>
        <v>176.0616</v>
      </c>
      <c r="R1964" s="7">
        <f t="shared" si="214"/>
        <v>1291.1184000000001</v>
      </c>
      <c r="S1964" s="7">
        <f t="shared" si="215"/>
        <v>430.37280000000004</v>
      </c>
      <c r="T1964" s="6">
        <f t="shared" si="216"/>
        <v>1.5706806282722512E-2</v>
      </c>
      <c r="U1964" t="s">
        <v>89</v>
      </c>
      <c r="V1964" t="s">
        <v>29</v>
      </c>
    </row>
    <row r="1965" spans="1:22">
      <c r="A1965" s="3">
        <v>45739</v>
      </c>
      <c r="B1965" t="str">
        <f t="shared" si="210"/>
        <v>yyyy-03</v>
      </c>
      <c r="C1965">
        <f t="shared" si="211"/>
        <v>12</v>
      </c>
      <c r="D1965" t="s">
        <v>53</v>
      </c>
      <c r="E1965" t="s">
        <v>64</v>
      </c>
      <c r="F1965" t="s">
        <v>65</v>
      </c>
      <c r="G1965" t="s">
        <v>27</v>
      </c>
      <c r="H1965" t="s">
        <v>63</v>
      </c>
      <c r="I1965" s="5">
        <v>186</v>
      </c>
      <c r="J1965" s="5">
        <v>142</v>
      </c>
      <c r="K1965" s="5">
        <v>12</v>
      </c>
      <c r="L1965" s="5">
        <v>2</v>
      </c>
      <c r="M1965" s="5">
        <v>2</v>
      </c>
      <c r="N1965" s="7">
        <v>775.96</v>
      </c>
      <c r="O1965" s="7">
        <f t="shared" si="212"/>
        <v>1551.92</v>
      </c>
      <c r="P1965" s="4">
        <v>0</v>
      </c>
      <c r="Q1965" s="7">
        <f t="shared" si="213"/>
        <v>0</v>
      </c>
      <c r="R1965" s="7">
        <f t="shared" si="214"/>
        <v>1551.92</v>
      </c>
      <c r="S1965" s="7">
        <f t="shared" si="215"/>
        <v>775.96</v>
      </c>
      <c r="T1965" s="6">
        <f t="shared" si="216"/>
        <v>1.0752688172043012E-2</v>
      </c>
      <c r="V1965" t="s">
        <v>29</v>
      </c>
    </row>
    <row r="1966" spans="1:22">
      <c r="A1966" s="3">
        <v>45739</v>
      </c>
      <c r="B1966" t="str">
        <f t="shared" si="210"/>
        <v>yyyy-03</v>
      </c>
      <c r="C1966">
        <f t="shared" si="211"/>
        <v>12</v>
      </c>
      <c r="D1966" t="s">
        <v>66</v>
      </c>
      <c r="E1966" t="s">
        <v>67</v>
      </c>
      <c r="F1966" t="s">
        <v>68</v>
      </c>
      <c r="G1966" t="s">
        <v>31</v>
      </c>
      <c r="H1966" t="s">
        <v>32</v>
      </c>
      <c r="I1966" s="5">
        <v>414</v>
      </c>
      <c r="J1966" s="5">
        <v>314</v>
      </c>
      <c r="K1966" s="5">
        <v>25</v>
      </c>
      <c r="L1966" s="5">
        <v>8</v>
      </c>
      <c r="M1966" s="5">
        <v>8</v>
      </c>
      <c r="N1966" s="7">
        <v>706.4</v>
      </c>
      <c r="O1966" s="7">
        <f t="shared" si="212"/>
        <v>5651.2</v>
      </c>
      <c r="P1966" s="4">
        <v>0.1</v>
      </c>
      <c r="Q1966" s="7">
        <f t="shared" si="213"/>
        <v>565.12</v>
      </c>
      <c r="R1966" s="7">
        <f t="shared" si="214"/>
        <v>5086.08</v>
      </c>
      <c r="S1966" s="7">
        <f t="shared" si="215"/>
        <v>635.76</v>
      </c>
      <c r="T1966" s="6">
        <f t="shared" si="216"/>
        <v>1.932367149758454E-2</v>
      </c>
      <c r="U1966" t="s">
        <v>90</v>
      </c>
      <c r="V1966" t="s">
        <v>29</v>
      </c>
    </row>
    <row r="1967" spans="1:22">
      <c r="A1967" s="3">
        <v>45739</v>
      </c>
      <c r="B1967" t="str">
        <f t="shared" si="210"/>
        <v>yyyy-03</v>
      </c>
      <c r="C1967">
        <f t="shared" si="211"/>
        <v>12</v>
      </c>
      <c r="D1967" t="s">
        <v>66</v>
      </c>
      <c r="E1967" t="s">
        <v>67</v>
      </c>
      <c r="F1967" t="s">
        <v>69</v>
      </c>
      <c r="G1967" t="s">
        <v>36</v>
      </c>
      <c r="H1967" t="s">
        <v>37</v>
      </c>
      <c r="I1967" s="5">
        <v>444</v>
      </c>
      <c r="J1967" s="5">
        <v>326</v>
      </c>
      <c r="K1967" s="5">
        <v>31</v>
      </c>
      <c r="L1967" s="5">
        <v>10</v>
      </c>
      <c r="M1967" s="5">
        <v>10</v>
      </c>
      <c r="N1967" s="7">
        <v>389.16</v>
      </c>
      <c r="O1967" s="7">
        <f t="shared" si="212"/>
        <v>3891.6000000000004</v>
      </c>
      <c r="P1967" s="4">
        <v>0.1</v>
      </c>
      <c r="Q1967" s="7">
        <f t="shared" si="213"/>
        <v>389.16000000000008</v>
      </c>
      <c r="R1967" s="7">
        <f t="shared" si="214"/>
        <v>3502.4400000000005</v>
      </c>
      <c r="S1967" s="7">
        <f t="shared" si="215"/>
        <v>350.24400000000003</v>
      </c>
      <c r="T1967" s="6">
        <f t="shared" si="216"/>
        <v>2.2522522522522521E-2</v>
      </c>
      <c r="U1967" t="s">
        <v>90</v>
      </c>
      <c r="V1967" t="s">
        <v>29</v>
      </c>
    </row>
    <row r="1968" spans="1:22">
      <c r="A1968" s="3">
        <v>45739</v>
      </c>
      <c r="B1968" t="str">
        <f t="shared" si="210"/>
        <v>yyyy-03</v>
      </c>
      <c r="C1968">
        <f t="shared" si="211"/>
        <v>12</v>
      </c>
      <c r="D1968" t="s">
        <v>66</v>
      </c>
      <c r="E1968" t="s">
        <v>67</v>
      </c>
      <c r="F1968" t="s">
        <v>70</v>
      </c>
      <c r="G1968" t="s">
        <v>27</v>
      </c>
      <c r="H1968" t="s">
        <v>63</v>
      </c>
      <c r="I1968" s="5">
        <v>292</v>
      </c>
      <c r="J1968" s="5">
        <v>214</v>
      </c>
      <c r="K1968" s="5">
        <v>24</v>
      </c>
      <c r="L1968" s="5">
        <v>5</v>
      </c>
      <c r="M1968" s="5">
        <v>5</v>
      </c>
      <c r="N1968" s="7">
        <v>351.82</v>
      </c>
      <c r="O1968" s="7">
        <f t="shared" si="212"/>
        <v>1759.1</v>
      </c>
      <c r="P1968" s="4">
        <v>0.1</v>
      </c>
      <c r="Q1968" s="7">
        <f t="shared" si="213"/>
        <v>175.91</v>
      </c>
      <c r="R1968" s="7">
        <f t="shared" si="214"/>
        <v>1583.1899999999998</v>
      </c>
      <c r="S1968" s="7">
        <f t="shared" si="215"/>
        <v>316.63799999999998</v>
      </c>
      <c r="T1968" s="6">
        <f t="shared" si="216"/>
        <v>1.7123287671232876E-2</v>
      </c>
      <c r="U1968" t="s">
        <v>90</v>
      </c>
      <c r="V1968" t="s">
        <v>29</v>
      </c>
    </row>
    <row r="1969" spans="1:22">
      <c r="A1969" s="3">
        <v>45739</v>
      </c>
      <c r="B1969" t="str">
        <f t="shared" si="210"/>
        <v>yyyy-03</v>
      </c>
      <c r="C1969">
        <f t="shared" si="211"/>
        <v>12</v>
      </c>
      <c r="D1969" t="s">
        <v>66</v>
      </c>
      <c r="E1969" t="s">
        <v>71</v>
      </c>
      <c r="F1969" t="s">
        <v>72</v>
      </c>
      <c r="G1969" t="s">
        <v>27</v>
      </c>
      <c r="H1969" t="s">
        <v>48</v>
      </c>
      <c r="I1969" s="5">
        <v>255</v>
      </c>
      <c r="J1969" s="5">
        <v>166</v>
      </c>
      <c r="K1969" s="5">
        <v>17</v>
      </c>
      <c r="L1969" s="5">
        <v>6</v>
      </c>
      <c r="M1969" s="5">
        <v>8</v>
      </c>
      <c r="N1969" s="7">
        <v>125.16</v>
      </c>
      <c r="O1969" s="7">
        <f t="shared" si="212"/>
        <v>1001.28</v>
      </c>
      <c r="P1969" s="4">
        <v>0</v>
      </c>
      <c r="Q1969" s="7">
        <f t="shared" si="213"/>
        <v>0</v>
      </c>
      <c r="R1969" s="7">
        <f t="shared" si="214"/>
        <v>1001.28</v>
      </c>
      <c r="S1969" s="7">
        <f t="shared" si="215"/>
        <v>166.88</v>
      </c>
      <c r="T1969" s="6">
        <f t="shared" si="216"/>
        <v>2.3529411764705882E-2</v>
      </c>
      <c r="V1969" t="s">
        <v>29</v>
      </c>
    </row>
    <row r="1970" spans="1:22">
      <c r="A1970" s="3">
        <v>45739</v>
      </c>
      <c r="B1970" t="str">
        <f t="shared" si="210"/>
        <v>yyyy-03</v>
      </c>
      <c r="C1970">
        <f t="shared" si="211"/>
        <v>12</v>
      </c>
      <c r="D1970" t="s">
        <v>66</v>
      </c>
      <c r="E1970" t="s">
        <v>73</v>
      </c>
      <c r="F1970" t="s">
        <v>74</v>
      </c>
      <c r="G1970" t="s">
        <v>36</v>
      </c>
      <c r="H1970" t="s">
        <v>37</v>
      </c>
      <c r="I1970" s="5">
        <v>247</v>
      </c>
      <c r="J1970" s="5">
        <v>168</v>
      </c>
      <c r="K1970" s="5">
        <v>25</v>
      </c>
      <c r="L1970" s="5">
        <v>6</v>
      </c>
      <c r="M1970" s="5">
        <v>6</v>
      </c>
      <c r="N1970" s="7">
        <v>1191.73</v>
      </c>
      <c r="O1970" s="7">
        <f t="shared" si="212"/>
        <v>7150.38</v>
      </c>
      <c r="P1970" s="4">
        <v>0.03</v>
      </c>
      <c r="Q1970" s="7">
        <f t="shared" si="213"/>
        <v>214.51140000000001</v>
      </c>
      <c r="R1970" s="7">
        <f t="shared" si="214"/>
        <v>6935.8685999999998</v>
      </c>
      <c r="S1970" s="7">
        <f t="shared" si="215"/>
        <v>1155.9781</v>
      </c>
      <c r="T1970" s="6">
        <f t="shared" si="216"/>
        <v>2.4291497975708502E-2</v>
      </c>
      <c r="V1970" t="s">
        <v>29</v>
      </c>
    </row>
    <row r="1971" spans="1:22">
      <c r="A1971" s="3">
        <v>45739</v>
      </c>
      <c r="B1971" t="str">
        <f t="shared" si="210"/>
        <v>yyyy-03</v>
      </c>
      <c r="C1971">
        <f t="shared" si="211"/>
        <v>12</v>
      </c>
      <c r="D1971" t="s">
        <v>66</v>
      </c>
      <c r="E1971" t="s">
        <v>71</v>
      </c>
      <c r="F1971" t="s">
        <v>75</v>
      </c>
      <c r="G1971" t="s">
        <v>36</v>
      </c>
      <c r="H1971" t="s">
        <v>37</v>
      </c>
      <c r="I1971" s="5">
        <v>407</v>
      </c>
      <c r="J1971" s="5">
        <v>281</v>
      </c>
      <c r="K1971" s="5">
        <v>23</v>
      </c>
      <c r="L1971" s="5">
        <v>6</v>
      </c>
      <c r="M1971" s="5">
        <v>8</v>
      </c>
      <c r="N1971" s="7">
        <v>39.06</v>
      </c>
      <c r="O1971" s="7">
        <f t="shared" si="212"/>
        <v>312.48</v>
      </c>
      <c r="P1971" s="4">
        <v>0</v>
      </c>
      <c r="Q1971" s="7">
        <f t="shared" si="213"/>
        <v>0</v>
      </c>
      <c r="R1971" s="7">
        <f t="shared" si="214"/>
        <v>312.48</v>
      </c>
      <c r="S1971" s="7">
        <f t="shared" si="215"/>
        <v>52.080000000000005</v>
      </c>
      <c r="T1971" s="6">
        <f t="shared" si="216"/>
        <v>1.4742014742014743E-2</v>
      </c>
      <c r="V1971" t="s">
        <v>29</v>
      </c>
    </row>
    <row r="1972" spans="1:22">
      <c r="A1972" s="3">
        <v>45739</v>
      </c>
      <c r="B1972" t="str">
        <f t="shared" si="210"/>
        <v>yyyy-03</v>
      </c>
      <c r="C1972">
        <f t="shared" si="211"/>
        <v>12</v>
      </c>
      <c r="D1972" t="s">
        <v>24</v>
      </c>
      <c r="E1972" t="s">
        <v>76</v>
      </c>
      <c r="F1972" t="s">
        <v>77</v>
      </c>
      <c r="G1972" t="s">
        <v>36</v>
      </c>
      <c r="H1972" t="s">
        <v>37</v>
      </c>
      <c r="I1972" s="5">
        <v>767</v>
      </c>
      <c r="J1972" s="5">
        <v>489</v>
      </c>
      <c r="K1972" s="5">
        <v>66</v>
      </c>
      <c r="L1972" s="5">
        <v>16</v>
      </c>
      <c r="M1972" s="5">
        <v>21</v>
      </c>
      <c r="N1972" s="7">
        <v>201.99</v>
      </c>
      <c r="O1972" s="7">
        <f t="shared" si="212"/>
        <v>4241.79</v>
      </c>
      <c r="P1972" s="4">
        <v>0.05</v>
      </c>
      <c r="Q1972" s="7">
        <f t="shared" si="213"/>
        <v>212.08950000000002</v>
      </c>
      <c r="R1972" s="7">
        <f t="shared" si="214"/>
        <v>4029.7004999999999</v>
      </c>
      <c r="S1972" s="7">
        <f t="shared" si="215"/>
        <v>251.85628124999999</v>
      </c>
      <c r="T1972" s="6">
        <f t="shared" si="216"/>
        <v>2.0860495436766623E-2</v>
      </c>
      <c r="V1972" t="s">
        <v>29</v>
      </c>
    </row>
    <row r="1973" spans="1:22">
      <c r="A1973" s="3">
        <v>45740</v>
      </c>
      <c r="B1973" t="str">
        <f t="shared" si="210"/>
        <v>yyyy-03</v>
      </c>
      <c r="C1973">
        <f t="shared" si="211"/>
        <v>13</v>
      </c>
      <c r="D1973" t="s">
        <v>24</v>
      </c>
      <c r="E1973" t="s">
        <v>25</v>
      </c>
      <c r="F1973" t="s">
        <v>26</v>
      </c>
      <c r="G1973" t="s">
        <v>36</v>
      </c>
      <c r="H1973" t="s">
        <v>37</v>
      </c>
      <c r="I1973" s="5">
        <v>1704</v>
      </c>
      <c r="J1973" s="5">
        <v>1084</v>
      </c>
      <c r="K1973" s="5">
        <v>152</v>
      </c>
      <c r="L1973" s="5">
        <v>43</v>
      </c>
      <c r="M1973" s="5">
        <v>43</v>
      </c>
      <c r="N1973" s="7">
        <v>1012.94</v>
      </c>
      <c r="O1973" s="7">
        <f t="shared" si="212"/>
        <v>43556.420000000006</v>
      </c>
      <c r="P1973" s="4">
        <v>0.05</v>
      </c>
      <c r="Q1973" s="7">
        <f t="shared" si="213"/>
        <v>2177.8210000000004</v>
      </c>
      <c r="R1973" s="7">
        <f t="shared" si="214"/>
        <v>41378.599000000002</v>
      </c>
      <c r="S1973" s="7">
        <f t="shared" si="215"/>
        <v>962.29300000000001</v>
      </c>
      <c r="T1973" s="6">
        <f t="shared" si="216"/>
        <v>2.5234741784037559E-2</v>
      </c>
      <c r="V1973" t="s">
        <v>29</v>
      </c>
    </row>
    <row r="1974" spans="1:22">
      <c r="A1974" s="3">
        <v>45740</v>
      </c>
      <c r="B1974" t="str">
        <f t="shared" si="210"/>
        <v>yyyy-03</v>
      </c>
      <c r="C1974">
        <f t="shared" si="211"/>
        <v>13</v>
      </c>
      <c r="D1974" t="s">
        <v>24</v>
      </c>
      <c r="E1974" t="s">
        <v>25</v>
      </c>
      <c r="F1974" t="s">
        <v>30</v>
      </c>
      <c r="G1974" t="s">
        <v>27</v>
      </c>
      <c r="H1974" t="s">
        <v>45</v>
      </c>
      <c r="I1974" s="5">
        <v>1603</v>
      </c>
      <c r="J1974" s="5">
        <v>1271</v>
      </c>
      <c r="K1974" s="5">
        <v>155</v>
      </c>
      <c r="L1974" s="5">
        <v>39</v>
      </c>
      <c r="M1974" s="5">
        <v>39</v>
      </c>
      <c r="N1974" s="7">
        <v>386.35</v>
      </c>
      <c r="O1974" s="7">
        <f t="shared" si="212"/>
        <v>15067.650000000001</v>
      </c>
      <c r="P1974" s="4">
        <v>0</v>
      </c>
      <c r="Q1974" s="7">
        <f t="shared" si="213"/>
        <v>0</v>
      </c>
      <c r="R1974" s="7">
        <f t="shared" si="214"/>
        <v>15067.650000000001</v>
      </c>
      <c r="S1974" s="7">
        <f t="shared" si="215"/>
        <v>386.35</v>
      </c>
      <c r="T1974" s="6">
        <f t="shared" si="216"/>
        <v>2.4329382407985028E-2</v>
      </c>
      <c r="V1974" t="s">
        <v>29</v>
      </c>
    </row>
    <row r="1975" spans="1:22">
      <c r="A1975" s="3">
        <v>45740</v>
      </c>
      <c r="B1975" t="str">
        <f t="shared" si="210"/>
        <v>yyyy-03</v>
      </c>
      <c r="C1975">
        <f t="shared" si="211"/>
        <v>13</v>
      </c>
      <c r="D1975" t="s">
        <v>24</v>
      </c>
      <c r="E1975" t="s">
        <v>25</v>
      </c>
      <c r="F1975" t="s">
        <v>33</v>
      </c>
      <c r="G1975" t="s">
        <v>27</v>
      </c>
      <c r="H1975" t="s">
        <v>45</v>
      </c>
      <c r="I1975" s="5">
        <v>1596</v>
      </c>
      <c r="J1975" s="5">
        <v>1134</v>
      </c>
      <c r="K1975" s="5">
        <v>128</v>
      </c>
      <c r="L1975" s="5">
        <v>33</v>
      </c>
      <c r="M1975" s="5">
        <v>33</v>
      </c>
      <c r="N1975" s="7">
        <v>1751.72</v>
      </c>
      <c r="O1975" s="7">
        <f t="shared" si="212"/>
        <v>57806.76</v>
      </c>
      <c r="P1975" s="4">
        <v>0</v>
      </c>
      <c r="Q1975" s="7">
        <f t="shared" si="213"/>
        <v>0</v>
      </c>
      <c r="R1975" s="7">
        <f t="shared" si="214"/>
        <v>57806.76</v>
      </c>
      <c r="S1975" s="7">
        <f t="shared" si="215"/>
        <v>1751.72</v>
      </c>
      <c r="T1975" s="6">
        <f t="shared" si="216"/>
        <v>2.0676691729323307E-2</v>
      </c>
      <c r="V1975" t="s">
        <v>29</v>
      </c>
    </row>
    <row r="1976" spans="1:22">
      <c r="A1976" s="3">
        <v>45740</v>
      </c>
      <c r="B1976" t="str">
        <f t="shared" si="210"/>
        <v>yyyy-03</v>
      </c>
      <c r="C1976">
        <f t="shared" si="211"/>
        <v>13</v>
      </c>
      <c r="D1976" t="s">
        <v>24</v>
      </c>
      <c r="E1976" t="s">
        <v>34</v>
      </c>
      <c r="F1976" t="s">
        <v>35</v>
      </c>
      <c r="G1976" t="s">
        <v>27</v>
      </c>
      <c r="H1976" t="s">
        <v>45</v>
      </c>
      <c r="I1976" s="5">
        <v>911</v>
      </c>
      <c r="J1976" s="5">
        <v>498</v>
      </c>
      <c r="K1976" s="5">
        <v>60</v>
      </c>
      <c r="L1976" s="5">
        <v>12</v>
      </c>
      <c r="M1976" s="5">
        <v>12</v>
      </c>
      <c r="N1976" s="7">
        <v>902.48</v>
      </c>
      <c r="O1976" s="7">
        <f t="shared" si="212"/>
        <v>10829.76</v>
      </c>
      <c r="P1976" s="4">
        <v>0</v>
      </c>
      <c r="Q1976" s="7">
        <f t="shared" si="213"/>
        <v>0</v>
      </c>
      <c r="R1976" s="7">
        <f t="shared" si="214"/>
        <v>10829.76</v>
      </c>
      <c r="S1976" s="7">
        <f t="shared" si="215"/>
        <v>902.48</v>
      </c>
      <c r="T1976" s="6">
        <f t="shared" si="216"/>
        <v>1.3172338090010977E-2</v>
      </c>
      <c r="V1976" t="s">
        <v>78</v>
      </c>
    </row>
    <row r="1977" spans="1:22">
      <c r="A1977" s="3">
        <v>45740</v>
      </c>
      <c r="B1977" t="str">
        <f t="shared" si="210"/>
        <v>yyyy-03</v>
      </c>
      <c r="C1977">
        <f t="shared" si="211"/>
        <v>13</v>
      </c>
      <c r="D1977" t="s">
        <v>24</v>
      </c>
      <c r="E1977" t="s">
        <v>38</v>
      </c>
      <c r="F1977" t="s">
        <v>39</v>
      </c>
      <c r="G1977" t="s">
        <v>27</v>
      </c>
      <c r="H1977" t="s">
        <v>63</v>
      </c>
      <c r="I1977" s="5">
        <v>781</v>
      </c>
      <c r="J1977" s="5">
        <v>637</v>
      </c>
      <c r="K1977" s="5">
        <v>70</v>
      </c>
      <c r="L1977" s="5">
        <v>17</v>
      </c>
      <c r="M1977" s="5">
        <v>17</v>
      </c>
      <c r="N1977" s="7">
        <v>329.13</v>
      </c>
      <c r="O1977" s="7">
        <f t="shared" si="212"/>
        <v>5595.21</v>
      </c>
      <c r="P1977" s="4">
        <v>0.03</v>
      </c>
      <c r="Q1977" s="7">
        <f t="shared" si="213"/>
        <v>167.8563</v>
      </c>
      <c r="R1977" s="7">
        <f t="shared" si="214"/>
        <v>5427.3536999999997</v>
      </c>
      <c r="S1977" s="7">
        <f t="shared" si="215"/>
        <v>319.2561</v>
      </c>
      <c r="T1977" s="6">
        <f t="shared" si="216"/>
        <v>2.176696542893726E-2</v>
      </c>
      <c r="V1977" t="s">
        <v>29</v>
      </c>
    </row>
    <row r="1978" spans="1:22">
      <c r="A1978" s="3">
        <v>45740</v>
      </c>
      <c r="B1978" t="str">
        <f t="shared" si="210"/>
        <v>yyyy-03</v>
      </c>
      <c r="C1978">
        <f t="shared" si="211"/>
        <v>13</v>
      </c>
      <c r="D1978" t="s">
        <v>24</v>
      </c>
      <c r="E1978" t="s">
        <v>40</v>
      </c>
      <c r="F1978" t="s">
        <v>41</v>
      </c>
      <c r="G1978" t="s">
        <v>27</v>
      </c>
      <c r="H1978" t="s">
        <v>45</v>
      </c>
      <c r="I1978" s="5">
        <v>266</v>
      </c>
      <c r="J1978" s="5">
        <v>155</v>
      </c>
      <c r="K1978" s="5">
        <v>4</v>
      </c>
      <c r="L1978" s="5">
        <v>0</v>
      </c>
      <c r="M1978" s="5">
        <v>0</v>
      </c>
      <c r="N1978" s="7">
        <v>173.25</v>
      </c>
      <c r="O1978" s="7">
        <f t="shared" si="212"/>
        <v>0</v>
      </c>
      <c r="P1978" s="4">
        <v>0.05</v>
      </c>
      <c r="Q1978" s="7">
        <f t="shared" si="213"/>
        <v>0</v>
      </c>
      <c r="R1978" s="7">
        <f t="shared" si="214"/>
        <v>0</v>
      </c>
      <c r="S1978" s="7">
        <f t="shared" si="215"/>
        <v>0</v>
      </c>
      <c r="T1978" s="6">
        <f t="shared" si="216"/>
        <v>0</v>
      </c>
      <c r="V1978" t="s">
        <v>81</v>
      </c>
    </row>
    <row r="1979" spans="1:22">
      <c r="A1979" s="3">
        <v>45740</v>
      </c>
      <c r="B1979" t="str">
        <f t="shared" si="210"/>
        <v>yyyy-03</v>
      </c>
      <c r="C1979">
        <f t="shared" si="211"/>
        <v>13</v>
      </c>
      <c r="D1979" t="s">
        <v>42</v>
      </c>
      <c r="E1979" t="s">
        <v>43</v>
      </c>
      <c r="F1979" t="s">
        <v>44</v>
      </c>
      <c r="G1979" t="s">
        <v>27</v>
      </c>
      <c r="H1979" t="s">
        <v>45</v>
      </c>
      <c r="I1979" s="5">
        <v>459</v>
      </c>
      <c r="J1979" s="5">
        <v>363</v>
      </c>
      <c r="K1979" s="5">
        <v>29</v>
      </c>
      <c r="L1979" s="5">
        <v>7</v>
      </c>
      <c r="M1979" s="5">
        <v>7</v>
      </c>
      <c r="N1979" s="7">
        <v>1307.5899999999999</v>
      </c>
      <c r="O1979" s="7">
        <f t="shared" si="212"/>
        <v>9153.1299999999992</v>
      </c>
      <c r="P1979" s="4">
        <v>0.12</v>
      </c>
      <c r="Q1979" s="7">
        <f t="shared" si="213"/>
        <v>1098.3755999999998</v>
      </c>
      <c r="R1979" s="7">
        <f t="shared" si="214"/>
        <v>8054.7543999999998</v>
      </c>
      <c r="S1979" s="7">
        <f t="shared" si="215"/>
        <v>1150.6792</v>
      </c>
      <c r="T1979" s="6">
        <f t="shared" si="216"/>
        <v>1.5250544662309368E-2</v>
      </c>
      <c r="U1979" t="s">
        <v>91</v>
      </c>
      <c r="V1979" t="s">
        <v>29</v>
      </c>
    </row>
    <row r="1980" spans="1:22">
      <c r="A1980" s="3">
        <v>45740</v>
      </c>
      <c r="B1980" t="str">
        <f t="shared" si="210"/>
        <v>yyyy-03</v>
      </c>
      <c r="C1980">
        <f t="shared" si="211"/>
        <v>13</v>
      </c>
      <c r="D1980" t="s">
        <v>42</v>
      </c>
      <c r="E1980" t="s">
        <v>43</v>
      </c>
      <c r="F1980" t="s">
        <v>46</v>
      </c>
      <c r="G1980" t="s">
        <v>31</v>
      </c>
      <c r="H1980" t="s">
        <v>32</v>
      </c>
      <c r="I1980" s="5">
        <v>541</v>
      </c>
      <c r="J1980" s="5">
        <v>337</v>
      </c>
      <c r="K1980" s="5">
        <v>19</v>
      </c>
      <c r="L1980" s="5">
        <v>7</v>
      </c>
      <c r="M1980" s="5">
        <v>7</v>
      </c>
      <c r="N1980" s="7">
        <v>2201.0500000000002</v>
      </c>
      <c r="O1980" s="7">
        <f t="shared" si="212"/>
        <v>15407.350000000002</v>
      </c>
      <c r="P1980" s="4">
        <v>0.12</v>
      </c>
      <c r="Q1980" s="7">
        <f t="shared" si="213"/>
        <v>1848.8820000000003</v>
      </c>
      <c r="R1980" s="7">
        <f t="shared" si="214"/>
        <v>13558.468000000003</v>
      </c>
      <c r="S1980" s="7">
        <f t="shared" si="215"/>
        <v>1936.9240000000004</v>
      </c>
      <c r="T1980" s="6">
        <f t="shared" si="216"/>
        <v>1.2939001848428836E-2</v>
      </c>
      <c r="U1980" t="s">
        <v>91</v>
      </c>
      <c r="V1980" t="s">
        <v>29</v>
      </c>
    </row>
    <row r="1981" spans="1:22">
      <c r="A1981" s="3">
        <v>45740</v>
      </c>
      <c r="B1981" t="str">
        <f t="shared" si="210"/>
        <v>yyyy-03</v>
      </c>
      <c r="C1981">
        <f t="shared" si="211"/>
        <v>13</v>
      </c>
      <c r="D1981" t="s">
        <v>42</v>
      </c>
      <c r="E1981" t="s">
        <v>43</v>
      </c>
      <c r="F1981" t="s">
        <v>47</v>
      </c>
      <c r="G1981" t="s">
        <v>27</v>
      </c>
      <c r="H1981" t="s">
        <v>48</v>
      </c>
      <c r="I1981" s="5">
        <v>389</v>
      </c>
      <c r="J1981" s="5">
        <v>302</v>
      </c>
      <c r="K1981" s="5">
        <v>34</v>
      </c>
      <c r="L1981" s="5">
        <v>7</v>
      </c>
      <c r="M1981" s="5">
        <v>7</v>
      </c>
      <c r="N1981" s="7">
        <v>578.49</v>
      </c>
      <c r="O1981" s="7">
        <f t="shared" si="212"/>
        <v>4049.4300000000003</v>
      </c>
      <c r="P1981" s="4">
        <v>0.12</v>
      </c>
      <c r="Q1981" s="7">
        <f t="shared" si="213"/>
        <v>485.9316</v>
      </c>
      <c r="R1981" s="7">
        <f t="shared" si="214"/>
        <v>3563.4984000000004</v>
      </c>
      <c r="S1981" s="7">
        <f t="shared" si="215"/>
        <v>509.07120000000003</v>
      </c>
      <c r="T1981" s="6">
        <f t="shared" si="216"/>
        <v>1.7994858611825194E-2</v>
      </c>
      <c r="U1981" t="s">
        <v>91</v>
      </c>
      <c r="V1981" t="s">
        <v>29</v>
      </c>
    </row>
    <row r="1982" spans="1:22">
      <c r="A1982" s="3">
        <v>45740</v>
      </c>
      <c r="B1982" t="str">
        <f t="shared" si="210"/>
        <v>yyyy-03</v>
      </c>
      <c r="C1982">
        <f t="shared" si="211"/>
        <v>13</v>
      </c>
      <c r="D1982" t="s">
        <v>42</v>
      </c>
      <c r="E1982" t="s">
        <v>49</v>
      </c>
      <c r="F1982" t="s">
        <v>50</v>
      </c>
      <c r="G1982" t="s">
        <v>27</v>
      </c>
      <c r="H1982" t="s">
        <v>28</v>
      </c>
      <c r="I1982" s="5">
        <v>138</v>
      </c>
      <c r="J1982" s="5">
        <v>101</v>
      </c>
      <c r="K1982" s="5">
        <v>10</v>
      </c>
      <c r="L1982" s="5">
        <v>2</v>
      </c>
      <c r="M1982" s="5">
        <v>2</v>
      </c>
      <c r="N1982" s="7">
        <v>999.96</v>
      </c>
      <c r="O1982" s="7">
        <f t="shared" si="212"/>
        <v>1999.92</v>
      </c>
      <c r="P1982" s="4">
        <v>0</v>
      </c>
      <c r="Q1982" s="7">
        <f t="shared" si="213"/>
        <v>0</v>
      </c>
      <c r="R1982" s="7">
        <f t="shared" si="214"/>
        <v>1999.92</v>
      </c>
      <c r="S1982" s="7">
        <f t="shared" si="215"/>
        <v>999.96</v>
      </c>
      <c r="T1982" s="6">
        <f t="shared" si="216"/>
        <v>1.4492753623188406E-2</v>
      </c>
      <c r="V1982" t="s">
        <v>29</v>
      </c>
    </row>
    <row r="1983" spans="1:22">
      <c r="A1983" s="3">
        <v>45740</v>
      </c>
      <c r="B1983" t="str">
        <f t="shared" si="210"/>
        <v>yyyy-03</v>
      </c>
      <c r="C1983">
        <f t="shared" si="211"/>
        <v>13</v>
      </c>
      <c r="D1983" t="s">
        <v>42</v>
      </c>
      <c r="E1983" t="s">
        <v>51</v>
      </c>
      <c r="F1983" t="s">
        <v>52</v>
      </c>
      <c r="G1983" t="s">
        <v>27</v>
      </c>
      <c r="H1983" t="s">
        <v>45</v>
      </c>
      <c r="I1983" s="5">
        <v>217</v>
      </c>
      <c r="J1983" s="5">
        <v>115</v>
      </c>
      <c r="K1983" s="5">
        <v>13</v>
      </c>
      <c r="L1983" s="5">
        <v>3</v>
      </c>
      <c r="M1983" s="5">
        <v>3</v>
      </c>
      <c r="N1983" s="7">
        <v>582.88</v>
      </c>
      <c r="O1983" s="7">
        <f t="shared" si="212"/>
        <v>1748.6399999999999</v>
      </c>
      <c r="P1983" s="4">
        <v>0.05</v>
      </c>
      <c r="Q1983" s="7">
        <f t="shared" si="213"/>
        <v>87.432000000000002</v>
      </c>
      <c r="R1983" s="7">
        <f t="shared" si="214"/>
        <v>1661.2079999999999</v>
      </c>
      <c r="S1983" s="7">
        <f t="shared" si="215"/>
        <v>553.73599999999999</v>
      </c>
      <c r="T1983" s="6">
        <f t="shared" si="216"/>
        <v>1.3824884792626729E-2</v>
      </c>
      <c r="V1983" t="s">
        <v>78</v>
      </c>
    </row>
    <row r="1984" spans="1:22">
      <c r="A1984" s="3">
        <v>45740</v>
      </c>
      <c r="B1984" t="str">
        <f t="shared" si="210"/>
        <v>yyyy-03</v>
      </c>
      <c r="C1984">
        <f t="shared" si="211"/>
        <v>13</v>
      </c>
      <c r="D1984" t="s">
        <v>53</v>
      </c>
      <c r="E1984" t="s">
        <v>54</v>
      </c>
      <c r="F1984" t="s">
        <v>55</v>
      </c>
      <c r="G1984" t="s">
        <v>27</v>
      </c>
      <c r="H1984" t="s">
        <v>63</v>
      </c>
      <c r="I1984" s="5">
        <v>163</v>
      </c>
      <c r="J1984" s="5">
        <v>127</v>
      </c>
      <c r="K1984" s="5">
        <v>9</v>
      </c>
      <c r="L1984" s="5">
        <v>2</v>
      </c>
      <c r="M1984" s="5">
        <v>2</v>
      </c>
      <c r="N1984" s="7">
        <v>1277.21</v>
      </c>
      <c r="O1984" s="7">
        <f t="shared" si="212"/>
        <v>2554.42</v>
      </c>
      <c r="P1984" s="4">
        <v>0</v>
      </c>
      <c r="Q1984" s="7">
        <f t="shared" si="213"/>
        <v>0</v>
      </c>
      <c r="R1984" s="7">
        <f t="shared" si="214"/>
        <v>2554.42</v>
      </c>
      <c r="S1984" s="7">
        <f t="shared" si="215"/>
        <v>1277.21</v>
      </c>
      <c r="T1984" s="6">
        <f t="shared" si="216"/>
        <v>1.2269938650306749E-2</v>
      </c>
      <c r="V1984" t="s">
        <v>29</v>
      </c>
    </row>
    <row r="1985" spans="1:22">
      <c r="A1985" s="3">
        <v>45740</v>
      </c>
      <c r="B1985" t="str">
        <f t="shared" si="210"/>
        <v>yyyy-03</v>
      </c>
      <c r="C1985">
        <f t="shared" si="211"/>
        <v>13</v>
      </c>
      <c r="D1985" t="s">
        <v>53</v>
      </c>
      <c r="E1985" t="s">
        <v>56</v>
      </c>
      <c r="F1985" t="s">
        <v>57</v>
      </c>
      <c r="G1985" t="s">
        <v>31</v>
      </c>
      <c r="H1985" t="s">
        <v>32</v>
      </c>
      <c r="I1985" s="5">
        <v>302</v>
      </c>
      <c r="J1985" s="5">
        <v>196</v>
      </c>
      <c r="K1985" s="5">
        <v>14</v>
      </c>
      <c r="L1985" s="5">
        <v>3</v>
      </c>
      <c r="M1985" s="5">
        <v>3</v>
      </c>
      <c r="N1985" s="7">
        <v>758.8</v>
      </c>
      <c r="O1985" s="7">
        <f t="shared" si="212"/>
        <v>2276.3999999999996</v>
      </c>
      <c r="P1985" s="4">
        <v>0.03</v>
      </c>
      <c r="Q1985" s="7">
        <f t="shared" si="213"/>
        <v>68.291999999999987</v>
      </c>
      <c r="R1985" s="7">
        <f t="shared" si="214"/>
        <v>2208.1079999999997</v>
      </c>
      <c r="S1985" s="7">
        <f t="shared" si="215"/>
        <v>736.03599999999994</v>
      </c>
      <c r="T1985" s="6">
        <f t="shared" si="216"/>
        <v>9.9337748344370865E-3</v>
      </c>
      <c r="V1985" t="s">
        <v>29</v>
      </c>
    </row>
    <row r="1986" spans="1:22">
      <c r="A1986" s="3">
        <v>45740</v>
      </c>
      <c r="B1986" t="str">
        <f t="shared" si="210"/>
        <v>yyyy-03</v>
      </c>
      <c r="C1986">
        <f t="shared" si="211"/>
        <v>13</v>
      </c>
      <c r="D1986" t="s">
        <v>53</v>
      </c>
      <c r="E1986" t="s">
        <v>56</v>
      </c>
      <c r="F1986" t="s">
        <v>58</v>
      </c>
      <c r="G1986" t="s">
        <v>27</v>
      </c>
      <c r="H1986" t="s">
        <v>63</v>
      </c>
      <c r="I1986" s="5">
        <v>108</v>
      </c>
      <c r="J1986" s="5">
        <v>86</v>
      </c>
      <c r="K1986" s="5">
        <v>10</v>
      </c>
      <c r="L1986" s="5">
        <v>1</v>
      </c>
      <c r="M1986" s="5">
        <v>1</v>
      </c>
      <c r="N1986" s="7">
        <v>883.71</v>
      </c>
      <c r="O1986" s="7">
        <f t="shared" si="212"/>
        <v>883.71</v>
      </c>
      <c r="P1986" s="4">
        <v>0</v>
      </c>
      <c r="Q1986" s="7">
        <f t="shared" si="213"/>
        <v>0</v>
      </c>
      <c r="R1986" s="7">
        <f t="shared" si="214"/>
        <v>883.71</v>
      </c>
      <c r="S1986" s="7">
        <f t="shared" si="215"/>
        <v>883.71</v>
      </c>
      <c r="T1986" s="6">
        <f t="shared" si="216"/>
        <v>9.2592592592592587E-3</v>
      </c>
      <c r="V1986" t="s">
        <v>29</v>
      </c>
    </row>
    <row r="1987" spans="1:22">
      <c r="A1987" s="3">
        <v>45740</v>
      </c>
      <c r="B1987" t="str">
        <f t="shared" si="210"/>
        <v>yyyy-03</v>
      </c>
      <c r="C1987">
        <f t="shared" si="211"/>
        <v>13</v>
      </c>
      <c r="D1987" t="s">
        <v>53</v>
      </c>
      <c r="E1987" t="s">
        <v>59</v>
      </c>
      <c r="F1987" t="s">
        <v>60</v>
      </c>
      <c r="G1987" t="s">
        <v>27</v>
      </c>
      <c r="H1987" t="s">
        <v>45</v>
      </c>
      <c r="I1987" s="5">
        <v>115</v>
      </c>
      <c r="J1987" s="5">
        <v>72</v>
      </c>
      <c r="K1987" s="5">
        <v>7</v>
      </c>
      <c r="L1987" s="5">
        <v>1</v>
      </c>
      <c r="M1987" s="5">
        <v>1</v>
      </c>
      <c r="N1987" s="7">
        <v>681.72</v>
      </c>
      <c r="O1987" s="7">
        <f t="shared" si="212"/>
        <v>681.72</v>
      </c>
      <c r="P1987" s="4">
        <v>0</v>
      </c>
      <c r="Q1987" s="7">
        <f t="shared" si="213"/>
        <v>0</v>
      </c>
      <c r="R1987" s="7">
        <f t="shared" si="214"/>
        <v>681.72</v>
      </c>
      <c r="S1987" s="7">
        <f t="shared" si="215"/>
        <v>681.72</v>
      </c>
      <c r="T1987" s="6">
        <f t="shared" si="216"/>
        <v>8.6956521739130436E-3</v>
      </c>
      <c r="V1987" t="s">
        <v>29</v>
      </c>
    </row>
    <row r="1988" spans="1:22">
      <c r="A1988" s="3">
        <v>45740</v>
      </c>
      <c r="B1988" t="str">
        <f t="shared" si="210"/>
        <v>yyyy-03</v>
      </c>
      <c r="C1988">
        <f t="shared" si="211"/>
        <v>13</v>
      </c>
      <c r="D1988" t="s">
        <v>53</v>
      </c>
      <c r="E1988" t="s">
        <v>61</v>
      </c>
      <c r="F1988" t="s">
        <v>62</v>
      </c>
      <c r="G1988" t="s">
        <v>27</v>
      </c>
      <c r="H1988" t="s">
        <v>28</v>
      </c>
      <c r="I1988" s="5">
        <v>161</v>
      </c>
      <c r="J1988" s="5">
        <v>103</v>
      </c>
      <c r="K1988" s="5">
        <v>10</v>
      </c>
      <c r="L1988" s="5">
        <v>2</v>
      </c>
      <c r="M1988" s="5">
        <v>2</v>
      </c>
      <c r="N1988" s="7">
        <v>500.52</v>
      </c>
      <c r="O1988" s="7">
        <f t="shared" si="212"/>
        <v>1001.04</v>
      </c>
      <c r="P1988" s="4">
        <v>0</v>
      </c>
      <c r="Q1988" s="7">
        <f t="shared" si="213"/>
        <v>0</v>
      </c>
      <c r="R1988" s="7">
        <f t="shared" si="214"/>
        <v>1001.04</v>
      </c>
      <c r="S1988" s="7">
        <f t="shared" si="215"/>
        <v>500.52</v>
      </c>
      <c r="T1988" s="6">
        <f t="shared" si="216"/>
        <v>1.2422360248447204E-2</v>
      </c>
      <c r="V1988" t="s">
        <v>29</v>
      </c>
    </row>
    <row r="1989" spans="1:22">
      <c r="A1989" s="3">
        <v>45740</v>
      </c>
      <c r="B1989" t="str">
        <f t="shared" ref="B1989:B2052" si="217">TEXT(A1989,"yyyy-mm")</f>
        <v>yyyy-03</v>
      </c>
      <c r="C1989">
        <f t="shared" ref="C1989:C2052" si="218">WEEKNUM(A1989,2)</f>
        <v>13</v>
      </c>
      <c r="D1989" t="s">
        <v>53</v>
      </c>
      <c r="E1989" t="s">
        <v>64</v>
      </c>
      <c r="F1989" t="s">
        <v>65</v>
      </c>
      <c r="G1989" t="s">
        <v>27</v>
      </c>
      <c r="H1989" t="s">
        <v>28</v>
      </c>
      <c r="I1989" s="5">
        <v>94</v>
      </c>
      <c r="J1989" s="5">
        <v>52</v>
      </c>
      <c r="K1989" s="5">
        <v>1</v>
      </c>
      <c r="L1989" s="5">
        <v>0</v>
      </c>
      <c r="M1989" s="5">
        <v>0</v>
      </c>
      <c r="N1989" s="7">
        <v>772.67</v>
      </c>
      <c r="O1989" s="7">
        <f t="shared" ref="O1989:O2052" si="219">M1989*N1989</f>
        <v>0</v>
      </c>
      <c r="P1989" s="4">
        <v>0</v>
      </c>
      <c r="Q1989" s="7">
        <f t="shared" ref="Q1989:Q2052" si="220">O1989*P1989</f>
        <v>0</v>
      </c>
      <c r="R1989" s="7">
        <f t="shared" ref="R1989:R2052" si="221">O1989-Q1989</f>
        <v>0</v>
      </c>
      <c r="S1989" s="7">
        <f t="shared" ref="S1989:S2052" si="222">IFERROR(R1989/L1989,0)</f>
        <v>0</v>
      </c>
      <c r="T1989" s="6">
        <f t="shared" ref="T1989:T2052" si="223">IFERROR(L1989/I1989,0)</f>
        <v>0</v>
      </c>
      <c r="V1989" t="s">
        <v>81</v>
      </c>
    </row>
    <row r="1990" spans="1:22">
      <c r="A1990" s="3">
        <v>45740</v>
      </c>
      <c r="B1990" t="str">
        <f t="shared" si="217"/>
        <v>yyyy-03</v>
      </c>
      <c r="C1990">
        <f t="shared" si="218"/>
        <v>13</v>
      </c>
      <c r="D1990" t="s">
        <v>66</v>
      </c>
      <c r="E1990" t="s">
        <v>67</v>
      </c>
      <c r="F1990" t="s">
        <v>68</v>
      </c>
      <c r="G1990" t="s">
        <v>36</v>
      </c>
      <c r="H1990" t="s">
        <v>37</v>
      </c>
      <c r="I1990" s="5">
        <v>347</v>
      </c>
      <c r="J1990" s="5">
        <v>203</v>
      </c>
      <c r="K1990" s="5">
        <v>22</v>
      </c>
      <c r="L1990" s="5">
        <v>7</v>
      </c>
      <c r="M1990" s="5">
        <v>7</v>
      </c>
      <c r="N1990" s="7">
        <v>685.45</v>
      </c>
      <c r="O1990" s="7">
        <f t="shared" si="219"/>
        <v>4798.1500000000005</v>
      </c>
      <c r="P1990" s="4">
        <v>0.1</v>
      </c>
      <c r="Q1990" s="7">
        <f t="shared" si="220"/>
        <v>479.81500000000005</v>
      </c>
      <c r="R1990" s="7">
        <f t="shared" si="221"/>
        <v>4318.3350000000009</v>
      </c>
      <c r="S1990" s="7">
        <f t="shared" si="222"/>
        <v>616.90500000000009</v>
      </c>
      <c r="T1990" s="6">
        <f t="shared" si="223"/>
        <v>2.0172910662824207E-2</v>
      </c>
      <c r="U1990" t="s">
        <v>90</v>
      </c>
      <c r="V1990" t="s">
        <v>29</v>
      </c>
    </row>
    <row r="1991" spans="1:22">
      <c r="A1991" s="3">
        <v>45740</v>
      </c>
      <c r="B1991" t="str">
        <f t="shared" si="217"/>
        <v>yyyy-03</v>
      </c>
      <c r="C1991">
        <f t="shared" si="218"/>
        <v>13</v>
      </c>
      <c r="D1991" t="s">
        <v>66</v>
      </c>
      <c r="E1991" t="s">
        <v>67</v>
      </c>
      <c r="F1991" t="s">
        <v>69</v>
      </c>
      <c r="G1991" t="s">
        <v>27</v>
      </c>
      <c r="H1991" t="s">
        <v>28</v>
      </c>
      <c r="I1991" s="5">
        <v>355</v>
      </c>
      <c r="J1991" s="5">
        <v>259</v>
      </c>
      <c r="K1991" s="5">
        <v>35</v>
      </c>
      <c r="L1991" s="5">
        <v>9</v>
      </c>
      <c r="M1991" s="5">
        <v>9</v>
      </c>
      <c r="N1991" s="7">
        <v>395.82</v>
      </c>
      <c r="O1991" s="7">
        <f t="shared" si="219"/>
        <v>3562.38</v>
      </c>
      <c r="P1991" s="4">
        <v>0.1</v>
      </c>
      <c r="Q1991" s="7">
        <f t="shared" si="220"/>
        <v>356.23800000000006</v>
      </c>
      <c r="R1991" s="7">
        <f t="shared" si="221"/>
        <v>3206.1419999999998</v>
      </c>
      <c r="S1991" s="7">
        <f t="shared" si="222"/>
        <v>356.238</v>
      </c>
      <c r="T1991" s="6">
        <f t="shared" si="223"/>
        <v>2.5352112676056339E-2</v>
      </c>
      <c r="U1991" t="s">
        <v>90</v>
      </c>
      <c r="V1991" t="s">
        <v>29</v>
      </c>
    </row>
    <row r="1992" spans="1:22">
      <c r="A1992" s="3">
        <v>45740</v>
      </c>
      <c r="B1992" t="str">
        <f t="shared" si="217"/>
        <v>yyyy-03</v>
      </c>
      <c r="C1992">
        <f t="shared" si="218"/>
        <v>13</v>
      </c>
      <c r="D1992" t="s">
        <v>66</v>
      </c>
      <c r="E1992" t="s">
        <v>67</v>
      </c>
      <c r="F1992" t="s">
        <v>70</v>
      </c>
      <c r="G1992" t="s">
        <v>27</v>
      </c>
      <c r="H1992" t="s">
        <v>28</v>
      </c>
      <c r="I1992" s="5">
        <v>389</v>
      </c>
      <c r="J1992" s="5">
        <v>316</v>
      </c>
      <c r="K1992" s="5">
        <v>38</v>
      </c>
      <c r="L1992" s="5">
        <v>9</v>
      </c>
      <c r="M1992" s="5">
        <v>9</v>
      </c>
      <c r="N1992" s="7">
        <v>338.13</v>
      </c>
      <c r="O1992" s="7">
        <f t="shared" si="219"/>
        <v>3043.17</v>
      </c>
      <c r="P1992" s="4">
        <v>0.1</v>
      </c>
      <c r="Q1992" s="7">
        <f t="shared" si="220"/>
        <v>304.31700000000001</v>
      </c>
      <c r="R1992" s="7">
        <f t="shared" si="221"/>
        <v>2738.8530000000001</v>
      </c>
      <c r="S1992" s="7">
        <f t="shared" si="222"/>
        <v>304.31700000000001</v>
      </c>
      <c r="T1992" s="6">
        <f t="shared" si="223"/>
        <v>2.313624678663239E-2</v>
      </c>
      <c r="U1992" t="s">
        <v>90</v>
      </c>
      <c r="V1992" t="s">
        <v>29</v>
      </c>
    </row>
    <row r="1993" spans="1:22">
      <c r="A1993" s="3">
        <v>45740</v>
      </c>
      <c r="B1993" t="str">
        <f t="shared" si="217"/>
        <v>yyyy-03</v>
      </c>
      <c r="C1993">
        <f t="shared" si="218"/>
        <v>13</v>
      </c>
      <c r="D1993" t="s">
        <v>66</v>
      </c>
      <c r="E1993" t="s">
        <v>71</v>
      </c>
      <c r="F1993" t="s">
        <v>72</v>
      </c>
      <c r="G1993" t="s">
        <v>31</v>
      </c>
      <c r="H1993" t="s">
        <v>32</v>
      </c>
      <c r="I1993" s="5">
        <v>362</v>
      </c>
      <c r="J1993" s="5">
        <v>252</v>
      </c>
      <c r="K1993" s="5">
        <v>21</v>
      </c>
      <c r="L1993" s="5">
        <v>6</v>
      </c>
      <c r="M1993" s="5">
        <v>8</v>
      </c>
      <c r="N1993" s="7">
        <v>130.71</v>
      </c>
      <c r="O1993" s="7">
        <f t="shared" si="219"/>
        <v>1045.68</v>
      </c>
      <c r="P1993" s="4">
        <v>0</v>
      </c>
      <c r="Q1993" s="7">
        <f t="shared" si="220"/>
        <v>0</v>
      </c>
      <c r="R1993" s="7">
        <f t="shared" si="221"/>
        <v>1045.68</v>
      </c>
      <c r="S1993" s="7">
        <f t="shared" si="222"/>
        <v>174.28</v>
      </c>
      <c r="T1993" s="6">
        <f t="shared" si="223"/>
        <v>1.6574585635359115E-2</v>
      </c>
      <c r="V1993" t="s">
        <v>29</v>
      </c>
    </row>
    <row r="1994" spans="1:22">
      <c r="A1994" s="3">
        <v>45740</v>
      </c>
      <c r="B1994" t="str">
        <f t="shared" si="217"/>
        <v>yyyy-03</v>
      </c>
      <c r="C1994">
        <f t="shared" si="218"/>
        <v>13</v>
      </c>
      <c r="D1994" t="s">
        <v>66</v>
      </c>
      <c r="E1994" t="s">
        <v>73</v>
      </c>
      <c r="F1994" t="s">
        <v>74</v>
      </c>
      <c r="G1994" t="s">
        <v>27</v>
      </c>
      <c r="H1994" t="s">
        <v>45</v>
      </c>
      <c r="I1994" s="5">
        <v>147</v>
      </c>
      <c r="J1994" s="5">
        <v>120</v>
      </c>
      <c r="K1994" s="5">
        <v>6</v>
      </c>
      <c r="L1994" s="5">
        <v>2</v>
      </c>
      <c r="M1994" s="5">
        <v>2</v>
      </c>
      <c r="N1994" s="7">
        <v>1189.29</v>
      </c>
      <c r="O1994" s="7">
        <f t="shared" si="219"/>
        <v>2378.58</v>
      </c>
      <c r="P1994" s="4">
        <v>0</v>
      </c>
      <c r="Q1994" s="7">
        <f t="shared" si="220"/>
        <v>0</v>
      </c>
      <c r="R1994" s="7">
        <f t="shared" si="221"/>
        <v>2378.58</v>
      </c>
      <c r="S1994" s="7">
        <f t="shared" si="222"/>
        <v>1189.29</v>
      </c>
      <c r="T1994" s="6">
        <f t="shared" si="223"/>
        <v>1.3605442176870748E-2</v>
      </c>
      <c r="V1994" t="s">
        <v>29</v>
      </c>
    </row>
    <row r="1995" spans="1:22">
      <c r="A1995" s="3">
        <v>45740</v>
      </c>
      <c r="B1995" t="str">
        <f t="shared" si="217"/>
        <v>yyyy-03</v>
      </c>
      <c r="C1995">
        <f t="shared" si="218"/>
        <v>13</v>
      </c>
      <c r="D1995" t="s">
        <v>66</v>
      </c>
      <c r="E1995" t="s">
        <v>71</v>
      </c>
      <c r="F1995" t="s">
        <v>75</v>
      </c>
      <c r="G1995" t="s">
        <v>31</v>
      </c>
      <c r="H1995" t="s">
        <v>32</v>
      </c>
      <c r="I1995" s="5">
        <v>396</v>
      </c>
      <c r="J1995" s="5">
        <v>290</v>
      </c>
      <c r="K1995" s="5">
        <v>25</v>
      </c>
      <c r="L1995" s="5">
        <v>6</v>
      </c>
      <c r="M1995" s="5">
        <v>8</v>
      </c>
      <c r="N1995" s="7">
        <v>38.61</v>
      </c>
      <c r="O1995" s="7">
        <f t="shared" si="219"/>
        <v>308.88</v>
      </c>
      <c r="P1995" s="4">
        <v>0</v>
      </c>
      <c r="Q1995" s="7">
        <f t="shared" si="220"/>
        <v>0</v>
      </c>
      <c r="R1995" s="7">
        <f t="shared" si="221"/>
        <v>308.88</v>
      </c>
      <c r="S1995" s="7">
        <f t="shared" si="222"/>
        <v>51.48</v>
      </c>
      <c r="T1995" s="6">
        <f t="shared" si="223"/>
        <v>1.5151515151515152E-2</v>
      </c>
      <c r="V1995" t="s">
        <v>29</v>
      </c>
    </row>
    <row r="1996" spans="1:22">
      <c r="A1996" s="3">
        <v>45740</v>
      </c>
      <c r="B1996" t="str">
        <f t="shared" si="217"/>
        <v>yyyy-03</v>
      </c>
      <c r="C1996">
        <f t="shared" si="218"/>
        <v>13</v>
      </c>
      <c r="D1996" t="s">
        <v>24</v>
      </c>
      <c r="E1996" t="s">
        <v>76</v>
      </c>
      <c r="F1996" t="s">
        <v>77</v>
      </c>
      <c r="G1996" t="s">
        <v>31</v>
      </c>
      <c r="H1996" t="s">
        <v>32</v>
      </c>
      <c r="I1996" s="5">
        <v>644</v>
      </c>
      <c r="J1996" s="5">
        <v>507</v>
      </c>
      <c r="K1996" s="5">
        <v>48</v>
      </c>
      <c r="L1996" s="5">
        <v>15</v>
      </c>
      <c r="M1996" s="5">
        <v>19</v>
      </c>
      <c r="N1996" s="7">
        <v>197</v>
      </c>
      <c r="O1996" s="7">
        <f t="shared" si="219"/>
        <v>3743</v>
      </c>
      <c r="P1996" s="4">
        <v>0.05</v>
      </c>
      <c r="Q1996" s="7">
        <f t="shared" si="220"/>
        <v>187.15</v>
      </c>
      <c r="R1996" s="7">
        <f t="shared" si="221"/>
        <v>3555.85</v>
      </c>
      <c r="S1996" s="7">
        <f t="shared" si="222"/>
        <v>237.05666666666667</v>
      </c>
      <c r="T1996" s="6">
        <f t="shared" si="223"/>
        <v>2.3291925465838508E-2</v>
      </c>
      <c r="V1996" t="s">
        <v>29</v>
      </c>
    </row>
    <row r="1997" spans="1:22">
      <c r="A1997" s="3">
        <v>45741</v>
      </c>
      <c r="B1997" t="str">
        <f t="shared" si="217"/>
        <v>yyyy-03</v>
      </c>
      <c r="C1997">
        <f t="shared" si="218"/>
        <v>13</v>
      </c>
      <c r="D1997" t="s">
        <v>24</v>
      </c>
      <c r="E1997" t="s">
        <v>25</v>
      </c>
      <c r="F1997" t="s">
        <v>26</v>
      </c>
      <c r="G1997" t="s">
        <v>27</v>
      </c>
      <c r="H1997" t="s">
        <v>45</v>
      </c>
      <c r="I1997" s="5">
        <v>1640</v>
      </c>
      <c r="J1997" s="5">
        <v>989</v>
      </c>
      <c r="K1997" s="5">
        <v>183</v>
      </c>
      <c r="L1997" s="5">
        <v>39</v>
      </c>
      <c r="M1997" s="5">
        <v>39</v>
      </c>
      <c r="N1997" s="7">
        <v>1015.8</v>
      </c>
      <c r="O1997" s="7">
        <f t="shared" si="219"/>
        <v>39616.199999999997</v>
      </c>
      <c r="P1997" s="4">
        <v>0</v>
      </c>
      <c r="Q1997" s="7">
        <f t="shared" si="220"/>
        <v>0</v>
      </c>
      <c r="R1997" s="7">
        <f t="shared" si="221"/>
        <v>39616.199999999997</v>
      </c>
      <c r="S1997" s="7">
        <f t="shared" si="222"/>
        <v>1015.8</v>
      </c>
      <c r="T1997" s="6">
        <f t="shared" si="223"/>
        <v>2.3780487804878049E-2</v>
      </c>
      <c r="V1997" t="s">
        <v>29</v>
      </c>
    </row>
    <row r="1998" spans="1:22">
      <c r="A1998" s="3">
        <v>45741</v>
      </c>
      <c r="B1998" t="str">
        <f t="shared" si="217"/>
        <v>yyyy-03</v>
      </c>
      <c r="C1998">
        <f t="shared" si="218"/>
        <v>13</v>
      </c>
      <c r="D1998" t="s">
        <v>24</v>
      </c>
      <c r="E1998" t="s">
        <v>25</v>
      </c>
      <c r="F1998" t="s">
        <v>30</v>
      </c>
      <c r="G1998" t="s">
        <v>36</v>
      </c>
      <c r="H1998" t="s">
        <v>37</v>
      </c>
      <c r="I1998" s="5">
        <v>1369</v>
      </c>
      <c r="J1998" s="5">
        <v>951</v>
      </c>
      <c r="K1998" s="5">
        <v>98</v>
      </c>
      <c r="L1998" s="5">
        <v>35</v>
      </c>
      <c r="M1998" s="5">
        <v>35</v>
      </c>
      <c r="N1998" s="7">
        <v>400.47</v>
      </c>
      <c r="O1998" s="7">
        <f t="shared" si="219"/>
        <v>14016.45</v>
      </c>
      <c r="P1998" s="4">
        <v>0</v>
      </c>
      <c r="Q1998" s="7">
        <f t="shared" si="220"/>
        <v>0</v>
      </c>
      <c r="R1998" s="7">
        <f t="shared" si="221"/>
        <v>14016.45</v>
      </c>
      <c r="S1998" s="7">
        <f t="shared" si="222"/>
        <v>400.47</v>
      </c>
      <c r="T1998" s="6">
        <f t="shared" si="223"/>
        <v>2.5566106647187729E-2</v>
      </c>
      <c r="V1998" t="s">
        <v>29</v>
      </c>
    </row>
    <row r="1999" spans="1:22">
      <c r="A1999" s="3">
        <v>45741</v>
      </c>
      <c r="B1999" t="str">
        <f t="shared" si="217"/>
        <v>yyyy-03</v>
      </c>
      <c r="C1999">
        <f t="shared" si="218"/>
        <v>13</v>
      </c>
      <c r="D1999" t="s">
        <v>24</v>
      </c>
      <c r="E1999" t="s">
        <v>25</v>
      </c>
      <c r="F1999" t="s">
        <v>33</v>
      </c>
      <c r="G1999" t="s">
        <v>27</v>
      </c>
      <c r="H1999" t="s">
        <v>45</v>
      </c>
      <c r="I1999" s="5">
        <v>1481</v>
      </c>
      <c r="J1999" s="5">
        <v>898</v>
      </c>
      <c r="K1999" s="5">
        <v>73</v>
      </c>
      <c r="L1999" s="5">
        <v>24</v>
      </c>
      <c r="M1999" s="5">
        <v>24</v>
      </c>
      <c r="N1999" s="7">
        <v>1784.84</v>
      </c>
      <c r="O1999" s="7">
        <f t="shared" si="219"/>
        <v>42836.159999999996</v>
      </c>
      <c r="P1999" s="4">
        <v>0</v>
      </c>
      <c r="Q1999" s="7">
        <f t="shared" si="220"/>
        <v>0</v>
      </c>
      <c r="R1999" s="7">
        <f t="shared" si="221"/>
        <v>42836.159999999996</v>
      </c>
      <c r="S1999" s="7">
        <f t="shared" si="222"/>
        <v>1784.84</v>
      </c>
      <c r="T1999" s="6">
        <f t="shared" si="223"/>
        <v>1.6205266711681297E-2</v>
      </c>
      <c r="V1999" t="s">
        <v>29</v>
      </c>
    </row>
    <row r="2000" spans="1:22">
      <c r="A2000" s="3">
        <v>45741</v>
      </c>
      <c r="B2000" t="str">
        <f t="shared" si="217"/>
        <v>yyyy-03</v>
      </c>
      <c r="C2000">
        <f t="shared" si="218"/>
        <v>13</v>
      </c>
      <c r="D2000" t="s">
        <v>24</v>
      </c>
      <c r="E2000" t="s">
        <v>34</v>
      </c>
      <c r="F2000" t="s">
        <v>35</v>
      </c>
      <c r="G2000" t="s">
        <v>27</v>
      </c>
      <c r="H2000" t="s">
        <v>48</v>
      </c>
      <c r="I2000" s="5">
        <v>769</v>
      </c>
      <c r="J2000" s="5">
        <v>599</v>
      </c>
      <c r="K2000" s="5">
        <v>82</v>
      </c>
      <c r="L2000" s="5">
        <v>17</v>
      </c>
      <c r="M2000" s="5">
        <v>17</v>
      </c>
      <c r="N2000" s="7">
        <v>906.99</v>
      </c>
      <c r="O2000" s="7">
        <f t="shared" si="219"/>
        <v>15418.83</v>
      </c>
      <c r="P2000" s="4">
        <v>0.03</v>
      </c>
      <c r="Q2000" s="7">
        <f t="shared" si="220"/>
        <v>462.56489999999997</v>
      </c>
      <c r="R2000" s="7">
        <f t="shared" si="221"/>
        <v>14956.265100000001</v>
      </c>
      <c r="S2000" s="7">
        <f t="shared" si="222"/>
        <v>879.78030000000001</v>
      </c>
      <c r="T2000" s="6">
        <f t="shared" si="223"/>
        <v>2.2106631989596878E-2</v>
      </c>
      <c r="V2000" t="s">
        <v>29</v>
      </c>
    </row>
    <row r="2001" spans="1:22">
      <c r="A2001" s="3">
        <v>45741</v>
      </c>
      <c r="B2001" t="str">
        <f t="shared" si="217"/>
        <v>yyyy-03</v>
      </c>
      <c r="C2001">
        <f t="shared" si="218"/>
        <v>13</v>
      </c>
      <c r="D2001" t="s">
        <v>24</v>
      </c>
      <c r="E2001" t="s">
        <v>38</v>
      </c>
      <c r="F2001" t="s">
        <v>39</v>
      </c>
      <c r="G2001" t="s">
        <v>31</v>
      </c>
      <c r="H2001" t="s">
        <v>32</v>
      </c>
      <c r="I2001" s="5">
        <v>800</v>
      </c>
      <c r="J2001" s="5">
        <v>558</v>
      </c>
      <c r="K2001" s="5">
        <v>68</v>
      </c>
      <c r="L2001" s="5">
        <v>15</v>
      </c>
      <c r="M2001" s="5">
        <v>15</v>
      </c>
      <c r="N2001" s="7">
        <v>332.69</v>
      </c>
      <c r="O2001" s="7">
        <f t="shared" si="219"/>
        <v>4990.3500000000004</v>
      </c>
      <c r="P2001" s="4">
        <v>0</v>
      </c>
      <c r="Q2001" s="7">
        <f t="shared" si="220"/>
        <v>0</v>
      </c>
      <c r="R2001" s="7">
        <f t="shared" si="221"/>
        <v>4990.3500000000004</v>
      </c>
      <c r="S2001" s="7">
        <f t="shared" si="222"/>
        <v>332.69</v>
      </c>
      <c r="T2001" s="6">
        <f t="shared" si="223"/>
        <v>1.8749999999999999E-2</v>
      </c>
      <c r="V2001" t="s">
        <v>29</v>
      </c>
    </row>
    <row r="2002" spans="1:22">
      <c r="A2002" s="3">
        <v>45741</v>
      </c>
      <c r="B2002" t="str">
        <f t="shared" si="217"/>
        <v>yyyy-03</v>
      </c>
      <c r="C2002">
        <f t="shared" si="218"/>
        <v>13</v>
      </c>
      <c r="D2002" t="s">
        <v>24</v>
      </c>
      <c r="E2002" t="s">
        <v>40</v>
      </c>
      <c r="F2002" t="s">
        <v>41</v>
      </c>
      <c r="G2002" t="s">
        <v>31</v>
      </c>
      <c r="H2002" t="s">
        <v>32</v>
      </c>
      <c r="I2002" s="5">
        <v>1096</v>
      </c>
      <c r="J2002" s="5">
        <v>663</v>
      </c>
      <c r="K2002" s="5">
        <v>82</v>
      </c>
      <c r="L2002" s="5">
        <v>19</v>
      </c>
      <c r="M2002" s="5">
        <v>21</v>
      </c>
      <c r="N2002" s="7">
        <v>173.79</v>
      </c>
      <c r="O2002" s="7">
        <f t="shared" si="219"/>
        <v>3649.5899999999997</v>
      </c>
      <c r="P2002" s="4">
        <v>0</v>
      </c>
      <c r="Q2002" s="7">
        <f t="shared" si="220"/>
        <v>0</v>
      </c>
      <c r="R2002" s="7">
        <f t="shared" si="221"/>
        <v>3649.5899999999997</v>
      </c>
      <c r="S2002" s="7">
        <f t="shared" si="222"/>
        <v>192.08368421052629</v>
      </c>
      <c r="T2002" s="6">
        <f t="shared" si="223"/>
        <v>1.7335766423357664E-2</v>
      </c>
      <c r="V2002" t="s">
        <v>29</v>
      </c>
    </row>
    <row r="2003" spans="1:22">
      <c r="A2003" s="3">
        <v>45741</v>
      </c>
      <c r="B2003" t="str">
        <f t="shared" si="217"/>
        <v>yyyy-03</v>
      </c>
      <c r="C2003">
        <f t="shared" si="218"/>
        <v>13</v>
      </c>
      <c r="D2003" t="s">
        <v>42</v>
      </c>
      <c r="E2003" t="s">
        <v>43</v>
      </c>
      <c r="F2003" t="s">
        <v>44</v>
      </c>
      <c r="G2003" t="s">
        <v>31</v>
      </c>
      <c r="H2003" t="s">
        <v>32</v>
      </c>
      <c r="I2003" s="5">
        <v>699</v>
      </c>
      <c r="J2003" s="5">
        <v>420</v>
      </c>
      <c r="K2003" s="5">
        <v>43</v>
      </c>
      <c r="L2003" s="5">
        <v>13</v>
      </c>
      <c r="M2003" s="5">
        <v>13</v>
      </c>
      <c r="N2003" s="7">
        <v>1259.31</v>
      </c>
      <c r="O2003" s="7">
        <f t="shared" si="219"/>
        <v>16371.029999999999</v>
      </c>
      <c r="P2003" s="4">
        <v>0.12</v>
      </c>
      <c r="Q2003" s="7">
        <f t="shared" si="220"/>
        <v>1964.5235999999998</v>
      </c>
      <c r="R2003" s="7">
        <f t="shared" si="221"/>
        <v>14406.506399999998</v>
      </c>
      <c r="S2003" s="7">
        <f t="shared" si="222"/>
        <v>1108.1927999999998</v>
      </c>
      <c r="T2003" s="6">
        <f t="shared" si="223"/>
        <v>1.8597997138769671E-2</v>
      </c>
      <c r="U2003" t="s">
        <v>91</v>
      </c>
      <c r="V2003" t="s">
        <v>29</v>
      </c>
    </row>
    <row r="2004" spans="1:22">
      <c r="A2004" s="3">
        <v>45741</v>
      </c>
      <c r="B2004" t="str">
        <f t="shared" si="217"/>
        <v>yyyy-03</v>
      </c>
      <c r="C2004">
        <f t="shared" si="218"/>
        <v>13</v>
      </c>
      <c r="D2004" t="s">
        <v>42</v>
      </c>
      <c r="E2004" t="s">
        <v>43</v>
      </c>
      <c r="F2004" t="s">
        <v>46</v>
      </c>
      <c r="G2004" t="s">
        <v>36</v>
      </c>
      <c r="H2004" t="s">
        <v>37</v>
      </c>
      <c r="I2004" s="5">
        <v>569</v>
      </c>
      <c r="J2004" s="5">
        <v>432</v>
      </c>
      <c r="K2004" s="5">
        <v>45</v>
      </c>
      <c r="L2004" s="5">
        <v>12</v>
      </c>
      <c r="M2004" s="5">
        <v>12</v>
      </c>
      <c r="N2004" s="7">
        <v>2170.7800000000002</v>
      </c>
      <c r="O2004" s="7">
        <f t="shared" si="219"/>
        <v>26049.360000000001</v>
      </c>
      <c r="P2004" s="4">
        <v>0.12</v>
      </c>
      <c r="Q2004" s="7">
        <f t="shared" si="220"/>
        <v>3125.9232000000002</v>
      </c>
      <c r="R2004" s="7">
        <f t="shared" si="221"/>
        <v>22923.436799999999</v>
      </c>
      <c r="S2004" s="7">
        <f t="shared" si="222"/>
        <v>1910.2864</v>
      </c>
      <c r="T2004" s="6">
        <f t="shared" si="223"/>
        <v>2.10896309314587E-2</v>
      </c>
      <c r="U2004" t="s">
        <v>91</v>
      </c>
      <c r="V2004" t="s">
        <v>29</v>
      </c>
    </row>
    <row r="2005" spans="1:22">
      <c r="A2005" s="3">
        <v>45741</v>
      </c>
      <c r="B2005" t="str">
        <f t="shared" si="217"/>
        <v>yyyy-03</v>
      </c>
      <c r="C2005">
        <f t="shared" si="218"/>
        <v>13</v>
      </c>
      <c r="D2005" t="s">
        <v>42</v>
      </c>
      <c r="E2005" t="s">
        <v>43</v>
      </c>
      <c r="F2005" t="s">
        <v>47</v>
      </c>
      <c r="G2005" t="s">
        <v>36</v>
      </c>
      <c r="H2005" t="s">
        <v>37</v>
      </c>
      <c r="I2005" s="5">
        <v>495</v>
      </c>
      <c r="J2005" s="5">
        <v>396</v>
      </c>
      <c r="K2005" s="5">
        <v>36</v>
      </c>
      <c r="L2005" s="5">
        <v>11</v>
      </c>
      <c r="M2005" s="5">
        <v>11</v>
      </c>
      <c r="N2005" s="7">
        <v>601.30999999999995</v>
      </c>
      <c r="O2005" s="7">
        <f t="shared" si="219"/>
        <v>6614.41</v>
      </c>
      <c r="P2005" s="4">
        <v>0.12</v>
      </c>
      <c r="Q2005" s="7">
        <f t="shared" si="220"/>
        <v>793.72919999999999</v>
      </c>
      <c r="R2005" s="7">
        <f t="shared" si="221"/>
        <v>5820.6808000000001</v>
      </c>
      <c r="S2005" s="7">
        <f t="shared" si="222"/>
        <v>529.15279999999996</v>
      </c>
      <c r="T2005" s="6">
        <f t="shared" si="223"/>
        <v>2.2222222222222223E-2</v>
      </c>
      <c r="U2005" t="s">
        <v>91</v>
      </c>
      <c r="V2005" t="s">
        <v>29</v>
      </c>
    </row>
    <row r="2006" spans="1:22">
      <c r="A2006" s="3">
        <v>45741</v>
      </c>
      <c r="B2006" t="str">
        <f t="shared" si="217"/>
        <v>yyyy-03</v>
      </c>
      <c r="C2006">
        <f t="shared" si="218"/>
        <v>13</v>
      </c>
      <c r="D2006" t="s">
        <v>42</v>
      </c>
      <c r="E2006" t="s">
        <v>49</v>
      </c>
      <c r="F2006" t="s">
        <v>50</v>
      </c>
      <c r="G2006" t="s">
        <v>27</v>
      </c>
      <c r="H2006" t="s">
        <v>28</v>
      </c>
      <c r="I2006" s="5">
        <v>157</v>
      </c>
      <c r="J2006" s="5">
        <v>126</v>
      </c>
      <c r="K2006" s="5">
        <v>9</v>
      </c>
      <c r="L2006" s="5">
        <v>2</v>
      </c>
      <c r="M2006" s="5">
        <v>2</v>
      </c>
      <c r="N2006" s="7">
        <v>991.95</v>
      </c>
      <c r="O2006" s="7">
        <f t="shared" si="219"/>
        <v>1983.9</v>
      </c>
      <c r="P2006" s="4">
        <v>0.03</v>
      </c>
      <c r="Q2006" s="7">
        <f t="shared" si="220"/>
        <v>59.517000000000003</v>
      </c>
      <c r="R2006" s="7">
        <f t="shared" si="221"/>
        <v>1924.383</v>
      </c>
      <c r="S2006" s="7">
        <f t="shared" si="222"/>
        <v>962.19150000000002</v>
      </c>
      <c r="T2006" s="6">
        <f t="shared" si="223"/>
        <v>1.2738853503184714E-2</v>
      </c>
      <c r="V2006" t="s">
        <v>29</v>
      </c>
    </row>
    <row r="2007" spans="1:22">
      <c r="A2007" s="3">
        <v>45741</v>
      </c>
      <c r="B2007" t="str">
        <f t="shared" si="217"/>
        <v>yyyy-03</v>
      </c>
      <c r="C2007">
        <f t="shared" si="218"/>
        <v>13</v>
      </c>
      <c r="D2007" t="s">
        <v>42</v>
      </c>
      <c r="E2007" t="s">
        <v>51</v>
      </c>
      <c r="F2007" t="s">
        <v>52</v>
      </c>
      <c r="G2007" t="s">
        <v>31</v>
      </c>
      <c r="H2007" t="s">
        <v>32</v>
      </c>
      <c r="I2007" s="5">
        <v>339</v>
      </c>
      <c r="J2007" s="5">
        <v>278</v>
      </c>
      <c r="K2007" s="5">
        <v>21</v>
      </c>
      <c r="L2007" s="5">
        <v>4</v>
      </c>
      <c r="M2007" s="5">
        <v>4</v>
      </c>
      <c r="N2007" s="7">
        <v>607.6</v>
      </c>
      <c r="O2007" s="7">
        <f t="shared" si="219"/>
        <v>2430.4</v>
      </c>
      <c r="P2007" s="4">
        <v>0.03</v>
      </c>
      <c r="Q2007" s="7">
        <f t="shared" si="220"/>
        <v>72.912000000000006</v>
      </c>
      <c r="R2007" s="7">
        <f t="shared" si="221"/>
        <v>2357.4880000000003</v>
      </c>
      <c r="S2007" s="7">
        <f t="shared" si="222"/>
        <v>589.37200000000007</v>
      </c>
      <c r="T2007" s="6">
        <f t="shared" si="223"/>
        <v>1.1799410029498525E-2</v>
      </c>
      <c r="V2007" t="s">
        <v>29</v>
      </c>
    </row>
    <row r="2008" spans="1:22">
      <c r="A2008" s="3">
        <v>45741</v>
      </c>
      <c r="B2008" t="str">
        <f t="shared" si="217"/>
        <v>yyyy-03</v>
      </c>
      <c r="C2008">
        <f t="shared" si="218"/>
        <v>13</v>
      </c>
      <c r="D2008" t="s">
        <v>53</v>
      </c>
      <c r="E2008" t="s">
        <v>54</v>
      </c>
      <c r="F2008" t="s">
        <v>55</v>
      </c>
      <c r="G2008" t="s">
        <v>27</v>
      </c>
      <c r="H2008" t="s">
        <v>45</v>
      </c>
      <c r="I2008" s="5">
        <v>179</v>
      </c>
      <c r="J2008" s="5">
        <v>130</v>
      </c>
      <c r="K2008" s="5">
        <v>7</v>
      </c>
      <c r="L2008" s="5">
        <v>2</v>
      </c>
      <c r="M2008" s="5">
        <v>2</v>
      </c>
      <c r="N2008" s="7">
        <v>1262.1600000000001</v>
      </c>
      <c r="O2008" s="7">
        <f t="shared" si="219"/>
        <v>2524.3200000000002</v>
      </c>
      <c r="P2008" s="4">
        <v>0</v>
      </c>
      <c r="Q2008" s="7">
        <f t="shared" si="220"/>
        <v>0</v>
      </c>
      <c r="R2008" s="7">
        <f t="shared" si="221"/>
        <v>2524.3200000000002</v>
      </c>
      <c r="S2008" s="7">
        <f t="shared" si="222"/>
        <v>1262.1600000000001</v>
      </c>
      <c r="T2008" s="6">
        <f t="shared" si="223"/>
        <v>1.11731843575419E-2</v>
      </c>
      <c r="V2008" t="s">
        <v>29</v>
      </c>
    </row>
    <row r="2009" spans="1:22">
      <c r="A2009" s="3">
        <v>45741</v>
      </c>
      <c r="B2009" t="str">
        <f t="shared" si="217"/>
        <v>yyyy-03</v>
      </c>
      <c r="C2009">
        <f t="shared" si="218"/>
        <v>13</v>
      </c>
      <c r="D2009" t="s">
        <v>53</v>
      </c>
      <c r="E2009" t="s">
        <v>56</v>
      </c>
      <c r="F2009" t="s">
        <v>57</v>
      </c>
      <c r="G2009" t="s">
        <v>27</v>
      </c>
      <c r="H2009" t="s">
        <v>63</v>
      </c>
      <c r="I2009" s="5">
        <v>131</v>
      </c>
      <c r="J2009" s="5">
        <v>84</v>
      </c>
      <c r="K2009" s="5">
        <v>4</v>
      </c>
      <c r="L2009" s="5">
        <v>1</v>
      </c>
      <c r="M2009" s="5">
        <v>1</v>
      </c>
      <c r="N2009" s="7">
        <v>759.71</v>
      </c>
      <c r="O2009" s="7">
        <f t="shared" si="219"/>
        <v>759.71</v>
      </c>
      <c r="P2009" s="4">
        <v>0.05</v>
      </c>
      <c r="Q2009" s="7">
        <f t="shared" si="220"/>
        <v>37.985500000000002</v>
      </c>
      <c r="R2009" s="7">
        <f t="shared" si="221"/>
        <v>721.72450000000003</v>
      </c>
      <c r="S2009" s="7">
        <f t="shared" si="222"/>
        <v>721.72450000000003</v>
      </c>
      <c r="T2009" s="6">
        <f t="shared" si="223"/>
        <v>7.6335877862595417E-3</v>
      </c>
      <c r="V2009" t="s">
        <v>29</v>
      </c>
    </row>
    <row r="2010" spans="1:22">
      <c r="A2010" s="3">
        <v>45741</v>
      </c>
      <c r="B2010" t="str">
        <f t="shared" si="217"/>
        <v>yyyy-03</v>
      </c>
      <c r="C2010">
        <f t="shared" si="218"/>
        <v>13</v>
      </c>
      <c r="D2010" t="s">
        <v>53</v>
      </c>
      <c r="E2010" t="s">
        <v>56</v>
      </c>
      <c r="F2010" t="s">
        <v>58</v>
      </c>
      <c r="G2010" t="s">
        <v>36</v>
      </c>
      <c r="H2010" t="s">
        <v>37</v>
      </c>
      <c r="I2010" s="5">
        <v>178</v>
      </c>
      <c r="J2010" s="5">
        <v>114</v>
      </c>
      <c r="K2010" s="5">
        <v>9</v>
      </c>
      <c r="L2010" s="5">
        <v>2</v>
      </c>
      <c r="M2010" s="5">
        <v>2</v>
      </c>
      <c r="N2010" s="7">
        <v>869.05</v>
      </c>
      <c r="O2010" s="7">
        <f t="shared" si="219"/>
        <v>1738.1</v>
      </c>
      <c r="P2010" s="4">
        <v>0</v>
      </c>
      <c r="Q2010" s="7">
        <f t="shared" si="220"/>
        <v>0</v>
      </c>
      <c r="R2010" s="7">
        <f t="shared" si="221"/>
        <v>1738.1</v>
      </c>
      <c r="S2010" s="7">
        <f t="shared" si="222"/>
        <v>869.05</v>
      </c>
      <c r="T2010" s="6">
        <f t="shared" si="223"/>
        <v>1.1235955056179775E-2</v>
      </c>
      <c r="V2010" t="s">
        <v>29</v>
      </c>
    </row>
    <row r="2011" spans="1:22">
      <c r="A2011" s="3">
        <v>45741</v>
      </c>
      <c r="B2011" t="str">
        <f t="shared" si="217"/>
        <v>yyyy-03</v>
      </c>
      <c r="C2011">
        <f t="shared" si="218"/>
        <v>13</v>
      </c>
      <c r="D2011" t="s">
        <v>53</v>
      </c>
      <c r="E2011" t="s">
        <v>59</v>
      </c>
      <c r="F2011" t="s">
        <v>60</v>
      </c>
      <c r="G2011" t="s">
        <v>27</v>
      </c>
      <c r="H2011" t="s">
        <v>48</v>
      </c>
      <c r="I2011" s="5">
        <v>139</v>
      </c>
      <c r="J2011" s="5">
        <v>87</v>
      </c>
      <c r="K2011" s="5">
        <v>7</v>
      </c>
      <c r="L2011" s="5">
        <v>1</v>
      </c>
      <c r="M2011" s="5">
        <v>1</v>
      </c>
      <c r="N2011" s="7">
        <v>672.07</v>
      </c>
      <c r="O2011" s="7">
        <f t="shared" si="219"/>
        <v>672.07</v>
      </c>
      <c r="P2011" s="4">
        <v>0.05</v>
      </c>
      <c r="Q2011" s="7">
        <f t="shared" si="220"/>
        <v>33.603500000000004</v>
      </c>
      <c r="R2011" s="7">
        <f t="shared" si="221"/>
        <v>638.4665</v>
      </c>
      <c r="S2011" s="7">
        <f t="shared" si="222"/>
        <v>638.4665</v>
      </c>
      <c r="T2011" s="6">
        <f t="shared" si="223"/>
        <v>7.1942446043165471E-3</v>
      </c>
      <c r="V2011" t="s">
        <v>29</v>
      </c>
    </row>
    <row r="2012" spans="1:22">
      <c r="A2012" s="3">
        <v>45741</v>
      </c>
      <c r="B2012" t="str">
        <f t="shared" si="217"/>
        <v>yyyy-03</v>
      </c>
      <c r="C2012">
        <f t="shared" si="218"/>
        <v>13</v>
      </c>
      <c r="D2012" t="s">
        <v>53</v>
      </c>
      <c r="E2012" t="s">
        <v>61</v>
      </c>
      <c r="F2012" t="s">
        <v>62</v>
      </c>
      <c r="G2012" t="s">
        <v>27</v>
      </c>
      <c r="H2012" t="s">
        <v>63</v>
      </c>
      <c r="I2012" s="5">
        <v>105</v>
      </c>
      <c r="J2012" s="5">
        <v>76</v>
      </c>
      <c r="K2012" s="5">
        <v>4</v>
      </c>
      <c r="L2012" s="5">
        <v>1</v>
      </c>
      <c r="M2012" s="5">
        <v>1</v>
      </c>
      <c r="N2012" s="7">
        <v>504.68</v>
      </c>
      <c r="O2012" s="7">
        <f t="shared" si="219"/>
        <v>504.68</v>
      </c>
      <c r="P2012" s="4">
        <v>0</v>
      </c>
      <c r="Q2012" s="7">
        <f t="shared" si="220"/>
        <v>0</v>
      </c>
      <c r="R2012" s="7">
        <f t="shared" si="221"/>
        <v>504.68</v>
      </c>
      <c r="S2012" s="7">
        <f t="shared" si="222"/>
        <v>504.68</v>
      </c>
      <c r="T2012" s="6">
        <f t="shared" si="223"/>
        <v>9.5238095238095247E-3</v>
      </c>
      <c r="V2012" t="s">
        <v>29</v>
      </c>
    </row>
    <row r="2013" spans="1:22">
      <c r="A2013" s="3">
        <v>45741</v>
      </c>
      <c r="B2013" t="str">
        <f t="shared" si="217"/>
        <v>yyyy-03</v>
      </c>
      <c r="C2013">
        <f t="shared" si="218"/>
        <v>13</v>
      </c>
      <c r="D2013" t="s">
        <v>53</v>
      </c>
      <c r="E2013" t="s">
        <v>64</v>
      </c>
      <c r="F2013" t="s">
        <v>65</v>
      </c>
      <c r="G2013" t="s">
        <v>31</v>
      </c>
      <c r="H2013" t="s">
        <v>32</v>
      </c>
      <c r="I2013" s="5">
        <v>259</v>
      </c>
      <c r="J2013" s="5">
        <v>202</v>
      </c>
      <c r="K2013" s="5">
        <v>18</v>
      </c>
      <c r="L2013" s="5">
        <v>2</v>
      </c>
      <c r="M2013" s="5">
        <v>2</v>
      </c>
      <c r="N2013" s="7">
        <v>777.91</v>
      </c>
      <c r="O2013" s="7">
        <f t="shared" si="219"/>
        <v>1555.82</v>
      </c>
      <c r="P2013" s="4">
        <v>0</v>
      </c>
      <c r="Q2013" s="7">
        <f t="shared" si="220"/>
        <v>0</v>
      </c>
      <c r="R2013" s="7">
        <f t="shared" si="221"/>
        <v>1555.82</v>
      </c>
      <c r="S2013" s="7">
        <f t="shared" si="222"/>
        <v>777.91</v>
      </c>
      <c r="T2013" s="6">
        <f t="shared" si="223"/>
        <v>7.7220077220077222E-3</v>
      </c>
      <c r="V2013" t="s">
        <v>78</v>
      </c>
    </row>
    <row r="2014" spans="1:22">
      <c r="A2014" s="3">
        <v>45741</v>
      </c>
      <c r="B2014" t="str">
        <f t="shared" si="217"/>
        <v>yyyy-03</v>
      </c>
      <c r="C2014">
        <f t="shared" si="218"/>
        <v>13</v>
      </c>
      <c r="D2014" t="s">
        <v>66</v>
      </c>
      <c r="E2014" t="s">
        <v>67</v>
      </c>
      <c r="F2014" t="s">
        <v>68</v>
      </c>
      <c r="G2014" t="s">
        <v>27</v>
      </c>
      <c r="H2014" t="s">
        <v>28</v>
      </c>
      <c r="I2014" s="5">
        <v>414</v>
      </c>
      <c r="J2014" s="5">
        <v>314</v>
      </c>
      <c r="K2014" s="5">
        <v>33</v>
      </c>
      <c r="L2014" s="5">
        <v>8</v>
      </c>
      <c r="M2014" s="5">
        <v>8</v>
      </c>
      <c r="N2014" s="7">
        <v>700.15</v>
      </c>
      <c r="O2014" s="7">
        <f t="shared" si="219"/>
        <v>5601.2</v>
      </c>
      <c r="P2014" s="4">
        <v>0.1</v>
      </c>
      <c r="Q2014" s="7">
        <f t="shared" si="220"/>
        <v>560.12</v>
      </c>
      <c r="R2014" s="7">
        <f t="shared" si="221"/>
        <v>5041.08</v>
      </c>
      <c r="S2014" s="7">
        <f t="shared" si="222"/>
        <v>630.13499999999999</v>
      </c>
      <c r="T2014" s="6">
        <f t="shared" si="223"/>
        <v>1.932367149758454E-2</v>
      </c>
      <c r="U2014" t="s">
        <v>90</v>
      </c>
      <c r="V2014" t="s">
        <v>29</v>
      </c>
    </row>
    <row r="2015" spans="1:22">
      <c r="A2015" s="3">
        <v>45741</v>
      </c>
      <c r="B2015" t="str">
        <f t="shared" si="217"/>
        <v>yyyy-03</v>
      </c>
      <c r="C2015">
        <f t="shared" si="218"/>
        <v>13</v>
      </c>
      <c r="D2015" t="s">
        <v>66</v>
      </c>
      <c r="E2015" t="s">
        <v>67</v>
      </c>
      <c r="F2015" t="s">
        <v>69</v>
      </c>
      <c r="G2015" t="s">
        <v>27</v>
      </c>
      <c r="H2015" t="s">
        <v>28</v>
      </c>
      <c r="I2015" s="5">
        <v>385</v>
      </c>
      <c r="J2015" s="5">
        <v>245</v>
      </c>
      <c r="K2015" s="5">
        <v>33</v>
      </c>
      <c r="L2015" s="5">
        <v>8</v>
      </c>
      <c r="M2015" s="5">
        <v>8</v>
      </c>
      <c r="N2015" s="7">
        <v>392.39</v>
      </c>
      <c r="O2015" s="7">
        <f t="shared" si="219"/>
        <v>3139.12</v>
      </c>
      <c r="P2015" s="4">
        <v>0.1</v>
      </c>
      <c r="Q2015" s="7">
        <f t="shared" si="220"/>
        <v>313.91200000000003</v>
      </c>
      <c r="R2015" s="7">
        <f t="shared" si="221"/>
        <v>2825.2079999999996</v>
      </c>
      <c r="S2015" s="7">
        <f t="shared" si="222"/>
        <v>353.15099999999995</v>
      </c>
      <c r="T2015" s="6">
        <f t="shared" si="223"/>
        <v>2.0779220779220779E-2</v>
      </c>
      <c r="U2015" t="s">
        <v>90</v>
      </c>
      <c r="V2015" t="s">
        <v>29</v>
      </c>
    </row>
    <row r="2016" spans="1:22">
      <c r="A2016" s="3">
        <v>45741</v>
      </c>
      <c r="B2016" t="str">
        <f t="shared" si="217"/>
        <v>yyyy-03</v>
      </c>
      <c r="C2016">
        <f t="shared" si="218"/>
        <v>13</v>
      </c>
      <c r="D2016" t="s">
        <v>66</v>
      </c>
      <c r="E2016" t="s">
        <v>67</v>
      </c>
      <c r="F2016" t="s">
        <v>70</v>
      </c>
      <c r="G2016" t="s">
        <v>27</v>
      </c>
      <c r="H2016" t="s">
        <v>48</v>
      </c>
      <c r="I2016" s="5">
        <v>285</v>
      </c>
      <c r="J2016" s="5">
        <v>205</v>
      </c>
      <c r="K2016" s="5">
        <v>19</v>
      </c>
      <c r="L2016" s="5">
        <v>5</v>
      </c>
      <c r="M2016" s="5">
        <v>5</v>
      </c>
      <c r="N2016" s="7">
        <v>340.19</v>
      </c>
      <c r="O2016" s="7">
        <f t="shared" si="219"/>
        <v>1700.95</v>
      </c>
      <c r="P2016" s="4">
        <v>0.1</v>
      </c>
      <c r="Q2016" s="7">
        <f t="shared" si="220"/>
        <v>170.09500000000003</v>
      </c>
      <c r="R2016" s="7">
        <f t="shared" si="221"/>
        <v>1530.855</v>
      </c>
      <c r="S2016" s="7">
        <f t="shared" si="222"/>
        <v>306.17099999999999</v>
      </c>
      <c r="T2016" s="6">
        <f t="shared" si="223"/>
        <v>1.7543859649122806E-2</v>
      </c>
      <c r="U2016" t="s">
        <v>90</v>
      </c>
      <c r="V2016" t="s">
        <v>78</v>
      </c>
    </row>
    <row r="2017" spans="1:22">
      <c r="A2017" s="3">
        <v>45741</v>
      </c>
      <c r="B2017" t="str">
        <f t="shared" si="217"/>
        <v>yyyy-03</v>
      </c>
      <c r="C2017">
        <f t="shared" si="218"/>
        <v>13</v>
      </c>
      <c r="D2017" t="s">
        <v>66</v>
      </c>
      <c r="E2017" t="s">
        <v>71</v>
      </c>
      <c r="F2017" t="s">
        <v>72</v>
      </c>
      <c r="G2017" t="s">
        <v>31</v>
      </c>
      <c r="H2017" t="s">
        <v>32</v>
      </c>
      <c r="I2017" s="5">
        <v>309</v>
      </c>
      <c r="J2017" s="5">
        <v>223</v>
      </c>
      <c r="K2017" s="5">
        <v>14</v>
      </c>
      <c r="L2017" s="5">
        <v>5</v>
      </c>
      <c r="M2017" s="5">
        <v>6</v>
      </c>
      <c r="N2017" s="7">
        <v>129.81</v>
      </c>
      <c r="O2017" s="7">
        <f t="shared" si="219"/>
        <v>778.86</v>
      </c>
      <c r="P2017" s="4">
        <v>0</v>
      </c>
      <c r="Q2017" s="7">
        <f t="shared" si="220"/>
        <v>0</v>
      </c>
      <c r="R2017" s="7">
        <f t="shared" si="221"/>
        <v>778.86</v>
      </c>
      <c r="S2017" s="7">
        <f t="shared" si="222"/>
        <v>155.77199999999999</v>
      </c>
      <c r="T2017" s="6">
        <f t="shared" si="223"/>
        <v>1.6181229773462782E-2</v>
      </c>
      <c r="V2017" t="s">
        <v>29</v>
      </c>
    </row>
    <row r="2018" spans="1:22">
      <c r="A2018" s="3">
        <v>45741</v>
      </c>
      <c r="B2018" t="str">
        <f t="shared" si="217"/>
        <v>yyyy-03</v>
      </c>
      <c r="C2018">
        <f t="shared" si="218"/>
        <v>13</v>
      </c>
      <c r="D2018" t="s">
        <v>66</v>
      </c>
      <c r="E2018" t="s">
        <v>73</v>
      </c>
      <c r="F2018" t="s">
        <v>74</v>
      </c>
      <c r="G2018" t="s">
        <v>36</v>
      </c>
      <c r="H2018" t="s">
        <v>37</v>
      </c>
      <c r="I2018" s="5">
        <v>285</v>
      </c>
      <c r="J2018" s="5">
        <v>227</v>
      </c>
      <c r="K2018" s="5">
        <v>15</v>
      </c>
      <c r="L2018" s="5">
        <v>6</v>
      </c>
      <c r="M2018" s="5">
        <v>6</v>
      </c>
      <c r="N2018" s="7">
        <v>1212.4000000000001</v>
      </c>
      <c r="O2018" s="7">
        <f t="shared" si="219"/>
        <v>7274.4000000000005</v>
      </c>
      <c r="P2018" s="4">
        <v>0.05</v>
      </c>
      <c r="Q2018" s="7">
        <f t="shared" si="220"/>
        <v>363.72</v>
      </c>
      <c r="R2018" s="7">
        <f t="shared" si="221"/>
        <v>6910.68</v>
      </c>
      <c r="S2018" s="7">
        <f t="shared" si="222"/>
        <v>1151.78</v>
      </c>
      <c r="T2018" s="6">
        <f t="shared" si="223"/>
        <v>2.1052631578947368E-2</v>
      </c>
      <c r="V2018" t="s">
        <v>29</v>
      </c>
    </row>
    <row r="2019" spans="1:22">
      <c r="A2019" s="3">
        <v>45741</v>
      </c>
      <c r="B2019" t="str">
        <f t="shared" si="217"/>
        <v>yyyy-03</v>
      </c>
      <c r="C2019">
        <f t="shared" si="218"/>
        <v>13</v>
      </c>
      <c r="D2019" t="s">
        <v>66</v>
      </c>
      <c r="E2019" t="s">
        <v>71</v>
      </c>
      <c r="F2019" t="s">
        <v>75</v>
      </c>
      <c r="G2019" t="s">
        <v>27</v>
      </c>
      <c r="H2019" t="s">
        <v>45</v>
      </c>
      <c r="I2019" s="5">
        <v>295</v>
      </c>
      <c r="J2019" s="5">
        <v>192</v>
      </c>
      <c r="K2019" s="5">
        <v>25</v>
      </c>
      <c r="L2019" s="5">
        <v>5</v>
      </c>
      <c r="M2019" s="5">
        <v>5</v>
      </c>
      <c r="N2019" s="7">
        <v>37.549999999999997</v>
      </c>
      <c r="O2019" s="7">
        <f t="shared" si="219"/>
        <v>187.75</v>
      </c>
      <c r="P2019" s="4">
        <v>0</v>
      </c>
      <c r="Q2019" s="7">
        <f t="shared" si="220"/>
        <v>0</v>
      </c>
      <c r="R2019" s="7">
        <f t="shared" si="221"/>
        <v>187.75</v>
      </c>
      <c r="S2019" s="7">
        <f t="shared" si="222"/>
        <v>37.549999999999997</v>
      </c>
      <c r="T2019" s="6">
        <f t="shared" si="223"/>
        <v>1.6949152542372881E-2</v>
      </c>
      <c r="V2019" t="s">
        <v>29</v>
      </c>
    </row>
    <row r="2020" spans="1:22">
      <c r="A2020" s="3">
        <v>45741</v>
      </c>
      <c r="B2020" t="str">
        <f t="shared" si="217"/>
        <v>yyyy-03</v>
      </c>
      <c r="C2020">
        <f t="shared" si="218"/>
        <v>13</v>
      </c>
      <c r="D2020" t="s">
        <v>24</v>
      </c>
      <c r="E2020" t="s">
        <v>76</v>
      </c>
      <c r="F2020" t="s">
        <v>77</v>
      </c>
      <c r="G2020" t="s">
        <v>27</v>
      </c>
      <c r="H2020" t="s">
        <v>63</v>
      </c>
      <c r="I2020" s="5">
        <v>433</v>
      </c>
      <c r="J2020" s="5">
        <v>277</v>
      </c>
      <c r="K2020" s="5">
        <v>44</v>
      </c>
      <c r="L2020" s="5">
        <v>9</v>
      </c>
      <c r="M2020" s="5">
        <v>12</v>
      </c>
      <c r="N2020" s="7">
        <v>200.95</v>
      </c>
      <c r="O2020" s="7">
        <f t="shared" si="219"/>
        <v>2411.3999999999996</v>
      </c>
      <c r="P2020" s="4">
        <v>0</v>
      </c>
      <c r="Q2020" s="7">
        <f t="shared" si="220"/>
        <v>0</v>
      </c>
      <c r="R2020" s="7">
        <f t="shared" si="221"/>
        <v>2411.3999999999996</v>
      </c>
      <c r="S2020" s="7">
        <f t="shared" si="222"/>
        <v>267.93333333333328</v>
      </c>
      <c r="T2020" s="6">
        <f t="shared" si="223"/>
        <v>2.0785219399538105E-2</v>
      </c>
      <c r="V2020" t="s">
        <v>29</v>
      </c>
    </row>
    <row r="2021" spans="1:22">
      <c r="A2021" s="3">
        <v>45742</v>
      </c>
      <c r="B2021" t="str">
        <f t="shared" si="217"/>
        <v>yyyy-03</v>
      </c>
      <c r="C2021">
        <f t="shared" si="218"/>
        <v>13</v>
      </c>
      <c r="D2021" t="s">
        <v>24</v>
      </c>
      <c r="E2021" t="s">
        <v>25</v>
      </c>
      <c r="F2021" t="s">
        <v>26</v>
      </c>
      <c r="G2021" t="s">
        <v>31</v>
      </c>
      <c r="H2021" t="s">
        <v>32</v>
      </c>
      <c r="I2021" s="5">
        <v>1625</v>
      </c>
      <c r="J2021" s="5">
        <v>895</v>
      </c>
      <c r="K2021" s="5">
        <v>175</v>
      </c>
      <c r="L2021" s="5">
        <v>36</v>
      </c>
      <c r="M2021" s="5">
        <v>36</v>
      </c>
      <c r="N2021" s="7">
        <v>972.36</v>
      </c>
      <c r="O2021" s="7">
        <f t="shared" si="219"/>
        <v>35004.959999999999</v>
      </c>
      <c r="P2021" s="4">
        <v>0</v>
      </c>
      <c r="Q2021" s="7">
        <f t="shared" si="220"/>
        <v>0</v>
      </c>
      <c r="R2021" s="7">
        <f t="shared" si="221"/>
        <v>35004.959999999999</v>
      </c>
      <c r="S2021" s="7">
        <f t="shared" si="222"/>
        <v>972.36</v>
      </c>
      <c r="T2021" s="6">
        <f t="shared" si="223"/>
        <v>2.2153846153846152E-2</v>
      </c>
      <c r="V2021" t="s">
        <v>29</v>
      </c>
    </row>
    <row r="2022" spans="1:22">
      <c r="A2022" s="3">
        <v>45742</v>
      </c>
      <c r="B2022" t="str">
        <f t="shared" si="217"/>
        <v>yyyy-03</v>
      </c>
      <c r="C2022">
        <f t="shared" si="218"/>
        <v>13</v>
      </c>
      <c r="D2022" t="s">
        <v>24</v>
      </c>
      <c r="E2022" t="s">
        <v>25</v>
      </c>
      <c r="F2022" t="s">
        <v>30</v>
      </c>
      <c r="G2022" t="s">
        <v>27</v>
      </c>
      <c r="H2022" t="s">
        <v>63</v>
      </c>
      <c r="I2022" s="5">
        <v>1073</v>
      </c>
      <c r="J2022" s="5">
        <v>877</v>
      </c>
      <c r="K2022" s="5">
        <v>117</v>
      </c>
      <c r="L2022" s="5">
        <v>24</v>
      </c>
      <c r="M2022" s="5">
        <v>24</v>
      </c>
      <c r="N2022" s="7">
        <v>402.04</v>
      </c>
      <c r="O2022" s="7">
        <f t="shared" si="219"/>
        <v>9648.9600000000009</v>
      </c>
      <c r="P2022" s="4">
        <v>0.05</v>
      </c>
      <c r="Q2022" s="7">
        <f t="shared" si="220"/>
        <v>482.44800000000009</v>
      </c>
      <c r="R2022" s="7">
        <f t="shared" si="221"/>
        <v>9166.5120000000006</v>
      </c>
      <c r="S2022" s="7">
        <f t="shared" si="222"/>
        <v>381.93800000000005</v>
      </c>
      <c r="T2022" s="6">
        <f t="shared" si="223"/>
        <v>2.2367194780987885E-2</v>
      </c>
      <c r="V2022" t="s">
        <v>29</v>
      </c>
    </row>
    <row r="2023" spans="1:22">
      <c r="A2023" s="3">
        <v>45742</v>
      </c>
      <c r="B2023" t="str">
        <f t="shared" si="217"/>
        <v>yyyy-03</v>
      </c>
      <c r="C2023">
        <f t="shared" si="218"/>
        <v>13</v>
      </c>
      <c r="D2023" t="s">
        <v>24</v>
      </c>
      <c r="E2023" t="s">
        <v>25</v>
      </c>
      <c r="F2023" t="s">
        <v>33</v>
      </c>
      <c r="G2023" t="s">
        <v>27</v>
      </c>
      <c r="H2023" t="s">
        <v>28</v>
      </c>
      <c r="I2023" s="5">
        <v>1326</v>
      </c>
      <c r="J2023" s="5">
        <v>854</v>
      </c>
      <c r="K2023" s="5">
        <v>77</v>
      </c>
      <c r="L2023" s="5">
        <v>23</v>
      </c>
      <c r="M2023" s="5">
        <v>23</v>
      </c>
      <c r="N2023" s="7">
        <v>1742.71</v>
      </c>
      <c r="O2023" s="7">
        <f t="shared" si="219"/>
        <v>40082.33</v>
      </c>
      <c r="P2023" s="4">
        <v>0.05</v>
      </c>
      <c r="Q2023" s="7">
        <f t="shared" si="220"/>
        <v>2004.1165000000001</v>
      </c>
      <c r="R2023" s="7">
        <f t="shared" si="221"/>
        <v>38078.213499999998</v>
      </c>
      <c r="S2023" s="7">
        <f t="shared" si="222"/>
        <v>1655.5744999999999</v>
      </c>
      <c r="T2023" s="6">
        <f t="shared" si="223"/>
        <v>1.7345399698340876E-2</v>
      </c>
      <c r="V2023" t="s">
        <v>29</v>
      </c>
    </row>
    <row r="2024" spans="1:22">
      <c r="A2024" s="3">
        <v>45742</v>
      </c>
      <c r="B2024" t="str">
        <f t="shared" si="217"/>
        <v>yyyy-03</v>
      </c>
      <c r="C2024">
        <f t="shared" si="218"/>
        <v>13</v>
      </c>
      <c r="D2024" t="s">
        <v>24</v>
      </c>
      <c r="E2024" t="s">
        <v>34</v>
      </c>
      <c r="F2024" t="s">
        <v>35</v>
      </c>
      <c r="G2024" t="s">
        <v>27</v>
      </c>
      <c r="H2024" t="s">
        <v>63</v>
      </c>
      <c r="I2024" s="5">
        <v>660</v>
      </c>
      <c r="J2024" s="5">
        <v>544</v>
      </c>
      <c r="K2024" s="5">
        <v>53</v>
      </c>
      <c r="L2024" s="5">
        <v>11</v>
      </c>
      <c r="M2024" s="5">
        <v>11</v>
      </c>
      <c r="N2024" s="7">
        <v>863.95</v>
      </c>
      <c r="O2024" s="7">
        <f t="shared" si="219"/>
        <v>9503.4500000000007</v>
      </c>
      <c r="P2024" s="4">
        <v>0</v>
      </c>
      <c r="Q2024" s="7">
        <f t="shared" si="220"/>
        <v>0</v>
      </c>
      <c r="R2024" s="7">
        <f t="shared" si="221"/>
        <v>9503.4500000000007</v>
      </c>
      <c r="S2024" s="7">
        <f t="shared" si="222"/>
        <v>863.95</v>
      </c>
      <c r="T2024" s="6">
        <f t="shared" si="223"/>
        <v>1.6666666666666666E-2</v>
      </c>
      <c r="V2024" t="s">
        <v>29</v>
      </c>
    </row>
    <row r="2025" spans="1:22">
      <c r="A2025" s="3">
        <v>45742</v>
      </c>
      <c r="B2025" t="str">
        <f t="shared" si="217"/>
        <v>yyyy-03</v>
      </c>
      <c r="C2025">
        <f t="shared" si="218"/>
        <v>13</v>
      </c>
      <c r="D2025" t="s">
        <v>24</v>
      </c>
      <c r="E2025" t="s">
        <v>38</v>
      </c>
      <c r="F2025" t="s">
        <v>39</v>
      </c>
      <c r="G2025" t="s">
        <v>31</v>
      </c>
      <c r="H2025" t="s">
        <v>32</v>
      </c>
      <c r="I2025" s="5">
        <v>1081</v>
      </c>
      <c r="J2025" s="5">
        <v>894</v>
      </c>
      <c r="K2025" s="5">
        <v>96</v>
      </c>
      <c r="L2025" s="5">
        <v>26</v>
      </c>
      <c r="M2025" s="5">
        <v>26</v>
      </c>
      <c r="N2025" s="7">
        <v>328.97</v>
      </c>
      <c r="O2025" s="7">
        <f t="shared" si="219"/>
        <v>8553.2200000000012</v>
      </c>
      <c r="P2025" s="4">
        <v>0.03</v>
      </c>
      <c r="Q2025" s="7">
        <f t="shared" si="220"/>
        <v>256.59660000000002</v>
      </c>
      <c r="R2025" s="7">
        <f t="shared" si="221"/>
        <v>8296.6234000000004</v>
      </c>
      <c r="S2025" s="7">
        <f t="shared" si="222"/>
        <v>319.10090000000002</v>
      </c>
      <c r="T2025" s="6">
        <f t="shared" si="223"/>
        <v>2.4051803885291396E-2</v>
      </c>
      <c r="V2025" t="s">
        <v>29</v>
      </c>
    </row>
    <row r="2026" spans="1:22">
      <c r="A2026" s="3">
        <v>45742</v>
      </c>
      <c r="B2026" t="str">
        <f t="shared" si="217"/>
        <v>yyyy-03</v>
      </c>
      <c r="C2026">
        <f t="shared" si="218"/>
        <v>13</v>
      </c>
      <c r="D2026" t="s">
        <v>24</v>
      </c>
      <c r="E2026" t="s">
        <v>40</v>
      </c>
      <c r="F2026" t="s">
        <v>41</v>
      </c>
      <c r="G2026" t="s">
        <v>27</v>
      </c>
      <c r="H2026" t="s">
        <v>45</v>
      </c>
      <c r="I2026" s="5">
        <v>630</v>
      </c>
      <c r="J2026" s="5">
        <v>514</v>
      </c>
      <c r="K2026" s="5">
        <v>54</v>
      </c>
      <c r="L2026" s="5">
        <v>12</v>
      </c>
      <c r="M2026" s="5">
        <v>15</v>
      </c>
      <c r="N2026" s="7">
        <v>182.51</v>
      </c>
      <c r="O2026" s="7">
        <f t="shared" si="219"/>
        <v>2737.6499999999996</v>
      </c>
      <c r="P2026" s="4">
        <v>0</v>
      </c>
      <c r="Q2026" s="7">
        <f t="shared" si="220"/>
        <v>0</v>
      </c>
      <c r="R2026" s="7">
        <f t="shared" si="221"/>
        <v>2737.6499999999996</v>
      </c>
      <c r="S2026" s="7">
        <f t="shared" si="222"/>
        <v>228.13749999999996</v>
      </c>
      <c r="T2026" s="6">
        <f t="shared" si="223"/>
        <v>1.9047619047619049E-2</v>
      </c>
      <c r="V2026" t="s">
        <v>29</v>
      </c>
    </row>
    <row r="2027" spans="1:22">
      <c r="A2027" s="3">
        <v>45742</v>
      </c>
      <c r="B2027" t="str">
        <f t="shared" si="217"/>
        <v>yyyy-03</v>
      </c>
      <c r="C2027">
        <f t="shared" si="218"/>
        <v>13</v>
      </c>
      <c r="D2027" t="s">
        <v>42</v>
      </c>
      <c r="E2027" t="s">
        <v>43</v>
      </c>
      <c r="F2027" t="s">
        <v>44</v>
      </c>
      <c r="G2027" t="s">
        <v>31</v>
      </c>
      <c r="H2027" t="s">
        <v>32</v>
      </c>
      <c r="I2027" s="5">
        <v>629</v>
      </c>
      <c r="J2027" s="5">
        <v>502</v>
      </c>
      <c r="K2027" s="5">
        <v>52</v>
      </c>
      <c r="L2027" s="5">
        <v>13</v>
      </c>
      <c r="M2027" s="5">
        <v>13</v>
      </c>
      <c r="N2027" s="7">
        <v>1252.24</v>
      </c>
      <c r="O2027" s="7">
        <f t="shared" si="219"/>
        <v>16279.12</v>
      </c>
      <c r="P2027" s="4">
        <v>0.12</v>
      </c>
      <c r="Q2027" s="7">
        <f t="shared" si="220"/>
        <v>1953.4944</v>
      </c>
      <c r="R2027" s="7">
        <f t="shared" si="221"/>
        <v>14325.625600000001</v>
      </c>
      <c r="S2027" s="7">
        <f t="shared" si="222"/>
        <v>1101.9712000000002</v>
      </c>
      <c r="T2027" s="6">
        <f t="shared" si="223"/>
        <v>2.066772655007949E-2</v>
      </c>
      <c r="U2027" t="s">
        <v>91</v>
      </c>
      <c r="V2027" t="s">
        <v>29</v>
      </c>
    </row>
    <row r="2028" spans="1:22">
      <c r="A2028" s="3">
        <v>45742</v>
      </c>
      <c r="B2028" t="str">
        <f t="shared" si="217"/>
        <v>yyyy-03</v>
      </c>
      <c r="C2028">
        <f t="shared" si="218"/>
        <v>13</v>
      </c>
      <c r="D2028" t="s">
        <v>42</v>
      </c>
      <c r="E2028" t="s">
        <v>43</v>
      </c>
      <c r="F2028" t="s">
        <v>46</v>
      </c>
      <c r="G2028" t="s">
        <v>27</v>
      </c>
      <c r="H2028" t="s">
        <v>28</v>
      </c>
      <c r="I2028" s="5">
        <v>453</v>
      </c>
      <c r="J2028" s="5">
        <v>273</v>
      </c>
      <c r="K2028" s="5">
        <v>31</v>
      </c>
      <c r="L2028" s="5">
        <v>9</v>
      </c>
      <c r="M2028" s="5">
        <v>9</v>
      </c>
      <c r="N2028" s="7">
        <v>2142.2199999999998</v>
      </c>
      <c r="O2028" s="7">
        <f t="shared" si="219"/>
        <v>19279.98</v>
      </c>
      <c r="P2028" s="4">
        <v>0.12</v>
      </c>
      <c r="Q2028" s="7">
        <f t="shared" si="220"/>
        <v>2313.5976000000001</v>
      </c>
      <c r="R2028" s="7">
        <f t="shared" si="221"/>
        <v>16966.382399999999</v>
      </c>
      <c r="S2028" s="7">
        <f t="shared" si="222"/>
        <v>1885.1535999999999</v>
      </c>
      <c r="T2028" s="6">
        <f t="shared" si="223"/>
        <v>1.9867549668874173E-2</v>
      </c>
      <c r="U2028" t="s">
        <v>91</v>
      </c>
      <c r="V2028" t="s">
        <v>29</v>
      </c>
    </row>
    <row r="2029" spans="1:22">
      <c r="A2029" s="3">
        <v>45742</v>
      </c>
      <c r="B2029" t="str">
        <f t="shared" si="217"/>
        <v>yyyy-03</v>
      </c>
      <c r="C2029">
        <f t="shared" si="218"/>
        <v>13</v>
      </c>
      <c r="D2029" t="s">
        <v>42</v>
      </c>
      <c r="E2029" t="s">
        <v>43</v>
      </c>
      <c r="F2029" t="s">
        <v>47</v>
      </c>
      <c r="G2029" t="s">
        <v>27</v>
      </c>
      <c r="H2029" t="s">
        <v>28</v>
      </c>
      <c r="I2029" s="5">
        <v>595</v>
      </c>
      <c r="J2029" s="5">
        <v>451</v>
      </c>
      <c r="K2029" s="5">
        <v>33</v>
      </c>
      <c r="L2029" s="5">
        <v>11</v>
      </c>
      <c r="M2029" s="5">
        <v>11</v>
      </c>
      <c r="N2029" s="7">
        <v>598.76</v>
      </c>
      <c r="O2029" s="7">
        <f t="shared" si="219"/>
        <v>6586.36</v>
      </c>
      <c r="P2029" s="4">
        <v>0.12</v>
      </c>
      <c r="Q2029" s="7">
        <f t="shared" si="220"/>
        <v>790.36319999999989</v>
      </c>
      <c r="R2029" s="7">
        <f t="shared" si="221"/>
        <v>5795.9967999999999</v>
      </c>
      <c r="S2029" s="7">
        <f t="shared" si="222"/>
        <v>526.90880000000004</v>
      </c>
      <c r="T2029" s="6">
        <f t="shared" si="223"/>
        <v>1.8487394957983194E-2</v>
      </c>
      <c r="U2029" t="s">
        <v>91</v>
      </c>
      <c r="V2029" t="s">
        <v>29</v>
      </c>
    </row>
    <row r="2030" spans="1:22">
      <c r="A2030" s="3">
        <v>45742</v>
      </c>
      <c r="B2030" t="str">
        <f t="shared" si="217"/>
        <v>yyyy-03</v>
      </c>
      <c r="C2030">
        <f t="shared" si="218"/>
        <v>13</v>
      </c>
      <c r="D2030" t="s">
        <v>42</v>
      </c>
      <c r="E2030" t="s">
        <v>49</v>
      </c>
      <c r="F2030" t="s">
        <v>50</v>
      </c>
      <c r="G2030" t="s">
        <v>31</v>
      </c>
      <c r="H2030" t="s">
        <v>32</v>
      </c>
      <c r="I2030" s="5">
        <v>130</v>
      </c>
      <c r="J2030" s="5">
        <v>94</v>
      </c>
      <c r="K2030" s="5">
        <v>7</v>
      </c>
      <c r="L2030" s="5">
        <v>2</v>
      </c>
      <c r="M2030" s="5">
        <v>2</v>
      </c>
      <c r="N2030" s="7">
        <v>993.26</v>
      </c>
      <c r="O2030" s="7">
        <f t="shared" si="219"/>
        <v>1986.52</v>
      </c>
      <c r="P2030" s="4">
        <v>0</v>
      </c>
      <c r="Q2030" s="7">
        <f t="shared" si="220"/>
        <v>0</v>
      </c>
      <c r="R2030" s="7">
        <f t="shared" si="221"/>
        <v>1986.52</v>
      </c>
      <c r="S2030" s="7">
        <f t="shared" si="222"/>
        <v>993.26</v>
      </c>
      <c r="T2030" s="6">
        <f t="shared" si="223"/>
        <v>1.5384615384615385E-2</v>
      </c>
      <c r="V2030" t="s">
        <v>29</v>
      </c>
    </row>
    <row r="2031" spans="1:22">
      <c r="A2031" s="3">
        <v>45742</v>
      </c>
      <c r="B2031" t="str">
        <f t="shared" si="217"/>
        <v>yyyy-03</v>
      </c>
      <c r="C2031">
        <f t="shared" si="218"/>
        <v>13</v>
      </c>
      <c r="D2031" t="s">
        <v>42</v>
      </c>
      <c r="E2031" t="s">
        <v>51</v>
      </c>
      <c r="F2031" t="s">
        <v>52</v>
      </c>
      <c r="G2031" t="s">
        <v>27</v>
      </c>
      <c r="H2031" t="s">
        <v>45</v>
      </c>
      <c r="I2031" s="5">
        <v>293</v>
      </c>
      <c r="J2031" s="5">
        <v>224</v>
      </c>
      <c r="K2031" s="5">
        <v>19</v>
      </c>
      <c r="L2031" s="5">
        <v>3</v>
      </c>
      <c r="M2031" s="5">
        <v>3</v>
      </c>
      <c r="N2031" s="7">
        <v>603.77</v>
      </c>
      <c r="O2031" s="7">
        <f t="shared" si="219"/>
        <v>1811.31</v>
      </c>
      <c r="P2031" s="4">
        <v>0.05</v>
      </c>
      <c r="Q2031" s="7">
        <f t="shared" si="220"/>
        <v>90.5655</v>
      </c>
      <c r="R2031" s="7">
        <f t="shared" si="221"/>
        <v>1720.7445</v>
      </c>
      <c r="S2031" s="7">
        <f t="shared" si="222"/>
        <v>573.58150000000001</v>
      </c>
      <c r="T2031" s="6">
        <f t="shared" si="223"/>
        <v>1.0238907849829351E-2</v>
      </c>
      <c r="V2031" t="s">
        <v>29</v>
      </c>
    </row>
    <row r="2032" spans="1:22">
      <c r="A2032" s="3">
        <v>45742</v>
      </c>
      <c r="B2032" t="str">
        <f t="shared" si="217"/>
        <v>yyyy-03</v>
      </c>
      <c r="C2032">
        <f t="shared" si="218"/>
        <v>13</v>
      </c>
      <c r="D2032" t="s">
        <v>53</v>
      </c>
      <c r="E2032" t="s">
        <v>54</v>
      </c>
      <c r="F2032" t="s">
        <v>55</v>
      </c>
      <c r="G2032" t="s">
        <v>27</v>
      </c>
      <c r="H2032" t="s">
        <v>63</v>
      </c>
      <c r="I2032" s="5">
        <v>138</v>
      </c>
      <c r="J2032" s="5">
        <v>75</v>
      </c>
      <c r="K2032" s="5">
        <v>3</v>
      </c>
      <c r="L2032" s="5">
        <v>1</v>
      </c>
      <c r="M2032" s="5">
        <v>1</v>
      </c>
      <c r="N2032" s="7">
        <v>1306.78</v>
      </c>
      <c r="O2032" s="7">
        <f t="shared" si="219"/>
        <v>1306.78</v>
      </c>
      <c r="P2032" s="4">
        <v>0.05</v>
      </c>
      <c r="Q2032" s="7">
        <f t="shared" si="220"/>
        <v>65.338999999999999</v>
      </c>
      <c r="R2032" s="7">
        <f t="shared" si="221"/>
        <v>1241.441</v>
      </c>
      <c r="S2032" s="7">
        <f t="shared" si="222"/>
        <v>1241.441</v>
      </c>
      <c r="T2032" s="6">
        <f t="shared" si="223"/>
        <v>7.246376811594203E-3</v>
      </c>
      <c r="V2032" t="s">
        <v>78</v>
      </c>
    </row>
    <row r="2033" spans="1:22">
      <c r="A2033" s="3">
        <v>45742</v>
      </c>
      <c r="B2033" t="str">
        <f t="shared" si="217"/>
        <v>yyyy-03</v>
      </c>
      <c r="C2033">
        <f t="shared" si="218"/>
        <v>13</v>
      </c>
      <c r="D2033" t="s">
        <v>53</v>
      </c>
      <c r="E2033" t="s">
        <v>56</v>
      </c>
      <c r="F2033" t="s">
        <v>57</v>
      </c>
      <c r="G2033" t="s">
        <v>27</v>
      </c>
      <c r="H2033" t="s">
        <v>45</v>
      </c>
      <c r="I2033" s="5">
        <v>249</v>
      </c>
      <c r="J2033" s="5">
        <v>136</v>
      </c>
      <c r="K2033" s="5">
        <v>11</v>
      </c>
      <c r="L2033" s="5">
        <v>3</v>
      </c>
      <c r="M2033" s="5">
        <v>3</v>
      </c>
      <c r="N2033" s="7">
        <v>733.47</v>
      </c>
      <c r="O2033" s="7">
        <f t="shared" si="219"/>
        <v>2200.41</v>
      </c>
      <c r="P2033" s="4">
        <v>0</v>
      </c>
      <c r="Q2033" s="7">
        <f t="shared" si="220"/>
        <v>0</v>
      </c>
      <c r="R2033" s="7">
        <f t="shared" si="221"/>
        <v>2200.41</v>
      </c>
      <c r="S2033" s="7">
        <f t="shared" si="222"/>
        <v>733.46999999999991</v>
      </c>
      <c r="T2033" s="6">
        <f t="shared" si="223"/>
        <v>1.2048192771084338E-2</v>
      </c>
      <c r="V2033" t="s">
        <v>29</v>
      </c>
    </row>
    <row r="2034" spans="1:22">
      <c r="A2034" s="3">
        <v>45742</v>
      </c>
      <c r="B2034" t="str">
        <f t="shared" si="217"/>
        <v>yyyy-03</v>
      </c>
      <c r="C2034">
        <f t="shared" si="218"/>
        <v>13</v>
      </c>
      <c r="D2034" t="s">
        <v>53</v>
      </c>
      <c r="E2034" t="s">
        <v>56</v>
      </c>
      <c r="F2034" t="s">
        <v>58</v>
      </c>
      <c r="G2034" t="s">
        <v>27</v>
      </c>
      <c r="H2034" t="s">
        <v>28</v>
      </c>
      <c r="I2034" s="5">
        <v>212</v>
      </c>
      <c r="J2034" s="5">
        <v>114</v>
      </c>
      <c r="K2034" s="5">
        <v>13</v>
      </c>
      <c r="L2034" s="5">
        <v>3</v>
      </c>
      <c r="M2034" s="5">
        <v>3</v>
      </c>
      <c r="N2034" s="7">
        <v>872.14</v>
      </c>
      <c r="O2034" s="7">
        <f t="shared" si="219"/>
        <v>2616.42</v>
      </c>
      <c r="P2034" s="4">
        <v>0</v>
      </c>
      <c r="Q2034" s="7">
        <f t="shared" si="220"/>
        <v>0</v>
      </c>
      <c r="R2034" s="7">
        <f t="shared" si="221"/>
        <v>2616.42</v>
      </c>
      <c r="S2034" s="7">
        <f t="shared" si="222"/>
        <v>872.14</v>
      </c>
      <c r="T2034" s="6">
        <f t="shared" si="223"/>
        <v>1.4150943396226415E-2</v>
      </c>
      <c r="V2034" t="s">
        <v>29</v>
      </c>
    </row>
    <row r="2035" spans="1:22">
      <c r="A2035" s="3">
        <v>45742</v>
      </c>
      <c r="B2035" t="str">
        <f t="shared" si="217"/>
        <v>yyyy-03</v>
      </c>
      <c r="C2035">
        <f t="shared" si="218"/>
        <v>13</v>
      </c>
      <c r="D2035" t="s">
        <v>53</v>
      </c>
      <c r="E2035" t="s">
        <v>59</v>
      </c>
      <c r="F2035" t="s">
        <v>60</v>
      </c>
      <c r="G2035" t="s">
        <v>27</v>
      </c>
      <c r="H2035" t="s">
        <v>63</v>
      </c>
      <c r="I2035" s="5">
        <v>34</v>
      </c>
      <c r="J2035" s="5">
        <v>25</v>
      </c>
      <c r="K2035" s="5">
        <v>0</v>
      </c>
      <c r="L2035" s="5">
        <v>0</v>
      </c>
      <c r="M2035" s="5">
        <v>0</v>
      </c>
      <c r="N2035" s="7">
        <v>695.01</v>
      </c>
      <c r="O2035" s="7">
        <f t="shared" si="219"/>
        <v>0</v>
      </c>
      <c r="P2035" s="4">
        <v>0.05</v>
      </c>
      <c r="Q2035" s="7">
        <f t="shared" si="220"/>
        <v>0</v>
      </c>
      <c r="R2035" s="7">
        <f t="shared" si="221"/>
        <v>0</v>
      </c>
      <c r="S2035" s="7">
        <f t="shared" si="222"/>
        <v>0</v>
      </c>
      <c r="T2035" s="6">
        <f t="shared" si="223"/>
        <v>0</v>
      </c>
      <c r="V2035" t="s">
        <v>81</v>
      </c>
    </row>
    <row r="2036" spans="1:22">
      <c r="A2036" s="3">
        <v>45742</v>
      </c>
      <c r="B2036" t="str">
        <f t="shared" si="217"/>
        <v>yyyy-03</v>
      </c>
      <c r="C2036">
        <f t="shared" si="218"/>
        <v>13</v>
      </c>
      <c r="D2036" t="s">
        <v>53</v>
      </c>
      <c r="E2036" t="s">
        <v>61</v>
      </c>
      <c r="F2036" t="s">
        <v>62</v>
      </c>
      <c r="G2036" t="s">
        <v>27</v>
      </c>
      <c r="H2036" t="s">
        <v>45</v>
      </c>
      <c r="I2036" s="5">
        <v>125</v>
      </c>
      <c r="J2036" s="5">
        <v>89</v>
      </c>
      <c r="K2036" s="5">
        <v>7</v>
      </c>
      <c r="L2036" s="5">
        <v>1</v>
      </c>
      <c r="M2036" s="5">
        <v>1</v>
      </c>
      <c r="N2036" s="7">
        <v>480.13</v>
      </c>
      <c r="O2036" s="7">
        <f t="shared" si="219"/>
        <v>480.13</v>
      </c>
      <c r="P2036" s="4">
        <v>0</v>
      </c>
      <c r="Q2036" s="7">
        <f t="shared" si="220"/>
        <v>0</v>
      </c>
      <c r="R2036" s="7">
        <f t="shared" si="221"/>
        <v>480.13</v>
      </c>
      <c r="S2036" s="7">
        <f t="shared" si="222"/>
        <v>480.13</v>
      </c>
      <c r="T2036" s="6">
        <f t="shared" si="223"/>
        <v>8.0000000000000002E-3</v>
      </c>
      <c r="V2036" t="s">
        <v>29</v>
      </c>
    </row>
    <row r="2037" spans="1:22">
      <c r="A2037" s="3">
        <v>45742</v>
      </c>
      <c r="B2037" t="str">
        <f t="shared" si="217"/>
        <v>yyyy-03</v>
      </c>
      <c r="C2037">
        <f t="shared" si="218"/>
        <v>13</v>
      </c>
      <c r="D2037" t="s">
        <v>53</v>
      </c>
      <c r="E2037" t="s">
        <v>64</v>
      </c>
      <c r="F2037" t="s">
        <v>65</v>
      </c>
      <c r="G2037" t="s">
        <v>27</v>
      </c>
      <c r="H2037" t="s">
        <v>63</v>
      </c>
      <c r="I2037" s="5">
        <v>159</v>
      </c>
      <c r="J2037" s="5">
        <v>106</v>
      </c>
      <c r="K2037" s="5">
        <v>11</v>
      </c>
      <c r="L2037" s="5">
        <v>1</v>
      </c>
      <c r="M2037" s="5">
        <v>1</v>
      </c>
      <c r="N2037" s="7">
        <v>773.36</v>
      </c>
      <c r="O2037" s="7">
        <f t="shared" si="219"/>
        <v>773.36</v>
      </c>
      <c r="P2037" s="4">
        <v>0</v>
      </c>
      <c r="Q2037" s="7">
        <f t="shared" si="220"/>
        <v>0</v>
      </c>
      <c r="R2037" s="7">
        <f t="shared" si="221"/>
        <v>773.36</v>
      </c>
      <c r="S2037" s="7">
        <f t="shared" si="222"/>
        <v>773.36</v>
      </c>
      <c r="T2037" s="6">
        <f t="shared" si="223"/>
        <v>6.2893081761006293E-3</v>
      </c>
      <c r="V2037" t="s">
        <v>29</v>
      </c>
    </row>
    <row r="2038" spans="1:22">
      <c r="A2038" s="3">
        <v>45742</v>
      </c>
      <c r="B2038" t="str">
        <f t="shared" si="217"/>
        <v>yyyy-03</v>
      </c>
      <c r="C2038">
        <f t="shared" si="218"/>
        <v>13</v>
      </c>
      <c r="D2038" t="s">
        <v>66</v>
      </c>
      <c r="E2038" t="s">
        <v>67</v>
      </c>
      <c r="F2038" t="s">
        <v>68</v>
      </c>
      <c r="G2038" t="s">
        <v>27</v>
      </c>
      <c r="H2038" t="s">
        <v>28</v>
      </c>
      <c r="I2038" s="5">
        <v>412</v>
      </c>
      <c r="J2038" s="5">
        <v>217</v>
      </c>
      <c r="K2038" s="5">
        <v>49</v>
      </c>
      <c r="L2038" s="5">
        <v>12</v>
      </c>
      <c r="M2038" s="5">
        <v>12</v>
      </c>
      <c r="N2038" s="7">
        <v>693.47</v>
      </c>
      <c r="O2038" s="7">
        <f t="shared" si="219"/>
        <v>8321.64</v>
      </c>
      <c r="P2038" s="4">
        <v>0.1</v>
      </c>
      <c r="Q2038" s="7">
        <f t="shared" si="220"/>
        <v>832.16399999999999</v>
      </c>
      <c r="R2038" s="7">
        <f t="shared" si="221"/>
        <v>7489.4759999999997</v>
      </c>
      <c r="S2038" s="7">
        <f t="shared" si="222"/>
        <v>624.12299999999993</v>
      </c>
      <c r="T2038" s="6">
        <f t="shared" si="223"/>
        <v>2.9126213592233011E-2</v>
      </c>
      <c r="U2038" t="s">
        <v>90</v>
      </c>
      <c r="V2038" t="s">
        <v>29</v>
      </c>
    </row>
    <row r="2039" spans="1:22">
      <c r="A2039" s="3">
        <v>45742</v>
      </c>
      <c r="B2039" t="str">
        <f t="shared" si="217"/>
        <v>yyyy-03</v>
      </c>
      <c r="C2039">
        <f t="shared" si="218"/>
        <v>13</v>
      </c>
      <c r="D2039" t="s">
        <v>66</v>
      </c>
      <c r="E2039" t="s">
        <v>67</v>
      </c>
      <c r="F2039" t="s">
        <v>69</v>
      </c>
      <c r="G2039" t="s">
        <v>36</v>
      </c>
      <c r="H2039" t="s">
        <v>37</v>
      </c>
      <c r="I2039" s="5">
        <v>325</v>
      </c>
      <c r="J2039" s="5">
        <v>263</v>
      </c>
      <c r="K2039" s="5">
        <v>36</v>
      </c>
      <c r="L2039" s="5">
        <v>9</v>
      </c>
      <c r="M2039" s="5">
        <v>9</v>
      </c>
      <c r="N2039" s="7">
        <v>399.76</v>
      </c>
      <c r="O2039" s="7">
        <f t="shared" si="219"/>
        <v>3597.84</v>
      </c>
      <c r="P2039" s="4">
        <v>0.1</v>
      </c>
      <c r="Q2039" s="7">
        <f t="shared" si="220"/>
        <v>359.78400000000005</v>
      </c>
      <c r="R2039" s="7">
        <f t="shared" si="221"/>
        <v>3238.056</v>
      </c>
      <c r="S2039" s="7">
        <f t="shared" si="222"/>
        <v>359.78399999999999</v>
      </c>
      <c r="T2039" s="6">
        <f t="shared" si="223"/>
        <v>2.7692307692307693E-2</v>
      </c>
      <c r="U2039" t="s">
        <v>90</v>
      </c>
      <c r="V2039" t="s">
        <v>29</v>
      </c>
    </row>
    <row r="2040" spans="1:22">
      <c r="A2040" s="3">
        <v>45742</v>
      </c>
      <c r="B2040" t="str">
        <f t="shared" si="217"/>
        <v>yyyy-03</v>
      </c>
      <c r="C2040">
        <f t="shared" si="218"/>
        <v>13</v>
      </c>
      <c r="D2040" t="s">
        <v>66</v>
      </c>
      <c r="E2040" t="s">
        <v>67</v>
      </c>
      <c r="F2040" t="s">
        <v>70</v>
      </c>
      <c r="G2040" t="s">
        <v>36</v>
      </c>
      <c r="H2040" t="s">
        <v>37</v>
      </c>
      <c r="I2040" s="5">
        <v>483</v>
      </c>
      <c r="J2040" s="5">
        <v>264</v>
      </c>
      <c r="K2040" s="5">
        <v>36</v>
      </c>
      <c r="L2040" s="5">
        <v>12</v>
      </c>
      <c r="M2040" s="5">
        <v>12</v>
      </c>
      <c r="N2040" s="7">
        <v>355.01</v>
      </c>
      <c r="O2040" s="7">
        <f t="shared" si="219"/>
        <v>4260.12</v>
      </c>
      <c r="P2040" s="4">
        <v>0.1</v>
      </c>
      <c r="Q2040" s="7">
        <f t="shared" si="220"/>
        <v>426.012</v>
      </c>
      <c r="R2040" s="7">
        <f t="shared" si="221"/>
        <v>3834.1079999999997</v>
      </c>
      <c r="S2040" s="7">
        <f t="shared" si="222"/>
        <v>319.50899999999996</v>
      </c>
      <c r="T2040" s="6">
        <f t="shared" si="223"/>
        <v>2.4844720496894408E-2</v>
      </c>
      <c r="U2040" t="s">
        <v>90</v>
      </c>
      <c r="V2040" t="s">
        <v>29</v>
      </c>
    </row>
    <row r="2041" spans="1:22">
      <c r="A2041" s="3">
        <v>45742</v>
      </c>
      <c r="B2041" t="str">
        <f t="shared" si="217"/>
        <v>yyyy-03</v>
      </c>
      <c r="C2041">
        <f t="shared" si="218"/>
        <v>13</v>
      </c>
      <c r="D2041" t="s">
        <v>66</v>
      </c>
      <c r="E2041" t="s">
        <v>71</v>
      </c>
      <c r="F2041" t="s">
        <v>72</v>
      </c>
      <c r="G2041" t="s">
        <v>27</v>
      </c>
      <c r="H2041" t="s">
        <v>45</v>
      </c>
      <c r="I2041" s="5">
        <v>300</v>
      </c>
      <c r="J2041" s="5">
        <v>160</v>
      </c>
      <c r="K2041" s="5">
        <v>17</v>
      </c>
      <c r="L2041" s="5">
        <v>4</v>
      </c>
      <c r="M2041" s="5">
        <v>5</v>
      </c>
      <c r="N2041" s="7">
        <v>127.6</v>
      </c>
      <c r="O2041" s="7">
        <f t="shared" si="219"/>
        <v>638</v>
      </c>
      <c r="P2041" s="4">
        <v>0.03</v>
      </c>
      <c r="Q2041" s="7">
        <f t="shared" si="220"/>
        <v>19.14</v>
      </c>
      <c r="R2041" s="7">
        <f t="shared" si="221"/>
        <v>618.86</v>
      </c>
      <c r="S2041" s="7">
        <f t="shared" si="222"/>
        <v>154.715</v>
      </c>
      <c r="T2041" s="6">
        <f t="shared" si="223"/>
        <v>1.3333333333333334E-2</v>
      </c>
      <c r="V2041" t="s">
        <v>29</v>
      </c>
    </row>
    <row r="2042" spans="1:22">
      <c r="A2042" s="3">
        <v>45742</v>
      </c>
      <c r="B2042" t="str">
        <f t="shared" si="217"/>
        <v>yyyy-03</v>
      </c>
      <c r="C2042">
        <f t="shared" si="218"/>
        <v>13</v>
      </c>
      <c r="D2042" t="s">
        <v>66</v>
      </c>
      <c r="E2042" t="s">
        <v>73</v>
      </c>
      <c r="F2042" t="s">
        <v>74</v>
      </c>
      <c r="G2042" t="s">
        <v>36</v>
      </c>
      <c r="H2042" t="s">
        <v>37</v>
      </c>
      <c r="I2042" s="5">
        <v>243</v>
      </c>
      <c r="J2042" s="5">
        <v>160</v>
      </c>
      <c r="K2042" s="5">
        <v>17</v>
      </c>
      <c r="L2042" s="5">
        <v>5</v>
      </c>
      <c r="M2042" s="5">
        <v>5</v>
      </c>
      <c r="N2042" s="7">
        <v>1151.1300000000001</v>
      </c>
      <c r="O2042" s="7">
        <f t="shared" si="219"/>
        <v>5755.6500000000005</v>
      </c>
      <c r="P2042" s="4">
        <v>0</v>
      </c>
      <c r="Q2042" s="7">
        <f t="shared" si="220"/>
        <v>0</v>
      </c>
      <c r="R2042" s="7">
        <f t="shared" si="221"/>
        <v>5755.6500000000005</v>
      </c>
      <c r="S2042" s="7">
        <f t="shared" si="222"/>
        <v>1151.1300000000001</v>
      </c>
      <c r="T2042" s="6">
        <f t="shared" si="223"/>
        <v>2.0576131687242798E-2</v>
      </c>
      <c r="V2042" t="s">
        <v>29</v>
      </c>
    </row>
    <row r="2043" spans="1:22">
      <c r="A2043" s="3">
        <v>45742</v>
      </c>
      <c r="B2043" t="str">
        <f t="shared" si="217"/>
        <v>yyyy-03</v>
      </c>
      <c r="C2043">
        <f t="shared" si="218"/>
        <v>13</v>
      </c>
      <c r="D2043" t="s">
        <v>66</v>
      </c>
      <c r="E2043" t="s">
        <v>71</v>
      </c>
      <c r="F2043" t="s">
        <v>75</v>
      </c>
      <c r="G2043" t="s">
        <v>36</v>
      </c>
      <c r="H2043" t="s">
        <v>37</v>
      </c>
      <c r="I2043" s="5">
        <v>329</v>
      </c>
      <c r="J2043" s="5">
        <v>248</v>
      </c>
      <c r="K2043" s="5">
        <v>19</v>
      </c>
      <c r="L2043" s="5">
        <v>6</v>
      </c>
      <c r="M2043" s="5">
        <v>7</v>
      </c>
      <c r="N2043" s="7">
        <v>38.159999999999997</v>
      </c>
      <c r="O2043" s="7">
        <f t="shared" si="219"/>
        <v>267.12</v>
      </c>
      <c r="P2043" s="4">
        <v>0.03</v>
      </c>
      <c r="Q2043" s="7">
        <f t="shared" si="220"/>
        <v>8.0136000000000003</v>
      </c>
      <c r="R2043" s="7">
        <f t="shared" si="221"/>
        <v>259.10640000000001</v>
      </c>
      <c r="S2043" s="7">
        <f t="shared" si="222"/>
        <v>43.184400000000004</v>
      </c>
      <c r="T2043" s="6">
        <f t="shared" si="223"/>
        <v>1.82370820668693E-2</v>
      </c>
      <c r="V2043" t="s">
        <v>29</v>
      </c>
    </row>
    <row r="2044" spans="1:22">
      <c r="A2044" s="3">
        <v>45742</v>
      </c>
      <c r="B2044" t="str">
        <f t="shared" si="217"/>
        <v>yyyy-03</v>
      </c>
      <c r="C2044">
        <f t="shared" si="218"/>
        <v>13</v>
      </c>
      <c r="D2044" t="s">
        <v>24</v>
      </c>
      <c r="E2044" t="s">
        <v>76</v>
      </c>
      <c r="F2044" t="s">
        <v>77</v>
      </c>
      <c r="G2044" t="s">
        <v>27</v>
      </c>
      <c r="H2044" t="s">
        <v>63</v>
      </c>
      <c r="I2044" s="5">
        <v>461</v>
      </c>
      <c r="J2044" s="5">
        <v>294</v>
      </c>
      <c r="K2044" s="5">
        <v>37</v>
      </c>
      <c r="L2044" s="5">
        <v>9</v>
      </c>
      <c r="M2044" s="5">
        <v>12</v>
      </c>
      <c r="N2044" s="7">
        <v>191.43</v>
      </c>
      <c r="O2044" s="7">
        <f t="shared" si="219"/>
        <v>2297.16</v>
      </c>
      <c r="P2044" s="4">
        <v>0</v>
      </c>
      <c r="Q2044" s="7">
        <f t="shared" si="220"/>
        <v>0</v>
      </c>
      <c r="R2044" s="7">
        <f t="shared" si="221"/>
        <v>2297.16</v>
      </c>
      <c r="S2044" s="7">
        <f t="shared" si="222"/>
        <v>255.23999999999998</v>
      </c>
      <c r="T2044" s="6">
        <f t="shared" si="223"/>
        <v>1.9522776572668113E-2</v>
      </c>
      <c r="V2044" t="s">
        <v>29</v>
      </c>
    </row>
    <row r="2045" spans="1:22">
      <c r="A2045" s="3">
        <v>45743</v>
      </c>
      <c r="B2045" t="str">
        <f t="shared" si="217"/>
        <v>yyyy-03</v>
      </c>
      <c r="C2045">
        <f t="shared" si="218"/>
        <v>13</v>
      </c>
      <c r="D2045" t="s">
        <v>24</v>
      </c>
      <c r="E2045" t="s">
        <v>25</v>
      </c>
      <c r="F2045" t="s">
        <v>26</v>
      </c>
      <c r="G2045" t="s">
        <v>36</v>
      </c>
      <c r="H2045" t="s">
        <v>37</v>
      </c>
      <c r="I2045" s="5">
        <v>1668</v>
      </c>
      <c r="J2045" s="5">
        <v>1171</v>
      </c>
      <c r="K2045" s="5">
        <v>90</v>
      </c>
      <c r="L2045" s="5">
        <v>32</v>
      </c>
      <c r="M2045" s="5">
        <v>32</v>
      </c>
      <c r="N2045" s="7">
        <v>970.22</v>
      </c>
      <c r="O2045" s="7">
        <f t="shared" si="219"/>
        <v>31047.040000000001</v>
      </c>
      <c r="P2045" s="4">
        <v>0</v>
      </c>
      <c r="Q2045" s="7">
        <f t="shared" si="220"/>
        <v>0</v>
      </c>
      <c r="R2045" s="7">
        <f t="shared" si="221"/>
        <v>31047.040000000001</v>
      </c>
      <c r="S2045" s="7">
        <f t="shared" si="222"/>
        <v>970.22</v>
      </c>
      <c r="T2045" s="6">
        <f t="shared" si="223"/>
        <v>1.9184652278177457E-2</v>
      </c>
      <c r="V2045" t="s">
        <v>29</v>
      </c>
    </row>
    <row r="2046" spans="1:22">
      <c r="A2046" s="3">
        <v>45743</v>
      </c>
      <c r="B2046" t="str">
        <f t="shared" si="217"/>
        <v>yyyy-03</v>
      </c>
      <c r="C2046">
        <f t="shared" si="218"/>
        <v>13</v>
      </c>
      <c r="D2046" t="s">
        <v>24</v>
      </c>
      <c r="E2046" t="s">
        <v>25</v>
      </c>
      <c r="F2046" t="s">
        <v>30</v>
      </c>
      <c r="G2046" t="s">
        <v>36</v>
      </c>
      <c r="H2046" t="s">
        <v>37</v>
      </c>
      <c r="I2046" s="5">
        <v>1799</v>
      </c>
      <c r="J2046" s="5">
        <v>1289</v>
      </c>
      <c r="K2046" s="5">
        <v>123</v>
      </c>
      <c r="L2046" s="5">
        <v>40</v>
      </c>
      <c r="M2046" s="5">
        <v>40</v>
      </c>
      <c r="N2046" s="7">
        <v>388.37</v>
      </c>
      <c r="O2046" s="7">
        <f t="shared" si="219"/>
        <v>15534.8</v>
      </c>
      <c r="P2046" s="4">
        <v>0</v>
      </c>
      <c r="Q2046" s="7">
        <f t="shared" si="220"/>
        <v>0</v>
      </c>
      <c r="R2046" s="7">
        <f t="shared" si="221"/>
        <v>15534.8</v>
      </c>
      <c r="S2046" s="7">
        <f t="shared" si="222"/>
        <v>388.37</v>
      </c>
      <c r="T2046" s="6">
        <f t="shared" si="223"/>
        <v>2.2234574763757644E-2</v>
      </c>
      <c r="V2046" t="s">
        <v>29</v>
      </c>
    </row>
    <row r="2047" spans="1:22">
      <c r="A2047" s="3">
        <v>45743</v>
      </c>
      <c r="B2047" t="str">
        <f t="shared" si="217"/>
        <v>yyyy-03</v>
      </c>
      <c r="C2047">
        <f t="shared" si="218"/>
        <v>13</v>
      </c>
      <c r="D2047" t="s">
        <v>24</v>
      </c>
      <c r="E2047" t="s">
        <v>25</v>
      </c>
      <c r="F2047" t="s">
        <v>33</v>
      </c>
      <c r="G2047" t="s">
        <v>31</v>
      </c>
      <c r="H2047" t="s">
        <v>32</v>
      </c>
      <c r="I2047" s="5">
        <v>1748</v>
      </c>
      <c r="J2047" s="5">
        <v>1108</v>
      </c>
      <c r="K2047" s="5">
        <v>100</v>
      </c>
      <c r="L2047" s="5">
        <v>28</v>
      </c>
      <c r="M2047" s="5">
        <v>28</v>
      </c>
      <c r="N2047" s="7">
        <v>1799.84</v>
      </c>
      <c r="O2047" s="7">
        <f t="shared" si="219"/>
        <v>50395.519999999997</v>
      </c>
      <c r="P2047" s="4">
        <v>0.05</v>
      </c>
      <c r="Q2047" s="7">
        <f t="shared" si="220"/>
        <v>2519.7759999999998</v>
      </c>
      <c r="R2047" s="7">
        <f t="shared" si="221"/>
        <v>47875.743999999999</v>
      </c>
      <c r="S2047" s="7">
        <f t="shared" si="222"/>
        <v>1709.848</v>
      </c>
      <c r="T2047" s="6">
        <f t="shared" si="223"/>
        <v>1.6018306636155607E-2</v>
      </c>
      <c r="V2047" t="s">
        <v>29</v>
      </c>
    </row>
    <row r="2048" spans="1:22">
      <c r="A2048" s="3">
        <v>45743</v>
      </c>
      <c r="B2048" t="str">
        <f t="shared" si="217"/>
        <v>yyyy-03</v>
      </c>
      <c r="C2048">
        <f t="shared" si="218"/>
        <v>13</v>
      </c>
      <c r="D2048" t="s">
        <v>24</v>
      </c>
      <c r="E2048" t="s">
        <v>34</v>
      </c>
      <c r="F2048" t="s">
        <v>35</v>
      </c>
      <c r="G2048" t="s">
        <v>36</v>
      </c>
      <c r="H2048" t="s">
        <v>37</v>
      </c>
      <c r="I2048" s="5">
        <v>1042</v>
      </c>
      <c r="J2048" s="5">
        <v>817</v>
      </c>
      <c r="K2048" s="5">
        <v>109</v>
      </c>
      <c r="L2048" s="5">
        <v>23</v>
      </c>
      <c r="M2048" s="5">
        <v>23</v>
      </c>
      <c r="N2048" s="7">
        <v>893.22</v>
      </c>
      <c r="O2048" s="7">
        <f t="shared" si="219"/>
        <v>20544.060000000001</v>
      </c>
      <c r="P2048" s="4">
        <v>0</v>
      </c>
      <c r="Q2048" s="7">
        <f t="shared" si="220"/>
        <v>0</v>
      </c>
      <c r="R2048" s="7">
        <f t="shared" si="221"/>
        <v>20544.060000000001</v>
      </c>
      <c r="S2048" s="7">
        <f t="shared" si="222"/>
        <v>893.22</v>
      </c>
      <c r="T2048" s="6">
        <f t="shared" si="223"/>
        <v>2.2072936660268713E-2</v>
      </c>
      <c r="V2048" t="s">
        <v>29</v>
      </c>
    </row>
    <row r="2049" spans="1:22">
      <c r="A2049" s="3">
        <v>45743</v>
      </c>
      <c r="B2049" t="str">
        <f t="shared" si="217"/>
        <v>yyyy-03</v>
      </c>
      <c r="C2049">
        <f t="shared" si="218"/>
        <v>13</v>
      </c>
      <c r="D2049" t="s">
        <v>24</v>
      </c>
      <c r="E2049" t="s">
        <v>38</v>
      </c>
      <c r="F2049" t="s">
        <v>39</v>
      </c>
      <c r="G2049" t="s">
        <v>27</v>
      </c>
      <c r="H2049" t="s">
        <v>28</v>
      </c>
      <c r="I2049" s="5">
        <v>741</v>
      </c>
      <c r="J2049" s="5">
        <v>536</v>
      </c>
      <c r="K2049" s="5">
        <v>64</v>
      </c>
      <c r="L2049" s="5">
        <v>13</v>
      </c>
      <c r="M2049" s="5">
        <v>13</v>
      </c>
      <c r="N2049" s="7">
        <v>333.11</v>
      </c>
      <c r="O2049" s="7">
        <f t="shared" si="219"/>
        <v>4330.43</v>
      </c>
      <c r="P2049" s="4">
        <v>0</v>
      </c>
      <c r="Q2049" s="7">
        <f t="shared" si="220"/>
        <v>0</v>
      </c>
      <c r="R2049" s="7">
        <f t="shared" si="221"/>
        <v>4330.43</v>
      </c>
      <c r="S2049" s="7">
        <f t="shared" si="222"/>
        <v>333.11</v>
      </c>
      <c r="T2049" s="6">
        <f t="shared" si="223"/>
        <v>1.7543859649122806E-2</v>
      </c>
      <c r="V2049" t="s">
        <v>29</v>
      </c>
    </row>
    <row r="2050" spans="1:22">
      <c r="A2050" s="3">
        <v>45743</v>
      </c>
      <c r="B2050" t="str">
        <f t="shared" si="217"/>
        <v>yyyy-03</v>
      </c>
      <c r="C2050">
        <f t="shared" si="218"/>
        <v>13</v>
      </c>
      <c r="D2050" t="s">
        <v>24</v>
      </c>
      <c r="E2050" t="s">
        <v>40</v>
      </c>
      <c r="F2050" t="s">
        <v>41</v>
      </c>
      <c r="G2050" t="s">
        <v>27</v>
      </c>
      <c r="H2050" t="s">
        <v>63</v>
      </c>
      <c r="I2050" s="5">
        <v>548</v>
      </c>
      <c r="J2050" s="5">
        <v>337</v>
      </c>
      <c r="K2050" s="5">
        <v>38</v>
      </c>
      <c r="L2050" s="5">
        <v>10</v>
      </c>
      <c r="M2050" s="5">
        <v>12</v>
      </c>
      <c r="N2050" s="7">
        <v>176.09</v>
      </c>
      <c r="O2050" s="7">
        <f t="shared" si="219"/>
        <v>2113.08</v>
      </c>
      <c r="P2050" s="4">
        <v>0</v>
      </c>
      <c r="Q2050" s="7">
        <f t="shared" si="220"/>
        <v>0</v>
      </c>
      <c r="R2050" s="7">
        <f t="shared" si="221"/>
        <v>2113.08</v>
      </c>
      <c r="S2050" s="7">
        <f t="shared" si="222"/>
        <v>211.30799999999999</v>
      </c>
      <c r="T2050" s="6">
        <f t="shared" si="223"/>
        <v>1.824817518248175E-2</v>
      </c>
      <c r="V2050" t="s">
        <v>29</v>
      </c>
    </row>
    <row r="2051" spans="1:22">
      <c r="A2051" s="3">
        <v>45743</v>
      </c>
      <c r="B2051" t="str">
        <f t="shared" si="217"/>
        <v>yyyy-03</v>
      </c>
      <c r="C2051">
        <f t="shared" si="218"/>
        <v>13</v>
      </c>
      <c r="D2051" t="s">
        <v>42</v>
      </c>
      <c r="E2051" t="s">
        <v>43</v>
      </c>
      <c r="F2051" t="s">
        <v>44</v>
      </c>
      <c r="G2051" t="s">
        <v>27</v>
      </c>
      <c r="H2051" t="s">
        <v>63</v>
      </c>
      <c r="I2051" s="5">
        <v>347</v>
      </c>
      <c r="J2051" s="5">
        <v>256</v>
      </c>
      <c r="K2051" s="5">
        <v>20</v>
      </c>
      <c r="L2051" s="5">
        <v>7</v>
      </c>
      <c r="M2051" s="5">
        <v>7</v>
      </c>
      <c r="N2051" s="7">
        <v>1264.69</v>
      </c>
      <c r="O2051" s="7">
        <f t="shared" si="219"/>
        <v>8852.83</v>
      </c>
      <c r="P2051" s="4">
        <v>0.12</v>
      </c>
      <c r="Q2051" s="7">
        <f t="shared" si="220"/>
        <v>1062.3396</v>
      </c>
      <c r="R2051" s="7">
        <f t="shared" si="221"/>
        <v>7790.4903999999997</v>
      </c>
      <c r="S2051" s="7">
        <f t="shared" si="222"/>
        <v>1112.9271999999999</v>
      </c>
      <c r="T2051" s="6">
        <f t="shared" si="223"/>
        <v>2.0172910662824207E-2</v>
      </c>
      <c r="U2051" t="s">
        <v>91</v>
      </c>
      <c r="V2051" t="s">
        <v>29</v>
      </c>
    </row>
    <row r="2052" spans="1:22">
      <c r="A2052" s="3">
        <v>45743</v>
      </c>
      <c r="B2052" t="str">
        <f t="shared" si="217"/>
        <v>yyyy-03</v>
      </c>
      <c r="C2052">
        <f t="shared" si="218"/>
        <v>13</v>
      </c>
      <c r="D2052" t="s">
        <v>42</v>
      </c>
      <c r="E2052" t="s">
        <v>43</v>
      </c>
      <c r="F2052" t="s">
        <v>46</v>
      </c>
      <c r="G2052" t="s">
        <v>27</v>
      </c>
      <c r="H2052" t="s">
        <v>48</v>
      </c>
      <c r="I2052" s="5">
        <v>336</v>
      </c>
      <c r="J2052" s="5">
        <v>202</v>
      </c>
      <c r="K2052" s="5">
        <v>24</v>
      </c>
      <c r="L2052" s="5">
        <v>6</v>
      </c>
      <c r="M2052" s="5">
        <v>6</v>
      </c>
      <c r="N2052" s="7">
        <v>2185.11</v>
      </c>
      <c r="O2052" s="7">
        <f t="shared" si="219"/>
        <v>13110.66</v>
      </c>
      <c r="P2052" s="4">
        <v>0.12</v>
      </c>
      <c r="Q2052" s="7">
        <f t="shared" si="220"/>
        <v>1573.2791999999999</v>
      </c>
      <c r="R2052" s="7">
        <f t="shared" si="221"/>
        <v>11537.380799999999</v>
      </c>
      <c r="S2052" s="7">
        <f t="shared" si="222"/>
        <v>1922.8967999999998</v>
      </c>
      <c r="T2052" s="6">
        <f t="shared" si="223"/>
        <v>1.7857142857142856E-2</v>
      </c>
      <c r="U2052" t="s">
        <v>91</v>
      </c>
      <c r="V2052" t="s">
        <v>29</v>
      </c>
    </row>
    <row r="2053" spans="1:22">
      <c r="A2053" s="3">
        <v>45743</v>
      </c>
      <c r="B2053" t="str">
        <f t="shared" ref="B2053:B2116" si="224">TEXT(A2053,"yyyy-mm")</f>
        <v>yyyy-03</v>
      </c>
      <c r="C2053">
        <f t="shared" ref="C2053:C2116" si="225">WEEKNUM(A2053,2)</f>
        <v>13</v>
      </c>
      <c r="D2053" t="s">
        <v>42</v>
      </c>
      <c r="E2053" t="s">
        <v>43</v>
      </c>
      <c r="F2053" t="s">
        <v>47</v>
      </c>
      <c r="G2053" t="s">
        <v>31</v>
      </c>
      <c r="H2053" t="s">
        <v>32</v>
      </c>
      <c r="I2053" s="5">
        <v>534</v>
      </c>
      <c r="J2053" s="5">
        <v>377</v>
      </c>
      <c r="K2053" s="5">
        <v>45</v>
      </c>
      <c r="L2053" s="5">
        <v>7</v>
      </c>
      <c r="M2053" s="5">
        <v>7</v>
      </c>
      <c r="N2053" s="7">
        <v>599.08000000000004</v>
      </c>
      <c r="O2053" s="7">
        <f t="shared" ref="O2053:O2116" si="226">M2053*N2053</f>
        <v>4193.5600000000004</v>
      </c>
      <c r="P2053" s="4">
        <v>0.12</v>
      </c>
      <c r="Q2053" s="7">
        <f t="shared" ref="Q2053:Q2116" si="227">O2053*P2053</f>
        <v>503.22720000000004</v>
      </c>
      <c r="R2053" s="7">
        <f t="shared" ref="R2053:R2116" si="228">O2053-Q2053</f>
        <v>3690.3328000000001</v>
      </c>
      <c r="S2053" s="7">
        <f t="shared" ref="S2053:S2116" si="229">IFERROR(R2053/L2053,0)</f>
        <v>527.19040000000007</v>
      </c>
      <c r="T2053" s="6">
        <f t="shared" ref="T2053:T2116" si="230">IFERROR(L2053/I2053,0)</f>
        <v>1.3108614232209739E-2</v>
      </c>
      <c r="U2053" t="s">
        <v>91</v>
      </c>
      <c r="V2053" t="s">
        <v>78</v>
      </c>
    </row>
    <row r="2054" spans="1:22">
      <c r="A2054" s="3">
        <v>45743</v>
      </c>
      <c r="B2054" t="str">
        <f t="shared" si="224"/>
        <v>yyyy-03</v>
      </c>
      <c r="C2054">
        <f t="shared" si="225"/>
        <v>13</v>
      </c>
      <c r="D2054" t="s">
        <v>42</v>
      </c>
      <c r="E2054" t="s">
        <v>49</v>
      </c>
      <c r="F2054" t="s">
        <v>50</v>
      </c>
      <c r="G2054" t="s">
        <v>27</v>
      </c>
      <c r="H2054" t="s">
        <v>28</v>
      </c>
      <c r="I2054" s="5">
        <v>175</v>
      </c>
      <c r="J2054" s="5">
        <v>141</v>
      </c>
      <c r="K2054" s="5">
        <v>17</v>
      </c>
      <c r="L2054" s="5">
        <v>2</v>
      </c>
      <c r="M2054" s="5">
        <v>2</v>
      </c>
      <c r="N2054" s="7">
        <v>1018.84</v>
      </c>
      <c r="O2054" s="7">
        <f t="shared" si="226"/>
        <v>2037.68</v>
      </c>
      <c r="P2054" s="4">
        <v>0.03</v>
      </c>
      <c r="Q2054" s="7">
        <f t="shared" si="227"/>
        <v>61.130400000000002</v>
      </c>
      <c r="R2054" s="7">
        <f t="shared" si="228"/>
        <v>1976.5496000000001</v>
      </c>
      <c r="S2054" s="7">
        <f t="shared" si="229"/>
        <v>988.27480000000003</v>
      </c>
      <c r="T2054" s="6">
        <f t="shared" si="230"/>
        <v>1.1428571428571429E-2</v>
      </c>
      <c r="V2054" t="s">
        <v>29</v>
      </c>
    </row>
    <row r="2055" spans="1:22">
      <c r="A2055" s="3">
        <v>45743</v>
      </c>
      <c r="B2055" t="str">
        <f t="shared" si="224"/>
        <v>yyyy-03</v>
      </c>
      <c r="C2055">
        <f t="shared" si="225"/>
        <v>13</v>
      </c>
      <c r="D2055" t="s">
        <v>42</v>
      </c>
      <c r="E2055" t="s">
        <v>51</v>
      </c>
      <c r="F2055" t="s">
        <v>52</v>
      </c>
      <c r="G2055" t="s">
        <v>27</v>
      </c>
      <c r="H2055" t="s">
        <v>45</v>
      </c>
      <c r="I2055" s="5">
        <v>232</v>
      </c>
      <c r="J2055" s="5">
        <v>155</v>
      </c>
      <c r="K2055" s="5">
        <v>17</v>
      </c>
      <c r="L2055" s="5">
        <v>3</v>
      </c>
      <c r="M2055" s="5">
        <v>3</v>
      </c>
      <c r="N2055" s="7">
        <v>593.67999999999995</v>
      </c>
      <c r="O2055" s="7">
        <f t="shared" si="226"/>
        <v>1781.04</v>
      </c>
      <c r="P2055" s="4">
        <v>0</v>
      </c>
      <c r="Q2055" s="7">
        <f t="shared" si="227"/>
        <v>0</v>
      </c>
      <c r="R2055" s="7">
        <f t="shared" si="228"/>
        <v>1781.04</v>
      </c>
      <c r="S2055" s="7">
        <f t="shared" si="229"/>
        <v>593.67999999999995</v>
      </c>
      <c r="T2055" s="6">
        <f t="shared" si="230"/>
        <v>1.2931034482758621E-2</v>
      </c>
      <c r="V2055" t="s">
        <v>29</v>
      </c>
    </row>
    <row r="2056" spans="1:22">
      <c r="A2056" s="3">
        <v>45743</v>
      </c>
      <c r="B2056" t="str">
        <f t="shared" si="224"/>
        <v>yyyy-03</v>
      </c>
      <c r="C2056">
        <f t="shared" si="225"/>
        <v>13</v>
      </c>
      <c r="D2056" t="s">
        <v>53</v>
      </c>
      <c r="E2056" t="s">
        <v>54</v>
      </c>
      <c r="F2056" t="s">
        <v>55</v>
      </c>
      <c r="G2056" t="s">
        <v>31</v>
      </c>
      <c r="H2056" t="s">
        <v>32</v>
      </c>
      <c r="I2056" s="5">
        <v>196</v>
      </c>
      <c r="J2056" s="5">
        <v>127</v>
      </c>
      <c r="K2056" s="5">
        <v>9</v>
      </c>
      <c r="L2056" s="5">
        <v>2</v>
      </c>
      <c r="M2056" s="5">
        <v>2</v>
      </c>
      <c r="N2056" s="7">
        <v>1307.6600000000001</v>
      </c>
      <c r="O2056" s="7">
        <f t="shared" si="226"/>
        <v>2615.3200000000002</v>
      </c>
      <c r="P2056" s="4">
        <v>0.05</v>
      </c>
      <c r="Q2056" s="7">
        <f t="shared" si="227"/>
        <v>130.76600000000002</v>
      </c>
      <c r="R2056" s="7">
        <f t="shared" si="228"/>
        <v>2484.5540000000001</v>
      </c>
      <c r="S2056" s="7">
        <f t="shared" si="229"/>
        <v>1242.277</v>
      </c>
      <c r="T2056" s="6">
        <f t="shared" si="230"/>
        <v>1.020408163265306E-2</v>
      </c>
      <c r="V2056" t="s">
        <v>29</v>
      </c>
    </row>
    <row r="2057" spans="1:22">
      <c r="A2057" s="3">
        <v>45743</v>
      </c>
      <c r="B2057" t="str">
        <f t="shared" si="224"/>
        <v>yyyy-03</v>
      </c>
      <c r="C2057">
        <f t="shared" si="225"/>
        <v>13</v>
      </c>
      <c r="D2057" t="s">
        <v>53</v>
      </c>
      <c r="E2057" t="s">
        <v>56</v>
      </c>
      <c r="F2057" t="s">
        <v>57</v>
      </c>
      <c r="G2057" t="s">
        <v>31</v>
      </c>
      <c r="H2057" t="s">
        <v>32</v>
      </c>
      <c r="I2057" s="5">
        <v>236</v>
      </c>
      <c r="J2057" s="5">
        <v>144</v>
      </c>
      <c r="K2057" s="5">
        <v>13</v>
      </c>
      <c r="L2057" s="5">
        <v>2</v>
      </c>
      <c r="M2057" s="5">
        <v>2</v>
      </c>
      <c r="N2057" s="7">
        <v>744.5</v>
      </c>
      <c r="O2057" s="7">
        <f t="shared" si="226"/>
        <v>1489</v>
      </c>
      <c r="P2057" s="4">
        <v>0</v>
      </c>
      <c r="Q2057" s="7">
        <f t="shared" si="227"/>
        <v>0</v>
      </c>
      <c r="R2057" s="7">
        <f t="shared" si="228"/>
        <v>1489</v>
      </c>
      <c r="S2057" s="7">
        <f t="shared" si="229"/>
        <v>744.5</v>
      </c>
      <c r="T2057" s="6">
        <f t="shared" si="230"/>
        <v>8.4745762711864406E-3</v>
      </c>
      <c r="V2057" t="s">
        <v>78</v>
      </c>
    </row>
    <row r="2058" spans="1:22">
      <c r="A2058" s="3">
        <v>45743</v>
      </c>
      <c r="B2058" t="str">
        <f t="shared" si="224"/>
        <v>yyyy-03</v>
      </c>
      <c r="C2058">
        <f t="shared" si="225"/>
        <v>13</v>
      </c>
      <c r="D2058" t="s">
        <v>53</v>
      </c>
      <c r="E2058" t="s">
        <v>56</v>
      </c>
      <c r="F2058" t="s">
        <v>58</v>
      </c>
      <c r="G2058" t="s">
        <v>27</v>
      </c>
      <c r="H2058" t="s">
        <v>48</v>
      </c>
      <c r="I2058" s="5">
        <v>185</v>
      </c>
      <c r="J2058" s="5">
        <v>146</v>
      </c>
      <c r="K2058" s="5">
        <v>9</v>
      </c>
      <c r="L2058" s="5">
        <v>2</v>
      </c>
      <c r="M2058" s="5">
        <v>2</v>
      </c>
      <c r="N2058" s="7">
        <v>909.63</v>
      </c>
      <c r="O2058" s="7">
        <f t="shared" si="226"/>
        <v>1819.26</v>
      </c>
      <c r="P2058" s="4">
        <v>0</v>
      </c>
      <c r="Q2058" s="7">
        <f t="shared" si="227"/>
        <v>0</v>
      </c>
      <c r="R2058" s="7">
        <f t="shared" si="228"/>
        <v>1819.26</v>
      </c>
      <c r="S2058" s="7">
        <f t="shared" si="229"/>
        <v>909.63</v>
      </c>
      <c r="T2058" s="6">
        <f t="shared" si="230"/>
        <v>1.0810810810810811E-2</v>
      </c>
      <c r="V2058" t="s">
        <v>29</v>
      </c>
    </row>
    <row r="2059" spans="1:22">
      <c r="A2059" s="3">
        <v>45743</v>
      </c>
      <c r="B2059" t="str">
        <f t="shared" si="224"/>
        <v>yyyy-03</v>
      </c>
      <c r="C2059">
        <f t="shared" si="225"/>
        <v>13</v>
      </c>
      <c r="D2059" t="s">
        <v>53</v>
      </c>
      <c r="E2059" t="s">
        <v>59</v>
      </c>
      <c r="F2059" t="s">
        <v>60</v>
      </c>
      <c r="G2059" t="s">
        <v>36</v>
      </c>
      <c r="H2059" t="s">
        <v>37</v>
      </c>
      <c r="I2059" s="5">
        <v>131</v>
      </c>
      <c r="J2059" s="5">
        <v>75</v>
      </c>
      <c r="K2059" s="5">
        <v>8</v>
      </c>
      <c r="L2059" s="5">
        <v>2</v>
      </c>
      <c r="M2059" s="5">
        <v>2</v>
      </c>
      <c r="N2059" s="7">
        <v>711.46</v>
      </c>
      <c r="O2059" s="7">
        <f t="shared" si="226"/>
        <v>1422.92</v>
      </c>
      <c r="P2059" s="4">
        <v>0</v>
      </c>
      <c r="Q2059" s="7">
        <f t="shared" si="227"/>
        <v>0</v>
      </c>
      <c r="R2059" s="7">
        <f t="shared" si="228"/>
        <v>1422.92</v>
      </c>
      <c r="S2059" s="7">
        <f t="shared" si="229"/>
        <v>711.46</v>
      </c>
      <c r="T2059" s="6">
        <f t="shared" si="230"/>
        <v>1.5267175572519083E-2</v>
      </c>
      <c r="V2059" t="s">
        <v>29</v>
      </c>
    </row>
    <row r="2060" spans="1:22">
      <c r="A2060" s="3">
        <v>45743</v>
      </c>
      <c r="B2060" t="str">
        <f t="shared" si="224"/>
        <v>yyyy-03</v>
      </c>
      <c r="C2060">
        <f t="shared" si="225"/>
        <v>13</v>
      </c>
      <c r="D2060" t="s">
        <v>53</v>
      </c>
      <c r="E2060" t="s">
        <v>61</v>
      </c>
      <c r="F2060" t="s">
        <v>62</v>
      </c>
      <c r="G2060" t="s">
        <v>27</v>
      </c>
      <c r="H2060" t="s">
        <v>28</v>
      </c>
      <c r="I2060" s="5">
        <v>157</v>
      </c>
      <c r="J2060" s="5">
        <v>85</v>
      </c>
      <c r="K2060" s="5">
        <v>5</v>
      </c>
      <c r="L2060" s="5">
        <v>2</v>
      </c>
      <c r="M2060" s="5">
        <v>2</v>
      </c>
      <c r="N2060" s="7">
        <v>500.17</v>
      </c>
      <c r="O2060" s="7">
        <f t="shared" si="226"/>
        <v>1000.34</v>
      </c>
      <c r="P2060" s="4">
        <v>0</v>
      </c>
      <c r="Q2060" s="7">
        <f t="shared" si="227"/>
        <v>0</v>
      </c>
      <c r="R2060" s="7">
        <f t="shared" si="228"/>
        <v>1000.34</v>
      </c>
      <c r="S2060" s="7">
        <f t="shared" si="229"/>
        <v>500.17</v>
      </c>
      <c r="T2060" s="6">
        <f t="shared" si="230"/>
        <v>1.2738853503184714E-2</v>
      </c>
      <c r="V2060" t="s">
        <v>29</v>
      </c>
    </row>
    <row r="2061" spans="1:22">
      <c r="A2061" s="3">
        <v>45743</v>
      </c>
      <c r="B2061" t="str">
        <f t="shared" si="224"/>
        <v>yyyy-03</v>
      </c>
      <c r="C2061">
        <f t="shared" si="225"/>
        <v>13</v>
      </c>
      <c r="D2061" t="s">
        <v>53</v>
      </c>
      <c r="E2061" t="s">
        <v>64</v>
      </c>
      <c r="F2061" t="s">
        <v>65</v>
      </c>
      <c r="G2061" t="s">
        <v>27</v>
      </c>
      <c r="H2061" t="s">
        <v>28</v>
      </c>
      <c r="I2061" s="5">
        <v>190</v>
      </c>
      <c r="J2061" s="5">
        <v>103</v>
      </c>
      <c r="K2061" s="5">
        <v>7</v>
      </c>
      <c r="L2061" s="5">
        <v>2</v>
      </c>
      <c r="M2061" s="5">
        <v>2</v>
      </c>
      <c r="N2061" s="7">
        <v>809.47</v>
      </c>
      <c r="O2061" s="7">
        <f t="shared" si="226"/>
        <v>1618.94</v>
      </c>
      <c r="P2061" s="4">
        <v>0</v>
      </c>
      <c r="Q2061" s="7">
        <f t="shared" si="227"/>
        <v>0</v>
      </c>
      <c r="R2061" s="7">
        <f t="shared" si="228"/>
        <v>1618.94</v>
      </c>
      <c r="S2061" s="7">
        <f t="shared" si="229"/>
        <v>809.47</v>
      </c>
      <c r="T2061" s="6">
        <f t="shared" si="230"/>
        <v>1.0526315789473684E-2</v>
      </c>
      <c r="V2061" t="s">
        <v>29</v>
      </c>
    </row>
    <row r="2062" spans="1:22">
      <c r="A2062" s="3">
        <v>45743</v>
      </c>
      <c r="B2062" t="str">
        <f t="shared" si="224"/>
        <v>yyyy-03</v>
      </c>
      <c r="C2062">
        <f t="shared" si="225"/>
        <v>13</v>
      </c>
      <c r="D2062" t="s">
        <v>66</v>
      </c>
      <c r="E2062" t="s">
        <v>67</v>
      </c>
      <c r="F2062" t="s">
        <v>68</v>
      </c>
      <c r="G2062" t="s">
        <v>36</v>
      </c>
      <c r="H2062" t="s">
        <v>37</v>
      </c>
      <c r="I2062" s="5">
        <v>444</v>
      </c>
      <c r="J2062" s="5">
        <v>344</v>
      </c>
      <c r="K2062" s="5">
        <v>32</v>
      </c>
      <c r="L2062" s="5">
        <v>8</v>
      </c>
      <c r="M2062" s="5">
        <v>8</v>
      </c>
      <c r="N2062" s="7">
        <v>707.02</v>
      </c>
      <c r="O2062" s="7">
        <f t="shared" si="226"/>
        <v>5656.16</v>
      </c>
      <c r="P2062" s="4">
        <v>0.1</v>
      </c>
      <c r="Q2062" s="7">
        <f t="shared" si="227"/>
        <v>565.61599999999999</v>
      </c>
      <c r="R2062" s="7">
        <f t="shared" si="228"/>
        <v>5090.5439999999999</v>
      </c>
      <c r="S2062" s="7">
        <f t="shared" si="229"/>
        <v>636.31799999999998</v>
      </c>
      <c r="T2062" s="6">
        <f t="shared" si="230"/>
        <v>1.8018018018018018E-2</v>
      </c>
      <c r="U2062" t="s">
        <v>90</v>
      </c>
      <c r="V2062" t="s">
        <v>29</v>
      </c>
    </row>
    <row r="2063" spans="1:22">
      <c r="A2063" s="3">
        <v>45743</v>
      </c>
      <c r="B2063" t="str">
        <f t="shared" si="224"/>
        <v>yyyy-03</v>
      </c>
      <c r="C2063">
        <f t="shared" si="225"/>
        <v>13</v>
      </c>
      <c r="D2063" t="s">
        <v>66</v>
      </c>
      <c r="E2063" t="s">
        <v>67</v>
      </c>
      <c r="F2063" t="s">
        <v>69</v>
      </c>
      <c r="G2063" t="s">
        <v>31</v>
      </c>
      <c r="H2063" t="s">
        <v>32</v>
      </c>
      <c r="I2063" s="5">
        <v>454</v>
      </c>
      <c r="J2063" s="5">
        <v>328</v>
      </c>
      <c r="K2063" s="5">
        <v>25</v>
      </c>
      <c r="L2063" s="5">
        <v>8</v>
      </c>
      <c r="M2063" s="5">
        <v>8</v>
      </c>
      <c r="N2063" s="7">
        <v>396.91</v>
      </c>
      <c r="O2063" s="7">
        <f t="shared" si="226"/>
        <v>3175.28</v>
      </c>
      <c r="P2063" s="4">
        <v>0.1</v>
      </c>
      <c r="Q2063" s="7">
        <f t="shared" si="227"/>
        <v>317.52800000000002</v>
      </c>
      <c r="R2063" s="7">
        <f t="shared" si="228"/>
        <v>2857.7520000000004</v>
      </c>
      <c r="S2063" s="7">
        <f t="shared" si="229"/>
        <v>357.21900000000005</v>
      </c>
      <c r="T2063" s="6">
        <f t="shared" si="230"/>
        <v>1.7621145374449341E-2</v>
      </c>
      <c r="U2063" t="s">
        <v>90</v>
      </c>
      <c r="V2063" t="s">
        <v>29</v>
      </c>
    </row>
    <row r="2064" spans="1:22">
      <c r="A2064" s="3">
        <v>45743</v>
      </c>
      <c r="B2064" t="str">
        <f t="shared" si="224"/>
        <v>yyyy-03</v>
      </c>
      <c r="C2064">
        <f t="shared" si="225"/>
        <v>13</v>
      </c>
      <c r="D2064" t="s">
        <v>66</v>
      </c>
      <c r="E2064" t="s">
        <v>67</v>
      </c>
      <c r="F2064" t="s">
        <v>70</v>
      </c>
      <c r="G2064" t="s">
        <v>27</v>
      </c>
      <c r="H2064" t="s">
        <v>28</v>
      </c>
      <c r="I2064" s="5">
        <v>409</v>
      </c>
      <c r="J2064" s="5">
        <v>314</v>
      </c>
      <c r="K2064" s="5">
        <v>40</v>
      </c>
      <c r="L2064" s="5">
        <v>9</v>
      </c>
      <c r="M2064" s="5">
        <v>9</v>
      </c>
      <c r="N2064" s="7">
        <v>335.72</v>
      </c>
      <c r="O2064" s="7">
        <f t="shared" si="226"/>
        <v>3021.4800000000005</v>
      </c>
      <c r="P2064" s="4">
        <v>0.1</v>
      </c>
      <c r="Q2064" s="7">
        <f t="shared" si="227"/>
        <v>302.14800000000008</v>
      </c>
      <c r="R2064" s="7">
        <f t="shared" si="228"/>
        <v>2719.3320000000003</v>
      </c>
      <c r="S2064" s="7">
        <f t="shared" si="229"/>
        <v>302.14800000000002</v>
      </c>
      <c r="T2064" s="6">
        <f t="shared" si="230"/>
        <v>2.2004889975550123E-2</v>
      </c>
      <c r="U2064" t="s">
        <v>90</v>
      </c>
      <c r="V2064" t="s">
        <v>29</v>
      </c>
    </row>
    <row r="2065" spans="1:22">
      <c r="A2065" s="3">
        <v>45743</v>
      </c>
      <c r="B2065" t="str">
        <f t="shared" si="224"/>
        <v>yyyy-03</v>
      </c>
      <c r="C2065">
        <f t="shared" si="225"/>
        <v>13</v>
      </c>
      <c r="D2065" t="s">
        <v>66</v>
      </c>
      <c r="E2065" t="s">
        <v>71</v>
      </c>
      <c r="F2065" t="s">
        <v>72</v>
      </c>
      <c r="G2065" t="s">
        <v>27</v>
      </c>
      <c r="H2065" t="s">
        <v>45</v>
      </c>
      <c r="I2065" s="5">
        <v>284</v>
      </c>
      <c r="J2065" s="5">
        <v>223</v>
      </c>
      <c r="K2065" s="5">
        <v>19</v>
      </c>
      <c r="L2065" s="5">
        <v>5</v>
      </c>
      <c r="M2065" s="5">
        <v>7</v>
      </c>
      <c r="N2065" s="7">
        <v>128.9</v>
      </c>
      <c r="O2065" s="7">
        <f t="shared" si="226"/>
        <v>902.30000000000007</v>
      </c>
      <c r="P2065" s="4">
        <v>0.05</v>
      </c>
      <c r="Q2065" s="7">
        <f t="shared" si="227"/>
        <v>45.115000000000009</v>
      </c>
      <c r="R2065" s="7">
        <f t="shared" si="228"/>
        <v>857.18500000000006</v>
      </c>
      <c r="S2065" s="7">
        <f t="shared" si="229"/>
        <v>171.43700000000001</v>
      </c>
      <c r="T2065" s="6">
        <f t="shared" si="230"/>
        <v>1.7605633802816902E-2</v>
      </c>
      <c r="V2065" t="s">
        <v>29</v>
      </c>
    </row>
    <row r="2066" spans="1:22">
      <c r="A2066" s="3">
        <v>45743</v>
      </c>
      <c r="B2066" t="str">
        <f t="shared" si="224"/>
        <v>yyyy-03</v>
      </c>
      <c r="C2066">
        <f t="shared" si="225"/>
        <v>13</v>
      </c>
      <c r="D2066" t="s">
        <v>66</v>
      </c>
      <c r="E2066" t="s">
        <v>73</v>
      </c>
      <c r="F2066" t="s">
        <v>74</v>
      </c>
      <c r="G2066" t="s">
        <v>27</v>
      </c>
      <c r="H2066" t="s">
        <v>28</v>
      </c>
      <c r="I2066" s="5">
        <v>191</v>
      </c>
      <c r="J2066" s="5">
        <v>116</v>
      </c>
      <c r="K2066" s="5">
        <v>8</v>
      </c>
      <c r="L2066" s="5">
        <v>3</v>
      </c>
      <c r="M2066" s="5">
        <v>3</v>
      </c>
      <c r="N2066" s="7">
        <v>1165.99</v>
      </c>
      <c r="O2066" s="7">
        <f t="shared" si="226"/>
        <v>3497.9700000000003</v>
      </c>
      <c r="P2066" s="4">
        <v>0</v>
      </c>
      <c r="Q2066" s="7">
        <f t="shared" si="227"/>
        <v>0</v>
      </c>
      <c r="R2066" s="7">
        <f t="shared" si="228"/>
        <v>3497.9700000000003</v>
      </c>
      <c r="S2066" s="7">
        <f t="shared" si="229"/>
        <v>1165.99</v>
      </c>
      <c r="T2066" s="6">
        <f t="shared" si="230"/>
        <v>1.5706806282722512E-2</v>
      </c>
      <c r="V2066" t="s">
        <v>29</v>
      </c>
    </row>
    <row r="2067" spans="1:22">
      <c r="A2067" s="3">
        <v>45743</v>
      </c>
      <c r="B2067" t="str">
        <f t="shared" si="224"/>
        <v>yyyy-03</v>
      </c>
      <c r="C2067">
        <f t="shared" si="225"/>
        <v>13</v>
      </c>
      <c r="D2067" t="s">
        <v>66</v>
      </c>
      <c r="E2067" t="s">
        <v>71</v>
      </c>
      <c r="F2067" t="s">
        <v>75</v>
      </c>
      <c r="G2067" t="s">
        <v>36</v>
      </c>
      <c r="H2067" t="s">
        <v>37</v>
      </c>
      <c r="I2067" s="5">
        <v>379</v>
      </c>
      <c r="J2067" s="5">
        <v>308</v>
      </c>
      <c r="K2067" s="5">
        <v>27</v>
      </c>
      <c r="L2067" s="5">
        <v>6</v>
      </c>
      <c r="M2067" s="5">
        <v>7</v>
      </c>
      <c r="N2067" s="7">
        <v>38.35</v>
      </c>
      <c r="O2067" s="7">
        <f t="shared" si="226"/>
        <v>268.45</v>
      </c>
      <c r="P2067" s="4">
        <v>0</v>
      </c>
      <c r="Q2067" s="7">
        <f t="shared" si="227"/>
        <v>0</v>
      </c>
      <c r="R2067" s="7">
        <f t="shared" si="228"/>
        <v>268.45</v>
      </c>
      <c r="S2067" s="7">
        <f t="shared" si="229"/>
        <v>44.741666666666667</v>
      </c>
      <c r="T2067" s="6">
        <f t="shared" si="230"/>
        <v>1.5831134564643801E-2</v>
      </c>
      <c r="V2067" t="s">
        <v>29</v>
      </c>
    </row>
    <row r="2068" spans="1:22">
      <c r="A2068" s="3">
        <v>45743</v>
      </c>
      <c r="B2068" t="str">
        <f t="shared" si="224"/>
        <v>yyyy-03</v>
      </c>
      <c r="C2068">
        <f t="shared" si="225"/>
        <v>13</v>
      </c>
      <c r="D2068" t="s">
        <v>24</v>
      </c>
      <c r="E2068" t="s">
        <v>76</v>
      </c>
      <c r="F2068" t="s">
        <v>77</v>
      </c>
      <c r="G2068" t="s">
        <v>31</v>
      </c>
      <c r="H2068" t="s">
        <v>32</v>
      </c>
      <c r="I2068" s="5">
        <v>474</v>
      </c>
      <c r="J2068" s="5">
        <v>357</v>
      </c>
      <c r="K2068" s="5">
        <v>29</v>
      </c>
      <c r="L2068" s="5">
        <v>11</v>
      </c>
      <c r="M2068" s="5">
        <v>15</v>
      </c>
      <c r="N2068" s="7">
        <v>198.49</v>
      </c>
      <c r="O2068" s="7">
        <f t="shared" si="226"/>
        <v>2977.3500000000004</v>
      </c>
      <c r="P2068" s="4">
        <v>0</v>
      </c>
      <c r="Q2068" s="7">
        <f t="shared" si="227"/>
        <v>0</v>
      </c>
      <c r="R2068" s="7">
        <f t="shared" si="228"/>
        <v>2977.3500000000004</v>
      </c>
      <c r="S2068" s="7">
        <f t="shared" si="229"/>
        <v>270.66818181818184</v>
      </c>
      <c r="T2068" s="6">
        <f t="shared" si="230"/>
        <v>2.3206751054852322E-2</v>
      </c>
      <c r="V2068" t="s">
        <v>29</v>
      </c>
    </row>
    <row r="2069" spans="1:22">
      <c r="A2069" s="3">
        <v>45744</v>
      </c>
      <c r="B2069" t="str">
        <f t="shared" si="224"/>
        <v>yyyy-03</v>
      </c>
      <c r="C2069">
        <f t="shared" si="225"/>
        <v>13</v>
      </c>
      <c r="D2069" t="s">
        <v>24</v>
      </c>
      <c r="E2069" t="s">
        <v>25</v>
      </c>
      <c r="F2069" t="s">
        <v>26</v>
      </c>
      <c r="G2069" t="s">
        <v>31</v>
      </c>
      <c r="H2069" t="s">
        <v>32</v>
      </c>
      <c r="I2069" s="5">
        <v>1612</v>
      </c>
      <c r="J2069" s="5">
        <v>892</v>
      </c>
      <c r="K2069" s="5">
        <v>43</v>
      </c>
      <c r="L2069" s="5">
        <v>21</v>
      </c>
      <c r="M2069" s="5">
        <v>21</v>
      </c>
      <c r="N2069" s="7">
        <v>970.86</v>
      </c>
      <c r="O2069" s="7">
        <f t="shared" si="226"/>
        <v>20388.060000000001</v>
      </c>
      <c r="P2069" s="4">
        <v>0</v>
      </c>
      <c r="Q2069" s="7">
        <f t="shared" si="227"/>
        <v>0</v>
      </c>
      <c r="R2069" s="7">
        <f t="shared" si="228"/>
        <v>20388.060000000001</v>
      </c>
      <c r="S2069" s="7">
        <f t="shared" si="229"/>
        <v>970.86</v>
      </c>
      <c r="T2069" s="6">
        <f t="shared" si="230"/>
        <v>1.3027295285359801E-2</v>
      </c>
      <c r="V2069" t="s">
        <v>78</v>
      </c>
    </row>
    <row r="2070" spans="1:22">
      <c r="A2070" s="3">
        <v>45744</v>
      </c>
      <c r="B2070" t="str">
        <f t="shared" si="224"/>
        <v>yyyy-03</v>
      </c>
      <c r="C2070">
        <f t="shared" si="225"/>
        <v>13</v>
      </c>
      <c r="D2070" t="s">
        <v>24</v>
      </c>
      <c r="E2070" t="s">
        <v>25</v>
      </c>
      <c r="F2070" t="s">
        <v>30</v>
      </c>
      <c r="G2070" t="s">
        <v>36</v>
      </c>
      <c r="H2070" t="s">
        <v>37</v>
      </c>
      <c r="I2070" s="5">
        <v>1919</v>
      </c>
      <c r="J2070" s="5">
        <v>1409</v>
      </c>
      <c r="K2070" s="5">
        <v>108</v>
      </c>
      <c r="L2070" s="5">
        <v>32</v>
      </c>
      <c r="M2070" s="5">
        <v>32</v>
      </c>
      <c r="N2070" s="7">
        <v>405.37</v>
      </c>
      <c r="O2070" s="7">
        <f t="shared" si="226"/>
        <v>12971.84</v>
      </c>
      <c r="P2070" s="4">
        <v>0</v>
      </c>
      <c r="Q2070" s="7">
        <f t="shared" si="227"/>
        <v>0</v>
      </c>
      <c r="R2070" s="7">
        <f t="shared" si="228"/>
        <v>12971.84</v>
      </c>
      <c r="S2070" s="7">
        <f t="shared" si="229"/>
        <v>405.37</v>
      </c>
      <c r="T2070" s="6">
        <f t="shared" si="230"/>
        <v>1.6675351745700884E-2</v>
      </c>
      <c r="V2070" t="s">
        <v>78</v>
      </c>
    </row>
    <row r="2071" spans="1:22">
      <c r="A2071" s="3">
        <v>45744</v>
      </c>
      <c r="B2071" t="str">
        <f t="shared" si="224"/>
        <v>yyyy-03</v>
      </c>
      <c r="C2071">
        <f t="shared" si="225"/>
        <v>13</v>
      </c>
      <c r="D2071" t="s">
        <v>24</v>
      </c>
      <c r="E2071" t="s">
        <v>25</v>
      </c>
      <c r="F2071" t="s">
        <v>33</v>
      </c>
      <c r="G2071" t="s">
        <v>31</v>
      </c>
      <c r="H2071" t="s">
        <v>32</v>
      </c>
      <c r="I2071" s="5">
        <v>1417</v>
      </c>
      <c r="J2071" s="5">
        <v>1066</v>
      </c>
      <c r="K2071" s="5">
        <v>122</v>
      </c>
      <c r="L2071" s="5">
        <v>26</v>
      </c>
      <c r="M2071" s="5">
        <v>26</v>
      </c>
      <c r="N2071" s="7">
        <v>1757.05</v>
      </c>
      <c r="O2071" s="7">
        <f t="shared" si="226"/>
        <v>45683.299999999996</v>
      </c>
      <c r="P2071" s="4">
        <v>0</v>
      </c>
      <c r="Q2071" s="7">
        <f t="shared" si="227"/>
        <v>0</v>
      </c>
      <c r="R2071" s="7">
        <f t="shared" si="228"/>
        <v>45683.299999999996</v>
      </c>
      <c r="S2071" s="7">
        <f t="shared" si="229"/>
        <v>1757.0499999999997</v>
      </c>
      <c r="T2071" s="6">
        <f t="shared" si="230"/>
        <v>1.834862385321101E-2</v>
      </c>
      <c r="V2071" t="s">
        <v>29</v>
      </c>
    </row>
    <row r="2072" spans="1:22">
      <c r="A2072" s="3">
        <v>45744</v>
      </c>
      <c r="B2072" t="str">
        <f t="shared" si="224"/>
        <v>yyyy-03</v>
      </c>
      <c r="C2072">
        <f t="shared" si="225"/>
        <v>13</v>
      </c>
      <c r="D2072" t="s">
        <v>24</v>
      </c>
      <c r="E2072" t="s">
        <v>34</v>
      </c>
      <c r="F2072" t="s">
        <v>35</v>
      </c>
      <c r="G2072" t="s">
        <v>36</v>
      </c>
      <c r="H2072" t="s">
        <v>37</v>
      </c>
      <c r="I2072" s="5">
        <v>1066</v>
      </c>
      <c r="J2072" s="5">
        <v>852</v>
      </c>
      <c r="K2072" s="5">
        <v>84</v>
      </c>
      <c r="L2072" s="5">
        <v>20</v>
      </c>
      <c r="M2072" s="5">
        <v>20</v>
      </c>
      <c r="N2072" s="7">
        <v>876.97</v>
      </c>
      <c r="O2072" s="7">
        <f t="shared" si="226"/>
        <v>17539.400000000001</v>
      </c>
      <c r="P2072" s="4">
        <v>0</v>
      </c>
      <c r="Q2072" s="7">
        <f t="shared" si="227"/>
        <v>0</v>
      </c>
      <c r="R2072" s="7">
        <f t="shared" si="228"/>
        <v>17539.400000000001</v>
      </c>
      <c r="S2072" s="7">
        <f t="shared" si="229"/>
        <v>876.97</v>
      </c>
      <c r="T2072" s="6">
        <f t="shared" si="230"/>
        <v>1.8761726078799251E-2</v>
      </c>
      <c r="V2072" t="s">
        <v>78</v>
      </c>
    </row>
    <row r="2073" spans="1:22">
      <c r="A2073" s="3">
        <v>45744</v>
      </c>
      <c r="B2073" t="str">
        <f t="shared" si="224"/>
        <v>yyyy-03</v>
      </c>
      <c r="C2073">
        <f t="shared" si="225"/>
        <v>13</v>
      </c>
      <c r="D2073" t="s">
        <v>24</v>
      </c>
      <c r="E2073" t="s">
        <v>38</v>
      </c>
      <c r="F2073" t="s">
        <v>39</v>
      </c>
      <c r="G2073" t="s">
        <v>27</v>
      </c>
      <c r="H2073" t="s">
        <v>28</v>
      </c>
      <c r="I2073" s="5">
        <v>763</v>
      </c>
      <c r="J2073" s="5">
        <v>584</v>
      </c>
      <c r="K2073" s="5">
        <v>45</v>
      </c>
      <c r="L2073" s="5">
        <v>9</v>
      </c>
      <c r="M2073" s="5">
        <v>9</v>
      </c>
      <c r="N2073" s="7">
        <v>334.52</v>
      </c>
      <c r="O2073" s="7">
        <f t="shared" si="226"/>
        <v>3010.68</v>
      </c>
      <c r="P2073" s="4">
        <v>0</v>
      </c>
      <c r="Q2073" s="7">
        <f t="shared" si="227"/>
        <v>0</v>
      </c>
      <c r="R2073" s="7">
        <f t="shared" si="228"/>
        <v>3010.68</v>
      </c>
      <c r="S2073" s="7">
        <f t="shared" si="229"/>
        <v>334.52</v>
      </c>
      <c r="T2073" s="6">
        <f t="shared" si="230"/>
        <v>1.1795543905635648E-2</v>
      </c>
      <c r="V2073" t="s">
        <v>78</v>
      </c>
    </row>
    <row r="2074" spans="1:22">
      <c r="A2074" s="3">
        <v>45744</v>
      </c>
      <c r="B2074" t="str">
        <f t="shared" si="224"/>
        <v>yyyy-03</v>
      </c>
      <c r="C2074">
        <f t="shared" si="225"/>
        <v>13</v>
      </c>
      <c r="D2074" t="s">
        <v>24</v>
      </c>
      <c r="E2074" t="s">
        <v>40</v>
      </c>
      <c r="F2074" t="s">
        <v>41</v>
      </c>
      <c r="G2074" t="s">
        <v>27</v>
      </c>
      <c r="H2074" t="s">
        <v>45</v>
      </c>
      <c r="I2074" s="5">
        <v>841</v>
      </c>
      <c r="J2074" s="5">
        <v>676</v>
      </c>
      <c r="K2074" s="5">
        <v>44</v>
      </c>
      <c r="L2074" s="5">
        <v>13</v>
      </c>
      <c r="M2074" s="5">
        <v>14</v>
      </c>
      <c r="N2074" s="7">
        <v>180.4</v>
      </c>
      <c r="O2074" s="7">
        <f t="shared" si="226"/>
        <v>2525.6</v>
      </c>
      <c r="P2074" s="4">
        <v>0.05</v>
      </c>
      <c r="Q2074" s="7">
        <f t="shared" si="227"/>
        <v>126.28</v>
      </c>
      <c r="R2074" s="7">
        <f t="shared" si="228"/>
        <v>2399.3199999999997</v>
      </c>
      <c r="S2074" s="7">
        <f t="shared" si="229"/>
        <v>184.56307692307689</v>
      </c>
      <c r="T2074" s="6">
        <f t="shared" si="230"/>
        <v>1.5457788347205707E-2</v>
      </c>
      <c r="V2074" t="s">
        <v>29</v>
      </c>
    </row>
    <row r="2075" spans="1:22">
      <c r="A2075" s="3">
        <v>45744</v>
      </c>
      <c r="B2075" t="str">
        <f t="shared" si="224"/>
        <v>yyyy-03</v>
      </c>
      <c r="C2075">
        <f t="shared" si="225"/>
        <v>13</v>
      </c>
      <c r="D2075" t="s">
        <v>42</v>
      </c>
      <c r="E2075" t="s">
        <v>43</v>
      </c>
      <c r="F2075" t="s">
        <v>44</v>
      </c>
      <c r="G2075" t="s">
        <v>36</v>
      </c>
      <c r="H2075" t="s">
        <v>37</v>
      </c>
      <c r="I2075" s="5">
        <v>667</v>
      </c>
      <c r="J2075" s="5">
        <v>496</v>
      </c>
      <c r="K2075" s="5">
        <v>55</v>
      </c>
      <c r="L2075" s="5">
        <v>14</v>
      </c>
      <c r="M2075" s="5">
        <v>14</v>
      </c>
      <c r="N2075" s="7">
        <v>1283.0899999999999</v>
      </c>
      <c r="O2075" s="7">
        <f t="shared" si="226"/>
        <v>17963.259999999998</v>
      </c>
      <c r="P2075" s="4">
        <v>0.12</v>
      </c>
      <c r="Q2075" s="7">
        <f t="shared" si="227"/>
        <v>2155.5911999999998</v>
      </c>
      <c r="R2075" s="7">
        <f t="shared" si="228"/>
        <v>15807.668799999999</v>
      </c>
      <c r="S2075" s="7">
        <f t="shared" si="229"/>
        <v>1129.1191999999999</v>
      </c>
      <c r="T2075" s="6">
        <f t="shared" si="230"/>
        <v>2.0989505247376312E-2</v>
      </c>
      <c r="U2075" t="s">
        <v>91</v>
      </c>
      <c r="V2075" t="s">
        <v>29</v>
      </c>
    </row>
    <row r="2076" spans="1:22">
      <c r="A2076" s="3">
        <v>45744</v>
      </c>
      <c r="B2076" t="str">
        <f t="shared" si="224"/>
        <v>yyyy-03</v>
      </c>
      <c r="C2076">
        <f t="shared" si="225"/>
        <v>13</v>
      </c>
      <c r="D2076" t="s">
        <v>42</v>
      </c>
      <c r="E2076" t="s">
        <v>43</v>
      </c>
      <c r="F2076" t="s">
        <v>46</v>
      </c>
      <c r="G2076" t="s">
        <v>27</v>
      </c>
      <c r="H2076" t="s">
        <v>45</v>
      </c>
      <c r="I2076" s="5">
        <v>482</v>
      </c>
      <c r="J2076" s="5">
        <v>387</v>
      </c>
      <c r="K2076" s="5">
        <v>37</v>
      </c>
      <c r="L2076" s="5">
        <v>9</v>
      </c>
      <c r="M2076" s="5">
        <v>9</v>
      </c>
      <c r="N2076" s="7">
        <v>2145.4</v>
      </c>
      <c r="O2076" s="7">
        <f t="shared" si="226"/>
        <v>19308.600000000002</v>
      </c>
      <c r="P2076" s="4">
        <v>0.12</v>
      </c>
      <c r="Q2076" s="7">
        <f t="shared" si="227"/>
        <v>2317.0320000000002</v>
      </c>
      <c r="R2076" s="7">
        <f t="shared" si="228"/>
        <v>16991.568000000003</v>
      </c>
      <c r="S2076" s="7">
        <f t="shared" si="229"/>
        <v>1887.9520000000002</v>
      </c>
      <c r="T2076" s="6">
        <f t="shared" si="230"/>
        <v>1.8672199170124481E-2</v>
      </c>
      <c r="U2076" t="s">
        <v>91</v>
      </c>
      <c r="V2076" t="s">
        <v>29</v>
      </c>
    </row>
    <row r="2077" spans="1:22">
      <c r="A2077" s="3">
        <v>45744</v>
      </c>
      <c r="B2077" t="str">
        <f t="shared" si="224"/>
        <v>yyyy-03</v>
      </c>
      <c r="C2077">
        <f t="shared" si="225"/>
        <v>13</v>
      </c>
      <c r="D2077" t="s">
        <v>42</v>
      </c>
      <c r="E2077" t="s">
        <v>43</v>
      </c>
      <c r="F2077" t="s">
        <v>47</v>
      </c>
      <c r="G2077" t="s">
        <v>31</v>
      </c>
      <c r="H2077" t="s">
        <v>32</v>
      </c>
      <c r="I2077" s="5">
        <v>438</v>
      </c>
      <c r="J2077" s="5">
        <v>353</v>
      </c>
      <c r="K2077" s="5">
        <v>29</v>
      </c>
      <c r="L2077" s="5">
        <v>6</v>
      </c>
      <c r="M2077" s="5">
        <v>6</v>
      </c>
      <c r="N2077" s="7">
        <v>594.33000000000004</v>
      </c>
      <c r="O2077" s="7">
        <f t="shared" si="226"/>
        <v>3565.9800000000005</v>
      </c>
      <c r="P2077" s="4">
        <v>0.12</v>
      </c>
      <c r="Q2077" s="7">
        <f t="shared" si="227"/>
        <v>427.91760000000005</v>
      </c>
      <c r="R2077" s="7">
        <f t="shared" si="228"/>
        <v>3138.0624000000003</v>
      </c>
      <c r="S2077" s="7">
        <f t="shared" si="229"/>
        <v>523.0104</v>
      </c>
      <c r="T2077" s="6">
        <f t="shared" si="230"/>
        <v>1.3698630136986301E-2</v>
      </c>
      <c r="U2077" t="s">
        <v>91</v>
      </c>
      <c r="V2077" t="s">
        <v>29</v>
      </c>
    </row>
    <row r="2078" spans="1:22">
      <c r="A2078" s="3">
        <v>45744</v>
      </c>
      <c r="B2078" t="str">
        <f t="shared" si="224"/>
        <v>yyyy-03</v>
      </c>
      <c r="C2078">
        <f t="shared" si="225"/>
        <v>13</v>
      </c>
      <c r="D2078" t="s">
        <v>42</v>
      </c>
      <c r="E2078" t="s">
        <v>49</v>
      </c>
      <c r="F2078" t="s">
        <v>50</v>
      </c>
      <c r="G2078" t="s">
        <v>27</v>
      </c>
      <c r="H2078" t="s">
        <v>63</v>
      </c>
      <c r="I2078" s="5">
        <v>90</v>
      </c>
      <c r="J2078" s="5">
        <v>59</v>
      </c>
      <c r="K2078" s="5">
        <v>7</v>
      </c>
      <c r="L2078" s="5">
        <v>1</v>
      </c>
      <c r="M2078" s="5">
        <v>1</v>
      </c>
      <c r="N2078" s="7">
        <v>969.82</v>
      </c>
      <c r="O2078" s="7">
        <f t="shared" si="226"/>
        <v>969.82</v>
      </c>
      <c r="P2078" s="4">
        <v>0</v>
      </c>
      <c r="Q2078" s="7">
        <f t="shared" si="227"/>
        <v>0</v>
      </c>
      <c r="R2078" s="7">
        <f t="shared" si="228"/>
        <v>969.82</v>
      </c>
      <c r="S2078" s="7">
        <f t="shared" si="229"/>
        <v>969.82</v>
      </c>
      <c r="T2078" s="6">
        <f t="shared" si="230"/>
        <v>1.1111111111111112E-2</v>
      </c>
      <c r="V2078" t="s">
        <v>29</v>
      </c>
    </row>
    <row r="2079" spans="1:22">
      <c r="A2079" s="3">
        <v>45744</v>
      </c>
      <c r="B2079" t="str">
        <f t="shared" si="224"/>
        <v>yyyy-03</v>
      </c>
      <c r="C2079">
        <f t="shared" si="225"/>
        <v>13</v>
      </c>
      <c r="D2079" t="s">
        <v>42</v>
      </c>
      <c r="E2079" t="s">
        <v>51</v>
      </c>
      <c r="F2079" t="s">
        <v>52</v>
      </c>
      <c r="G2079" t="s">
        <v>36</v>
      </c>
      <c r="H2079" t="s">
        <v>37</v>
      </c>
      <c r="I2079" s="5">
        <v>232</v>
      </c>
      <c r="J2079" s="5">
        <v>148</v>
      </c>
      <c r="K2079" s="5">
        <v>11</v>
      </c>
      <c r="L2079" s="5">
        <v>4</v>
      </c>
      <c r="M2079" s="5">
        <v>4</v>
      </c>
      <c r="N2079" s="7">
        <v>593.27</v>
      </c>
      <c r="O2079" s="7">
        <f t="shared" si="226"/>
        <v>2373.08</v>
      </c>
      <c r="P2079" s="4">
        <v>0</v>
      </c>
      <c r="Q2079" s="7">
        <f t="shared" si="227"/>
        <v>0</v>
      </c>
      <c r="R2079" s="7">
        <f t="shared" si="228"/>
        <v>2373.08</v>
      </c>
      <c r="S2079" s="7">
        <f t="shared" si="229"/>
        <v>593.27</v>
      </c>
      <c r="T2079" s="6">
        <f t="shared" si="230"/>
        <v>1.7241379310344827E-2</v>
      </c>
      <c r="V2079" t="s">
        <v>29</v>
      </c>
    </row>
    <row r="2080" spans="1:22">
      <c r="A2080" s="3">
        <v>45744</v>
      </c>
      <c r="B2080" t="str">
        <f t="shared" si="224"/>
        <v>yyyy-03</v>
      </c>
      <c r="C2080">
        <f t="shared" si="225"/>
        <v>13</v>
      </c>
      <c r="D2080" t="s">
        <v>53</v>
      </c>
      <c r="E2080" t="s">
        <v>54</v>
      </c>
      <c r="F2080" t="s">
        <v>55</v>
      </c>
      <c r="G2080" t="s">
        <v>27</v>
      </c>
      <c r="H2080" t="s">
        <v>45</v>
      </c>
      <c r="I2080" s="5">
        <v>141</v>
      </c>
      <c r="J2080" s="5">
        <v>100</v>
      </c>
      <c r="K2080" s="5">
        <v>9</v>
      </c>
      <c r="L2080" s="5">
        <v>2</v>
      </c>
      <c r="M2080" s="5">
        <v>2</v>
      </c>
      <c r="N2080" s="7">
        <v>1261.56</v>
      </c>
      <c r="O2080" s="7">
        <f t="shared" si="226"/>
        <v>2523.12</v>
      </c>
      <c r="P2080" s="4">
        <v>0</v>
      </c>
      <c r="Q2080" s="7">
        <f t="shared" si="227"/>
        <v>0</v>
      </c>
      <c r="R2080" s="7">
        <f t="shared" si="228"/>
        <v>2523.12</v>
      </c>
      <c r="S2080" s="7">
        <f t="shared" si="229"/>
        <v>1261.56</v>
      </c>
      <c r="T2080" s="6">
        <f t="shared" si="230"/>
        <v>1.4184397163120567E-2</v>
      </c>
      <c r="V2080" t="s">
        <v>29</v>
      </c>
    </row>
    <row r="2081" spans="1:22">
      <c r="A2081" s="3">
        <v>45744</v>
      </c>
      <c r="B2081" t="str">
        <f t="shared" si="224"/>
        <v>yyyy-03</v>
      </c>
      <c r="C2081">
        <f t="shared" si="225"/>
        <v>13</v>
      </c>
      <c r="D2081" t="s">
        <v>53</v>
      </c>
      <c r="E2081" t="s">
        <v>56</v>
      </c>
      <c r="F2081" t="s">
        <v>57</v>
      </c>
      <c r="G2081" t="s">
        <v>31</v>
      </c>
      <c r="H2081" t="s">
        <v>32</v>
      </c>
      <c r="I2081" s="5">
        <v>273</v>
      </c>
      <c r="J2081" s="5">
        <v>185</v>
      </c>
      <c r="K2081" s="5">
        <v>18</v>
      </c>
      <c r="L2081" s="5">
        <v>3</v>
      </c>
      <c r="M2081" s="5">
        <v>3</v>
      </c>
      <c r="N2081" s="7">
        <v>737.73</v>
      </c>
      <c r="O2081" s="7">
        <f t="shared" si="226"/>
        <v>2213.19</v>
      </c>
      <c r="P2081" s="4">
        <v>0</v>
      </c>
      <c r="Q2081" s="7">
        <f t="shared" si="227"/>
        <v>0</v>
      </c>
      <c r="R2081" s="7">
        <f t="shared" si="228"/>
        <v>2213.19</v>
      </c>
      <c r="S2081" s="7">
        <f t="shared" si="229"/>
        <v>737.73</v>
      </c>
      <c r="T2081" s="6">
        <f t="shared" si="230"/>
        <v>1.098901098901099E-2</v>
      </c>
      <c r="V2081" t="s">
        <v>29</v>
      </c>
    </row>
    <row r="2082" spans="1:22">
      <c r="A2082" s="3">
        <v>45744</v>
      </c>
      <c r="B2082" t="str">
        <f t="shared" si="224"/>
        <v>yyyy-03</v>
      </c>
      <c r="C2082">
        <f t="shared" si="225"/>
        <v>13</v>
      </c>
      <c r="D2082" t="s">
        <v>53</v>
      </c>
      <c r="E2082" t="s">
        <v>56</v>
      </c>
      <c r="F2082" t="s">
        <v>58</v>
      </c>
      <c r="G2082" t="s">
        <v>27</v>
      </c>
      <c r="H2082" t="s">
        <v>48</v>
      </c>
      <c r="I2082" s="5">
        <v>177</v>
      </c>
      <c r="J2082" s="5">
        <v>142</v>
      </c>
      <c r="K2082" s="5">
        <v>15</v>
      </c>
      <c r="L2082" s="5">
        <v>2</v>
      </c>
      <c r="M2082" s="5">
        <v>2</v>
      </c>
      <c r="N2082" s="7">
        <v>909.59</v>
      </c>
      <c r="O2082" s="7">
        <f t="shared" si="226"/>
        <v>1819.18</v>
      </c>
      <c r="P2082" s="4">
        <v>0.03</v>
      </c>
      <c r="Q2082" s="7">
        <f t="shared" si="227"/>
        <v>54.575400000000002</v>
      </c>
      <c r="R2082" s="7">
        <f t="shared" si="228"/>
        <v>1764.6046000000001</v>
      </c>
      <c r="S2082" s="7">
        <f t="shared" si="229"/>
        <v>882.30230000000006</v>
      </c>
      <c r="T2082" s="6">
        <f t="shared" si="230"/>
        <v>1.1299435028248588E-2</v>
      </c>
      <c r="V2082" t="s">
        <v>78</v>
      </c>
    </row>
    <row r="2083" spans="1:22">
      <c r="A2083" s="3">
        <v>45744</v>
      </c>
      <c r="B2083" t="str">
        <f t="shared" si="224"/>
        <v>yyyy-03</v>
      </c>
      <c r="C2083">
        <f t="shared" si="225"/>
        <v>13</v>
      </c>
      <c r="D2083" t="s">
        <v>53</v>
      </c>
      <c r="E2083" t="s">
        <v>59</v>
      </c>
      <c r="F2083" t="s">
        <v>60</v>
      </c>
      <c r="G2083" t="s">
        <v>27</v>
      </c>
      <c r="H2083" t="s">
        <v>28</v>
      </c>
      <c r="I2083" s="5">
        <v>139</v>
      </c>
      <c r="J2083" s="5">
        <v>78</v>
      </c>
      <c r="K2083" s="5">
        <v>7</v>
      </c>
      <c r="L2083" s="5">
        <v>1</v>
      </c>
      <c r="M2083" s="5">
        <v>1</v>
      </c>
      <c r="N2083" s="7">
        <v>700.17</v>
      </c>
      <c r="O2083" s="7">
        <f t="shared" si="226"/>
        <v>700.17</v>
      </c>
      <c r="P2083" s="4">
        <v>0.05</v>
      </c>
      <c r="Q2083" s="7">
        <f t="shared" si="227"/>
        <v>35.008499999999998</v>
      </c>
      <c r="R2083" s="7">
        <f t="shared" si="228"/>
        <v>665.16149999999993</v>
      </c>
      <c r="S2083" s="7">
        <f t="shared" si="229"/>
        <v>665.16149999999993</v>
      </c>
      <c r="T2083" s="6">
        <f t="shared" si="230"/>
        <v>7.1942446043165471E-3</v>
      </c>
      <c r="V2083" t="s">
        <v>78</v>
      </c>
    </row>
    <row r="2084" spans="1:22">
      <c r="A2084" s="3">
        <v>45744</v>
      </c>
      <c r="B2084" t="str">
        <f t="shared" si="224"/>
        <v>yyyy-03</v>
      </c>
      <c r="C2084">
        <f t="shared" si="225"/>
        <v>13</v>
      </c>
      <c r="D2084" t="s">
        <v>53</v>
      </c>
      <c r="E2084" t="s">
        <v>61</v>
      </c>
      <c r="F2084" t="s">
        <v>62</v>
      </c>
      <c r="G2084" t="s">
        <v>31</v>
      </c>
      <c r="H2084" t="s">
        <v>32</v>
      </c>
      <c r="I2084" s="5">
        <v>179</v>
      </c>
      <c r="J2084" s="5">
        <v>142</v>
      </c>
      <c r="K2084" s="5">
        <v>8</v>
      </c>
      <c r="L2084" s="5">
        <v>2</v>
      </c>
      <c r="M2084" s="5">
        <v>2</v>
      </c>
      <c r="N2084" s="7">
        <v>506.15</v>
      </c>
      <c r="O2084" s="7">
        <f t="shared" si="226"/>
        <v>1012.3</v>
      </c>
      <c r="P2084" s="4">
        <v>0</v>
      </c>
      <c r="Q2084" s="7">
        <f t="shared" si="227"/>
        <v>0</v>
      </c>
      <c r="R2084" s="7">
        <f t="shared" si="228"/>
        <v>1012.3</v>
      </c>
      <c r="S2084" s="7">
        <f t="shared" si="229"/>
        <v>506.15</v>
      </c>
      <c r="T2084" s="6">
        <f t="shared" si="230"/>
        <v>1.11731843575419E-2</v>
      </c>
      <c r="V2084" t="s">
        <v>29</v>
      </c>
    </row>
    <row r="2085" spans="1:22">
      <c r="A2085" s="3">
        <v>45744</v>
      </c>
      <c r="B2085" t="str">
        <f t="shared" si="224"/>
        <v>yyyy-03</v>
      </c>
      <c r="C2085">
        <f t="shared" si="225"/>
        <v>13</v>
      </c>
      <c r="D2085" t="s">
        <v>53</v>
      </c>
      <c r="E2085" t="s">
        <v>64</v>
      </c>
      <c r="F2085" t="s">
        <v>65</v>
      </c>
      <c r="G2085" t="s">
        <v>27</v>
      </c>
      <c r="H2085" t="s">
        <v>63</v>
      </c>
      <c r="I2085" s="5">
        <v>150</v>
      </c>
      <c r="J2085" s="5">
        <v>85</v>
      </c>
      <c r="K2085" s="5">
        <v>6</v>
      </c>
      <c r="L2085" s="5">
        <v>2</v>
      </c>
      <c r="M2085" s="5">
        <v>2</v>
      </c>
      <c r="N2085" s="7">
        <v>785.05</v>
      </c>
      <c r="O2085" s="7">
        <f t="shared" si="226"/>
        <v>1570.1</v>
      </c>
      <c r="P2085" s="4">
        <v>0.05</v>
      </c>
      <c r="Q2085" s="7">
        <f t="shared" si="227"/>
        <v>78.504999999999995</v>
      </c>
      <c r="R2085" s="7">
        <f t="shared" si="228"/>
        <v>1491.5949999999998</v>
      </c>
      <c r="S2085" s="7">
        <f t="shared" si="229"/>
        <v>745.7974999999999</v>
      </c>
      <c r="T2085" s="6">
        <f t="shared" si="230"/>
        <v>1.3333333333333334E-2</v>
      </c>
      <c r="V2085" t="s">
        <v>29</v>
      </c>
    </row>
    <row r="2086" spans="1:22">
      <c r="A2086" s="3">
        <v>45744</v>
      </c>
      <c r="B2086" t="str">
        <f t="shared" si="224"/>
        <v>yyyy-03</v>
      </c>
      <c r="C2086">
        <f t="shared" si="225"/>
        <v>13</v>
      </c>
      <c r="D2086" t="s">
        <v>66</v>
      </c>
      <c r="E2086" t="s">
        <v>67</v>
      </c>
      <c r="F2086" t="s">
        <v>68</v>
      </c>
      <c r="G2086" t="s">
        <v>36</v>
      </c>
      <c r="H2086" t="s">
        <v>37</v>
      </c>
      <c r="I2086" s="5">
        <v>457</v>
      </c>
      <c r="J2086" s="5">
        <v>352</v>
      </c>
      <c r="K2086" s="5">
        <v>43</v>
      </c>
      <c r="L2086" s="5">
        <v>11</v>
      </c>
      <c r="M2086" s="5">
        <v>11</v>
      </c>
      <c r="N2086" s="7">
        <v>679.11</v>
      </c>
      <c r="O2086" s="7">
        <f t="shared" si="226"/>
        <v>7470.21</v>
      </c>
      <c r="P2086" s="4">
        <v>0.1</v>
      </c>
      <c r="Q2086" s="7">
        <f t="shared" si="227"/>
        <v>747.02100000000007</v>
      </c>
      <c r="R2086" s="7">
        <f t="shared" si="228"/>
        <v>6723.1890000000003</v>
      </c>
      <c r="S2086" s="7">
        <f t="shared" si="229"/>
        <v>611.19900000000007</v>
      </c>
      <c r="T2086" s="6">
        <f t="shared" si="230"/>
        <v>2.4070021881838075E-2</v>
      </c>
      <c r="U2086" t="s">
        <v>90</v>
      </c>
      <c r="V2086" t="s">
        <v>29</v>
      </c>
    </row>
    <row r="2087" spans="1:22">
      <c r="A2087" s="3">
        <v>45744</v>
      </c>
      <c r="B2087" t="str">
        <f t="shared" si="224"/>
        <v>yyyy-03</v>
      </c>
      <c r="C2087">
        <f t="shared" si="225"/>
        <v>13</v>
      </c>
      <c r="D2087" t="s">
        <v>66</v>
      </c>
      <c r="E2087" t="s">
        <v>67</v>
      </c>
      <c r="F2087" t="s">
        <v>69</v>
      </c>
      <c r="G2087" t="s">
        <v>31</v>
      </c>
      <c r="H2087" t="s">
        <v>32</v>
      </c>
      <c r="I2087" s="5">
        <v>385</v>
      </c>
      <c r="J2087" s="5">
        <v>224</v>
      </c>
      <c r="K2087" s="5">
        <v>25</v>
      </c>
      <c r="L2087" s="5">
        <v>8</v>
      </c>
      <c r="M2087" s="5">
        <v>8</v>
      </c>
      <c r="N2087" s="7">
        <v>402.99</v>
      </c>
      <c r="O2087" s="7">
        <f t="shared" si="226"/>
        <v>3223.92</v>
      </c>
      <c r="P2087" s="4">
        <v>0.1</v>
      </c>
      <c r="Q2087" s="7">
        <f t="shared" si="227"/>
        <v>322.39200000000005</v>
      </c>
      <c r="R2087" s="7">
        <f t="shared" si="228"/>
        <v>2901.5280000000002</v>
      </c>
      <c r="S2087" s="7">
        <f t="shared" si="229"/>
        <v>362.69100000000003</v>
      </c>
      <c r="T2087" s="6">
        <f t="shared" si="230"/>
        <v>2.0779220779220779E-2</v>
      </c>
      <c r="U2087" t="s">
        <v>90</v>
      </c>
      <c r="V2087" t="s">
        <v>29</v>
      </c>
    </row>
    <row r="2088" spans="1:22">
      <c r="A2088" s="3">
        <v>45744</v>
      </c>
      <c r="B2088" t="str">
        <f t="shared" si="224"/>
        <v>yyyy-03</v>
      </c>
      <c r="C2088">
        <f t="shared" si="225"/>
        <v>13</v>
      </c>
      <c r="D2088" t="s">
        <v>66</v>
      </c>
      <c r="E2088" t="s">
        <v>67</v>
      </c>
      <c r="F2088" t="s">
        <v>70</v>
      </c>
      <c r="G2088" t="s">
        <v>36</v>
      </c>
      <c r="H2088" t="s">
        <v>37</v>
      </c>
      <c r="I2088" s="5">
        <v>291</v>
      </c>
      <c r="J2088" s="5">
        <v>196</v>
      </c>
      <c r="K2088" s="5">
        <v>33</v>
      </c>
      <c r="L2088" s="5">
        <v>7</v>
      </c>
      <c r="M2088" s="5">
        <v>7</v>
      </c>
      <c r="N2088" s="7">
        <v>344.77</v>
      </c>
      <c r="O2088" s="7">
        <f t="shared" si="226"/>
        <v>2413.39</v>
      </c>
      <c r="P2088" s="4">
        <v>0.1</v>
      </c>
      <c r="Q2088" s="7">
        <f t="shared" si="227"/>
        <v>241.339</v>
      </c>
      <c r="R2088" s="7">
        <f t="shared" si="228"/>
        <v>2172.0509999999999</v>
      </c>
      <c r="S2088" s="7">
        <f t="shared" si="229"/>
        <v>310.29300000000001</v>
      </c>
      <c r="T2088" s="6">
        <f t="shared" si="230"/>
        <v>2.4054982817869417E-2</v>
      </c>
      <c r="U2088" t="s">
        <v>90</v>
      </c>
      <c r="V2088" t="s">
        <v>29</v>
      </c>
    </row>
    <row r="2089" spans="1:22">
      <c r="A2089" s="3">
        <v>45744</v>
      </c>
      <c r="B2089" t="str">
        <f t="shared" si="224"/>
        <v>yyyy-03</v>
      </c>
      <c r="C2089">
        <f t="shared" si="225"/>
        <v>13</v>
      </c>
      <c r="D2089" t="s">
        <v>66</v>
      </c>
      <c r="E2089" t="s">
        <v>71</v>
      </c>
      <c r="F2089" t="s">
        <v>72</v>
      </c>
      <c r="G2089" t="s">
        <v>27</v>
      </c>
      <c r="H2089" t="s">
        <v>45</v>
      </c>
      <c r="I2089" s="5">
        <v>258</v>
      </c>
      <c r="J2089" s="5">
        <v>174</v>
      </c>
      <c r="K2089" s="5">
        <v>19</v>
      </c>
      <c r="L2089" s="5">
        <v>4</v>
      </c>
      <c r="M2089" s="5">
        <v>4</v>
      </c>
      <c r="N2089" s="7">
        <v>129.12</v>
      </c>
      <c r="O2089" s="7">
        <f t="shared" si="226"/>
        <v>516.48</v>
      </c>
      <c r="P2089" s="4">
        <v>0</v>
      </c>
      <c r="Q2089" s="7">
        <f t="shared" si="227"/>
        <v>0</v>
      </c>
      <c r="R2089" s="7">
        <f t="shared" si="228"/>
        <v>516.48</v>
      </c>
      <c r="S2089" s="7">
        <f t="shared" si="229"/>
        <v>129.12</v>
      </c>
      <c r="T2089" s="6">
        <f t="shared" si="230"/>
        <v>1.5503875968992248E-2</v>
      </c>
      <c r="V2089" t="s">
        <v>29</v>
      </c>
    </row>
    <row r="2090" spans="1:22">
      <c r="A2090" s="3">
        <v>45744</v>
      </c>
      <c r="B2090" t="str">
        <f t="shared" si="224"/>
        <v>yyyy-03</v>
      </c>
      <c r="C2090">
        <f t="shared" si="225"/>
        <v>13</v>
      </c>
      <c r="D2090" t="s">
        <v>66</v>
      </c>
      <c r="E2090" t="s">
        <v>73</v>
      </c>
      <c r="F2090" t="s">
        <v>74</v>
      </c>
      <c r="G2090" t="s">
        <v>27</v>
      </c>
      <c r="H2090" t="s">
        <v>28</v>
      </c>
      <c r="I2090" s="5">
        <v>187</v>
      </c>
      <c r="J2090" s="5">
        <v>107</v>
      </c>
      <c r="K2090" s="5">
        <v>12</v>
      </c>
      <c r="L2090" s="5">
        <v>3</v>
      </c>
      <c r="M2090" s="5">
        <v>3</v>
      </c>
      <c r="N2090" s="7">
        <v>1214.18</v>
      </c>
      <c r="O2090" s="7">
        <f t="shared" si="226"/>
        <v>3642.54</v>
      </c>
      <c r="P2090" s="4">
        <v>0.03</v>
      </c>
      <c r="Q2090" s="7">
        <f t="shared" si="227"/>
        <v>109.27619999999999</v>
      </c>
      <c r="R2090" s="7">
        <f t="shared" si="228"/>
        <v>3533.2638000000002</v>
      </c>
      <c r="S2090" s="7">
        <f t="shared" si="229"/>
        <v>1177.7546</v>
      </c>
      <c r="T2090" s="6">
        <f t="shared" si="230"/>
        <v>1.6042780748663103E-2</v>
      </c>
      <c r="V2090" t="s">
        <v>29</v>
      </c>
    </row>
    <row r="2091" spans="1:22">
      <c r="A2091" s="3">
        <v>45744</v>
      </c>
      <c r="B2091" t="str">
        <f t="shared" si="224"/>
        <v>yyyy-03</v>
      </c>
      <c r="C2091">
        <f t="shared" si="225"/>
        <v>13</v>
      </c>
      <c r="D2091" t="s">
        <v>66</v>
      </c>
      <c r="E2091" t="s">
        <v>71</v>
      </c>
      <c r="F2091" t="s">
        <v>75</v>
      </c>
      <c r="G2091" t="s">
        <v>27</v>
      </c>
      <c r="H2091" t="s">
        <v>45</v>
      </c>
      <c r="I2091" s="5">
        <v>329</v>
      </c>
      <c r="J2091" s="5">
        <v>219</v>
      </c>
      <c r="K2091" s="5">
        <v>17</v>
      </c>
      <c r="L2091" s="5">
        <v>7</v>
      </c>
      <c r="M2091" s="5">
        <v>8</v>
      </c>
      <c r="N2091" s="7">
        <v>38.42</v>
      </c>
      <c r="O2091" s="7">
        <f t="shared" si="226"/>
        <v>307.36</v>
      </c>
      <c r="P2091" s="4">
        <v>0</v>
      </c>
      <c r="Q2091" s="7">
        <f t="shared" si="227"/>
        <v>0</v>
      </c>
      <c r="R2091" s="7">
        <f t="shared" si="228"/>
        <v>307.36</v>
      </c>
      <c r="S2091" s="7">
        <f t="shared" si="229"/>
        <v>43.908571428571427</v>
      </c>
      <c r="T2091" s="6">
        <f t="shared" si="230"/>
        <v>2.1276595744680851E-2</v>
      </c>
      <c r="V2091" t="s">
        <v>29</v>
      </c>
    </row>
    <row r="2092" spans="1:22">
      <c r="A2092" s="3">
        <v>45744</v>
      </c>
      <c r="B2092" t="str">
        <f t="shared" si="224"/>
        <v>yyyy-03</v>
      </c>
      <c r="C2092">
        <f t="shared" si="225"/>
        <v>13</v>
      </c>
      <c r="D2092" t="s">
        <v>24</v>
      </c>
      <c r="E2092" t="s">
        <v>76</v>
      </c>
      <c r="F2092" t="s">
        <v>77</v>
      </c>
      <c r="G2092" t="s">
        <v>27</v>
      </c>
      <c r="H2092" t="s">
        <v>48</v>
      </c>
      <c r="I2092" s="5">
        <v>561</v>
      </c>
      <c r="J2092" s="5">
        <v>316</v>
      </c>
      <c r="K2092" s="5">
        <v>25</v>
      </c>
      <c r="L2092" s="5">
        <v>12</v>
      </c>
      <c r="M2092" s="5">
        <v>15</v>
      </c>
      <c r="N2092" s="7">
        <v>192.92</v>
      </c>
      <c r="O2092" s="7">
        <f t="shared" si="226"/>
        <v>2893.7999999999997</v>
      </c>
      <c r="P2092" s="4">
        <v>0</v>
      </c>
      <c r="Q2092" s="7">
        <f t="shared" si="227"/>
        <v>0</v>
      </c>
      <c r="R2092" s="7">
        <f t="shared" si="228"/>
        <v>2893.7999999999997</v>
      </c>
      <c r="S2092" s="7">
        <f t="shared" si="229"/>
        <v>241.14999999999998</v>
      </c>
      <c r="T2092" s="6">
        <f t="shared" si="230"/>
        <v>2.1390374331550801E-2</v>
      </c>
      <c r="V2092" t="s">
        <v>29</v>
      </c>
    </row>
    <row r="2093" spans="1:22">
      <c r="A2093" s="3">
        <v>45745</v>
      </c>
      <c r="B2093" t="str">
        <f t="shared" si="224"/>
        <v>yyyy-03</v>
      </c>
      <c r="C2093">
        <f t="shared" si="225"/>
        <v>13</v>
      </c>
      <c r="D2093" t="s">
        <v>24</v>
      </c>
      <c r="E2093" t="s">
        <v>25</v>
      </c>
      <c r="F2093" t="s">
        <v>26</v>
      </c>
      <c r="G2093" t="s">
        <v>27</v>
      </c>
      <c r="H2093" t="s">
        <v>28</v>
      </c>
      <c r="I2093" s="5">
        <v>2231</v>
      </c>
      <c r="J2093" s="5">
        <v>1691</v>
      </c>
      <c r="K2093" s="5">
        <v>111</v>
      </c>
      <c r="L2093" s="5">
        <v>29</v>
      </c>
      <c r="M2093" s="5">
        <v>29</v>
      </c>
      <c r="N2093" s="7">
        <v>1004.44</v>
      </c>
      <c r="O2093" s="7">
        <f t="shared" si="226"/>
        <v>29128.760000000002</v>
      </c>
      <c r="P2093" s="4">
        <v>0</v>
      </c>
      <c r="Q2093" s="7">
        <f t="shared" si="227"/>
        <v>0</v>
      </c>
      <c r="R2093" s="7">
        <f t="shared" si="228"/>
        <v>29128.760000000002</v>
      </c>
      <c r="S2093" s="7">
        <f t="shared" si="229"/>
        <v>1004.44</v>
      </c>
      <c r="T2093" s="6">
        <f t="shared" si="230"/>
        <v>1.2998655311519497E-2</v>
      </c>
      <c r="V2093" t="s">
        <v>78</v>
      </c>
    </row>
    <row r="2094" spans="1:22">
      <c r="A2094" s="3">
        <v>45745</v>
      </c>
      <c r="B2094" t="str">
        <f t="shared" si="224"/>
        <v>yyyy-03</v>
      </c>
      <c r="C2094">
        <f t="shared" si="225"/>
        <v>13</v>
      </c>
      <c r="D2094" t="s">
        <v>24</v>
      </c>
      <c r="E2094" t="s">
        <v>25</v>
      </c>
      <c r="F2094" t="s">
        <v>30</v>
      </c>
      <c r="G2094" t="s">
        <v>27</v>
      </c>
      <c r="H2094" t="s">
        <v>45</v>
      </c>
      <c r="I2094" s="5">
        <v>1256</v>
      </c>
      <c r="J2094" s="5">
        <v>748</v>
      </c>
      <c r="K2094" s="5">
        <v>124</v>
      </c>
      <c r="L2094" s="5">
        <v>28</v>
      </c>
      <c r="M2094" s="5">
        <v>28</v>
      </c>
      <c r="N2094" s="7">
        <v>387.17</v>
      </c>
      <c r="O2094" s="7">
        <f t="shared" si="226"/>
        <v>10840.76</v>
      </c>
      <c r="P2094" s="4">
        <v>0</v>
      </c>
      <c r="Q2094" s="7">
        <f t="shared" si="227"/>
        <v>0</v>
      </c>
      <c r="R2094" s="7">
        <f t="shared" si="228"/>
        <v>10840.76</v>
      </c>
      <c r="S2094" s="7">
        <f t="shared" si="229"/>
        <v>387.17</v>
      </c>
      <c r="T2094" s="6">
        <f t="shared" si="230"/>
        <v>2.2292993630573247E-2</v>
      </c>
      <c r="V2094" t="s">
        <v>29</v>
      </c>
    </row>
    <row r="2095" spans="1:22">
      <c r="A2095" s="3">
        <v>45745</v>
      </c>
      <c r="B2095" t="str">
        <f t="shared" si="224"/>
        <v>yyyy-03</v>
      </c>
      <c r="C2095">
        <f t="shared" si="225"/>
        <v>13</v>
      </c>
      <c r="D2095" t="s">
        <v>24</v>
      </c>
      <c r="E2095" t="s">
        <v>25</v>
      </c>
      <c r="F2095" t="s">
        <v>33</v>
      </c>
      <c r="G2095" t="s">
        <v>27</v>
      </c>
      <c r="H2095" t="s">
        <v>28</v>
      </c>
      <c r="I2095" s="5">
        <v>1747</v>
      </c>
      <c r="J2095" s="5">
        <v>1112</v>
      </c>
      <c r="K2095" s="5">
        <v>92</v>
      </c>
      <c r="L2095" s="5">
        <v>33</v>
      </c>
      <c r="M2095" s="5">
        <v>33</v>
      </c>
      <c r="N2095" s="7">
        <v>1796.8</v>
      </c>
      <c r="O2095" s="7">
        <f t="shared" si="226"/>
        <v>59294.400000000001</v>
      </c>
      <c r="P2095" s="4">
        <v>0</v>
      </c>
      <c r="Q2095" s="7">
        <f t="shared" si="227"/>
        <v>0</v>
      </c>
      <c r="R2095" s="7">
        <f t="shared" si="228"/>
        <v>59294.400000000001</v>
      </c>
      <c r="S2095" s="7">
        <f t="shared" si="229"/>
        <v>1796.8</v>
      </c>
      <c r="T2095" s="6">
        <f t="shared" si="230"/>
        <v>1.8889524899828276E-2</v>
      </c>
      <c r="V2095" t="s">
        <v>29</v>
      </c>
    </row>
    <row r="2096" spans="1:22">
      <c r="A2096" s="3">
        <v>45745</v>
      </c>
      <c r="B2096" t="str">
        <f t="shared" si="224"/>
        <v>yyyy-03</v>
      </c>
      <c r="C2096">
        <f t="shared" si="225"/>
        <v>13</v>
      </c>
      <c r="D2096" t="s">
        <v>24</v>
      </c>
      <c r="E2096" t="s">
        <v>34</v>
      </c>
      <c r="F2096" t="s">
        <v>35</v>
      </c>
      <c r="G2096" t="s">
        <v>27</v>
      </c>
      <c r="H2096" t="s">
        <v>28</v>
      </c>
      <c r="I2096" s="5">
        <v>1047</v>
      </c>
      <c r="J2096" s="5">
        <v>779</v>
      </c>
      <c r="K2096" s="5">
        <v>84</v>
      </c>
      <c r="L2096" s="5">
        <v>18</v>
      </c>
      <c r="M2096" s="5">
        <v>18</v>
      </c>
      <c r="N2096" s="7">
        <v>865.39</v>
      </c>
      <c r="O2096" s="7">
        <f t="shared" si="226"/>
        <v>15577.02</v>
      </c>
      <c r="P2096" s="4">
        <v>0</v>
      </c>
      <c r="Q2096" s="7">
        <f t="shared" si="227"/>
        <v>0</v>
      </c>
      <c r="R2096" s="7">
        <f t="shared" si="228"/>
        <v>15577.02</v>
      </c>
      <c r="S2096" s="7">
        <f t="shared" si="229"/>
        <v>865.39</v>
      </c>
      <c r="T2096" s="6">
        <f t="shared" si="230"/>
        <v>1.7191977077363897E-2</v>
      </c>
      <c r="V2096" t="s">
        <v>29</v>
      </c>
    </row>
    <row r="2097" spans="1:22">
      <c r="A2097" s="3">
        <v>45745</v>
      </c>
      <c r="B2097" t="str">
        <f t="shared" si="224"/>
        <v>yyyy-03</v>
      </c>
      <c r="C2097">
        <f t="shared" si="225"/>
        <v>13</v>
      </c>
      <c r="D2097" t="s">
        <v>24</v>
      </c>
      <c r="E2097" t="s">
        <v>38</v>
      </c>
      <c r="F2097" t="s">
        <v>39</v>
      </c>
      <c r="G2097" t="s">
        <v>27</v>
      </c>
      <c r="H2097" t="s">
        <v>28</v>
      </c>
      <c r="I2097" s="5">
        <v>1030</v>
      </c>
      <c r="J2097" s="5">
        <v>562</v>
      </c>
      <c r="K2097" s="5">
        <v>60</v>
      </c>
      <c r="L2097" s="5">
        <v>25</v>
      </c>
      <c r="M2097" s="5">
        <v>25</v>
      </c>
      <c r="N2097" s="7">
        <v>331.28</v>
      </c>
      <c r="O2097" s="7">
        <f t="shared" si="226"/>
        <v>8282</v>
      </c>
      <c r="P2097" s="4">
        <v>0</v>
      </c>
      <c r="Q2097" s="7">
        <f t="shared" si="227"/>
        <v>0</v>
      </c>
      <c r="R2097" s="7">
        <f t="shared" si="228"/>
        <v>8282</v>
      </c>
      <c r="S2097" s="7">
        <f t="shared" si="229"/>
        <v>331.28</v>
      </c>
      <c r="T2097" s="6">
        <f t="shared" si="230"/>
        <v>2.4271844660194174E-2</v>
      </c>
      <c r="V2097" t="s">
        <v>29</v>
      </c>
    </row>
    <row r="2098" spans="1:22">
      <c r="A2098" s="3">
        <v>45745</v>
      </c>
      <c r="B2098" t="str">
        <f t="shared" si="224"/>
        <v>yyyy-03</v>
      </c>
      <c r="C2098">
        <f t="shared" si="225"/>
        <v>13</v>
      </c>
      <c r="D2098" t="s">
        <v>24</v>
      </c>
      <c r="E2098" t="s">
        <v>40</v>
      </c>
      <c r="F2098" t="s">
        <v>41</v>
      </c>
      <c r="G2098" t="s">
        <v>36</v>
      </c>
      <c r="H2098" t="s">
        <v>37</v>
      </c>
      <c r="I2098" s="5">
        <v>1054</v>
      </c>
      <c r="J2098" s="5">
        <v>845</v>
      </c>
      <c r="K2098" s="5">
        <v>53</v>
      </c>
      <c r="L2098" s="5">
        <v>17</v>
      </c>
      <c r="M2098" s="5">
        <v>20</v>
      </c>
      <c r="N2098" s="7">
        <v>176.32</v>
      </c>
      <c r="O2098" s="7">
        <f t="shared" si="226"/>
        <v>3526.3999999999996</v>
      </c>
      <c r="P2098" s="4">
        <v>0</v>
      </c>
      <c r="Q2098" s="7">
        <f t="shared" si="227"/>
        <v>0</v>
      </c>
      <c r="R2098" s="7">
        <f t="shared" si="228"/>
        <v>3526.3999999999996</v>
      </c>
      <c r="S2098" s="7">
        <f t="shared" si="229"/>
        <v>207.43529411764703</v>
      </c>
      <c r="T2098" s="6">
        <f t="shared" si="230"/>
        <v>1.6129032258064516E-2</v>
      </c>
      <c r="V2098" t="s">
        <v>29</v>
      </c>
    </row>
    <row r="2099" spans="1:22">
      <c r="A2099" s="3">
        <v>45745</v>
      </c>
      <c r="B2099" t="str">
        <f t="shared" si="224"/>
        <v>yyyy-03</v>
      </c>
      <c r="C2099">
        <f t="shared" si="225"/>
        <v>13</v>
      </c>
      <c r="D2099" t="s">
        <v>42</v>
      </c>
      <c r="E2099" t="s">
        <v>43</v>
      </c>
      <c r="F2099" t="s">
        <v>44</v>
      </c>
      <c r="G2099" t="s">
        <v>27</v>
      </c>
      <c r="H2099" t="s">
        <v>28</v>
      </c>
      <c r="I2099" s="5">
        <v>573</v>
      </c>
      <c r="J2099" s="5">
        <v>401</v>
      </c>
      <c r="K2099" s="5">
        <v>33</v>
      </c>
      <c r="L2099" s="5">
        <v>10</v>
      </c>
      <c r="M2099" s="5">
        <v>10</v>
      </c>
      <c r="N2099" s="7">
        <v>1277.3900000000001</v>
      </c>
      <c r="O2099" s="7">
        <f t="shared" si="226"/>
        <v>12773.900000000001</v>
      </c>
      <c r="P2099" s="4">
        <v>0.12</v>
      </c>
      <c r="Q2099" s="7">
        <f t="shared" si="227"/>
        <v>1532.8680000000002</v>
      </c>
      <c r="R2099" s="7">
        <f t="shared" si="228"/>
        <v>11241.032000000001</v>
      </c>
      <c r="S2099" s="7">
        <f t="shared" si="229"/>
        <v>1124.1032</v>
      </c>
      <c r="T2099" s="6">
        <f t="shared" si="230"/>
        <v>1.7452006980802792E-2</v>
      </c>
      <c r="U2099" t="s">
        <v>91</v>
      </c>
      <c r="V2099" t="s">
        <v>29</v>
      </c>
    </row>
    <row r="2100" spans="1:22">
      <c r="A2100" s="3">
        <v>45745</v>
      </c>
      <c r="B2100" t="str">
        <f t="shared" si="224"/>
        <v>yyyy-03</v>
      </c>
      <c r="C2100">
        <f t="shared" si="225"/>
        <v>13</v>
      </c>
      <c r="D2100" t="s">
        <v>42</v>
      </c>
      <c r="E2100" t="s">
        <v>43</v>
      </c>
      <c r="F2100" t="s">
        <v>46</v>
      </c>
      <c r="G2100" t="s">
        <v>27</v>
      </c>
      <c r="H2100" t="s">
        <v>63</v>
      </c>
      <c r="I2100" s="5">
        <v>371</v>
      </c>
      <c r="J2100" s="5">
        <v>289</v>
      </c>
      <c r="K2100" s="5">
        <v>21</v>
      </c>
      <c r="L2100" s="5">
        <v>7</v>
      </c>
      <c r="M2100" s="5">
        <v>7</v>
      </c>
      <c r="N2100" s="7">
        <v>2186.25</v>
      </c>
      <c r="O2100" s="7">
        <f t="shared" si="226"/>
        <v>15303.75</v>
      </c>
      <c r="P2100" s="4">
        <v>0.12</v>
      </c>
      <c r="Q2100" s="7">
        <f t="shared" si="227"/>
        <v>1836.45</v>
      </c>
      <c r="R2100" s="7">
        <f t="shared" si="228"/>
        <v>13467.3</v>
      </c>
      <c r="S2100" s="7">
        <f t="shared" si="229"/>
        <v>1923.8999999999999</v>
      </c>
      <c r="T2100" s="6">
        <f t="shared" si="230"/>
        <v>1.8867924528301886E-2</v>
      </c>
      <c r="U2100" t="s">
        <v>91</v>
      </c>
      <c r="V2100" t="s">
        <v>29</v>
      </c>
    </row>
    <row r="2101" spans="1:22">
      <c r="A2101" s="3">
        <v>45745</v>
      </c>
      <c r="B2101" t="str">
        <f t="shared" si="224"/>
        <v>yyyy-03</v>
      </c>
      <c r="C2101">
        <f t="shared" si="225"/>
        <v>13</v>
      </c>
      <c r="D2101" t="s">
        <v>42</v>
      </c>
      <c r="E2101" t="s">
        <v>43</v>
      </c>
      <c r="F2101" t="s">
        <v>47</v>
      </c>
      <c r="G2101" t="s">
        <v>27</v>
      </c>
      <c r="H2101" t="s">
        <v>28</v>
      </c>
      <c r="I2101" s="5">
        <v>450</v>
      </c>
      <c r="J2101" s="5">
        <v>268</v>
      </c>
      <c r="K2101" s="5">
        <v>27</v>
      </c>
      <c r="L2101" s="5">
        <v>7</v>
      </c>
      <c r="M2101" s="5">
        <v>7</v>
      </c>
      <c r="N2101" s="7">
        <v>588.97</v>
      </c>
      <c r="O2101" s="7">
        <f t="shared" si="226"/>
        <v>4122.79</v>
      </c>
      <c r="P2101" s="4">
        <v>0.12</v>
      </c>
      <c r="Q2101" s="7">
        <f t="shared" si="227"/>
        <v>494.73479999999995</v>
      </c>
      <c r="R2101" s="7">
        <f t="shared" si="228"/>
        <v>3628.0551999999998</v>
      </c>
      <c r="S2101" s="7">
        <f t="shared" si="229"/>
        <v>518.29359999999997</v>
      </c>
      <c r="T2101" s="6">
        <f t="shared" si="230"/>
        <v>1.5555555555555555E-2</v>
      </c>
      <c r="U2101" t="s">
        <v>91</v>
      </c>
      <c r="V2101" t="s">
        <v>29</v>
      </c>
    </row>
    <row r="2102" spans="1:22">
      <c r="A2102" s="3">
        <v>45745</v>
      </c>
      <c r="B2102" t="str">
        <f t="shared" si="224"/>
        <v>yyyy-03</v>
      </c>
      <c r="C2102">
        <f t="shared" si="225"/>
        <v>13</v>
      </c>
      <c r="D2102" t="s">
        <v>42</v>
      </c>
      <c r="E2102" t="s">
        <v>49</v>
      </c>
      <c r="F2102" t="s">
        <v>50</v>
      </c>
      <c r="G2102" t="s">
        <v>36</v>
      </c>
      <c r="H2102" t="s">
        <v>37</v>
      </c>
      <c r="I2102" s="5">
        <v>201</v>
      </c>
      <c r="J2102" s="5">
        <v>152</v>
      </c>
      <c r="K2102" s="5">
        <v>8</v>
      </c>
      <c r="L2102" s="5">
        <v>2</v>
      </c>
      <c r="M2102" s="5">
        <v>2</v>
      </c>
      <c r="N2102" s="7">
        <v>976.79</v>
      </c>
      <c r="O2102" s="7">
        <f t="shared" si="226"/>
        <v>1953.58</v>
      </c>
      <c r="P2102" s="4">
        <v>0</v>
      </c>
      <c r="Q2102" s="7">
        <f t="shared" si="227"/>
        <v>0</v>
      </c>
      <c r="R2102" s="7">
        <f t="shared" si="228"/>
        <v>1953.58</v>
      </c>
      <c r="S2102" s="7">
        <f t="shared" si="229"/>
        <v>976.79</v>
      </c>
      <c r="T2102" s="6">
        <f t="shared" si="230"/>
        <v>9.9502487562189053E-3</v>
      </c>
      <c r="V2102" t="s">
        <v>29</v>
      </c>
    </row>
    <row r="2103" spans="1:22">
      <c r="A2103" s="3">
        <v>45745</v>
      </c>
      <c r="B2103" t="str">
        <f t="shared" si="224"/>
        <v>yyyy-03</v>
      </c>
      <c r="C2103">
        <f t="shared" si="225"/>
        <v>13</v>
      </c>
      <c r="D2103" t="s">
        <v>42</v>
      </c>
      <c r="E2103" t="s">
        <v>51</v>
      </c>
      <c r="F2103" t="s">
        <v>52</v>
      </c>
      <c r="G2103" t="s">
        <v>31</v>
      </c>
      <c r="H2103" t="s">
        <v>32</v>
      </c>
      <c r="I2103" s="5">
        <v>439</v>
      </c>
      <c r="J2103" s="5">
        <v>252</v>
      </c>
      <c r="K2103" s="5">
        <v>24</v>
      </c>
      <c r="L2103" s="5">
        <v>5</v>
      </c>
      <c r="M2103" s="5">
        <v>5</v>
      </c>
      <c r="N2103" s="7">
        <v>576.66999999999996</v>
      </c>
      <c r="O2103" s="7">
        <f t="shared" si="226"/>
        <v>2883.35</v>
      </c>
      <c r="P2103" s="4">
        <v>0.03</v>
      </c>
      <c r="Q2103" s="7">
        <f t="shared" si="227"/>
        <v>86.500499999999988</v>
      </c>
      <c r="R2103" s="7">
        <f t="shared" si="228"/>
        <v>2796.8494999999998</v>
      </c>
      <c r="S2103" s="7">
        <f t="shared" si="229"/>
        <v>559.36989999999992</v>
      </c>
      <c r="T2103" s="6">
        <f t="shared" si="230"/>
        <v>1.1389521640091117E-2</v>
      </c>
      <c r="V2103" t="s">
        <v>29</v>
      </c>
    </row>
    <row r="2104" spans="1:22">
      <c r="A2104" s="3">
        <v>45745</v>
      </c>
      <c r="B2104" t="str">
        <f t="shared" si="224"/>
        <v>yyyy-03</v>
      </c>
      <c r="C2104">
        <f t="shared" si="225"/>
        <v>13</v>
      </c>
      <c r="D2104" t="s">
        <v>53</v>
      </c>
      <c r="E2104" t="s">
        <v>54</v>
      </c>
      <c r="F2104" t="s">
        <v>55</v>
      </c>
      <c r="G2104" t="s">
        <v>31</v>
      </c>
      <c r="H2104" t="s">
        <v>32</v>
      </c>
      <c r="I2104" s="5">
        <v>209</v>
      </c>
      <c r="J2104" s="5">
        <v>160</v>
      </c>
      <c r="K2104" s="5">
        <v>18</v>
      </c>
      <c r="L2104" s="5">
        <v>2</v>
      </c>
      <c r="M2104" s="5">
        <v>2</v>
      </c>
      <c r="N2104" s="7">
        <v>1318.51</v>
      </c>
      <c r="O2104" s="7">
        <f t="shared" si="226"/>
        <v>2637.02</v>
      </c>
      <c r="P2104" s="4">
        <v>0</v>
      </c>
      <c r="Q2104" s="7">
        <f t="shared" si="227"/>
        <v>0</v>
      </c>
      <c r="R2104" s="7">
        <f t="shared" si="228"/>
        <v>2637.02</v>
      </c>
      <c r="S2104" s="7">
        <f t="shared" si="229"/>
        <v>1318.51</v>
      </c>
      <c r="T2104" s="6">
        <f t="shared" si="230"/>
        <v>9.5693779904306216E-3</v>
      </c>
      <c r="V2104" t="s">
        <v>29</v>
      </c>
    </row>
    <row r="2105" spans="1:22">
      <c r="A2105" s="3">
        <v>45745</v>
      </c>
      <c r="B2105" t="str">
        <f t="shared" si="224"/>
        <v>yyyy-03</v>
      </c>
      <c r="C2105">
        <f t="shared" si="225"/>
        <v>13</v>
      </c>
      <c r="D2105" t="s">
        <v>53</v>
      </c>
      <c r="E2105" t="s">
        <v>56</v>
      </c>
      <c r="F2105" t="s">
        <v>57</v>
      </c>
      <c r="G2105" t="s">
        <v>27</v>
      </c>
      <c r="H2105" t="s">
        <v>28</v>
      </c>
      <c r="I2105" s="5">
        <v>287</v>
      </c>
      <c r="J2105" s="5">
        <v>188</v>
      </c>
      <c r="K2105" s="5">
        <v>17</v>
      </c>
      <c r="L2105" s="5">
        <v>4</v>
      </c>
      <c r="M2105" s="5">
        <v>4</v>
      </c>
      <c r="N2105" s="7">
        <v>762.94</v>
      </c>
      <c r="O2105" s="7">
        <f t="shared" si="226"/>
        <v>3051.76</v>
      </c>
      <c r="P2105" s="4">
        <v>0.05</v>
      </c>
      <c r="Q2105" s="7">
        <f t="shared" si="227"/>
        <v>152.58800000000002</v>
      </c>
      <c r="R2105" s="7">
        <f t="shared" si="228"/>
        <v>2899.172</v>
      </c>
      <c r="S2105" s="7">
        <f t="shared" si="229"/>
        <v>724.79300000000001</v>
      </c>
      <c r="T2105" s="6">
        <f t="shared" si="230"/>
        <v>1.3937282229965157E-2</v>
      </c>
      <c r="V2105" t="s">
        <v>29</v>
      </c>
    </row>
    <row r="2106" spans="1:22">
      <c r="A2106" s="3">
        <v>45745</v>
      </c>
      <c r="B2106" t="str">
        <f t="shared" si="224"/>
        <v>yyyy-03</v>
      </c>
      <c r="C2106">
        <f t="shared" si="225"/>
        <v>13</v>
      </c>
      <c r="D2106" t="s">
        <v>53</v>
      </c>
      <c r="E2106" t="s">
        <v>56</v>
      </c>
      <c r="F2106" t="s">
        <v>58</v>
      </c>
      <c r="G2106" t="s">
        <v>36</v>
      </c>
      <c r="H2106" t="s">
        <v>37</v>
      </c>
      <c r="I2106" s="5">
        <v>291</v>
      </c>
      <c r="J2106" s="5">
        <v>210</v>
      </c>
      <c r="K2106" s="5">
        <v>21</v>
      </c>
      <c r="L2106" s="5">
        <v>3</v>
      </c>
      <c r="M2106" s="5">
        <v>3</v>
      </c>
      <c r="N2106" s="7">
        <v>864.11</v>
      </c>
      <c r="O2106" s="7">
        <f t="shared" si="226"/>
        <v>2592.33</v>
      </c>
      <c r="P2106" s="4">
        <v>0.05</v>
      </c>
      <c r="Q2106" s="7">
        <f t="shared" si="227"/>
        <v>129.6165</v>
      </c>
      <c r="R2106" s="7">
        <f t="shared" si="228"/>
        <v>2462.7134999999998</v>
      </c>
      <c r="S2106" s="7">
        <f t="shared" si="229"/>
        <v>820.90449999999998</v>
      </c>
      <c r="T2106" s="6">
        <f t="shared" si="230"/>
        <v>1.0309278350515464E-2</v>
      </c>
      <c r="V2106" t="s">
        <v>29</v>
      </c>
    </row>
    <row r="2107" spans="1:22">
      <c r="A2107" s="3">
        <v>45745</v>
      </c>
      <c r="B2107" t="str">
        <f t="shared" si="224"/>
        <v>yyyy-03</v>
      </c>
      <c r="C2107">
        <f t="shared" si="225"/>
        <v>13</v>
      </c>
      <c r="D2107" t="s">
        <v>53</v>
      </c>
      <c r="E2107" t="s">
        <v>59</v>
      </c>
      <c r="F2107" t="s">
        <v>60</v>
      </c>
      <c r="G2107" t="s">
        <v>31</v>
      </c>
      <c r="H2107" t="s">
        <v>32</v>
      </c>
      <c r="I2107" s="5">
        <v>245</v>
      </c>
      <c r="J2107" s="5">
        <v>140</v>
      </c>
      <c r="K2107" s="5">
        <v>16</v>
      </c>
      <c r="L2107" s="5">
        <v>2</v>
      </c>
      <c r="M2107" s="5">
        <v>2</v>
      </c>
      <c r="N2107" s="7">
        <v>702.41</v>
      </c>
      <c r="O2107" s="7">
        <f t="shared" si="226"/>
        <v>1404.82</v>
      </c>
      <c r="P2107" s="4">
        <v>0</v>
      </c>
      <c r="Q2107" s="7">
        <f t="shared" si="227"/>
        <v>0</v>
      </c>
      <c r="R2107" s="7">
        <f t="shared" si="228"/>
        <v>1404.82</v>
      </c>
      <c r="S2107" s="7">
        <f t="shared" si="229"/>
        <v>702.41</v>
      </c>
      <c r="T2107" s="6">
        <f t="shared" si="230"/>
        <v>8.1632653061224497E-3</v>
      </c>
      <c r="V2107" t="s">
        <v>29</v>
      </c>
    </row>
    <row r="2108" spans="1:22">
      <c r="A2108" s="3">
        <v>45745</v>
      </c>
      <c r="B2108" t="str">
        <f t="shared" si="224"/>
        <v>yyyy-03</v>
      </c>
      <c r="C2108">
        <f t="shared" si="225"/>
        <v>13</v>
      </c>
      <c r="D2108" t="s">
        <v>53</v>
      </c>
      <c r="E2108" t="s">
        <v>61</v>
      </c>
      <c r="F2108" t="s">
        <v>62</v>
      </c>
      <c r="G2108" t="s">
        <v>27</v>
      </c>
      <c r="H2108" t="s">
        <v>28</v>
      </c>
      <c r="I2108" s="5">
        <v>188</v>
      </c>
      <c r="J2108" s="5">
        <v>108</v>
      </c>
      <c r="K2108" s="5">
        <v>6</v>
      </c>
      <c r="L2108" s="5">
        <v>2</v>
      </c>
      <c r="M2108" s="5">
        <v>2</v>
      </c>
      <c r="N2108" s="7">
        <v>503.28</v>
      </c>
      <c r="O2108" s="7">
        <f t="shared" si="226"/>
        <v>1006.56</v>
      </c>
      <c r="P2108" s="4">
        <v>0</v>
      </c>
      <c r="Q2108" s="7">
        <f t="shared" si="227"/>
        <v>0</v>
      </c>
      <c r="R2108" s="7">
        <f t="shared" si="228"/>
        <v>1006.56</v>
      </c>
      <c r="S2108" s="7">
        <f t="shared" si="229"/>
        <v>503.28</v>
      </c>
      <c r="T2108" s="6">
        <f t="shared" si="230"/>
        <v>1.0638297872340425E-2</v>
      </c>
      <c r="V2108" t="s">
        <v>29</v>
      </c>
    </row>
    <row r="2109" spans="1:22">
      <c r="A2109" s="3">
        <v>45745</v>
      </c>
      <c r="B2109" t="str">
        <f t="shared" si="224"/>
        <v>yyyy-03</v>
      </c>
      <c r="C2109">
        <f t="shared" si="225"/>
        <v>13</v>
      </c>
      <c r="D2109" t="s">
        <v>53</v>
      </c>
      <c r="E2109" t="s">
        <v>64</v>
      </c>
      <c r="F2109" t="s">
        <v>65</v>
      </c>
      <c r="G2109" t="s">
        <v>36</v>
      </c>
      <c r="H2109" t="s">
        <v>37</v>
      </c>
      <c r="I2109" s="5">
        <v>248</v>
      </c>
      <c r="J2109" s="5">
        <v>156</v>
      </c>
      <c r="K2109" s="5">
        <v>17</v>
      </c>
      <c r="L2109" s="5">
        <v>3</v>
      </c>
      <c r="M2109" s="5">
        <v>3</v>
      </c>
      <c r="N2109" s="7">
        <v>796.57</v>
      </c>
      <c r="O2109" s="7">
        <f t="shared" si="226"/>
        <v>2389.71</v>
      </c>
      <c r="P2109" s="4">
        <v>0.03</v>
      </c>
      <c r="Q2109" s="7">
        <f t="shared" si="227"/>
        <v>71.691299999999998</v>
      </c>
      <c r="R2109" s="7">
        <f t="shared" si="228"/>
        <v>2318.0187000000001</v>
      </c>
      <c r="S2109" s="7">
        <f t="shared" si="229"/>
        <v>772.67290000000003</v>
      </c>
      <c r="T2109" s="6">
        <f t="shared" si="230"/>
        <v>1.2096774193548387E-2</v>
      </c>
      <c r="V2109" t="s">
        <v>29</v>
      </c>
    </row>
    <row r="2110" spans="1:22">
      <c r="A2110" s="3">
        <v>45745</v>
      </c>
      <c r="B2110" t="str">
        <f t="shared" si="224"/>
        <v>yyyy-03</v>
      </c>
      <c r="C2110">
        <f t="shared" si="225"/>
        <v>13</v>
      </c>
      <c r="D2110" t="s">
        <v>66</v>
      </c>
      <c r="E2110" t="s">
        <v>67</v>
      </c>
      <c r="F2110" t="s">
        <v>68</v>
      </c>
      <c r="G2110" t="s">
        <v>27</v>
      </c>
      <c r="H2110" t="s">
        <v>28</v>
      </c>
      <c r="I2110" s="5">
        <v>401</v>
      </c>
      <c r="J2110" s="5">
        <v>284</v>
      </c>
      <c r="K2110" s="5">
        <v>27</v>
      </c>
      <c r="L2110" s="5">
        <v>7</v>
      </c>
      <c r="M2110" s="5">
        <v>7</v>
      </c>
      <c r="N2110" s="7">
        <v>677.92</v>
      </c>
      <c r="O2110" s="7">
        <f t="shared" si="226"/>
        <v>4745.4399999999996</v>
      </c>
      <c r="P2110" s="4">
        <v>0.1</v>
      </c>
      <c r="Q2110" s="7">
        <f t="shared" si="227"/>
        <v>474.54399999999998</v>
      </c>
      <c r="R2110" s="7">
        <f t="shared" si="228"/>
        <v>4270.8959999999997</v>
      </c>
      <c r="S2110" s="7">
        <f t="shared" si="229"/>
        <v>610.12799999999993</v>
      </c>
      <c r="T2110" s="6">
        <f t="shared" si="230"/>
        <v>1.7456359102244388E-2</v>
      </c>
      <c r="U2110" t="s">
        <v>90</v>
      </c>
      <c r="V2110" t="s">
        <v>29</v>
      </c>
    </row>
    <row r="2111" spans="1:22">
      <c r="A2111" s="3">
        <v>45745</v>
      </c>
      <c r="B2111" t="str">
        <f t="shared" si="224"/>
        <v>yyyy-03</v>
      </c>
      <c r="C2111">
        <f t="shared" si="225"/>
        <v>13</v>
      </c>
      <c r="D2111" t="s">
        <v>66</v>
      </c>
      <c r="E2111" t="s">
        <v>67</v>
      </c>
      <c r="F2111" t="s">
        <v>69</v>
      </c>
      <c r="G2111" t="s">
        <v>36</v>
      </c>
      <c r="H2111" t="s">
        <v>37</v>
      </c>
      <c r="I2111" s="5">
        <v>442</v>
      </c>
      <c r="J2111" s="5">
        <v>345</v>
      </c>
      <c r="K2111" s="5">
        <v>38</v>
      </c>
      <c r="L2111" s="5">
        <v>13</v>
      </c>
      <c r="M2111" s="5">
        <v>13</v>
      </c>
      <c r="N2111" s="7">
        <v>397.63</v>
      </c>
      <c r="O2111" s="7">
        <f t="shared" si="226"/>
        <v>5169.1899999999996</v>
      </c>
      <c r="P2111" s="4">
        <v>0.1</v>
      </c>
      <c r="Q2111" s="7">
        <f t="shared" si="227"/>
        <v>516.91899999999998</v>
      </c>
      <c r="R2111" s="7">
        <f t="shared" si="228"/>
        <v>4652.2709999999997</v>
      </c>
      <c r="S2111" s="7">
        <f t="shared" si="229"/>
        <v>357.86699999999996</v>
      </c>
      <c r="T2111" s="6">
        <f t="shared" si="230"/>
        <v>2.9411764705882353E-2</v>
      </c>
      <c r="U2111" t="s">
        <v>90</v>
      </c>
      <c r="V2111" t="s">
        <v>29</v>
      </c>
    </row>
    <row r="2112" spans="1:22">
      <c r="A2112" s="3">
        <v>45745</v>
      </c>
      <c r="B2112" t="str">
        <f t="shared" si="224"/>
        <v>yyyy-03</v>
      </c>
      <c r="C2112">
        <f t="shared" si="225"/>
        <v>13</v>
      </c>
      <c r="D2112" t="s">
        <v>66</v>
      </c>
      <c r="E2112" t="s">
        <v>67</v>
      </c>
      <c r="F2112" t="s">
        <v>70</v>
      </c>
      <c r="G2112" t="s">
        <v>36</v>
      </c>
      <c r="H2112" t="s">
        <v>37</v>
      </c>
      <c r="I2112" s="5">
        <v>487</v>
      </c>
      <c r="J2112" s="5">
        <v>398</v>
      </c>
      <c r="K2112" s="5">
        <v>45</v>
      </c>
      <c r="L2112" s="5">
        <v>9</v>
      </c>
      <c r="M2112" s="5">
        <v>9</v>
      </c>
      <c r="N2112" s="7">
        <v>336.78</v>
      </c>
      <c r="O2112" s="7">
        <f t="shared" si="226"/>
        <v>3031.0199999999995</v>
      </c>
      <c r="P2112" s="4">
        <v>0.1</v>
      </c>
      <c r="Q2112" s="7">
        <f t="shared" si="227"/>
        <v>303.10199999999998</v>
      </c>
      <c r="R2112" s="7">
        <f t="shared" si="228"/>
        <v>2727.9179999999997</v>
      </c>
      <c r="S2112" s="7">
        <f t="shared" si="229"/>
        <v>303.10199999999998</v>
      </c>
      <c r="T2112" s="6">
        <f t="shared" si="230"/>
        <v>1.8480492813141684E-2</v>
      </c>
      <c r="U2112" t="s">
        <v>90</v>
      </c>
      <c r="V2112" t="s">
        <v>29</v>
      </c>
    </row>
    <row r="2113" spans="1:22">
      <c r="A2113" s="3">
        <v>45745</v>
      </c>
      <c r="B2113" t="str">
        <f t="shared" si="224"/>
        <v>yyyy-03</v>
      </c>
      <c r="C2113">
        <f t="shared" si="225"/>
        <v>13</v>
      </c>
      <c r="D2113" t="s">
        <v>66</v>
      </c>
      <c r="E2113" t="s">
        <v>71</v>
      </c>
      <c r="F2113" t="s">
        <v>72</v>
      </c>
      <c r="G2113" t="s">
        <v>36</v>
      </c>
      <c r="H2113" t="s">
        <v>37</v>
      </c>
      <c r="I2113" s="5">
        <v>521</v>
      </c>
      <c r="J2113" s="5">
        <v>392</v>
      </c>
      <c r="K2113" s="5">
        <v>30</v>
      </c>
      <c r="L2113" s="5">
        <v>11</v>
      </c>
      <c r="M2113" s="5">
        <v>12</v>
      </c>
      <c r="N2113" s="7">
        <v>128.11000000000001</v>
      </c>
      <c r="O2113" s="7">
        <f t="shared" si="226"/>
        <v>1537.3200000000002</v>
      </c>
      <c r="P2113" s="4">
        <v>0</v>
      </c>
      <c r="Q2113" s="7">
        <f t="shared" si="227"/>
        <v>0</v>
      </c>
      <c r="R2113" s="7">
        <f t="shared" si="228"/>
        <v>1537.3200000000002</v>
      </c>
      <c r="S2113" s="7">
        <f t="shared" si="229"/>
        <v>139.75636363636366</v>
      </c>
      <c r="T2113" s="6">
        <f t="shared" si="230"/>
        <v>2.1113243761996161E-2</v>
      </c>
      <c r="V2113" t="s">
        <v>29</v>
      </c>
    </row>
    <row r="2114" spans="1:22">
      <c r="A2114" s="3">
        <v>45745</v>
      </c>
      <c r="B2114" t="str">
        <f t="shared" si="224"/>
        <v>yyyy-03</v>
      </c>
      <c r="C2114">
        <f t="shared" si="225"/>
        <v>13</v>
      </c>
      <c r="D2114" t="s">
        <v>66</v>
      </c>
      <c r="E2114" t="s">
        <v>73</v>
      </c>
      <c r="F2114" t="s">
        <v>74</v>
      </c>
      <c r="G2114" t="s">
        <v>27</v>
      </c>
      <c r="H2114" t="s">
        <v>63</v>
      </c>
      <c r="I2114" s="5">
        <v>57</v>
      </c>
      <c r="J2114" s="5">
        <v>32</v>
      </c>
      <c r="K2114" s="5">
        <v>0</v>
      </c>
      <c r="L2114" s="5">
        <v>0</v>
      </c>
      <c r="M2114" s="5">
        <v>0</v>
      </c>
      <c r="N2114" s="7">
        <v>1202.6099999999999</v>
      </c>
      <c r="O2114" s="7">
        <f t="shared" si="226"/>
        <v>0</v>
      </c>
      <c r="P2114" s="4">
        <v>0</v>
      </c>
      <c r="Q2114" s="7">
        <f t="shared" si="227"/>
        <v>0</v>
      </c>
      <c r="R2114" s="7">
        <f t="shared" si="228"/>
        <v>0</v>
      </c>
      <c r="S2114" s="7">
        <f t="shared" si="229"/>
        <v>0</v>
      </c>
      <c r="T2114" s="6">
        <f t="shared" si="230"/>
        <v>0</v>
      </c>
      <c r="V2114" t="s">
        <v>81</v>
      </c>
    </row>
    <row r="2115" spans="1:22">
      <c r="A2115" s="3">
        <v>45745</v>
      </c>
      <c r="B2115" t="str">
        <f t="shared" si="224"/>
        <v>yyyy-03</v>
      </c>
      <c r="C2115">
        <f t="shared" si="225"/>
        <v>13</v>
      </c>
      <c r="D2115" t="s">
        <v>66</v>
      </c>
      <c r="E2115" t="s">
        <v>71</v>
      </c>
      <c r="F2115" t="s">
        <v>75</v>
      </c>
      <c r="G2115" t="s">
        <v>31</v>
      </c>
      <c r="H2115" t="s">
        <v>32</v>
      </c>
      <c r="I2115" s="5">
        <v>257</v>
      </c>
      <c r="J2115" s="5">
        <v>161</v>
      </c>
      <c r="K2115" s="5">
        <v>17</v>
      </c>
      <c r="L2115" s="5">
        <v>4</v>
      </c>
      <c r="M2115" s="5">
        <v>4</v>
      </c>
      <c r="N2115" s="7">
        <v>38.56</v>
      </c>
      <c r="O2115" s="7">
        <f t="shared" si="226"/>
        <v>154.24</v>
      </c>
      <c r="P2115" s="4">
        <v>0.05</v>
      </c>
      <c r="Q2115" s="7">
        <f t="shared" si="227"/>
        <v>7.7120000000000006</v>
      </c>
      <c r="R2115" s="7">
        <f t="shared" si="228"/>
        <v>146.52800000000002</v>
      </c>
      <c r="S2115" s="7">
        <f t="shared" si="229"/>
        <v>36.632000000000005</v>
      </c>
      <c r="T2115" s="6">
        <f t="shared" si="230"/>
        <v>1.556420233463035E-2</v>
      </c>
      <c r="V2115" t="s">
        <v>29</v>
      </c>
    </row>
    <row r="2116" spans="1:22">
      <c r="A2116" s="3">
        <v>45745</v>
      </c>
      <c r="B2116" t="str">
        <f t="shared" si="224"/>
        <v>yyyy-03</v>
      </c>
      <c r="C2116">
        <f t="shared" si="225"/>
        <v>13</v>
      </c>
      <c r="D2116" t="s">
        <v>24</v>
      </c>
      <c r="E2116" t="s">
        <v>76</v>
      </c>
      <c r="F2116" t="s">
        <v>77</v>
      </c>
      <c r="G2116" t="s">
        <v>27</v>
      </c>
      <c r="H2116" t="s">
        <v>45</v>
      </c>
      <c r="I2116" s="5">
        <v>544</v>
      </c>
      <c r="J2116" s="5">
        <v>286</v>
      </c>
      <c r="K2116" s="5">
        <v>48</v>
      </c>
      <c r="L2116" s="5">
        <v>14</v>
      </c>
      <c r="M2116" s="5">
        <v>17</v>
      </c>
      <c r="N2116" s="7">
        <v>196.08</v>
      </c>
      <c r="O2116" s="7">
        <f t="shared" si="226"/>
        <v>3333.36</v>
      </c>
      <c r="P2116" s="4">
        <v>0.05</v>
      </c>
      <c r="Q2116" s="7">
        <f t="shared" si="227"/>
        <v>166.66800000000001</v>
      </c>
      <c r="R2116" s="7">
        <f t="shared" si="228"/>
        <v>3166.692</v>
      </c>
      <c r="S2116" s="7">
        <f t="shared" si="229"/>
        <v>226.1922857142857</v>
      </c>
      <c r="T2116" s="6">
        <f t="shared" si="230"/>
        <v>2.5735294117647058E-2</v>
      </c>
      <c r="V2116" t="s">
        <v>29</v>
      </c>
    </row>
    <row r="2117" spans="1:22">
      <c r="A2117" s="3">
        <v>45746</v>
      </c>
      <c r="B2117" t="str">
        <f t="shared" ref="B2117:B2180" si="231">TEXT(A2117,"yyyy-mm")</f>
        <v>yyyy-03</v>
      </c>
      <c r="C2117">
        <f t="shared" ref="C2117:C2180" si="232">WEEKNUM(A2117,2)</f>
        <v>13</v>
      </c>
      <c r="D2117" t="s">
        <v>24</v>
      </c>
      <c r="E2117" t="s">
        <v>25</v>
      </c>
      <c r="F2117" t="s">
        <v>26</v>
      </c>
      <c r="G2117" t="s">
        <v>27</v>
      </c>
      <c r="H2117" t="s">
        <v>28</v>
      </c>
      <c r="I2117" s="5">
        <v>1853</v>
      </c>
      <c r="J2117" s="5">
        <v>1500</v>
      </c>
      <c r="K2117" s="5">
        <v>174</v>
      </c>
      <c r="L2117" s="5">
        <v>38</v>
      </c>
      <c r="M2117" s="5">
        <v>38</v>
      </c>
      <c r="N2117" s="7">
        <v>973.87</v>
      </c>
      <c r="O2117" s="7">
        <f t="shared" ref="O2117:O2180" si="233">M2117*N2117</f>
        <v>37007.06</v>
      </c>
      <c r="P2117" s="4">
        <v>0</v>
      </c>
      <c r="Q2117" s="7">
        <f t="shared" ref="Q2117:Q2180" si="234">O2117*P2117</f>
        <v>0</v>
      </c>
      <c r="R2117" s="7">
        <f t="shared" ref="R2117:R2180" si="235">O2117-Q2117</f>
        <v>37007.06</v>
      </c>
      <c r="S2117" s="7">
        <f t="shared" ref="S2117:S2180" si="236">IFERROR(R2117/L2117,0)</f>
        <v>973.86999999999989</v>
      </c>
      <c r="T2117" s="6">
        <f t="shared" ref="T2117:T2180" si="237">IFERROR(L2117/I2117,0)</f>
        <v>2.0507285483000539E-2</v>
      </c>
      <c r="V2117" t="s">
        <v>29</v>
      </c>
    </row>
    <row r="2118" spans="1:22">
      <c r="A2118" s="3">
        <v>45746</v>
      </c>
      <c r="B2118" t="str">
        <f t="shared" si="231"/>
        <v>yyyy-03</v>
      </c>
      <c r="C2118">
        <f t="shared" si="232"/>
        <v>13</v>
      </c>
      <c r="D2118" t="s">
        <v>24</v>
      </c>
      <c r="E2118" t="s">
        <v>25</v>
      </c>
      <c r="F2118" t="s">
        <v>30</v>
      </c>
      <c r="G2118" t="s">
        <v>31</v>
      </c>
      <c r="H2118" t="s">
        <v>32</v>
      </c>
      <c r="I2118" s="5">
        <v>2363</v>
      </c>
      <c r="J2118" s="5">
        <v>1554</v>
      </c>
      <c r="K2118" s="5">
        <v>156</v>
      </c>
      <c r="L2118" s="5">
        <v>46</v>
      </c>
      <c r="M2118" s="5">
        <v>46</v>
      </c>
      <c r="N2118" s="7">
        <v>385.69</v>
      </c>
      <c r="O2118" s="7">
        <f t="shared" si="233"/>
        <v>17741.740000000002</v>
      </c>
      <c r="P2118" s="4">
        <v>0</v>
      </c>
      <c r="Q2118" s="7">
        <f t="shared" si="234"/>
        <v>0</v>
      </c>
      <c r="R2118" s="7">
        <f t="shared" si="235"/>
        <v>17741.740000000002</v>
      </c>
      <c r="S2118" s="7">
        <f t="shared" si="236"/>
        <v>385.69000000000005</v>
      </c>
      <c r="T2118" s="6">
        <f t="shared" si="237"/>
        <v>1.946677951756242E-2</v>
      </c>
      <c r="V2118" t="s">
        <v>29</v>
      </c>
    </row>
    <row r="2119" spans="1:22">
      <c r="A2119" s="3">
        <v>45746</v>
      </c>
      <c r="B2119" t="str">
        <f t="shared" si="231"/>
        <v>yyyy-03</v>
      </c>
      <c r="C2119">
        <f t="shared" si="232"/>
        <v>13</v>
      </c>
      <c r="D2119" t="s">
        <v>24</v>
      </c>
      <c r="E2119" t="s">
        <v>25</v>
      </c>
      <c r="F2119" t="s">
        <v>33</v>
      </c>
      <c r="G2119" t="s">
        <v>27</v>
      </c>
      <c r="H2119" t="s">
        <v>63</v>
      </c>
      <c r="I2119" s="5">
        <v>1064</v>
      </c>
      <c r="J2119" s="5">
        <v>781</v>
      </c>
      <c r="K2119" s="5">
        <v>77</v>
      </c>
      <c r="L2119" s="5">
        <v>20</v>
      </c>
      <c r="M2119" s="5">
        <v>20</v>
      </c>
      <c r="N2119" s="7">
        <v>1728.84</v>
      </c>
      <c r="O2119" s="7">
        <f t="shared" si="233"/>
        <v>34576.799999999996</v>
      </c>
      <c r="P2119" s="4">
        <v>0</v>
      </c>
      <c r="Q2119" s="7">
        <f t="shared" si="234"/>
        <v>0</v>
      </c>
      <c r="R2119" s="7">
        <f t="shared" si="235"/>
        <v>34576.799999999996</v>
      </c>
      <c r="S2119" s="7">
        <f t="shared" si="236"/>
        <v>1728.8399999999997</v>
      </c>
      <c r="T2119" s="6">
        <f t="shared" si="237"/>
        <v>1.8796992481203006E-2</v>
      </c>
      <c r="V2119" t="s">
        <v>29</v>
      </c>
    </row>
    <row r="2120" spans="1:22">
      <c r="A2120" s="3">
        <v>45746</v>
      </c>
      <c r="B2120" t="str">
        <f t="shared" si="231"/>
        <v>yyyy-03</v>
      </c>
      <c r="C2120">
        <f t="shared" si="232"/>
        <v>13</v>
      </c>
      <c r="D2120" t="s">
        <v>24</v>
      </c>
      <c r="E2120" t="s">
        <v>34</v>
      </c>
      <c r="F2120" t="s">
        <v>35</v>
      </c>
      <c r="G2120" t="s">
        <v>27</v>
      </c>
      <c r="H2120" t="s">
        <v>45</v>
      </c>
      <c r="I2120" s="5">
        <v>937</v>
      </c>
      <c r="J2120" s="5">
        <v>600</v>
      </c>
      <c r="K2120" s="5">
        <v>87</v>
      </c>
      <c r="L2120" s="5">
        <v>18</v>
      </c>
      <c r="M2120" s="5">
        <v>18</v>
      </c>
      <c r="N2120" s="7">
        <v>883.78</v>
      </c>
      <c r="O2120" s="7">
        <f t="shared" si="233"/>
        <v>15908.039999999999</v>
      </c>
      <c r="P2120" s="4">
        <v>0.05</v>
      </c>
      <c r="Q2120" s="7">
        <f t="shared" si="234"/>
        <v>795.40200000000004</v>
      </c>
      <c r="R2120" s="7">
        <f t="shared" si="235"/>
        <v>15112.637999999999</v>
      </c>
      <c r="S2120" s="7">
        <f t="shared" si="236"/>
        <v>839.59099999999989</v>
      </c>
      <c r="T2120" s="6">
        <f t="shared" si="237"/>
        <v>1.9210245464247599E-2</v>
      </c>
      <c r="V2120" t="s">
        <v>29</v>
      </c>
    </row>
    <row r="2121" spans="1:22">
      <c r="A2121" s="3">
        <v>45746</v>
      </c>
      <c r="B2121" t="str">
        <f t="shared" si="231"/>
        <v>yyyy-03</v>
      </c>
      <c r="C2121">
        <f t="shared" si="232"/>
        <v>13</v>
      </c>
      <c r="D2121" t="s">
        <v>24</v>
      </c>
      <c r="E2121" t="s">
        <v>38</v>
      </c>
      <c r="F2121" t="s">
        <v>39</v>
      </c>
      <c r="G2121" t="s">
        <v>31</v>
      </c>
      <c r="H2121" t="s">
        <v>32</v>
      </c>
      <c r="I2121" s="5">
        <v>1181</v>
      </c>
      <c r="J2121" s="5">
        <v>688</v>
      </c>
      <c r="K2121" s="5">
        <v>98</v>
      </c>
      <c r="L2121" s="5">
        <v>26</v>
      </c>
      <c r="M2121" s="5">
        <v>26</v>
      </c>
      <c r="N2121" s="7">
        <v>319.05</v>
      </c>
      <c r="O2121" s="7">
        <f t="shared" si="233"/>
        <v>8295.3000000000011</v>
      </c>
      <c r="P2121" s="4">
        <v>0</v>
      </c>
      <c r="Q2121" s="7">
        <f t="shared" si="234"/>
        <v>0</v>
      </c>
      <c r="R2121" s="7">
        <f t="shared" si="235"/>
        <v>8295.3000000000011</v>
      </c>
      <c r="S2121" s="7">
        <f t="shared" si="236"/>
        <v>319.05000000000007</v>
      </c>
      <c r="T2121" s="6">
        <f t="shared" si="237"/>
        <v>2.201524132091448E-2</v>
      </c>
      <c r="V2121" t="s">
        <v>29</v>
      </c>
    </row>
    <row r="2122" spans="1:22">
      <c r="A2122" s="3">
        <v>45746</v>
      </c>
      <c r="B2122" t="str">
        <f t="shared" si="231"/>
        <v>yyyy-03</v>
      </c>
      <c r="C2122">
        <f t="shared" si="232"/>
        <v>13</v>
      </c>
      <c r="D2122" t="s">
        <v>24</v>
      </c>
      <c r="E2122" t="s">
        <v>40</v>
      </c>
      <c r="F2122" t="s">
        <v>41</v>
      </c>
      <c r="G2122" t="s">
        <v>36</v>
      </c>
      <c r="H2122" t="s">
        <v>37</v>
      </c>
      <c r="I2122" s="5">
        <v>919</v>
      </c>
      <c r="J2122" s="5">
        <v>601</v>
      </c>
      <c r="K2122" s="5">
        <v>86</v>
      </c>
      <c r="L2122" s="5">
        <v>20</v>
      </c>
      <c r="M2122" s="5">
        <v>26</v>
      </c>
      <c r="N2122" s="7">
        <v>178.06</v>
      </c>
      <c r="O2122" s="7">
        <f t="shared" si="233"/>
        <v>4629.5600000000004</v>
      </c>
      <c r="P2122" s="4">
        <v>0.03</v>
      </c>
      <c r="Q2122" s="7">
        <f t="shared" si="234"/>
        <v>138.88679999999999</v>
      </c>
      <c r="R2122" s="7">
        <f t="shared" si="235"/>
        <v>4490.6732000000002</v>
      </c>
      <c r="S2122" s="7">
        <f t="shared" si="236"/>
        <v>224.53366</v>
      </c>
      <c r="T2122" s="6">
        <f t="shared" si="237"/>
        <v>2.176278563656148E-2</v>
      </c>
      <c r="V2122" t="s">
        <v>29</v>
      </c>
    </row>
    <row r="2123" spans="1:22">
      <c r="A2123" s="3">
        <v>45746</v>
      </c>
      <c r="B2123" t="str">
        <f t="shared" si="231"/>
        <v>yyyy-03</v>
      </c>
      <c r="C2123">
        <f t="shared" si="232"/>
        <v>13</v>
      </c>
      <c r="D2123" t="s">
        <v>42</v>
      </c>
      <c r="E2123" t="s">
        <v>43</v>
      </c>
      <c r="F2123" t="s">
        <v>44</v>
      </c>
      <c r="G2123" t="s">
        <v>27</v>
      </c>
      <c r="H2123" t="s">
        <v>28</v>
      </c>
      <c r="I2123" s="5">
        <v>511</v>
      </c>
      <c r="J2123" s="5">
        <v>363</v>
      </c>
      <c r="K2123" s="5">
        <v>45</v>
      </c>
      <c r="L2123" s="5">
        <v>9</v>
      </c>
      <c r="M2123" s="5">
        <v>9</v>
      </c>
      <c r="N2123" s="7">
        <v>1306.6199999999999</v>
      </c>
      <c r="O2123" s="7">
        <f t="shared" si="233"/>
        <v>11759.579999999998</v>
      </c>
      <c r="P2123" s="4">
        <v>0.12</v>
      </c>
      <c r="Q2123" s="7">
        <f t="shared" si="234"/>
        <v>1411.1495999999997</v>
      </c>
      <c r="R2123" s="7">
        <f t="shared" si="235"/>
        <v>10348.430399999997</v>
      </c>
      <c r="S2123" s="7">
        <f t="shared" si="236"/>
        <v>1149.8255999999997</v>
      </c>
      <c r="T2123" s="6">
        <f t="shared" si="237"/>
        <v>1.7612524461839529E-2</v>
      </c>
      <c r="U2123" t="s">
        <v>91</v>
      </c>
      <c r="V2123" t="s">
        <v>29</v>
      </c>
    </row>
    <row r="2124" spans="1:22">
      <c r="A2124" s="3">
        <v>45746</v>
      </c>
      <c r="B2124" t="str">
        <f t="shared" si="231"/>
        <v>yyyy-03</v>
      </c>
      <c r="C2124">
        <f t="shared" si="232"/>
        <v>13</v>
      </c>
      <c r="D2124" t="s">
        <v>42</v>
      </c>
      <c r="E2124" t="s">
        <v>43</v>
      </c>
      <c r="F2124" t="s">
        <v>46</v>
      </c>
      <c r="G2124" t="s">
        <v>27</v>
      </c>
      <c r="H2124" t="s">
        <v>28</v>
      </c>
      <c r="I2124" s="5">
        <v>510</v>
      </c>
      <c r="J2124" s="5">
        <v>268</v>
      </c>
      <c r="K2124" s="5">
        <v>30</v>
      </c>
      <c r="L2124" s="5">
        <v>7</v>
      </c>
      <c r="M2124" s="5">
        <v>7</v>
      </c>
      <c r="N2124" s="7">
        <v>2201.5500000000002</v>
      </c>
      <c r="O2124" s="7">
        <f t="shared" si="233"/>
        <v>15410.850000000002</v>
      </c>
      <c r="P2124" s="4">
        <v>0.12</v>
      </c>
      <c r="Q2124" s="7">
        <f t="shared" si="234"/>
        <v>1849.3020000000001</v>
      </c>
      <c r="R2124" s="7">
        <f t="shared" si="235"/>
        <v>13561.548000000003</v>
      </c>
      <c r="S2124" s="7">
        <f t="shared" si="236"/>
        <v>1937.3640000000003</v>
      </c>
      <c r="T2124" s="6">
        <f t="shared" si="237"/>
        <v>1.3725490196078431E-2</v>
      </c>
      <c r="U2124" t="s">
        <v>91</v>
      </c>
      <c r="V2124" t="s">
        <v>29</v>
      </c>
    </row>
    <row r="2125" spans="1:22">
      <c r="A2125" s="3">
        <v>45746</v>
      </c>
      <c r="B2125" t="str">
        <f t="shared" si="231"/>
        <v>yyyy-03</v>
      </c>
      <c r="C2125">
        <f t="shared" si="232"/>
        <v>13</v>
      </c>
      <c r="D2125" t="s">
        <v>42</v>
      </c>
      <c r="E2125" t="s">
        <v>43</v>
      </c>
      <c r="F2125" t="s">
        <v>47</v>
      </c>
      <c r="G2125" t="s">
        <v>27</v>
      </c>
      <c r="H2125" t="s">
        <v>28</v>
      </c>
      <c r="I2125" s="5">
        <v>480</v>
      </c>
      <c r="J2125" s="5">
        <v>291</v>
      </c>
      <c r="K2125" s="5">
        <v>34</v>
      </c>
      <c r="L2125" s="5">
        <v>7</v>
      </c>
      <c r="M2125" s="5">
        <v>7</v>
      </c>
      <c r="N2125" s="7">
        <v>596.9</v>
      </c>
      <c r="O2125" s="7">
        <f t="shared" si="233"/>
        <v>4178.3</v>
      </c>
      <c r="P2125" s="4">
        <v>0.12</v>
      </c>
      <c r="Q2125" s="7">
        <f t="shared" si="234"/>
        <v>501.39600000000002</v>
      </c>
      <c r="R2125" s="7">
        <f t="shared" si="235"/>
        <v>3676.904</v>
      </c>
      <c r="S2125" s="7">
        <f t="shared" si="236"/>
        <v>525.27200000000005</v>
      </c>
      <c r="T2125" s="6">
        <f t="shared" si="237"/>
        <v>1.4583333333333334E-2</v>
      </c>
      <c r="U2125" t="s">
        <v>91</v>
      </c>
      <c r="V2125" t="s">
        <v>29</v>
      </c>
    </row>
    <row r="2126" spans="1:22">
      <c r="A2126" s="3">
        <v>45746</v>
      </c>
      <c r="B2126" t="str">
        <f t="shared" si="231"/>
        <v>yyyy-03</v>
      </c>
      <c r="C2126">
        <f t="shared" si="232"/>
        <v>13</v>
      </c>
      <c r="D2126" t="s">
        <v>42</v>
      </c>
      <c r="E2126" t="s">
        <v>49</v>
      </c>
      <c r="F2126" t="s">
        <v>50</v>
      </c>
      <c r="G2126" t="s">
        <v>27</v>
      </c>
      <c r="H2126" t="s">
        <v>28</v>
      </c>
      <c r="I2126" s="5">
        <v>126</v>
      </c>
      <c r="J2126" s="5">
        <v>83</v>
      </c>
      <c r="K2126" s="5">
        <v>10</v>
      </c>
      <c r="L2126" s="5">
        <v>2</v>
      </c>
      <c r="M2126" s="5">
        <v>2</v>
      </c>
      <c r="N2126" s="7">
        <v>979.62</v>
      </c>
      <c r="O2126" s="7">
        <f t="shared" si="233"/>
        <v>1959.24</v>
      </c>
      <c r="P2126" s="4">
        <v>0</v>
      </c>
      <c r="Q2126" s="7">
        <f t="shared" si="234"/>
        <v>0</v>
      </c>
      <c r="R2126" s="7">
        <f t="shared" si="235"/>
        <v>1959.24</v>
      </c>
      <c r="S2126" s="7">
        <f t="shared" si="236"/>
        <v>979.62</v>
      </c>
      <c r="T2126" s="6">
        <f t="shared" si="237"/>
        <v>1.5873015873015872E-2</v>
      </c>
      <c r="V2126" t="s">
        <v>29</v>
      </c>
    </row>
    <row r="2127" spans="1:22">
      <c r="A2127" s="3">
        <v>45746</v>
      </c>
      <c r="B2127" t="str">
        <f t="shared" si="231"/>
        <v>yyyy-03</v>
      </c>
      <c r="C2127">
        <f t="shared" si="232"/>
        <v>13</v>
      </c>
      <c r="D2127" t="s">
        <v>42</v>
      </c>
      <c r="E2127" t="s">
        <v>51</v>
      </c>
      <c r="F2127" t="s">
        <v>52</v>
      </c>
      <c r="G2127" t="s">
        <v>36</v>
      </c>
      <c r="H2127" t="s">
        <v>37</v>
      </c>
      <c r="I2127" s="5">
        <v>161</v>
      </c>
      <c r="J2127" s="5">
        <v>98</v>
      </c>
      <c r="K2127" s="5">
        <v>6</v>
      </c>
      <c r="L2127" s="5">
        <v>2</v>
      </c>
      <c r="M2127" s="5">
        <v>2</v>
      </c>
      <c r="N2127" s="7">
        <v>575.39</v>
      </c>
      <c r="O2127" s="7">
        <f t="shared" si="233"/>
        <v>1150.78</v>
      </c>
      <c r="P2127" s="4">
        <v>0.03</v>
      </c>
      <c r="Q2127" s="7">
        <f t="shared" si="234"/>
        <v>34.523399999999995</v>
      </c>
      <c r="R2127" s="7">
        <f t="shared" si="235"/>
        <v>1116.2565999999999</v>
      </c>
      <c r="S2127" s="7">
        <f t="shared" si="236"/>
        <v>558.12829999999997</v>
      </c>
      <c r="T2127" s="6">
        <f t="shared" si="237"/>
        <v>1.2422360248447204E-2</v>
      </c>
      <c r="V2127" t="s">
        <v>29</v>
      </c>
    </row>
    <row r="2128" spans="1:22">
      <c r="A2128" s="3">
        <v>45746</v>
      </c>
      <c r="B2128" t="str">
        <f t="shared" si="231"/>
        <v>yyyy-03</v>
      </c>
      <c r="C2128">
        <f t="shared" si="232"/>
        <v>13</v>
      </c>
      <c r="D2128" t="s">
        <v>53</v>
      </c>
      <c r="E2128" t="s">
        <v>54</v>
      </c>
      <c r="F2128" t="s">
        <v>55</v>
      </c>
      <c r="G2128" t="s">
        <v>27</v>
      </c>
      <c r="H2128" t="s">
        <v>28</v>
      </c>
      <c r="I2128" s="5">
        <v>177</v>
      </c>
      <c r="J2128" s="5">
        <v>136</v>
      </c>
      <c r="K2128" s="5">
        <v>7</v>
      </c>
      <c r="L2128" s="5">
        <v>2</v>
      </c>
      <c r="M2128" s="5">
        <v>2</v>
      </c>
      <c r="N2128" s="7">
        <v>1312.17</v>
      </c>
      <c r="O2128" s="7">
        <f t="shared" si="233"/>
        <v>2624.34</v>
      </c>
      <c r="P2128" s="4">
        <v>0.05</v>
      </c>
      <c r="Q2128" s="7">
        <f t="shared" si="234"/>
        <v>131.21700000000001</v>
      </c>
      <c r="R2128" s="7">
        <f t="shared" si="235"/>
        <v>2493.123</v>
      </c>
      <c r="S2128" s="7">
        <f t="shared" si="236"/>
        <v>1246.5615</v>
      </c>
      <c r="T2128" s="6">
        <f t="shared" si="237"/>
        <v>1.1299435028248588E-2</v>
      </c>
      <c r="V2128" t="s">
        <v>29</v>
      </c>
    </row>
    <row r="2129" spans="1:22">
      <c r="A2129" s="3">
        <v>45746</v>
      </c>
      <c r="B2129" t="str">
        <f t="shared" si="231"/>
        <v>yyyy-03</v>
      </c>
      <c r="C2129">
        <f t="shared" si="232"/>
        <v>13</v>
      </c>
      <c r="D2129" t="s">
        <v>53</v>
      </c>
      <c r="E2129" t="s">
        <v>56</v>
      </c>
      <c r="F2129" t="s">
        <v>57</v>
      </c>
      <c r="G2129" t="s">
        <v>27</v>
      </c>
      <c r="H2129" t="s">
        <v>63</v>
      </c>
      <c r="I2129" s="5">
        <v>170</v>
      </c>
      <c r="J2129" s="5">
        <v>109</v>
      </c>
      <c r="K2129" s="5">
        <v>9</v>
      </c>
      <c r="L2129" s="5">
        <v>2</v>
      </c>
      <c r="M2129" s="5">
        <v>2</v>
      </c>
      <c r="N2129" s="7">
        <v>743.5</v>
      </c>
      <c r="O2129" s="7">
        <f t="shared" si="233"/>
        <v>1487</v>
      </c>
      <c r="P2129" s="4">
        <v>0</v>
      </c>
      <c r="Q2129" s="7">
        <f t="shared" si="234"/>
        <v>0</v>
      </c>
      <c r="R2129" s="7">
        <f t="shared" si="235"/>
        <v>1487</v>
      </c>
      <c r="S2129" s="7">
        <f t="shared" si="236"/>
        <v>743.5</v>
      </c>
      <c r="T2129" s="6">
        <f t="shared" si="237"/>
        <v>1.1764705882352941E-2</v>
      </c>
      <c r="V2129" t="s">
        <v>29</v>
      </c>
    </row>
    <row r="2130" spans="1:22">
      <c r="A2130" s="3">
        <v>45746</v>
      </c>
      <c r="B2130" t="str">
        <f t="shared" si="231"/>
        <v>yyyy-03</v>
      </c>
      <c r="C2130">
        <f t="shared" si="232"/>
        <v>13</v>
      </c>
      <c r="D2130" t="s">
        <v>53</v>
      </c>
      <c r="E2130" t="s">
        <v>56</v>
      </c>
      <c r="F2130" t="s">
        <v>58</v>
      </c>
      <c r="G2130" t="s">
        <v>36</v>
      </c>
      <c r="H2130" t="s">
        <v>37</v>
      </c>
      <c r="I2130" s="5">
        <v>248</v>
      </c>
      <c r="J2130" s="5">
        <v>136</v>
      </c>
      <c r="K2130" s="5">
        <v>11</v>
      </c>
      <c r="L2130" s="5">
        <v>2</v>
      </c>
      <c r="M2130" s="5">
        <v>2</v>
      </c>
      <c r="N2130" s="7">
        <v>893.01</v>
      </c>
      <c r="O2130" s="7">
        <f t="shared" si="233"/>
        <v>1786.02</v>
      </c>
      <c r="P2130" s="4">
        <v>0</v>
      </c>
      <c r="Q2130" s="7">
        <f t="shared" si="234"/>
        <v>0</v>
      </c>
      <c r="R2130" s="7">
        <f t="shared" si="235"/>
        <v>1786.02</v>
      </c>
      <c r="S2130" s="7">
        <f t="shared" si="236"/>
        <v>893.01</v>
      </c>
      <c r="T2130" s="6">
        <f t="shared" si="237"/>
        <v>8.0645161290322578E-3</v>
      </c>
      <c r="V2130" t="s">
        <v>29</v>
      </c>
    </row>
    <row r="2131" spans="1:22">
      <c r="A2131" s="3">
        <v>45746</v>
      </c>
      <c r="B2131" t="str">
        <f t="shared" si="231"/>
        <v>yyyy-03</v>
      </c>
      <c r="C2131">
        <f t="shared" si="232"/>
        <v>13</v>
      </c>
      <c r="D2131" t="s">
        <v>53</v>
      </c>
      <c r="E2131" t="s">
        <v>59</v>
      </c>
      <c r="F2131" t="s">
        <v>60</v>
      </c>
      <c r="G2131" t="s">
        <v>27</v>
      </c>
      <c r="H2131" t="s">
        <v>48</v>
      </c>
      <c r="I2131" s="5">
        <v>119</v>
      </c>
      <c r="J2131" s="5">
        <v>82</v>
      </c>
      <c r="K2131" s="5">
        <v>5</v>
      </c>
      <c r="L2131" s="5">
        <v>1</v>
      </c>
      <c r="M2131" s="5">
        <v>1</v>
      </c>
      <c r="N2131" s="7">
        <v>706.88</v>
      </c>
      <c r="O2131" s="7">
        <f t="shared" si="233"/>
        <v>706.88</v>
      </c>
      <c r="P2131" s="4">
        <v>0</v>
      </c>
      <c r="Q2131" s="7">
        <f t="shared" si="234"/>
        <v>0</v>
      </c>
      <c r="R2131" s="7">
        <f t="shared" si="235"/>
        <v>706.88</v>
      </c>
      <c r="S2131" s="7">
        <f t="shared" si="236"/>
        <v>706.88</v>
      </c>
      <c r="T2131" s="6">
        <f t="shared" si="237"/>
        <v>8.4033613445378148E-3</v>
      </c>
      <c r="V2131" t="s">
        <v>29</v>
      </c>
    </row>
    <row r="2132" spans="1:22">
      <c r="A2132" s="3">
        <v>45746</v>
      </c>
      <c r="B2132" t="str">
        <f t="shared" si="231"/>
        <v>yyyy-03</v>
      </c>
      <c r="C2132">
        <f t="shared" si="232"/>
        <v>13</v>
      </c>
      <c r="D2132" t="s">
        <v>53</v>
      </c>
      <c r="E2132" t="s">
        <v>61</v>
      </c>
      <c r="F2132" t="s">
        <v>62</v>
      </c>
      <c r="G2132" t="s">
        <v>27</v>
      </c>
      <c r="H2132" t="s">
        <v>63</v>
      </c>
      <c r="I2132" s="5">
        <v>164</v>
      </c>
      <c r="J2132" s="5">
        <v>135</v>
      </c>
      <c r="K2132" s="5">
        <v>16</v>
      </c>
      <c r="L2132" s="5">
        <v>2</v>
      </c>
      <c r="M2132" s="5">
        <v>2</v>
      </c>
      <c r="N2132" s="7">
        <v>502.64</v>
      </c>
      <c r="O2132" s="7">
        <f t="shared" si="233"/>
        <v>1005.28</v>
      </c>
      <c r="P2132" s="4">
        <v>0.03</v>
      </c>
      <c r="Q2132" s="7">
        <f t="shared" si="234"/>
        <v>30.158399999999997</v>
      </c>
      <c r="R2132" s="7">
        <f t="shared" si="235"/>
        <v>975.12159999999994</v>
      </c>
      <c r="S2132" s="7">
        <f t="shared" si="236"/>
        <v>487.56079999999997</v>
      </c>
      <c r="T2132" s="6">
        <f t="shared" si="237"/>
        <v>1.2195121951219513E-2</v>
      </c>
      <c r="V2132" t="s">
        <v>29</v>
      </c>
    </row>
    <row r="2133" spans="1:22">
      <c r="A2133" s="3">
        <v>45746</v>
      </c>
      <c r="B2133" t="str">
        <f t="shared" si="231"/>
        <v>yyyy-03</v>
      </c>
      <c r="C2133">
        <f t="shared" si="232"/>
        <v>13</v>
      </c>
      <c r="D2133" t="s">
        <v>53</v>
      </c>
      <c r="E2133" t="s">
        <v>64</v>
      </c>
      <c r="F2133" t="s">
        <v>65</v>
      </c>
      <c r="G2133" t="s">
        <v>27</v>
      </c>
      <c r="H2133" t="s">
        <v>48</v>
      </c>
      <c r="I2133" s="5">
        <v>98</v>
      </c>
      <c r="J2133" s="5">
        <v>71</v>
      </c>
      <c r="K2133" s="5">
        <v>2</v>
      </c>
      <c r="L2133" s="5">
        <v>0</v>
      </c>
      <c r="M2133" s="5">
        <v>0</v>
      </c>
      <c r="N2133" s="7">
        <v>784.1</v>
      </c>
      <c r="O2133" s="7">
        <f t="shared" si="233"/>
        <v>0</v>
      </c>
      <c r="P2133" s="4">
        <v>0</v>
      </c>
      <c r="Q2133" s="7">
        <f t="shared" si="234"/>
        <v>0</v>
      </c>
      <c r="R2133" s="7">
        <f t="shared" si="235"/>
        <v>0</v>
      </c>
      <c r="S2133" s="7">
        <f t="shared" si="236"/>
        <v>0</v>
      </c>
      <c r="T2133" s="6">
        <f t="shared" si="237"/>
        <v>0</v>
      </c>
      <c r="V2133" t="s">
        <v>81</v>
      </c>
    </row>
    <row r="2134" spans="1:22">
      <c r="A2134" s="3">
        <v>45746</v>
      </c>
      <c r="B2134" t="str">
        <f t="shared" si="231"/>
        <v>yyyy-03</v>
      </c>
      <c r="C2134">
        <f t="shared" si="232"/>
        <v>13</v>
      </c>
      <c r="D2134" t="s">
        <v>66</v>
      </c>
      <c r="E2134" t="s">
        <v>67</v>
      </c>
      <c r="F2134" t="s">
        <v>68</v>
      </c>
      <c r="G2134" t="s">
        <v>31</v>
      </c>
      <c r="H2134" t="s">
        <v>32</v>
      </c>
      <c r="I2134" s="5">
        <v>497</v>
      </c>
      <c r="J2134" s="5">
        <v>404</v>
      </c>
      <c r="K2134" s="5">
        <v>25</v>
      </c>
      <c r="L2134" s="5">
        <v>11</v>
      </c>
      <c r="M2134" s="5">
        <v>11</v>
      </c>
      <c r="N2134" s="7">
        <v>694.75</v>
      </c>
      <c r="O2134" s="7">
        <f t="shared" si="233"/>
        <v>7642.25</v>
      </c>
      <c r="P2134" s="4">
        <v>0.1</v>
      </c>
      <c r="Q2134" s="7">
        <f t="shared" si="234"/>
        <v>764.22500000000002</v>
      </c>
      <c r="R2134" s="7">
        <f t="shared" si="235"/>
        <v>6878.0249999999996</v>
      </c>
      <c r="S2134" s="7">
        <f t="shared" si="236"/>
        <v>625.27499999999998</v>
      </c>
      <c r="T2134" s="6">
        <f t="shared" si="237"/>
        <v>2.2132796780684104E-2</v>
      </c>
      <c r="U2134" t="s">
        <v>90</v>
      </c>
      <c r="V2134" t="s">
        <v>29</v>
      </c>
    </row>
    <row r="2135" spans="1:22">
      <c r="A2135" s="3">
        <v>45746</v>
      </c>
      <c r="B2135" t="str">
        <f t="shared" si="231"/>
        <v>yyyy-03</v>
      </c>
      <c r="C2135">
        <f t="shared" si="232"/>
        <v>13</v>
      </c>
      <c r="D2135" t="s">
        <v>66</v>
      </c>
      <c r="E2135" t="s">
        <v>67</v>
      </c>
      <c r="F2135" t="s">
        <v>69</v>
      </c>
      <c r="G2135" t="s">
        <v>27</v>
      </c>
      <c r="H2135" t="s">
        <v>48</v>
      </c>
      <c r="I2135" s="5">
        <v>262</v>
      </c>
      <c r="J2135" s="5">
        <v>160</v>
      </c>
      <c r="K2135" s="5">
        <v>16</v>
      </c>
      <c r="L2135" s="5">
        <v>6</v>
      </c>
      <c r="M2135" s="5">
        <v>6</v>
      </c>
      <c r="N2135" s="7">
        <v>404.92</v>
      </c>
      <c r="O2135" s="7">
        <f t="shared" si="233"/>
        <v>2429.52</v>
      </c>
      <c r="P2135" s="4">
        <v>0.1</v>
      </c>
      <c r="Q2135" s="7">
        <f t="shared" si="234"/>
        <v>242.952</v>
      </c>
      <c r="R2135" s="7">
        <f t="shared" si="235"/>
        <v>2186.5680000000002</v>
      </c>
      <c r="S2135" s="7">
        <f t="shared" si="236"/>
        <v>364.42800000000005</v>
      </c>
      <c r="T2135" s="6">
        <f t="shared" si="237"/>
        <v>2.2900763358778626E-2</v>
      </c>
      <c r="U2135" t="s">
        <v>90</v>
      </c>
      <c r="V2135" t="s">
        <v>29</v>
      </c>
    </row>
    <row r="2136" spans="1:22">
      <c r="A2136" s="3">
        <v>45746</v>
      </c>
      <c r="B2136" t="str">
        <f t="shared" si="231"/>
        <v>yyyy-03</v>
      </c>
      <c r="C2136">
        <f t="shared" si="232"/>
        <v>13</v>
      </c>
      <c r="D2136" t="s">
        <v>66</v>
      </c>
      <c r="E2136" t="s">
        <v>67</v>
      </c>
      <c r="F2136" t="s">
        <v>70</v>
      </c>
      <c r="G2136" t="s">
        <v>27</v>
      </c>
      <c r="H2136" t="s">
        <v>48</v>
      </c>
      <c r="I2136" s="5">
        <v>227</v>
      </c>
      <c r="J2136" s="5">
        <v>155</v>
      </c>
      <c r="K2136" s="5">
        <v>19</v>
      </c>
      <c r="L2136" s="5">
        <v>4</v>
      </c>
      <c r="M2136" s="5">
        <v>4</v>
      </c>
      <c r="N2136" s="7">
        <v>335.69</v>
      </c>
      <c r="O2136" s="7">
        <f t="shared" si="233"/>
        <v>1342.76</v>
      </c>
      <c r="P2136" s="4">
        <v>0.1</v>
      </c>
      <c r="Q2136" s="7">
        <f t="shared" si="234"/>
        <v>134.27600000000001</v>
      </c>
      <c r="R2136" s="7">
        <f t="shared" si="235"/>
        <v>1208.4839999999999</v>
      </c>
      <c r="S2136" s="7">
        <f t="shared" si="236"/>
        <v>302.12099999999998</v>
      </c>
      <c r="T2136" s="6">
        <f t="shared" si="237"/>
        <v>1.7621145374449341E-2</v>
      </c>
      <c r="U2136" t="s">
        <v>90</v>
      </c>
      <c r="V2136" t="s">
        <v>29</v>
      </c>
    </row>
    <row r="2137" spans="1:22">
      <c r="A2137" s="3">
        <v>45746</v>
      </c>
      <c r="B2137" t="str">
        <f t="shared" si="231"/>
        <v>yyyy-03</v>
      </c>
      <c r="C2137">
        <f t="shared" si="232"/>
        <v>13</v>
      </c>
      <c r="D2137" t="s">
        <v>66</v>
      </c>
      <c r="E2137" t="s">
        <v>71</v>
      </c>
      <c r="F2137" t="s">
        <v>72</v>
      </c>
      <c r="G2137" t="s">
        <v>27</v>
      </c>
      <c r="H2137" t="s">
        <v>28</v>
      </c>
      <c r="I2137" s="5">
        <v>380</v>
      </c>
      <c r="J2137" s="5">
        <v>224</v>
      </c>
      <c r="K2137" s="5">
        <v>26</v>
      </c>
      <c r="L2137" s="5">
        <v>9</v>
      </c>
      <c r="M2137" s="5">
        <v>10</v>
      </c>
      <c r="N2137" s="7">
        <v>128.44999999999999</v>
      </c>
      <c r="O2137" s="7">
        <f t="shared" si="233"/>
        <v>1284.5</v>
      </c>
      <c r="P2137" s="4">
        <v>0</v>
      </c>
      <c r="Q2137" s="7">
        <f t="shared" si="234"/>
        <v>0</v>
      </c>
      <c r="R2137" s="7">
        <f t="shared" si="235"/>
        <v>1284.5</v>
      </c>
      <c r="S2137" s="7">
        <f t="shared" si="236"/>
        <v>142.72222222222223</v>
      </c>
      <c r="T2137" s="6">
        <f t="shared" si="237"/>
        <v>2.368421052631579E-2</v>
      </c>
      <c r="V2137" t="s">
        <v>29</v>
      </c>
    </row>
    <row r="2138" spans="1:22">
      <c r="A2138" s="3">
        <v>45746</v>
      </c>
      <c r="B2138" t="str">
        <f t="shared" si="231"/>
        <v>yyyy-03</v>
      </c>
      <c r="C2138">
        <f t="shared" si="232"/>
        <v>13</v>
      </c>
      <c r="D2138" t="s">
        <v>66</v>
      </c>
      <c r="E2138" t="s">
        <v>73</v>
      </c>
      <c r="F2138" t="s">
        <v>74</v>
      </c>
      <c r="G2138" t="s">
        <v>31</v>
      </c>
      <c r="H2138" t="s">
        <v>32</v>
      </c>
      <c r="I2138" s="5">
        <v>263</v>
      </c>
      <c r="J2138" s="5">
        <v>164</v>
      </c>
      <c r="K2138" s="5">
        <v>24</v>
      </c>
      <c r="L2138" s="5">
        <v>5</v>
      </c>
      <c r="M2138" s="5">
        <v>5</v>
      </c>
      <c r="N2138" s="7">
        <v>1216.98</v>
      </c>
      <c r="O2138" s="7">
        <f t="shared" si="233"/>
        <v>6084.9</v>
      </c>
      <c r="P2138" s="4">
        <v>0</v>
      </c>
      <c r="Q2138" s="7">
        <f t="shared" si="234"/>
        <v>0</v>
      </c>
      <c r="R2138" s="7">
        <f t="shared" si="235"/>
        <v>6084.9</v>
      </c>
      <c r="S2138" s="7">
        <f t="shared" si="236"/>
        <v>1216.98</v>
      </c>
      <c r="T2138" s="6">
        <f t="shared" si="237"/>
        <v>1.9011406844106463E-2</v>
      </c>
      <c r="V2138" t="s">
        <v>29</v>
      </c>
    </row>
    <row r="2139" spans="1:22">
      <c r="A2139" s="3">
        <v>45746</v>
      </c>
      <c r="B2139" t="str">
        <f t="shared" si="231"/>
        <v>yyyy-03</v>
      </c>
      <c r="C2139">
        <f t="shared" si="232"/>
        <v>13</v>
      </c>
      <c r="D2139" t="s">
        <v>66</v>
      </c>
      <c r="E2139" t="s">
        <v>71</v>
      </c>
      <c r="F2139" t="s">
        <v>75</v>
      </c>
      <c r="G2139" t="s">
        <v>31</v>
      </c>
      <c r="H2139" t="s">
        <v>32</v>
      </c>
      <c r="I2139" s="5">
        <v>436</v>
      </c>
      <c r="J2139" s="5">
        <v>270</v>
      </c>
      <c r="K2139" s="5">
        <v>30</v>
      </c>
      <c r="L2139" s="5">
        <v>7</v>
      </c>
      <c r="M2139" s="5">
        <v>8</v>
      </c>
      <c r="N2139" s="7">
        <v>39.619999999999997</v>
      </c>
      <c r="O2139" s="7">
        <f t="shared" si="233"/>
        <v>316.95999999999998</v>
      </c>
      <c r="P2139" s="4">
        <v>0</v>
      </c>
      <c r="Q2139" s="7">
        <f t="shared" si="234"/>
        <v>0</v>
      </c>
      <c r="R2139" s="7">
        <f t="shared" si="235"/>
        <v>316.95999999999998</v>
      </c>
      <c r="S2139" s="7">
        <f t="shared" si="236"/>
        <v>45.279999999999994</v>
      </c>
      <c r="T2139" s="6">
        <f t="shared" si="237"/>
        <v>1.6055045871559634E-2</v>
      </c>
      <c r="V2139" t="s">
        <v>29</v>
      </c>
    </row>
    <row r="2140" spans="1:22">
      <c r="A2140" s="3">
        <v>45746</v>
      </c>
      <c r="B2140" t="str">
        <f t="shared" si="231"/>
        <v>yyyy-03</v>
      </c>
      <c r="C2140">
        <f t="shared" si="232"/>
        <v>13</v>
      </c>
      <c r="D2140" t="s">
        <v>24</v>
      </c>
      <c r="E2140" t="s">
        <v>76</v>
      </c>
      <c r="F2140" t="s">
        <v>77</v>
      </c>
      <c r="G2140" t="s">
        <v>27</v>
      </c>
      <c r="H2140" t="s">
        <v>45</v>
      </c>
      <c r="I2140" s="5">
        <v>513</v>
      </c>
      <c r="J2140" s="5">
        <v>295</v>
      </c>
      <c r="K2140" s="5">
        <v>33</v>
      </c>
      <c r="L2140" s="5">
        <v>11</v>
      </c>
      <c r="M2140" s="5">
        <v>14</v>
      </c>
      <c r="N2140" s="7">
        <v>198.92</v>
      </c>
      <c r="O2140" s="7">
        <f t="shared" si="233"/>
        <v>2784.8799999999997</v>
      </c>
      <c r="P2140" s="4">
        <v>0</v>
      </c>
      <c r="Q2140" s="7">
        <f t="shared" si="234"/>
        <v>0</v>
      </c>
      <c r="R2140" s="7">
        <f t="shared" si="235"/>
        <v>2784.8799999999997</v>
      </c>
      <c r="S2140" s="7">
        <f t="shared" si="236"/>
        <v>253.17090909090905</v>
      </c>
      <c r="T2140" s="6">
        <f t="shared" si="237"/>
        <v>2.1442495126705652E-2</v>
      </c>
      <c r="V2140" t="s">
        <v>29</v>
      </c>
    </row>
    <row r="2141" spans="1:22">
      <c r="A2141" s="3">
        <v>45747</v>
      </c>
      <c r="B2141" t="str">
        <f t="shared" si="231"/>
        <v>yyyy-03</v>
      </c>
      <c r="C2141">
        <f t="shared" si="232"/>
        <v>14</v>
      </c>
      <c r="D2141" t="s">
        <v>24</v>
      </c>
      <c r="E2141" t="s">
        <v>25</v>
      </c>
      <c r="F2141" t="s">
        <v>26</v>
      </c>
      <c r="G2141" t="s">
        <v>36</v>
      </c>
      <c r="H2141" t="s">
        <v>37</v>
      </c>
      <c r="I2141" s="5">
        <v>1452</v>
      </c>
      <c r="J2141" s="5">
        <v>891</v>
      </c>
      <c r="K2141" s="5">
        <v>113</v>
      </c>
      <c r="L2141" s="5">
        <v>26</v>
      </c>
      <c r="M2141" s="5">
        <v>26</v>
      </c>
      <c r="N2141" s="7">
        <v>972.4</v>
      </c>
      <c r="O2141" s="7">
        <f t="shared" si="233"/>
        <v>25282.399999999998</v>
      </c>
      <c r="P2141" s="4">
        <v>0</v>
      </c>
      <c r="Q2141" s="7">
        <f t="shared" si="234"/>
        <v>0</v>
      </c>
      <c r="R2141" s="7">
        <f t="shared" si="235"/>
        <v>25282.399999999998</v>
      </c>
      <c r="S2141" s="7">
        <f t="shared" si="236"/>
        <v>972.39999999999986</v>
      </c>
      <c r="T2141" s="6">
        <f t="shared" si="237"/>
        <v>1.790633608815427E-2</v>
      </c>
      <c r="V2141" t="s">
        <v>29</v>
      </c>
    </row>
    <row r="2142" spans="1:22">
      <c r="A2142" s="3">
        <v>45747</v>
      </c>
      <c r="B2142" t="str">
        <f t="shared" si="231"/>
        <v>yyyy-03</v>
      </c>
      <c r="C2142">
        <f t="shared" si="232"/>
        <v>14</v>
      </c>
      <c r="D2142" t="s">
        <v>24</v>
      </c>
      <c r="E2142" t="s">
        <v>25</v>
      </c>
      <c r="F2142" t="s">
        <v>30</v>
      </c>
      <c r="G2142" t="s">
        <v>36</v>
      </c>
      <c r="H2142" t="s">
        <v>37</v>
      </c>
      <c r="I2142" s="5">
        <v>2133</v>
      </c>
      <c r="J2142" s="5">
        <v>1654</v>
      </c>
      <c r="K2142" s="5">
        <v>99</v>
      </c>
      <c r="L2142" s="5">
        <v>37</v>
      </c>
      <c r="M2142" s="5">
        <v>37</v>
      </c>
      <c r="N2142" s="7">
        <v>402.92</v>
      </c>
      <c r="O2142" s="7">
        <f t="shared" si="233"/>
        <v>14908.04</v>
      </c>
      <c r="P2142" s="4">
        <v>0</v>
      </c>
      <c r="Q2142" s="7">
        <f t="shared" si="234"/>
        <v>0</v>
      </c>
      <c r="R2142" s="7">
        <f t="shared" si="235"/>
        <v>14908.04</v>
      </c>
      <c r="S2142" s="7">
        <f t="shared" si="236"/>
        <v>402.92</v>
      </c>
      <c r="T2142" s="6">
        <f t="shared" si="237"/>
        <v>1.7346460384435068E-2</v>
      </c>
      <c r="V2142" t="s">
        <v>29</v>
      </c>
    </row>
    <row r="2143" spans="1:22">
      <c r="A2143" s="3">
        <v>45747</v>
      </c>
      <c r="B2143" t="str">
        <f t="shared" si="231"/>
        <v>yyyy-03</v>
      </c>
      <c r="C2143">
        <f t="shared" si="232"/>
        <v>14</v>
      </c>
      <c r="D2143" t="s">
        <v>24</v>
      </c>
      <c r="E2143" t="s">
        <v>25</v>
      </c>
      <c r="F2143" t="s">
        <v>33</v>
      </c>
      <c r="G2143" t="s">
        <v>27</v>
      </c>
      <c r="H2143" t="s">
        <v>63</v>
      </c>
      <c r="I2143" s="5">
        <v>1025</v>
      </c>
      <c r="J2143" s="5">
        <v>755</v>
      </c>
      <c r="K2143" s="5">
        <v>95</v>
      </c>
      <c r="L2143" s="5">
        <v>25</v>
      </c>
      <c r="M2143" s="5">
        <v>25</v>
      </c>
      <c r="N2143" s="7">
        <v>1753.93</v>
      </c>
      <c r="O2143" s="7">
        <f t="shared" si="233"/>
        <v>43848.25</v>
      </c>
      <c r="P2143" s="4">
        <v>0</v>
      </c>
      <c r="Q2143" s="7">
        <f t="shared" si="234"/>
        <v>0</v>
      </c>
      <c r="R2143" s="7">
        <f t="shared" si="235"/>
        <v>43848.25</v>
      </c>
      <c r="S2143" s="7">
        <f t="shared" si="236"/>
        <v>1753.93</v>
      </c>
      <c r="T2143" s="6">
        <f t="shared" si="237"/>
        <v>2.4390243902439025E-2</v>
      </c>
      <c r="V2143" t="s">
        <v>29</v>
      </c>
    </row>
    <row r="2144" spans="1:22">
      <c r="A2144" s="3">
        <v>45747</v>
      </c>
      <c r="B2144" t="str">
        <f t="shared" si="231"/>
        <v>yyyy-03</v>
      </c>
      <c r="C2144">
        <f t="shared" si="232"/>
        <v>14</v>
      </c>
      <c r="D2144" t="s">
        <v>24</v>
      </c>
      <c r="E2144" t="s">
        <v>34</v>
      </c>
      <c r="F2144" t="s">
        <v>35</v>
      </c>
      <c r="G2144" t="s">
        <v>31</v>
      </c>
      <c r="H2144" t="s">
        <v>32</v>
      </c>
      <c r="I2144" s="5">
        <v>1192</v>
      </c>
      <c r="J2144" s="5">
        <v>963</v>
      </c>
      <c r="K2144" s="5">
        <v>79</v>
      </c>
      <c r="L2144" s="5">
        <v>19</v>
      </c>
      <c r="M2144" s="5">
        <v>19</v>
      </c>
      <c r="N2144" s="7">
        <v>912.83</v>
      </c>
      <c r="O2144" s="7">
        <f t="shared" si="233"/>
        <v>17343.77</v>
      </c>
      <c r="P2144" s="4">
        <v>0</v>
      </c>
      <c r="Q2144" s="7">
        <f t="shared" si="234"/>
        <v>0</v>
      </c>
      <c r="R2144" s="7">
        <f t="shared" si="235"/>
        <v>17343.77</v>
      </c>
      <c r="S2144" s="7">
        <f t="shared" si="236"/>
        <v>912.83</v>
      </c>
      <c r="T2144" s="6">
        <f t="shared" si="237"/>
        <v>1.5939597315436243E-2</v>
      </c>
      <c r="V2144" t="s">
        <v>29</v>
      </c>
    </row>
    <row r="2145" spans="1:22">
      <c r="A2145" s="3">
        <v>45747</v>
      </c>
      <c r="B2145" t="str">
        <f t="shared" si="231"/>
        <v>yyyy-03</v>
      </c>
      <c r="C2145">
        <f t="shared" si="232"/>
        <v>14</v>
      </c>
      <c r="D2145" t="s">
        <v>24</v>
      </c>
      <c r="E2145" t="s">
        <v>38</v>
      </c>
      <c r="F2145" t="s">
        <v>39</v>
      </c>
      <c r="G2145" t="s">
        <v>27</v>
      </c>
      <c r="H2145" t="s">
        <v>28</v>
      </c>
      <c r="I2145" s="5">
        <v>672</v>
      </c>
      <c r="J2145" s="5">
        <v>405</v>
      </c>
      <c r="K2145" s="5">
        <v>63</v>
      </c>
      <c r="L2145" s="5">
        <v>15</v>
      </c>
      <c r="M2145" s="5">
        <v>15</v>
      </c>
      <c r="N2145" s="7">
        <v>326.81</v>
      </c>
      <c r="O2145" s="7">
        <f t="shared" si="233"/>
        <v>4902.1499999999996</v>
      </c>
      <c r="P2145" s="4">
        <v>0.05</v>
      </c>
      <c r="Q2145" s="7">
        <f t="shared" si="234"/>
        <v>245.10749999999999</v>
      </c>
      <c r="R2145" s="7">
        <f t="shared" si="235"/>
        <v>4657.0424999999996</v>
      </c>
      <c r="S2145" s="7">
        <f t="shared" si="236"/>
        <v>310.46949999999998</v>
      </c>
      <c r="T2145" s="6">
        <f t="shared" si="237"/>
        <v>2.2321428571428572E-2</v>
      </c>
      <c r="V2145" t="s">
        <v>29</v>
      </c>
    </row>
    <row r="2146" spans="1:22">
      <c r="A2146" s="3">
        <v>45747</v>
      </c>
      <c r="B2146" t="str">
        <f t="shared" si="231"/>
        <v>yyyy-03</v>
      </c>
      <c r="C2146">
        <f t="shared" si="232"/>
        <v>14</v>
      </c>
      <c r="D2146" t="s">
        <v>24</v>
      </c>
      <c r="E2146" t="s">
        <v>40</v>
      </c>
      <c r="F2146" t="s">
        <v>41</v>
      </c>
      <c r="G2146" t="s">
        <v>27</v>
      </c>
      <c r="H2146" t="s">
        <v>45</v>
      </c>
      <c r="I2146" s="5">
        <v>635</v>
      </c>
      <c r="J2146" s="5">
        <v>363</v>
      </c>
      <c r="K2146" s="5">
        <v>41</v>
      </c>
      <c r="L2146" s="5">
        <v>14</v>
      </c>
      <c r="M2146" s="5">
        <v>16</v>
      </c>
      <c r="N2146" s="7">
        <v>179.5</v>
      </c>
      <c r="O2146" s="7">
        <f t="shared" si="233"/>
        <v>2872</v>
      </c>
      <c r="P2146" s="4">
        <v>0</v>
      </c>
      <c r="Q2146" s="7">
        <f t="shared" si="234"/>
        <v>0</v>
      </c>
      <c r="R2146" s="7">
        <f t="shared" si="235"/>
        <v>2872</v>
      </c>
      <c r="S2146" s="7">
        <f t="shared" si="236"/>
        <v>205.14285714285714</v>
      </c>
      <c r="T2146" s="6">
        <f t="shared" si="237"/>
        <v>2.2047244094488189E-2</v>
      </c>
      <c r="V2146" t="s">
        <v>29</v>
      </c>
    </row>
    <row r="2147" spans="1:22">
      <c r="A2147" s="3">
        <v>45747</v>
      </c>
      <c r="B2147" t="str">
        <f t="shared" si="231"/>
        <v>yyyy-03</v>
      </c>
      <c r="C2147">
        <f t="shared" si="232"/>
        <v>14</v>
      </c>
      <c r="D2147" t="s">
        <v>42</v>
      </c>
      <c r="E2147" t="s">
        <v>43</v>
      </c>
      <c r="F2147" t="s">
        <v>44</v>
      </c>
      <c r="G2147" t="s">
        <v>36</v>
      </c>
      <c r="H2147" t="s">
        <v>37</v>
      </c>
      <c r="I2147" s="5">
        <v>601</v>
      </c>
      <c r="J2147" s="5">
        <v>381</v>
      </c>
      <c r="K2147" s="5">
        <v>25</v>
      </c>
      <c r="L2147" s="5">
        <v>8</v>
      </c>
      <c r="M2147" s="5">
        <v>8</v>
      </c>
      <c r="N2147" s="7">
        <v>1251.1099999999999</v>
      </c>
      <c r="O2147" s="7">
        <f t="shared" si="233"/>
        <v>10008.879999999999</v>
      </c>
      <c r="P2147" s="4">
        <v>0.12</v>
      </c>
      <c r="Q2147" s="7">
        <f t="shared" si="234"/>
        <v>1201.0655999999999</v>
      </c>
      <c r="R2147" s="7">
        <f t="shared" si="235"/>
        <v>8807.8143999999993</v>
      </c>
      <c r="S2147" s="7">
        <f t="shared" si="236"/>
        <v>1100.9767999999999</v>
      </c>
      <c r="T2147" s="6">
        <f t="shared" si="237"/>
        <v>1.3311148086522463E-2</v>
      </c>
      <c r="U2147" t="s">
        <v>91</v>
      </c>
      <c r="V2147" t="s">
        <v>29</v>
      </c>
    </row>
    <row r="2148" spans="1:22">
      <c r="A2148" s="3">
        <v>45747</v>
      </c>
      <c r="B2148" t="str">
        <f t="shared" si="231"/>
        <v>yyyy-03</v>
      </c>
      <c r="C2148">
        <f t="shared" si="232"/>
        <v>14</v>
      </c>
      <c r="D2148" t="s">
        <v>42</v>
      </c>
      <c r="E2148" t="s">
        <v>43</v>
      </c>
      <c r="F2148" t="s">
        <v>46</v>
      </c>
      <c r="G2148" t="s">
        <v>27</v>
      </c>
      <c r="H2148" t="s">
        <v>48</v>
      </c>
      <c r="I2148" s="5">
        <v>371</v>
      </c>
      <c r="J2148" s="5">
        <v>228</v>
      </c>
      <c r="K2148" s="5">
        <v>15</v>
      </c>
      <c r="L2148" s="5">
        <v>4</v>
      </c>
      <c r="M2148" s="5">
        <v>4</v>
      </c>
      <c r="N2148" s="7">
        <v>2173.27</v>
      </c>
      <c r="O2148" s="7">
        <f t="shared" si="233"/>
        <v>8693.08</v>
      </c>
      <c r="P2148" s="4">
        <v>0.12</v>
      </c>
      <c r="Q2148" s="7">
        <f t="shared" si="234"/>
        <v>1043.1695999999999</v>
      </c>
      <c r="R2148" s="7">
        <f t="shared" si="235"/>
        <v>7649.9103999999998</v>
      </c>
      <c r="S2148" s="7">
        <f t="shared" si="236"/>
        <v>1912.4775999999999</v>
      </c>
      <c r="T2148" s="6">
        <f t="shared" si="237"/>
        <v>1.078167115902965E-2</v>
      </c>
      <c r="U2148" t="s">
        <v>91</v>
      </c>
      <c r="V2148" t="s">
        <v>78</v>
      </c>
    </row>
    <row r="2149" spans="1:22">
      <c r="A2149" s="3">
        <v>45747</v>
      </c>
      <c r="B2149" t="str">
        <f t="shared" si="231"/>
        <v>yyyy-03</v>
      </c>
      <c r="C2149">
        <f t="shared" si="232"/>
        <v>14</v>
      </c>
      <c r="D2149" t="s">
        <v>42</v>
      </c>
      <c r="E2149" t="s">
        <v>43</v>
      </c>
      <c r="F2149" t="s">
        <v>47</v>
      </c>
      <c r="G2149" t="s">
        <v>27</v>
      </c>
      <c r="H2149" t="s">
        <v>45</v>
      </c>
      <c r="I2149" s="5">
        <v>416</v>
      </c>
      <c r="J2149" s="5">
        <v>272</v>
      </c>
      <c r="K2149" s="5">
        <v>30</v>
      </c>
      <c r="L2149" s="5">
        <v>7</v>
      </c>
      <c r="M2149" s="5">
        <v>7</v>
      </c>
      <c r="N2149" s="7">
        <v>579.07000000000005</v>
      </c>
      <c r="O2149" s="7">
        <f t="shared" si="233"/>
        <v>4053.4900000000002</v>
      </c>
      <c r="P2149" s="4">
        <v>0.12</v>
      </c>
      <c r="Q2149" s="7">
        <f t="shared" si="234"/>
        <v>486.41880000000003</v>
      </c>
      <c r="R2149" s="7">
        <f t="shared" si="235"/>
        <v>3567.0712000000003</v>
      </c>
      <c r="S2149" s="7">
        <f t="shared" si="236"/>
        <v>509.58160000000004</v>
      </c>
      <c r="T2149" s="6">
        <f t="shared" si="237"/>
        <v>1.6826923076923076E-2</v>
      </c>
      <c r="U2149" t="s">
        <v>91</v>
      </c>
      <c r="V2149" t="s">
        <v>29</v>
      </c>
    </row>
    <row r="2150" spans="1:22">
      <c r="A2150" s="3">
        <v>45747</v>
      </c>
      <c r="B2150" t="str">
        <f t="shared" si="231"/>
        <v>yyyy-03</v>
      </c>
      <c r="C2150">
        <f t="shared" si="232"/>
        <v>14</v>
      </c>
      <c r="D2150" t="s">
        <v>42</v>
      </c>
      <c r="E2150" t="s">
        <v>49</v>
      </c>
      <c r="F2150" t="s">
        <v>50</v>
      </c>
      <c r="G2150" t="s">
        <v>27</v>
      </c>
      <c r="H2150" t="s">
        <v>45</v>
      </c>
      <c r="I2150" s="5">
        <v>148</v>
      </c>
      <c r="J2150" s="5">
        <v>103</v>
      </c>
      <c r="K2150" s="5">
        <v>10</v>
      </c>
      <c r="L2150" s="5">
        <v>2</v>
      </c>
      <c r="M2150" s="5">
        <v>2</v>
      </c>
      <c r="N2150" s="7">
        <v>974.62</v>
      </c>
      <c r="O2150" s="7">
        <f t="shared" si="233"/>
        <v>1949.24</v>
      </c>
      <c r="P2150" s="4">
        <v>0</v>
      </c>
      <c r="Q2150" s="7">
        <f t="shared" si="234"/>
        <v>0</v>
      </c>
      <c r="R2150" s="7">
        <f t="shared" si="235"/>
        <v>1949.24</v>
      </c>
      <c r="S2150" s="7">
        <f t="shared" si="236"/>
        <v>974.62</v>
      </c>
      <c r="T2150" s="6">
        <f t="shared" si="237"/>
        <v>1.3513513513513514E-2</v>
      </c>
      <c r="V2150" t="s">
        <v>29</v>
      </c>
    </row>
    <row r="2151" spans="1:22">
      <c r="A2151" s="3">
        <v>45747</v>
      </c>
      <c r="B2151" t="str">
        <f t="shared" si="231"/>
        <v>yyyy-03</v>
      </c>
      <c r="C2151">
        <f t="shared" si="232"/>
        <v>14</v>
      </c>
      <c r="D2151" t="s">
        <v>42</v>
      </c>
      <c r="E2151" t="s">
        <v>51</v>
      </c>
      <c r="F2151" t="s">
        <v>52</v>
      </c>
      <c r="G2151" t="s">
        <v>27</v>
      </c>
      <c r="H2151" t="s">
        <v>48</v>
      </c>
      <c r="I2151" s="5">
        <v>188</v>
      </c>
      <c r="J2151" s="5">
        <v>128</v>
      </c>
      <c r="K2151" s="5">
        <v>7</v>
      </c>
      <c r="L2151" s="5">
        <v>2</v>
      </c>
      <c r="M2151" s="5">
        <v>2</v>
      </c>
      <c r="N2151" s="7">
        <v>578.03</v>
      </c>
      <c r="O2151" s="7">
        <f t="shared" si="233"/>
        <v>1156.06</v>
      </c>
      <c r="P2151" s="4">
        <v>0.03</v>
      </c>
      <c r="Q2151" s="7">
        <f t="shared" si="234"/>
        <v>34.681799999999996</v>
      </c>
      <c r="R2151" s="7">
        <f t="shared" si="235"/>
        <v>1121.3781999999999</v>
      </c>
      <c r="S2151" s="7">
        <f t="shared" si="236"/>
        <v>560.68909999999994</v>
      </c>
      <c r="T2151" s="6">
        <f t="shared" si="237"/>
        <v>1.0638297872340425E-2</v>
      </c>
      <c r="V2151" t="s">
        <v>29</v>
      </c>
    </row>
    <row r="2152" spans="1:22">
      <c r="A2152" s="3">
        <v>45747</v>
      </c>
      <c r="B2152" t="str">
        <f t="shared" si="231"/>
        <v>yyyy-03</v>
      </c>
      <c r="C2152">
        <f t="shared" si="232"/>
        <v>14</v>
      </c>
      <c r="D2152" t="s">
        <v>53</v>
      </c>
      <c r="E2152" t="s">
        <v>54</v>
      </c>
      <c r="F2152" t="s">
        <v>55</v>
      </c>
      <c r="G2152" t="s">
        <v>27</v>
      </c>
      <c r="H2152" t="s">
        <v>45</v>
      </c>
      <c r="I2152" s="5">
        <v>184</v>
      </c>
      <c r="J2152" s="5">
        <v>142</v>
      </c>
      <c r="K2152" s="5">
        <v>8</v>
      </c>
      <c r="L2152" s="5">
        <v>2</v>
      </c>
      <c r="M2152" s="5">
        <v>2</v>
      </c>
      <c r="N2152" s="7">
        <v>1320.02</v>
      </c>
      <c r="O2152" s="7">
        <f t="shared" si="233"/>
        <v>2640.04</v>
      </c>
      <c r="P2152" s="4">
        <v>0.05</v>
      </c>
      <c r="Q2152" s="7">
        <f t="shared" si="234"/>
        <v>132.00200000000001</v>
      </c>
      <c r="R2152" s="7">
        <f t="shared" si="235"/>
        <v>2508.038</v>
      </c>
      <c r="S2152" s="7">
        <f t="shared" si="236"/>
        <v>1254.019</v>
      </c>
      <c r="T2152" s="6">
        <f t="shared" si="237"/>
        <v>1.0869565217391304E-2</v>
      </c>
      <c r="V2152" t="s">
        <v>29</v>
      </c>
    </row>
    <row r="2153" spans="1:22">
      <c r="A2153" s="3">
        <v>45747</v>
      </c>
      <c r="B2153" t="str">
        <f t="shared" si="231"/>
        <v>yyyy-03</v>
      </c>
      <c r="C2153">
        <f t="shared" si="232"/>
        <v>14</v>
      </c>
      <c r="D2153" t="s">
        <v>53</v>
      </c>
      <c r="E2153" t="s">
        <v>56</v>
      </c>
      <c r="F2153" t="s">
        <v>57</v>
      </c>
      <c r="G2153" t="s">
        <v>27</v>
      </c>
      <c r="H2153" t="s">
        <v>28</v>
      </c>
      <c r="I2153" s="5">
        <v>235</v>
      </c>
      <c r="J2153" s="5">
        <v>127</v>
      </c>
      <c r="K2153" s="5">
        <v>10</v>
      </c>
      <c r="L2153" s="5">
        <v>3</v>
      </c>
      <c r="M2153" s="5">
        <v>3</v>
      </c>
      <c r="N2153" s="7">
        <v>719.47</v>
      </c>
      <c r="O2153" s="7">
        <f t="shared" si="233"/>
        <v>2158.41</v>
      </c>
      <c r="P2153" s="4">
        <v>0.03</v>
      </c>
      <c r="Q2153" s="7">
        <f t="shared" si="234"/>
        <v>64.752299999999991</v>
      </c>
      <c r="R2153" s="7">
        <f t="shared" si="235"/>
        <v>2093.6576999999997</v>
      </c>
      <c r="S2153" s="7">
        <f t="shared" si="236"/>
        <v>697.88589999999988</v>
      </c>
      <c r="T2153" s="6">
        <f t="shared" si="237"/>
        <v>1.276595744680851E-2</v>
      </c>
      <c r="V2153" t="s">
        <v>29</v>
      </c>
    </row>
    <row r="2154" spans="1:22">
      <c r="A2154" s="3">
        <v>45747</v>
      </c>
      <c r="B2154" t="str">
        <f t="shared" si="231"/>
        <v>yyyy-03</v>
      </c>
      <c r="C2154">
        <f t="shared" si="232"/>
        <v>14</v>
      </c>
      <c r="D2154" t="s">
        <v>53</v>
      </c>
      <c r="E2154" t="s">
        <v>56</v>
      </c>
      <c r="F2154" t="s">
        <v>58</v>
      </c>
      <c r="G2154" t="s">
        <v>27</v>
      </c>
      <c r="H2154" t="s">
        <v>48</v>
      </c>
      <c r="I2154" s="5">
        <v>207</v>
      </c>
      <c r="J2154" s="5">
        <v>151</v>
      </c>
      <c r="K2154" s="5">
        <v>14</v>
      </c>
      <c r="L2154" s="5">
        <v>2</v>
      </c>
      <c r="M2154" s="5">
        <v>2</v>
      </c>
      <c r="N2154" s="7">
        <v>885.08</v>
      </c>
      <c r="O2154" s="7">
        <f t="shared" si="233"/>
        <v>1770.16</v>
      </c>
      <c r="P2154" s="4">
        <v>0</v>
      </c>
      <c r="Q2154" s="7">
        <f t="shared" si="234"/>
        <v>0</v>
      </c>
      <c r="R2154" s="7">
        <f t="shared" si="235"/>
        <v>1770.16</v>
      </c>
      <c r="S2154" s="7">
        <f t="shared" si="236"/>
        <v>885.08</v>
      </c>
      <c r="T2154" s="6">
        <f t="shared" si="237"/>
        <v>9.6618357487922701E-3</v>
      </c>
      <c r="V2154" t="s">
        <v>29</v>
      </c>
    </row>
    <row r="2155" spans="1:22">
      <c r="A2155" s="3">
        <v>45747</v>
      </c>
      <c r="B2155" t="str">
        <f t="shared" si="231"/>
        <v>yyyy-03</v>
      </c>
      <c r="C2155">
        <f t="shared" si="232"/>
        <v>14</v>
      </c>
      <c r="D2155" t="s">
        <v>53</v>
      </c>
      <c r="E2155" t="s">
        <v>59</v>
      </c>
      <c r="F2155" t="s">
        <v>60</v>
      </c>
      <c r="G2155" t="s">
        <v>27</v>
      </c>
      <c r="H2155" t="s">
        <v>48</v>
      </c>
      <c r="I2155" s="5">
        <v>114</v>
      </c>
      <c r="J2155" s="5">
        <v>87</v>
      </c>
      <c r="K2155" s="5">
        <v>7</v>
      </c>
      <c r="L2155" s="5">
        <v>1</v>
      </c>
      <c r="M2155" s="5">
        <v>1</v>
      </c>
      <c r="N2155" s="7">
        <v>675.54</v>
      </c>
      <c r="O2155" s="7">
        <f t="shared" si="233"/>
        <v>675.54</v>
      </c>
      <c r="P2155" s="4">
        <v>0</v>
      </c>
      <c r="Q2155" s="7">
        <f t="shared" si="234"/>
        <v>0</v>
      </c>
      <c r="R2155" s="7">
        <f t="shared" si="235"/>
        <v>675.54</v>
      </c>
      <c r="S2155" s="7">
        <f t="shared" si="236"/>
        <v>675.54</v>
      </c>
      <c r="T2155" s="6">
        <f t="shared" si="237"/>
        <v>8.771929824561403E-3</v>
      </c>
      <c r="V2155" t="s">
        <v>29</v>
      </c>
    </row>
    <row r="2156" spans="1:22">
      <c r="A2156" s="3">
        <v>45747</v>
      </c>
      <c r="B2156" t="str">
        <f t="shared" si="231"/>
        <v>yyyy-03</v>
      </c>
      <c r="C2156">
        <f t="shared" si="232"/>
        <v>14</v>
      </c>
      <c r="D2156" t="s">
        <v>53</v>
      </c>
      <c r="E2156" t="s">
        <v>61</v>
      </c>
      <c r="F2156" t="s">
        <v>62</v>
      </c>
      <c r="G2156" t="s">
        <v>36</v>
      </c>
      <c r="H2156" t="s">
        <v>37</v>
      </c>
      <c r="I2156" s="5">
        <v>148</v>
      </c>
      <c r="J2156" s="5">
        <v>89</v>
      </c>
      <c r="K2156" s="5">
        <v>7</v>
      </c>
      <c r="L2156" s="5">
        <v>2</v>
      </c>
      <c r="M2156" s="5">
        <v>2</v>
      </c>
      <c r="N2156" s="7">
        <v>501.26</v>
      </c>
      <c r="O2156" s="7">
        <f t="shared" si="233"/>
        <v>1002.52</v>
      </c>
      <c r="P2156" s="4">
        <v>0</v>
      </c>
      <c r="Q2156" s="7">
        <f t="shared" si="234"/>
        <v>0</v>
      </c>
      <c r="R2156" s="7">
        <f t="shared" si="235"/>
        <v>1002.52</v>
      </c>
      <c r="S2156" s="7">
        <f t="shared" si="236"/>
        <v>501.26</v>
      </c>
      <c r="T2156" s="6">
        <f t="shared" si="237"/>
        <v>1.3513513513513514E-2</v>
      </c>
      <c r="V2156" t="s">
        <v>29</v>
      </c>
    </row>
    <row r="2157" spans="1:22">
      <c r="A2157" s="3">
        <v>45747</v>
      </c>
      <c r="B2157" t="str">
        <f t="shared" si="231"/>
        <v>yyyy-03</v>
      </c>
      <c r="C2157">
        <f t="shared" si="232"/>
        <v>14</v>
      </c>
      <c r="D2157" t="s">
        <v>53</v>
      </c>
      <c r="E2157" t="s">
        <v>64</v>
      </c>
      <c r="F2157" t="s">
        <v>65</v>
      </c>
      <c r="G2157" t="s">
        <v>27</v>
      </c>
      <c r="H2157" t="s">
        <v>63</v>
      </c>
      <c r="I2157" s="5">
        <v>139</v>
      </c>
      <c r="J2157" s="5">
        <v>85</v>
      </c>
      <c r="K2157" s="5">
        <v>7</v>
      </c>
      <c r="L2157" s="5">
        <v>1</v>
      </c>
      <c r="M2157" s="5">
        <v>1</v>
      </c>
      <c r="N2157" s="7">
        <v>794.63</v>
      </c>
      <c r="O2157" s="7">
        <f t="shared" si="233"/>
        <v>794.63</v>
      </c>
      <c r="P2157" s="4">
        <v>0.03</v>
      </c>
      <c r="Q2157" s="7">
        <f t="shared" si="234"/>
        <v>23.838899999999999</v>
      </c>
      <c r="R2157" s="7">
        <f t="shared" si="235"/>
        <v>770.79110000000003</v>
      </c>
      <c r="S2157" s="7">
        <f t="shared" si="236"/>
        <v>770.79110000000003</v>
      </c>
      <c r="T2157" s="6">
        <f t="shared" si="237"/>
        <v>7.1942446043165471E-3</v>
      </c>
      <c r="V2157" t="s">
        <v>29</v>
      </c>
    </row>
    <row r="2158" spans="1:22">
      <c r="A2158" s="3">
        <v>45747</v>
      </c>
      <c r="B2158" t="str">
        <f t="shared" si="231"/>
        <v>yyyy-03</v>
      </c>
      <c r="C2158">
        <f t="shared" si="232"/>
        <v>14</v>
      </c>
      <c r="D2158" t="s">
        <v>66</v>
      </c>
      <c r="E2158" t="s">
        <v>67</v>
      </c>
      <c r="F2158" t="s">
        <v>68</v>
      </c>
      <c r="G2158" t="s">
        <v>27</v>
      </c>
      <c r="H2158" t="s">
        <v>48</v>
      </c>
      <c r="I2158" s="5">
        <v>272</v>
      </c>
      <c r="J2158" s="5">
        <v>163</v>
      </c>
      <c r="K2158" s="5">
        <v>14</v>
      </c>
      <c r="L2158" s="5">
        <v>6</v>
      </c>
      <c r="M2158" s="5">
        <v>6</v>
      </c>
      <c r="N2158" s="7">
        <v>695.61</v>
      </c>
      <c r="O2158" s="7">
        <f t="shared" si="233"/>
        <v>4173.66</v>
      </c>
      <c r="P2158" s="4">
        <v>0.05</v>
      </c>
      <c r="Q2158" s="7">
        <f t="shared" si="234"/>
        <v>208.68299999999999</v>
      </c>
      <c r="R2158" s="7">
        <f t="shared" si="235"/>
        <v>3964.9769999999999</v>
      </c>
      <c r="S2158" s="7">
        <f t="shared" si="236"/>
        <v>660.82949999999994</v>
      </c>
      <c r="T2158" s="6">
        <f t="shared" si="237"/>
        <v>2.2058823529411766E-2</v>
      </c>
      <c r="V2158" t="s">
        <v>29</v>
      </c>
    </row>
    <row r="2159" spans="1:22">
      <c r="A2159" s="3">
        <v>45747</v>
      </c>
      <c r="B2159" t="str">
        <f t="shared" si="231"/>
        <v>yyyy-03</v>
      </c>
      <c r="C2159">
        <f t="shared" si="232"/>
        <v>14</v>
      </c>
      <c r="D2159" t="s">
        <v>66</v>
      </c>
      <c r="E2159" t="s">
        <v>67</v>
      </c>
      <c r="F2159" t="s">
        <v>69</v>
      </c>
      <c r="G2159" t="s">
        <v>31</v>
      </c>
      <c r="H2159" t="s">
        <v>32</v>
      </c>
      <c r="I2159" s="5">
        <v>347</v>
      </c>
      <c r="J2159" s="5">
        <v>232</v>
      </c>
      <c r="K2159" s="5">
        <v>25</v>
      </c>
      <c r="L2159" s="5">
        <v>7</v>
      </c>
      <c r="M2159" s="5">
        <v>7</v>
      </c>
      <c r="N2159" s="7">
        <v>405.33</v>
      </c>
      <c r="O2159" s="7">
        <f t="shared" si="233"/>
        <v>2837.31</v>
      </c>
      <c r="P2159" s="4">
        <v>0</v>
      </c>
      <c r="Q2159" s="7">
        <f t="shared" si="234"/>
        <v>0</v>
      </c>
      <c r="R2159" s="7">
        <f t="shared" si="235"/>
        <v>2837.31</v>
      </c>
      <c r="S2159" s="7">
        <f t="shared" si="236"/>
        <v>405.33</v>
      </c>
      <c r="T2159" s="6">
        <f t="shared" si="237"/>
        <v>2.0172910662824207E-2</v>
      </c>
      <c r="V2159" t="s">
        <v>29</v>
      </c>
    </row>
    <row r="2160" spans="1:22">
      <c r="A2160" s="3">
        <v>45747</v>
      </c>
      <c r="B2160" t="str">
        <f t="shared" si="231"/>
        <v>yyyy-03</v>
      </c>
      <c r="C2160">
        <f t="shared" si="232"/>
        <v>14</v>
      </c>
      <c r="D2160" t="s">
        <v>66</v>
      </c>
      <c r="E2160" t="s">
        <v>67</v>
      </c>
      <c r="F2160" t="s">
        <v>70</v>
      </c>
      <c r="G2160" t="s">
        <v>27</v>
      </c>
      <c r="H2160" t="s">
        <v>45</v>
      </c>
      <c r="I2160" s="5">
        <v>312</v>
      </c>
      <c r="J2160" s="5">
        <v>170</v>
      </c>
      <c r="K2160" s="5">
        <v>24</v>
      </c>
      <c r="L2160" s="5">
        <v>6</v>
      </c>
      <c r="M2160" s="5">
        <v>6</v>
      </c>
      <c r="N2160" s="7">
        <v>341.06</v>
      </c>
      <c r="O2160" s="7">
        <f t="shared" si="233"/>
        <v>2046.3600000000001</v>
      </c>
      <c r="P2160" s="4">
        <v>0</v>
      </c>
      <c r="Q2160" s="7">
        <f t="shared" si="234"/>
        <v>0</v>
      </c>
      <c r="R2160" s="7">
        <f t="shared" si="235"/>
        <v>2046.3600000000001</v>
      </c>
      <c r="S2160" s="7">
        <f t="shared" si="236"/>
        <v>341.06</v>
      </c>
      <c r="T2160" s="6">
        <f t="shared" si="237"/>
        <v>1.9230769230769232E-2</v>
      </c>
      <c r="V2160" t="s">
        <v>29</v>
      </c>
    </row>
    <row r="2161" spans="1:22">
      <c r="A2161" s="3">
        <v>45747</v>
      </c>
      <c r="B2161" t="str">
        <f t="shared" si="231"/>
        <v>yyyy-03</v>
      </c>
      <c r="C2161">
        <f t="shared" si="232"/>
        <v>14</v>
      </c>
      <c r="D2161" t="s">
        <v>66</v>
      </c>
      <c r="E2161" t="s">
        <v>71</v>
      </c>
      <c r="F2161" t="s">
        <v>72</v>
      </c>
      <c r="G2161" t="s">
        <v>27</v>
      </c>
      <c r="H2161" t="s">
        <v>28</v>
      </c>
      <c r="I2161" s="5">
        <v>398</v>
      </c>
      <c r="J2161" s="5">
        <v>243</v>
      </c>
      <c r="K2161" s="5">
        <v>38</v>
      </c>
      <c r="L2161" s="5">
        <v>8</v>
      </c>
      <c r="M2161" s="5">
        <v>10</v>
      </c>
      <c r="N2161" s="7">
        <v>128.35</v>
      </c>
      <c r="O2161" s="7">
        <f t="shared" si="233"/>
        <v>1283.5</v>
      </c>
      <c r="P2161" s="4">
        <v>0</v>
      </c>
      <c r="Q2161" s="7">
        <f t="shared" si="234"/>
        <v>0</v>
      </c>
      <c r="R2161" s="7">
        <f t="shared" si="235"/>
        <v>1283.5</v>
      </c>
      <c r="S2161" s="7">
        <f t="shared" si="236"/>
        <v>160.4375</v>
      </c>
      <c r="T2161" s="6">
        <f t="shared" si="237"/>
        <v>2.0100502512562814E-2</v>
      </c>
      <c r="V2161" t="s">
        <v>29</v>
      </c>
    </row>
    <row r="2162" spans="1:22">
      <c r="A2162" s="3">
        <v>45747</v>
      </c>
      <c r="B2162" t="str">
        <f t="shared" si="231"/>
        <v>yyyy-03</v>
      </c>
      <c r="C2162">
        <f t="shared" si="232"/>
        <v>14</v>
      </c>
      <c r="D2162" t="s">
        <v>66</v>
      </c>
      <c r="E2162" t="s">
        <v>73</v>
      </c>
      <c r="F2162" t="s">
        <v>74</v>
      </c>
      <c r="G2162" t="s">
        <v>36</v>
      </c>
      <c r="H2162" t="s">
        <v>37</v>
      </c>
      <c r="I2162" s="5">
        <v>205</v>
      </c>
      <c r="J2162" s="5">
        <v>130</v>
      </c>
      <c r="K2162" s="5">
        <v>14</v>
      </c>
      <c r="L2162" s="5">
        <v>4</v>
      </c>
      <c r="M2162" s="5">
        <v>4</v>
      </c>
      <c r="N2162" s="7">
        <v>1192.1199999999999</v>
      </c>
      <c r="O2162" s="7">
        <f t="shared" si="233"/>
        <v>4768.4799999999996</v>
      </c>
      <c r="P2162" s="4">
        <v>0.03</v>
      </c>
      <c r="Q2162" s="7">
        <f t="shared" si="234"/>
        <v>143.05439999999999</v>
      </c>
      <c r="R2162" s="7">
        <f t="shared" si="235"/>
        <v>4625.4255999999996</v>
      </c>
      <c r="S2162" s="7">
        <f t="shared" si="236"/>
        <v>1156.3563999999999</v>
      </c>
      <c r="T2162" s="6">
        <f t="shared" si="237"/>
        <v>1.9512195121951219E-2</v>
      </c>
      <c r="V2162" t="s">
        <v>29</v>
      </c>
    </row>
    <row r="2163" spans="1:22">
      <c r="A2163" s="3">
        <v>45747</v>
      </c>
      <c r="B2163" t="str">
        <f t="shared" si="231"/>
        <v>yyyy-03</v>
      </c>
      <c r="C2163">
        <f t="shared" si="232"/>
        <v>14</v>
      </c>
      <c r="D2163" t="s">
        <v>66</v>
      </c>
      <c r="E2163" t="s">
        <v>71</v>
      </c>
      <c r="F2163" t="s">
        <v>75</v>
      </c>
      <c r="G2163" t="s">
        <v>27</v>
      </c>
      <c r="H2163" t="s">
        <v>45</v>
      </c>
      <c r="I2163" s="5">
        <v>286</v>
      </c>
      <c r="J2163" s="5">
        <v>153</v>
      </c>
      <c r="K2163" s="5">
        <v>13</v>
      </c>
      <c r="L2163" s="5">
        <v>4</v>
      </c>
      <c r="M2163" s="5">
        <v>5</v>
      </c>
      <c r="N2163" s="7">
        <v>38.869999999999997</v>
      </c>
      <c r="O2163" s="7">
        <f t="shared" si="233"/>
        <v>194.35</v>
      </c>
      <c r="P2163" s="4">
        <v>0</v>
      </c>
      <c r="Q2163" s="7">
        <f t="shared" si="234"/>
        <v>0</v>
      </c>
      <c r="R2163" s="7">
        <f t="shared" si="235"/>
        <v>194.35</v>
      </c>
      <c r="S2163" s="7">
        <f t="shared" si="236"/>
        <v>48.587499999999999</v>
      </c>
      <c r="T2163" s="6">
        <f t="shared" si="237"/>
        <v>1.3986013986013986E-2</v>
      </c>
      <c r="V2163" t="s">
        <v>29</v>
      </c>
    </row>
    <row r="2164" spans="1:22">
      <c r="A2164" s="3">
        <v>45747</v>
      </c>
      <c r="B2164" t="str">
        <f t="shared" si="231"/>
        <v>yyyy-03</v>
      </c>
      <c r="C2164">
        <f t="shared" si="232"/>
        <v>14</v>
      </c>
      <c r="D2164" t="s">
        <v>24</v>
      </c>
      <c r="E2164" t="s">
        <v>76</v>
      </c>
      <c r="F2164" t="s">
        <v>77</v>
      </c>
      <c r="G2164" t="s">
        <v>27</v>
      </c>
      <c r="H2164" t="s">
        <v>48</v>
      </c>
      <c r="I2164" s="5">
        <v>305</v>
      </c>
      <c r="J2164" s="5">
        <v>236</v>
      </c>
      <c r="K2164" s="5">
        <v>22</v>
      </c>
      <c r="L2164" s="5">
        <v>6</v>
      </c>
      <c r="M2164" s="5">
        <v>8</v>
      </c>
      <c r="N2164" s="7">
        <v>196.44</v>
      </c>
      <c r="O2164" s="7">
        <f t="shared" si="233"/>
        <v>1571.52</v>
      </c>
      <c r="P2164" s="4">
        <v>0.05</v>
      </c>
      <c r="Q2164" s="7">
        <f t="shared" si="234"/>
        <v>78.576000000000008</v>
      </c>
      <c r="R2164" s="7">
        <f t="shared" si="235"/>
        <v>1492.944</v>
      </c>
      <c r="S2164" s="7">
        <f t="shared" si="236"/>
        <v>248.82399999999998</v>
      </c>
      <c r="T2164" s="6">
        <f t="shared" si="237"/>
        <v>1.9672131147540985E-2</v>
      </c>
      <c r="V2164" t="s">
        <v>29</v>
      </c>
    </row>
    <row r="2165" spans="1:22">
      <c r="A2165" s="3">
        <v>45748</v>
      </c>
      <c r="B2165" t="str">
        <f t="shared" si="231"/>
        <v>yyyy-04</v>
      </c>
      <c r="C2165">
        <f t="shared" si="232"/>
        <v>14</v>
      </c>
      <c r="D2165" t="s">
        <v>24</v>
      </c>
      <c r="E2165" t="s">
        <v>25</v>
      </c>
      <c r="F2165" t="s">
        <v>26</v>
      </c>
      <c r="G2165" t="s">
        <v>31</v>
      </c>
      <c r="H2165" t="s">
        <v>32</v>
      </c>
      <c r="I2165" s="5">
        <v>1853</v>
      </c>
      <c r="J2165" s="5">
        <v>1489</v>
      </c>
      <c r="K2165" s="5">
        <v>99</v>
      </c>
      <c r="L2165" s="5">
        <v>33</v>
      </c>
      <c r="M2165" s="5">
        <v>33</v>
      </c>
      <c r="N2165" s="7">
        <v>974.98</v>
      </c>
      <c r="O2165" s="7">
        <f t="shared" si="233"/>
        <v>32174.34</v>
      </c>
      <c r="P2165" s="4">
        <v>0</v>
      </c>
      <c r="Q2165" s="7">
        <f t="shared" si="234"/>
        <v>0</v>
      </c>
      <c r="R2165" s="7">
        <f t="shared" si="235"/>
        <v>32174.34</v>
      </c>
      <c r="S2165" s="7">
        <f t="shared" si="236"/>
        <v>974.98</v>
      </c>
      <c r="T2165" s="6">
        <f t="shared" si="237"/>
        <v>1.7808958445763627E-2</v>
      </c>
      <c r="V2165" t="s">
        <v>29</v>
      </c>
    </row>
    <row r="2166" spans="1:22">
      <c r="A2166" s="3">
        <v>45748</v>
      </c>
      <c r="B2166" t="str">
        <f t="shared" si="231"/>
        <v>yyyy-04</v>
      </c>
      <c r="C2166">
        <f t="shared" si="232"/>
        <v>14</v>
      </c>
      <c r="D2166" t="s">
        <v>24</v>
      </c>
      <c r="E2166" t="s">
        <v>25</v>
      </c>
      <c r="F2166" t="s">
        <v>30</v>
      </c>
      <c r="G2166" t="s">
        <v>27</v>
      </c>
      <c r="H2166" t="s">
        <v>63</v>
      </c>
      <c r="I2166" s="5">
        <v>906</v>
      </c>
      <c r="J2166" s="5">
        <v>716</v>
      </c>
      <c r="K2166" s="5">
        <v>60</v>
      </c>
      <c r="L2166" s="5">
        <v>19</v>
      </c>
      <c r="M2166" s="5">
        <v>19</v>
      </c>
      <c r="N2166" s="7">
        <v>385.03</v>
      </c>
      <c r="O2166" s="7">
        <f t="shared" si="233"/>
        <v>7315.57</v>
      </c>
      <c r="P2166" s="4">
        <v>0</v>
      </c>
      <c r="Q2166" s="7">
        <f t="shared" si="234"/>
        <v>0</v>
      </c>
      <c r="R2166" s="7">
        <f t="shared" si="235"/>
        <v>7315.57</v>
      </c>
      <c r="S2166" s="7">
        <f t="shared" si="236"/>
        <v>385.03</v>
      </c>
      <c r="T2166" s="6">
        <f t="shared" si="237"/>
        <v>2.097130242825607E-2</v>
      </c>
      <c r="V2166" t="s">
        <v>29</v>
      </c>
    </row>
    <row r="2167" spans="1:22">
      <c r="A2167" s="3">
        <v>45748</v>
      </c>
      <c r="B2167" t="str">
        <f t="shared" si="231"/>
        <v>yyyy-04</v>
      </c>
      <c r="C2167">
        <f t="shared" si="232"/>
        <v>14</v>
      </c>
      <c r="D2167" t="s">
        <v>24</v>
      </c>
      <c r="E2167" t="s">
        <v>25</v>
      </c>
      <c r="F2167" t="s">
        <v>33</v>
      </c>
      <c r="G2167" t="s">
        <v>27</v>
      </c>
      <c r="H2167" t="s">
        <v>45</v>
      </c>
      <c r="I2167" s="5">
        <v>1217</v>
      </c>
      <c r="J2167" s="5">
        <v>796</v>
      </c>
      <c r="K2167" s="5">
        <v>82</v>
      </c>
      <c r="L2167" s="5">
        <v>19</v>
      </c>
      <c r="M2167" s="5">
        <v>19</v>
      </c>
      <c r="N2167" s="7">
        <v>1792.86</v>
      </c>
      <c r="O2167" s="7">
        <f t="shared" si="233"/>
        <v>34064.339999999997</v>
      </c>
      <c r="P2167" s="4">
        <v>0.05</v>
      </c>
      <c r="Q2167" s="7">
        <f t="shared" si="234"/>
        <v>1703.2169999999999</v>
      </c>
      <c r="R2167" s="7">
        <f t="shared" si="235"/>
        <v>32361.122999999996</v>
      </c>
      <c r="S2167" s="7">
        <f t="shared" si="236"/>
        <v>1703.2169999999999</v>
      </c>
      <c r="T2167" s="6">
        <f t="shared" si="237"/>
        <v>1.5612161051766639E-2</v>
      </c>
      <c r="V2167" t="s">
        <v>78</v>
      </c>
    </row>
    <row r="2168" spans="1:22">
      <c r="A2168" s="3">
        <v>45748</v>
      </c>
      <c r="B2168" t="str">
        <f t="shared" si="231"/>
        <v>yyyy-04</v>
      </c>
      <c r="C2168">
        <f t="shared" si="232"/>
        <v>14</v>
      </c>
      <c r="D2168" t="s">
        <v>24</v>
      </c>
      <c r="E2168" t="s">
        <v>34</v>
      </c>
      <c r="F2168" t="s">
        <v>35</v>
      </c>
      <c r="G2168" t="s">
        <v>27</v>
      </c>
      <c r="H2168" t="s">
        <v>63</v>
      </c>
      <c r="I2168" s="5">
        <v>686</v>
      </c>
      <c r="J2168" s="5">
        <v>373</v>
      </c>
      <c r="K2168" s="5">
        <v>63</v>
      </c>
      <c r="L2168" s="5">
        <v>21</v>
      </c>
      <c r="M2168" s="5">
        <v>21</v>
      </c>
      <c r="N2168" s="7">
        <v>907.33</v>
      </c>
      <c r="O2168" s="7">
        <f t="shared" si="233"/>
        <v>19053.93</v>
      </c>
      <c r="P2168" s="4">
        <v>0.08</v>
      </c>
      <c r="Q2168" s="7">
        <f t="shared" si="234"/>
        <v>1524.3144</v>
      </c>
      <c r="R2168" s="7">
        <f t="shared" si="235"/>
        <v>17529.615600000001</v>
      </c>
      <c r="S2168" s="7">
        <f t="shared" si="236"/>
        <v>834.74360000000001</v>
      </c>
      <c r="T2168" s="6">
        <f t="shared" si="237"/>
        <v>3.0612244897959183E-2</v>
      </c>
      <c r="U2168" t="s">
        <v>92</v>
      </c>
      <c r="V2168" t="s">
        <v>29</v>
      </c>
    </row>
    <row r="2169" spans="1:22">
      <c r="A2169" s="3">
        <v>45748</v>
      </c>
      <c r="B2169" t="str">
        <f t="shared" si="231"/>
        <v>yyyy-04</v>
      </c>
      <c r="C2169">
        <f t="shared" si="232"/>
        <v>14</v>
      </c>
      <c r="D2169" t="s">
        <v>24</v>
      </c>
      <c r="E2169" t="s">
        <v>38</v>
      </c>
      <c r="F2169" t="s">
        <v>39</v>
      </c>
      <c r="G2169" t="s">
        <v>27</v>
      </c>
      <c r="H2169" t="s">
        <v>45</v>
      </c>
      <c r="I2169" s="5">
        <v>895</v>
      </c>
      <c r="J2169" s="5">
        <v>624</v>
      </c>
      <c r="K2169" s="5">
        <v>99</v>
      </c>
      <c r="L2169" s="5">
        <v>22</v>
      </c>
      <c r="M2169" s="5">
        <v>22</v>
      </c>
      <c r="N2169" s="7">
        <v>327.23</v>
      </c>
      <c r="O2169" s="7">
        <f t="shared" si="233"/>
        <v>7199.06</v>
      </c>
      <c r="P2169" s="4">
        <v>0.03</v>
      </c>
      <c r="Q2169" s="7">
        <f t="shared" si="234"/>
        <v>215.9718</v>
      </c>
      <c r="R2169" s="7">
        <f t="shared" si="235"/>
        <v>6983.0882000000001</v>
      </c>
      <c r="S2169" s="7">
        <f t="shared" si="236"/>
        <v>317.41309999999999</v>
      </c>
      <c r="T2169" s="6">
        <f t="shared" si="237"/>
        <v>2.4581005586592177E-2</v>
      </c>
      <c r="V2169" t="s">
        <v>29</v>
      </c>
    </row>
    <row r="2170" spans="1:22">
      <c r="A2170" s="3">
        <v>45748</v>
      </c>
      <c r="B2170" t="str">
        <f t="shared" si="231"/>
        <v>yyyy-04</v>
      </c>
      <c r="C2170">
        <f t="shared" si="232"/>
        <v>14</v>
      </c>
      <c r="D2170" t="s">
        <v>24</v>
      </c>
      <c r="E2170" t="s">
        <v>40</v>
      </c>
      <c r="F2170" t="s">
        <v>41</v>
      </c>
      <c r="G2170" t="s">
        <v>36</v>
      </c>
      <c r="H2170" t="s">
        <v>37</v>
      </c>
      <c r="I2170" s="5">
        <v>624</v>
      </c>
      <c r="J2170" s="5">
        <v>406</v>
      </c>
      <c r="K2170" s="5">
        <v>43</v>
      </c>
      <c r="L2170" s="5">
        <v>12</v>
      </c>
      <c r="M2170" s="5">
        <v>14</v>
      </c>
      <c r="N2170" s="7">
        <v>178.58</v>
      </c>
      <c r="O2170" s="7">
        <f t="shared" si="233"/>
        <v>2500.1200000000003</v>
      </c>
      <c r="P2170" s="4">
        <v>0</v>
      </c>
      <c r="Q2170" s="7">
        <f t="shared" si="234"/>
        <v>0</v>
      </c>
      <c r="R2170" s="7">
        <f t="shared" si="235"/>
        <v>2500.1200000000003</v>
      </c>
      <c r="S2170" s="7">
        <f t="shared" si="236"/>
        <v>208.34333333333336</v>
      </c>
      <c r="T2170" s="6">
        <f t="shared" si="237"/>
        <v>1.9230769230769232E-2</v>
      </c>
      <c r="V2170" t="s">
        <v>29</v>
      </c>
    </row>
    <row r="2171" spans="1:22">
      <c r="A2171" s="3">
        <v>45748</v>
      </c>
      <c r="B2171" t="str">
        <f t="shared" si="231"/>
        <v>yyyy-04</v>
      </c>
      <c r="C2171">
        <f t="shared" si="232"/>
        <v>14</v>
      </c>
      <c r="D2171" t="s">
        <v>42</v>
      </c>
      <c r="E2171" t="s">
        <v>43</v>
      </c>
      <c r="F2171" t="s">
        <v>44</v>
      </c>
      <c r="G2171" t="s">
        <v>27</v>
      </c>
      <c r="H2171" t="s">
        <v>28</v>
      </c>
      <c r="I2171" s="5">
        <v>489</v>
      </c>
      <c r="J2171" s="5">
        <v>363</v>
      </c>
      <c r="K2171" s="5">
        <v>39</v>
      </c>
      <c r="L2171" s="5">
        <v>11</v>
      </c>
      <c r="M2171" s="5">
        <v>11</v>
      </c>
      <c r="N2171" s="7">
        <v>1271.8599999999999</v>
      </c>
      <c r="O2171" s="7">
        <f t="shared" si="233"/>
        <v>13990.46</v>
      </c>
      <c r="P2171" s="4">
        <v>0.12</v>
      </c>
      <c r="Q2171" s="7">
        <f t="shared" si="234"/>
        <v>1678.8551999999997</v>
      </c>
      <c r="R2171" s="7">
        <f t="shared" si="235"/>
        <v>12311.604799999999</v>
      </c>
      <c r="S2171" s="7">
        <f t="shared" si="236"/>
        <v>1119.2367999999999</v>
      </c>
      <c r="T2171" s="6">
        <f t="shared" si="237"/>
        <v>2.2494887525562373E-2</v>
      </c>
      <c r="U2171" t="s">
        <v>91</v>
      </c>
      <c r="V2171" t="s">
        <v>29</v>
      </c>
    </row>
    <row r="2172" spans="1:22">
      <c r="A2172" s="3">
        <v>45748</v>
      </c>
      <c r="B2172" t="str">
        <f t="shared" si="231"/>
        <v>yyyy-04</v>
      </c>
      <c r="C2172">
        <f t="shared" si="232"/>
        <v>14</v>
      </c>
      <c r="D2172" t="s">
        <v>42</v>
      </c>
      <c r="E2172" t="s">
        <v>43</v>
      </c>
      <c r="F2172" t="s">
        <v>46</v>
      </c>
      <c r="G2172" t="s">
        <v>31</v>
      </c>
      <c r="H2172" t="s">
        <v>32</v>
      </c>
      <c r="I2172" s="5">
        <v>596</v>
      </c>
      <c r="J2172" s="5">
        <v>447</v>
      </c>
      <c r="K2172" s="5">
        <v>46</v>
      </c>
      <c r="L2172" s="5">
        <v>8</v>
      </c>
      <c r="M2172" s="5">
        <v>8</v>
      </c>
      <c r="N2172" s="7">
        <v>2121.5700000000002</v>
      </c>
      <c r="O2172" s="7">
        <f t="shared" si="233"/>
        <v>16972.560000000001</v>
      </c>
      <c r="P2172" s="4">
        <v>0.12</v>
      </c>
      <c r="Q2172" s="7">
        <f t="shared" si="234"/>
        <v>2036.7072000000001</v>
      </c>
      <c r="R2172" s="7">
        <f t="shared" si="235"/>
        <v>14935.852800000001</v>
      </c>
      <c r="S2172" s="7">
        <f t="shared" si="236"/>
        <v>1866.9816000000001</v>
      </c>
      <c r="T2172" s="6">
        <f t="shared" si="237"/>
        <v>1.3422818791946308E-2</v>
      </c>
      <c r="U2172" t="s">
        <v>91</v>
      </c>
      <c r="V2172" t="s">
        <v>29</v>
      </c>
    </row>
    <row r="2173" spans="1:22">
      <c r="A2173" s="3">
        <v>45748</v>
      </c>
      <c r="B2173" t="str">
        <f t="shared" si="231"/>
        <v>yyyy-04</v>
      </c>
      <c r="C2173">
        <f t="shared" si="232"/>
        <v>14</v>
      </c>
      <c r="D2173" t="s">
        <v>42</v>
      </c>
      <c r="E2173" t="s">
        <v>43</v>
      </c>
      <c r="F2173" t="s">
        <v>47</v>
      </c>
      <c r="G2173" t="s">
        <v>31</v>
      </c>
      <c r="H2173" t="s">
        <v>32</v>
      </c>
      <c r="I2173" s="5">
        <v>683</v>
      </c>
      <c r="J2173" s="5">
        <v>455</v>
      </c>
      <c r="K2173" s="5">
        <v>46</v>
      </c>
      <c r="L2173" s="5">
        <v>10</v>
      </c>
      <c r="M2173" s="5">
        <v>10</v>
      </c>
      <c r="N2173" s="7">
        <v>583.79</v>
      </c>
      <c r="O2173" s="7">
        <f t="shared" si="233"/>
        <v>5837.9</v>
      </c>
      <c r="P2173" s="4">
        <v>0.12</v>
      </c>
      <c r="Q2173" s="7">
        <f t="shared" si="234"/>
        <v>700.54799999999989</v>
      </c>
      <c r="R2173" s="7">
        <f t="shared" si="235"/>
        <v>5137.3519999999999</v>
      </c>
      <c r="S2173" s="7">
        <f t="shared" si="236"/>
        <v>513.73519999999996</v>
      </c>
      <c r="T2173" s="6">
        <f t="shared" si="237"/>
        <v>1.4641288433382138E-2</v>
      </c>
      <c r="U2173" t="s">
        <v>91</v>
      </c>
      <c r="V2173" t="s">
        <v>29</v>
      </c>
    </row>
    <row r="2174" spans="1:22">
      <c r="A2174" s="3">
        <v>45748</v>
      </c>
      <c r="B2174" t="str">
        <f t="shared" si="231"/>
        <v>yyyy-04</v>
      </c>
      <c r="C2174">
        <f t="shared" si="232"/>
        <v>14</v>
      </c>
      <c r="D2174" t="s">
        <v>42</v>
      </c>
      <c r="E2174" t="s">
        <v>49</v>
      </c>
      <c r="F2174" t="s">
        <v>50</v>
      </c>
      <c r="G2174" t="s">
        <v>36</v>
      </c>
      <c r="H2174" t="s">
        <v>37</v>
      </c>
      <c r="I2174" s="5">
        <v>200</v>
      </c>
      <c r="J2174" s="5">
        <v>136</v>
      </c>
      <c r="K2174" s="5">
        <v>15</v>
      </c>
      <c r="L2174" s="5">
        <v>3</v>
      </c>
      <c r="M2174" s="5">
        <v>3</v>
      </c>
      <c r="N2174" s="7">
        <v>1002.03</v>
      </c>
      <c r="O2174" s="7">
        <f t="shared" si="233"/>
        <v>3006.09</v>
      </c>
      <c r="P2174" s="4">
        <v>0.03</v>
      </c>
      <c r="Q2174" s="7">
        <f t="shared" si="234"/>
        <v>90.182699999999997</v>
      </c>
      <c r="R2174" s="7">
        <f t="shared" si="235"/>
        <v>2915.9073000000003</v>
      </c>
      <c r="S2174" s="7">
        <f t="shared" si="236"/>
        <v>971.96910000000014</v>
      </c>
      <c r="T2174" s="6">
        <f t="shared" si="237"/>
        <v>1.4999999999999999E-2</v>
      </c>
      <c r="V2174" t="s">
        <v>78</v>
      </c>
    </row>
    <row r="2175" spans="1:22">
      <c r="A2175" s="3">
        <v>45748</v>
      </c>
      <c r="B2175" t="str">
        <f t="shared" si="231"/>
        <v>yyyy-04</v>
      </c>
      <c r="C2175">
        <f t="shared" si="232"/>
        <v>14</v>
      </c>
      <c r="D2175" t="s">
        <v>42</v>
      </c>
      <c r="E2175" t="s">
        <v>51</v>
      </c>
      <c r="F2175" t="s">
        <v>52</v>
      </c>
      <c r="G2175" t="s">
        <v>31</v>
      </c>
      <c r="H2175" t="s">
        <v>32</v>
      </c>
      <c r="I2175" s="5">
        <v>349</v>
      </c>
      <c r="J2175" s="5">
        <v>231</v>
      </c>
      <c r="K2175" s="5">
        <v>26</v>
      </c>
      <c r="L2175" s="5">
        <v>4</v>
      </c>
      <c r="M2175" s="5">
        <v>4</v>
      </c>
      <c r="N2175" s="7">
        <v>603.61</v>
      </c>
      <c r="O2175" s="7">
        <f t="shared" si="233"/>
        <v>2414.44</v>
      </c>
      <c r="P2175" s="4">
        <v>0</v>
      </c>
      <c r="Q2175" s="7">
        <f t="shared" si="234"/>
        <v>0</v>
      </c>
      <c r="R2175" s="7">
        <f t="shared" si="235"/>
        <v>2414.44</v>
      </c>
      <c r="S2175" s="7">
        <f t="shared" si="236"/>
        <v>603.61</v>
      </c>
      <c r="T2175" s="6">
        <f t="shared" si="237"/>
        <v>1.1461318051575931E-2</v>
      </c>
      <c r="V2175" t="s">
        <v>78</v>
      </c>
    </row>
    <row r="2176" spans="1:22">
      <c r="A2176" s="3">
        <v>45748</v>
      </c>
      <c r="B2176" t="str">
        <f t="shared" si="231"/>
        <v>yyyy-04</v>
      </c>
      <c r="C2176">
        <f t="shared" si="232"/>
        <v>14</v>
      </c>
      <c r="D2176" t="s">
        <v>53</v>
      </c>
      <c r="E2176" t="s">
        <v>54</v>
      </c>
      <c r="F2176" t="s">
        <v>55</v>
      </c>
      <c r="G2176" t="s">
        <v>27</v>
      </c>
      <c r="H2176" t="s">
        <v>28</v>
      </c>
      <c r="I2176" s="5">
        <v>198</v>
      </c>
      <c r="J2176" s="5">
        <v>127</v>
      </c>
      <c r="K2176" s="5">
        <v>12</v>
      </c>
      <c r="L2176" s="5">
        <v>3</v>
      </c>
      <c r="M2176" s="5">
        <v>3</v>
      </c>
      <c r="N2176" s="7">
        <v>1286.76</v>
      </c>
      <c r="O2176" s="7">
        <f t="shared" si="233"/>
        <v>3860.2799999999997</v>
      </c>
      <c r="P2176" s="4">
        <v>0</v>
      </c>
      <c r="Q2176" s="7">
        <f t="shared" si="234"/>
        <v>0</v>
      </c>
      <c r="R2176" s="7">
        <f t="shared" si="235"/>
        <v>3860.2799999999997</v>
      </c>
      <c r="S2176" s="7">
        <f t="shared" si="236"/>
        <v>1286.76</v>
      </c>
      <c r="T2176" s="6">
        <f t="shared" si="237"/>
        <v>1.5151515151515152E-2</v>
      </c>
      <c r="V2176" t="s">
        <v>29</v>
      </c>
    </row>
    <row r="2177" spans="1:22">
      <c r="A2177" s="3">
        <v>45748</v>
      </c>
      <c r="B2177" t="str">
        <f t="shared" si="231"/>
        <v>yyyy-04</v>
      </c>
      <c r="C2177">
        <f t="shared" si="232"/>
        <v>14</v>
      </c>
      <c r="D2177" t="s">
        <v>53</v>
      </c>
      <c r="E2177" t="s">
        <v>56</v>
      </c>
      <c r="F2177" t="s">
        <v>57</v>
      </c>
      <c r="G2177" t="s">
        <v>27</v>
      </c>
      <c r="H2177" t="s">
        <v>28</v>
      </c>
      <c r="I2177" s="5">
        <v>178</v>
      </c>
      <c r="J2177" s="5">
        <v>95</v>
      </c>
      <c r="K2177" s="5">
        <v>6</v>
      </c>
      <c r="L2177" s="5">
        <v>1</v>
      </c>
      <c r="M2177" s="5">
        <v>1</v>
      </c>
      <c r="N2177" s="7">
        <v>758.31</v>
      </c>
      <c r="O2177" s="7">
        <f t="shared" si="233"/>
        <v>758.31</v>
      </c>
      <c r="P2177" s="4">
        <v>0.03</v>
      </c>
      <c r="Q2177" s="7">
        <f t="shared" si="234"/>
        <v>22.749299999999998</v>
      </c>
      <c r="R2177" s="7">
        <f t="shared" si="235"/>
        <v>735.5607</v>
      </c>
      <c r="S2177" s="7">
        <f t="shared" si="236"/>
        <v>735.5607</v>
      </c>
      <c r="T2177" s="6">
        <f t="shared" si="237"/>
        <v>5.6179775280898875E-3</v>
      </c>
      <c r="V2177" t="s">
        <v>29</v>
      </c>
    </row>
    <row r="2178" spans="1:22">
      <c r="A2178" s="3">
        <v>45748</v>
      </c>
      <c r="B2178" t="str">
        <f t="shared" si="231"/>
        <v>yyyy-04</v>
      </c>
      <c r="C2178">
        <f t="shared" si="232"/>
        <v>14</v>
      </c>
      <c r="D2178" t="s">
        <v>53</v>
      </c>
      <c r="E2178" t="s">
        <v>56</v>
      </c>
      <c r="F2178" t="s">
        <v>58</v>
      </c>
      <c r="G2178" t="s">
        <v>27</v>
      </c>
      <c r="H2178" t="s">
        <v>45</v>
      </c>
      <c r="I2178" s="5">
        <v>233</v>
      </c>
      <c r="J2178" s="5">
        <v>166</v>
      </c>
      <c r="K2178" s="5">
        <v>8</v>
      </c>
      <c r="L2178" s="5">
        <v>2</v>
      </c>
      <c r="M2178" s="5">
        <v>2</v>
      </c>
      <c r="N2178" s="7">
        <v>881.07</v>
      </c>
      <c r="O2178" s="7">
        <f t="shared" si="233"/>
        <v>1762.14</v>
      </c>
      <c r="P2178" s="4">
        <v>0</v>
      </c>
      <c r="Q2178" s="7">
        <f t="shared" si="234"/>
        <v>0</v>
      </c>
      <c r="R2178" s="7">
        <f t="shared" si="235"/>
        <v>1762.14</v>
      </c>
      <c r="S2178" s="7">
        <f t="shared" si="236"/>
        <v>881.07</v>
      </c>
      <c r="T2178" s="6">
        <f t="shared" si="237"/>
        <v>8.5836909871244635E-3</v>
      </c>
      <c r="V2178" t="s">
        <v>29</v>
      </c>
    </row>
    <row r="2179" spans="1:22">
      <c r="A2179" s="3">
        <v>45748</v>
      </c>
      <c r="B2179" t="str">
        <f t="shared" si="231"/>
        <v>yyyy-04</v>
      </c>
      <c r="C2179">
        <f t="shared" si="232"/>
        <v>14</v>
      </c>
      <c r="D2179" t="s">
        <v>53</v>
      </c>
      <c r="E2179" t="s">
        <v>59</v>
      </c>
      <c r="F2179" t="s">
        <v>60</v>
      </c>
      <c r="G2179" t="s">
        <v>36</v>
      </c>
      <c r="H2179" t="s">
        <v>37</v>
      </c>
      <c r="I2179" s="5">
        <v>154</v>
      </c>
      <c r="J2179" s="5">
        <v>96</v>
      </c>
      <c r="K2179" s="5">
        <v>6</v>
      </c>
      <c r="L2179" s="5">
        <v>2</v>
      </c>
      <c r="M2179" s="5">
        <v>2</v>
      </c>
      <c r="N2179" s="7">
        <v>687.52</v>
      </c>
      <c r="O2179" s="7">
        <f t="shared" si="233"/>
        <v>1375.04</v>
      </c>
      <c r="P2179" s="4">
        <v>0</v>
      </c>
      <c r="Q2179" s="7">
        <f t="shared" si="234"/>
        <v>0</v>
      </c>
      <c r="R2179" s="7">
        <f t="shared" si="235"/>
        <v>1375.04</v>
      </c>
      <c r="S2179" s="7">
        <f t="shared" si="236"/>
        <v>687.52</v>
      </c>
      <c r="T2179" s="6">
        <f t="shared" si="237"/>
        <v>1.2987012987012988E-2</v>
      </c>
      <c r="V2179" t="s">
        <v>29</v>
      </c>
    </row>
    <row r="2180" spans="1:22">
      <c r="A2180" s="3">
        <v>45748</v>
      </c>
      <c r="B2180" t="str">
        <f t="shared" si="231"/>
        <v>yyyy-04</v>
      </c>
      <c r="C2180">
        <f t="shared" si="232"/>
        <v>14</v>
      </c>
      <c r="D2180" t="s">
        <v>53</v>
      </c>
      <c r="E2180" t="s">
        <v>61</v>
      </c>
      <c r="F2180" t="s">
        <v>62</v>
      </c>
      <c r="G2180" t="s">
        <v>27</v>
      </c>
      <c r="H2180" t="s">
        <v>45</v>
      </c>
      <c r="I2180" s="5">
        <v>155</v>
      </c>
      <c r="J2180" s="5">
        <v>120</v>
      </c>
      <c r="K2180" s="5">
        <v>7</v>
      </c>
      <c r="L2180" s="5">
        <v>2</v>
      </c>
      <c r="M2180" s="5">
        <v>2</v>
      </c>
      <c r="N2180" s="7">
        <v>479.88</v>
      </c>
      <c r="O2180" s="7">
        <f t="shared" si="233"/>
        <v>959.76</v>
      </c>
      <c r="P2180" s="4">
        <v>0</v>
      </c>
      <c r="Q2180" s="7">
        <f t="shared" si="234"/>
        <v>0</v>
      </c>
      <c r="R2180" s="7">
        <f t="shared" si="235"/>
        <v>959.76</v>
      </c>
      <c r="S2180" s="7">
        <f t="shared" si="236"/>
        <v>479.88</v>
      </c>
      <c r="T2180" s="6">
        <f t="shared" si="237"/>
        <v>1.2903225806451613E-2</v>
      </c>
      <c r="V2180" t="s">
        <v>29</v>
      </c>
    </row>
    <row r="2181" spans="1:22">
      <c r="A2181" s="3">
        <v>45748</v>
      </c>
      <c r="B2181" t="str">
        <f t="shared" ref="B2181:B2244" si="238">TEXT(A2181,"yyyy-mm")</f>
        <v>yyyy-04</v>
      </c>
      <c r="C2181">
        <f t="shared" ref="C2181:C2244" si="239">WEEKNUM(A2181,2)</f>
        <v>14</v>
      </c>
      <c r="D2181" t="s">
        <v>53</v>
      </c>
      <c r="E2181" t="s">
        <v>64</v>
      </c>
      <c r="F2181" t="s">
        <v>65</v>
      </c>
      <c r="G2181" t="s">
        <v>31</v>
      </c>
      <c r="H2181" t="s">
        <v>32</v>
      </c>
      <c r="I2181" s="5">
        <v>257</v>
      </c>
      <c r="J2181" s="5">
        <v>134</v>
      </c>
      <c r="K2181" s="5">
        <v>12</v>
      </c>
      <c r="L2181" s="5">
        <v>4</v>
      </c>
      <c r="M2181" s="5">
        <v>4</v>
      </c>
      <c r="N2181" s="7">
        <v>785.15</v>
      </c>
      <c r="O2181" s="7">
        <f t="shared" ref="O2181:O2244" si="240">M2181*N2181</f>
        <v>3140.6</v>
      </c>
      <c r="P2181" s="4">
        <v>0.03</v>
      </c>
      <c r="Q2181" s="7">
        <f t="shared" ref="Q2181:Q2244" si="241">O2181*P2181</f>
        <v>94.217999999999989</v>
      </c>
      <c r="R2181" s="7">
        <f t="shared" ref="R2181:R2244" si="242">O2181-Q2181</f>
        <v>3046.3820000000001</v>
      </c>
      <c r="S2181" s="7">
        <f t="shared" ref="S2181:S2244" si="243">IFERROR(R2181/L2181,0)</f>
        <v>761.59550000000002</v>
      </c>
      <c r="T2181" s="6">
        <f t="shared" ref="T2181:T2244" si="244">IFERROR(L2181/I2181,0)</f>
        <v>1.556420233463035E-2</v>
      </c>
      <c r="V2181" t="s">
        <v>29</v>
      </c>
    </row>
    <row r="2182" spans="1:22">
      <c r="A2182" s="3">
        <v>45748</v>
      </c>
      <c r="B2182" t="str">
        <f t="shared" si="238"/>
        <v>yyyy-04</v>
      </c>
      <c r="C2182">
        <f t="shared" si="239"/>
        <v>14</v>
      </c>
      <c r="D2182" t="s">
        <v>66</v>
      </c>
      <c r="E2182" t="s">
        <v>67</v>
      </c>
      <c r="F2182" t="s">
        <v>68</v>
      </c>
      <c r="G2182" t="s">
        <v>36</v>
      </c>
      <c r="H2182" t="s">
        <v>37</v>
      </c>
      <c r="I2182" s="5">
        <v>349</v>
      </c>
      <c r="J2182" s="5">
        <v>255</v>
      </c>
      <c r="K2182" s="5">
        <v>23</v>
      </c>
      <c r="L2182" s="5">
        <v>5</v>
      </c>
      <c r="M2182" s="5">
        <v>5</v>
      </c>
      <c r="N2182" s="7">
        <v>700.25</v>
      </c>
      <c r="O2182" s="7">
        <f t="shared" si="240"/>
        <v>3501.25</v>
      </c>
      <c r="P2182" s="4">
        <v>0</v>
      </c>
      <c r="Q2182" s="7">
        <f t="shared" si="241"/>
        <v>0</v>
      </c>
      <c r="R2182" s="7">
        <f t="shared" si="242"/>
        <v>3501.25</v>
      </c>
      <c r="S2182" s="7">
        <f t="shared" si="243"/>
        <v>700.25</v>
      </c>
      <c r="T2182" s="6">
        <f t="shared" si="244"/>
        <v>1.4326647564469915E-2</v>
      </c>
      <c r="V2182" t="s">
        <v>29</v>
      </c>
    </row>
    <row r="2183" spans="1:22">
      <c r="A2183" s="3">
        <v>45748</v>
      </c>
      <c r="B2183" t="str">
        <f t="shared" si="238"/>
        <v>yyyy-04</v>
      </c>
      <c r="C2183">
        <f t="shared" si="239"/>
        <v>14</v>
      </c>
      <c r="D2183" t="s">
        <v>66</v>
      </c>
      <c r="E2183" t="s">
        <v>67</v>
      </c>
      <c r="F2183" t="s">
        <v>69</v>
      </c>
      <c r="G2183" t="s">
        <v>27</v>
      </c>
      <c r="H2183" t="s">
        <v>63</v>
      </c>
      <c r="I2183" s="5">
        <v>280</v>
      </c>
      <c r="J2183" s="5">
        <v>216</v>
      </c>
      <c r="K2183" s="5">
        <v>19</v>
      </c>
      <c r="L2183" s="5">
        <v>6</v>
      </c>
      <c r="M2183" s="5">
        <v>6</v>
      </c>
      <c r="N2183" s="7">
        <v>406.39</v>
      </c>
      <c r="O2183" s="7">
        <f t="shared" si="240"/>
        <v>2438.34</v>
      </c>
      <c r="P2183" s="4">
        <v>0</v>
      </c>
      <c r="Q2183" s="7">
        <f t="shared" si="241"/>
        <v>0</v>
      </c>
      <c r="R2183" s="7">
        <f t="shared" si="242"/>
        <v>2438.34</v>
      </c>
      <c r="S2183" s="7">
        <f t="shared" si="243"/>
        <v>406.39000000000004</v>
      </c>
      <c r="T2183" s="6">
        <f t="shared" si="244"/>
        <v>2.1428571428571429E-2</v>
      </c>
      <c r="V2183" t="s">
        <v>29</v>
      </c>
    </row>
    <row r="2184" spans="1:22">
      <c r="A2184" s="3">
        <v>45748</v>
      </c>
      <c r="B2184" t="str">
        <f t="shared" si="238"/>
        <v>yyyy-04</v>
      </c>
      <c r="C2184">
        <f t="shared" si="239"/>
        <v>14</v>
      </c>
      <c r="D2184" t="s">
        <v>66</v>
      </c>
      <c r="E2184" t="s">
        <v>67</v>
      </c>
      <c r="F2184" t="s">
        <v>70</v>
      </c>
      <c r="G2184" t="s">
        <v>27</v>
      </c>
      <c r="H2184" t="s">
        <v>63</v>
      </c>
      <c r="I2184" s="5">
        <v>314</v>
      </c>
      <c r="J2184" s="5">
        <v>217</v>
      </c>
      <c r="K2184" s="5">
        <v>14</v>
      </c>
      <c r="L2184" s="5">
        <v>4</v>
      </c>
      <c r="M2184" s="5">
        <v>4</v>
      </c>
      <c r="N2184" s="7">
        <v>340.57</v>
      </c>
      <c r="O2184" s="7">
        <f t="shared" si="240"/>
        <v>1362.28</v>
      </c>
      <c r="P2184" s="4">
        <v>0</v>
      </c>
      <c r="Q2184" s="7">
        <f t="shared" si="241"/>
        <v>0</v>
      </c>
      <c r="R2184" s="7">
        <f t="shared" si="242"/>
        <v>1362.28</v>
      </c>
      <c r="S2184" s="7">
        <f t="shared" si="243"/>
        <v>340.57</v>
      </c>
      <c r="T2184" s="6">
        <f t="shared" si="244"/>
        <v>1.2738853503184714E-2</v>
      </c>
      <c r="V2184" t="s">
        <v>29</v>
      </c>
    </row>
    <row r="2185" spans="1:22">
      <c r="A2185" s="3">
        <v>45748</v>
      </c>
      <c r="B2185" t="str">
        <f t="shared" si="238"/>
        <v>yyyy-04</v>
      </c>
      <c r="C2185">
        <f t="shared" si="239"/>
        <v>14</v>
      </c>
      <c r="D2185" t="s">
        <v>66</v>
      </c>
      <c r="E2185" t="s">
        <v>71</v>
      </c>
      <c r="F2185" t="s">
        <v>72</v>
      </c>
      <c r="G2185" t="s">
        <v>27</v>
      </c>
      <c r="H2185" t="s">
        <v>28</v>
      </c>
      <c r="I2185" s="5">
        <v>388</v>
      </c>
      <c r="J2185" s="5">
        <v>214</v>
      </c>
      <c r="K2185" s="5">
        <v>32</v>
      </c>
      <c r="L2185" s="5">
        <v>8</v>
      </c>
      <c r="M2185" s="5">
        <v>10</v>
      </c>
      <c r="N2185" s="7">
        <v>128.32</v>
      </c>
      <c r="O2185" s="7">
        <f t="shared" si="240"/>
        <v>1283.1999999999998</v>
      </c>
      <c r="P2185" s="4">
        <v>0</v>
      </c>
      <c r="Q2185" s="7">
        <f t="shared" si="241"/>
        <v>0</v>
      </c>
      <c r="R2185" s="7">
        <f t="shared" si="242"/>
        <v>1283.1999999999998</v>
      </c>
      <c r="S2185" s="7">
        <f t="shared" si="243"/>
        <v>160.39999999999998</v>
      </c>
      <c r="T2185" s="6">
        <f t="shared" si="244"/>
        <v>2.0618556701030927E-2</v>
      </c>
      <c r="V2185" t="s">
        <v>29</v>
      </c>
    </row>
    <row r="2186" spans="1:22">
      <c r="A2186" s="3">
        <v>45748</v>
      </c>
      <c r="B2186" t="str">
        <f t="shared" si="238"/>
        <v>yyyy-04</v>
      </c>
      <c r="C2186">
        <f t="shared" si="239"/>
        <v>14</v>
      </c>
      <c r="D2186" t="s">
        <v>66</v>
      </c>
      <c r="E2186" t="s">
        <v>73</v>
      </c>
      <c r="F2186" t="s">
        <v>74</v>
      </c>
      <c r="G2186" t="s">
        <v>27</v>
      </c>
      <c r="H2186" t="s">
        <v>28</v>
      </c>
      <c r="I2186" s="5">
        <v>200</v>
      </c>
      <c r="J2186" s="5">
        <v>139</v>
      </c>
      <c r="K2186" s="5">
        <v>11</v>
      </c>
      <c r="L2186" s="5">
        <v>4</v>
      </c>
      <c r="M2186" s="5">
        <v>4</v>
      </c>
      <c r="N2186" s="7">
        <v>1169.75</v>
      </c>
      <c r="O2186" s="7">
        <f t="shared" si="240"/>
        <v>4679</v>
      </c>
      <c r="P2186" s="4">
        <v>0</v>
      </c>
      <c r="Q2186" s="7">
        <f t="shared" si="241"/>
        <v>0</v>
      </c>
      <c r="R2186" s="7">
        <f t="shared" si="242"/>
        <v>4679</v>
      </c>
      <c r="S2186" s="7">
        <f t="shared" si="243"/>
        <v>1169.75</v>
      </c>
      <c r="T2186" s="6">
        <f t="shared" si="244"/>
        <v>0.02</v>
      </c>
      <c r="V2186" t="s">
        <v>29</v>
      </c>
    </row>
    <row r="2187" spans="1:22">
      <c r="A2187" s="3">
        <v>45748</v>
      </c>
      <c r="B2187" t="str">
        <f t="shared" si="238"/>
        <v>yyyy-04</v>
      </c>
      <c r="C2187">
        <f t="shared" si="239"/>
        <v>14</v>
      </c>
      <c r="D2187" t="s">
        <v>66</v>
      </c>
      <c r="E2187" t="s">
        <v>71</v>
      </c>
      <c r="F2187" t="s">
        <v>75</v>
      </c>
      <c r="G2187" t="s">
        <v>27</v>
      </c>
      <c r="H2187" t="s">
        <v>45</v>
      </c>
      <c r="I2187" s="5">
        <v>253</v>
      </c>
      <c r="J2187" s="5">
        <v>131</v>
      </c>
      <c r="K2187" s="5">
        <v>14</v>
      </c>
      <c r="L2187" s="5">
        <v>4</v>
      </c>
      <c r="M2187" s="5">
        <v>5</v>
      </c>
      <c r="N2187" s="7">
        <v>38.880000000000003</v>
      </c>
      <c r="O2187" s="7">
        <f t="shared" si="240"/>
        <v>194.4</v>
      </c>
      <c r="P2187" s="4">
        <v>0.05</v>
      </c>
      <c r="Q2187" s="7">
        <f t="shared" si="241"/>
        <v>9.7200000000000006</v>
      </c>
      <c r="R2187" s="7">
        <f t="shared" si="242"/>
        <v>184.68</v>
      </c>
      <c r="S2187" s="7">
        <f t="shared" si="243"/>
        <v>46.17</v>
      </c>
      <c r="T2187" s="6">
        <f t="shared" si="244"/>
        <v>1.5810276679841896E-2</v>
      </c>
      <c r="V2187" t="s">
        <v>29</v>
      </c>
    </row>
    <row r="2188" spans="1:22">
      <c r="A2188" s="3">
        <v>45748</v>
      </c>
      <c r="B2188" t="str">
        <f t="shared" si="238"/>
        <v>yyyy-04</v>
      </c>
      <c r="C2188">
        <f t="shared" si="239"/>
        <v>14</v>
      </c>
      <c r="D2188" t="s">
        <v>24</v>
      </c>
      <c r="E2188" t="s">
        <v>76</v>
      </c>
      <c r="F2188" t="s">
        <v>77</v>
      </c>
      <c r="G2188" t="s">
        <v>36</v>
      </c>
      <c r="H2188" t="s">
        <v>37</v>
      </c>
      <c r="I2188" s="5">
        <v>522</v>
      </c>
      <c r="J2188" s="5">
        <v>393</v>
      </c>
      <c r="K2188" s="5">
        <v>46</v>
      </c>
      <c r="L2188" s="5">
        <v>10</v>
      </c>
      <c r="M2188" s="5">
        <v>13</v>
      </c>
      <c r="N2188" s="7">
        <v>194.96</v>
      </c>
      <c r="O2188" s="7">
        <f t="shared" si="240"/>
        <v>2534.48</v>
      </c>
      <c r="P2188" s="4">
        <v>0</v>
      </c>
      <c r="Q2188" s="7">
        <f t="shared" si="241"/>
        <v>0</v>
      </c>
      <c r="R2188" s="7">
        <f t="shared" si="242"/>
        <v>2534.48</v>
      </c>
      <c r="S2188" s="7">
        <f t="shared" si="243"/>
        <v>253.44800000000001</v>
      </c>
      <c r="T2188" s="6">
        <f t="shared" si="244"/>
        <v>1.9157088122605363E-2</v>
      </c>
      <c r="V2188" t="s">
        <v>29</v>
      </c>
    </row>
    <row r="2189" spans="1:22">
      <c r="A2189" s="3">
        <v>45749</v>
      </c>
      <c r="B2189" t="str">
        <f t="shared" si="238"/>
        <v>yyyy-04</v>
      </c>
      <c r="C2189">
        <f t="shared" si="239"/>
        <v>14</v>
      </c>
      <c r="D2189" t="s">
        <v>24</v>
      </c>
      <c r="E2189" t="s">
        <v>25</v>
      </c>
      <c r="F2189" t="s">
        <v>26</v>
      </c>
      <c r="G2189" t="s">
        <v>27</v>
      </c>
      <c r="H2189" t="s">
        <v>45</v>
      </c>
      <c r="I2189" s="5">
        <v>1176</v>
      </c>
      <c r="J2189" s="5">
        <v>935</v>
      </c>
      <c r="K2189" s="5">
        <v>98</v>
      </c>
      <c r="L2189" s="5">
        <v>18</v>
      </c>
      <c r="M2189" s="5">
        <v>18</v>
      </c>
      <c r="N2189" s="7">
        <v>1016.57</v>
      </c>
      <c r="O2189" s="7">
        <f t="shared" si="240"/>
        <v>18298.260000000002</v>
      </c>
      <c r="P2189" s="4">
        <v>0</v>
      </c>
      <c r="Q2189" s="7">
        <f t="shared" si="241"/>
        <v>0</v>
      </c>
      <c r="R2189" s="7">
        <f t="shared" si="242"/>
        <v>18298.260000000002</v>
      </c>
      <c r="S2189" s="7">
        <f t="shared" si="243"/>
        <v>1016.5700000000002</v>
      </c>
      <c r="T2189" s="6">
        <f t="shared" si="244"/>
        <v>1.5306122448979591E-2</v>
      </c>
      <c r="V2189" t="s">
        <v>29</v>
      </c>
    </row>
    <row r="2190" spans="1:22">
      <c r="A2190" s="3">
        <v>45749</v>
      </c>
      <c r="B2190" t="str">
        <f t="shared" si="238"/>
        <v>yyyy-04</v>
      </c>
      <c r="C2190">
        <f t="shared" si="239"/>
        <v>14</v>
      </c>
      <c r="D2190" t="s">
        <v>24</v>
      </c>
      <c r="E2190" t="s">
        <v>25</v>
      </c>
      <c r="F2190" t="s">
        <v>30</v>
      </c>
      <c r="G2190" t="s">
        <v>27</v>
      </c>
      <c r="H2190" t="s">
        <v>63</v>
      </c>
      <c r="I2190" s="5">
        <v>1121</v>
      </c>
      <c r="J2190" s="5">
        <v>874</v>
      </c>
      <c r="K2190" s="5">
        <v>117</v>
      </c>
      <c r="L2190" s="5">
        <v>27</v>
      </c>
      <c r="M2190" s="5">
        <v>27</v>
      </c>
      <c r="N2190" s="7">
        <v>383.88</v>
      </c>
      <c r="O2190" s="7">
        <f t="shared" si="240"/>
        <v>10364.76</v>
      </c>
      <c r="P2190" s="4">
        <v>0</v>
      </c>
      <c r="Q2190" s="7">
        <f t="shared" si="241"/>
        <v>0</v>
      </c>
      <c r="R2190" s="7">
        <f t="shared" si="242"/>
        <v>10364.76</v>
      </c>
      <c r="S2190" s="7">
        <f t="shared" si="243"/>
        <v>383.88</v>
      </c>
      <c r="T2190" s="6">
        <f t="shared" si="244"/>
        <v>2.4085637823371989E-2</v>
      </c>
      <c r="V2190" t="s">
        <v>29</v>
      </c>
    </row>
    <row r="2191" spans="1:22">
      <c r="A2191" s="3">
        <v>45749</v>
      </c>
      <c r="B2191" t="str">
        <f t="shared" si="238"/>
        <v>yyyy-04</v>
      </c>
      <c r="C2191">
        <f t="shared" si="239"/>
        <v>14</v>
      </c>
      <c r="D2191" t="s">
        <v>24</v>
      </c>
      <c r="E2191" t="s">
        <v>25</v>
      </c>
      <c r="F2191" t="s">
        <v>33</v>
      </c>
      <c r="G2191" t="s">
        <v>36</v>
      </c>
      <c r="H2191" t="s">
        <v>37</v>
      </c>
      <c r="I2191" s="5">
        <v>1738</v>
      </c>
      <c r="J2191" s="5">
        <v>1177</v>
      </c>
      <c r="K2191" s="5">
        <v>108</v>
      </c>
      <c r="L2191" s="5">
        <v>30</v>
      </c>
      <c r="M2191" s="5">
        <v>30</v>
      </c>
      <c r="N2191" s="7">
        <v>1765.81</v>
      </c>
      <c r="O2191" s="7">
        <f t="shared" si="240"/>
        <v>52974.299999999996</v>
      </c>
      <c r="P2191" s="4">
        <v>0</v>
      </c>
      <c r="Q2191" s="7">
        <f t="shared" si="241"/>
        <v>0</v>
      </c>
      <c r="R2191" s="7">
        <f t="shared" si="242"/>
        <v>52974.299999999996</v>
      </c>
      <c r="S2191" s="7">
        <f t="shared" si="243"/>
        <v>1765.81</v>
      </c>
      <c r="T2191" s="6">
        <f t="shared" si="244"/>
        <v>1.7261219792865361E-2</v>
      </c>
      <c r="V2191" t="s">
        <v>29</v>
      </c>
    </row>
    <row r="2192" spans="1:22">
      <c r="A2192" s="3">
        <v>45749</v>
      </c>
      <c r="B2192" t="str">
        <f t="shared" si="238"/>
        <v>yyyy-04</v>
      </c>
      <c r="C2192">
        <f t="shared" si="239"/>
        <v>14</v>
      </c>
      <c r="D2192" t="s">
        <v>24</v>
      </c>
      <c r="E2192" t="s">
        <v>34</v>
      </c>
      <c r="F2192" t="s">
        <v>35</v>
      </c>
      <c r="G2192" t="s">
        <v>27</v>
      </c>
      <c r="H2192" t="s">
        <v>28</v>
      </c>
      <c r="I2192" s="5">
        <v>668</v>
      </c>
      <c r="J2192" s="5">
        <v>391</v>
      </c>
      <c r="K2192" s="5">
        <v>51</v>
      </c>
      <c r="L2192" s="5">
        <v>15</v>
      </c>
      <c r="M2192" s="5">
        <v>15</v>
      </c>
      <c r="N2192" s="7">
        <v>876.58</v>
      </c>
      <c r="O2192" s="7">
        <f t="shared" si="240"/>
        <v>13148.7</v>
      </c>
      <c r="P2192" s="4">
        <v>0.08</v>
      </c>
      <c r="Q2192" s="7">
        <f t="shared" si="241"/>
        <v>1051.8960000000002</v>
      </c>
      <c r="R2192" s="7">
        <f t="shared" si="242"/>
        <v>12096.804</v>
      </c>
      <c r="S2192" s="7">
        <f t="shared" si="243"/>
        <v>806.45360000000005</v>
      </c>
      <c r="T2192" s="6">
        <f t="shared" si="244"/>
        <v>2.2455089820359281E-2</v>
      </c>
      <c r="U2192" t="s">
        <v>92</v>
      </c>
      <c r="V2192" t="s">
        <v>29</v>
      </c>
    </row>
    <row r="2193" spans="1:22">
      <c r="A2193" s="3">
        <v>45749</v>
      </c>
      <c r="B2193" t="str">
        <f t="shared" si="238"/>
        <v>yyyy-04</v>
      </c>
      <c r="C2193">
        <f t="shared" si="239"/>
        <v>14</v>
      </c>
      <c r="D2193" t="s">
        <v>24</v>
      </c>
      <c r="E2193" t="s">
        <v>38</v>
      </c>
      <c r="F2193" t="s">
        <v>39</v>
      </c>
      <c r="G2193" t="s">
        <v>31</v>
      </c>
      <c r="H2193" t="s">
        <v>32</v>
      </c>
      <c r="I2193" s="5">
        <v>936</v>
      </c>
      <c r="J2193" s="5">
        <v>762</v>
      </c>
      <c r="K2193" s="5">
        <v>84</v>
      </c>
      <c r="L2193" s="5">
        <v>16</v>
      </c>
      <c r="M2193" s="5">
        <v>16</v>
      </c>
      <c r="N2193" s="7">
        <v>334.97</v>
      </c>
      <c r="O2193" s="7">
        <f t="shared" si="240"/>
        <v>5359.52</v>
      </c>
      <c r="P2193" s="4">
        <v>0</v>
      </c>
      <c r="Q2193" s="7">
        <f t="shared" si="241"/>
        <v>0</v>
      </c>
      <c r="R2193" s="7">
        <f t="shared" si="242"/>
        <v>5359.52</v>
      </c>
      <c r="S2193" s="7">
        <f t="shared" si="243"/>
        <v>334.97</v>
      </c>
      <c r="T2193" s="6">
        <f t="shared" si="244"/>
        <v>1.7094017094017096E-2</v>
      </c>
      <c r="V2193" t="s">
        <v>29</v>
      </c>
    </row>
    <row r="2194" spans="1:22">
      <c r="A2194" s="3">
        <v>45749</v>
      </c>
      <c r="B2194" t="str">
        <f t="shared" si="238"/>
        <v>yyyy-04</v>
      </c>
      <c r="C2194">
        <f t="shared" si="239"/>
        <v>14</v>
      </c>
      <c r="D2194" t="s">
        <v>24</v>
      </c>
      <c r="E2194" t="s">
        <v>40</v>
      </c>
      <c r="F2194" t="s">
        <v>41</v>
      </c>
      <c r="G2194" t="s">
        <v>31</v>
      </c>
      <c r="H2194" t="s">
        <v>32</v>
      </c>
      <c r="I2194" s="5">
        <v>820</v>
      </c>
      <c r="J2194" s="5">
        <v>515</v>
      </c>
      <c r="K2194" s="5">
        <v>93</v>
      </c>
      <c r="L2194" s="5">
        <v>19</v>
      </c>
      <c r="M2194" s="5">
        <v>20</v>
      </c>
      <c r="N2194" s="7">
        <v>180.94</v>
      </c>
      <c r="O2194" s="7">
        <f t="shared" si="240"/>
        <v>3618.8</v>
      </c>
      <c r="P2194" s="4">
        <v>0</v>
      </c>
      <c r="Q2194" s="7">
        <f t="shared" si="241"/>
        <v>0</v>
      </c>
      <c r="R2194" s="7">
        <f t="shared" si="242"/>
        <v>3618.8</v>
      </c>
      <c r="S2194" s="7">
        <f t="shared" si="243"/>
        <v>190.46315789473684</v>
      </c>
      <c r="T2194" s="6">
        <f t="shared" si="244"/>
        <v>2.3170731707317073E-2</v>
      </c>
      <c r="V2194" t="s">
        <v>29</v>
      </c>
    </row>
    <row r="2195" spans="1:22">
      <c r="A2195" s="3">
        <v>45749</v>
      </c>
      <c r="B2195" t="str">
        <f t="shared" si="238"/>
        <v>yyyy-04</v>
      </c>
      <c r="C2195">
        <f t="shared" si="239"/>
        <v>14</v>
      </c>
      <c r="D2195" t="s">
        <v>42</v>
      </c>
      <c r="E2195" t="s">
        <v>43</v>
      </c>
      <c r="F2195" t="s">
        <v>44</v>
      </c>
      <c r="G2195" t="s">
        <v>27</v>
      </c>
      <c r="H2195" t="s">
        <v>48</v>
      </c>
      <c r="I2195" s="5">
        <v>407</v>
      </c>
      <c r="J2195" s="5">
        <v>293</v>
      </c>
      <c r="K2195" s="5">
        <v>18</v>
      </c>
      <c r="L2195" s="5">
        <v>7</v>
      </c>
      <c r="M2195" s="5">
        <v>7</v>
      </c>
      <c r="N2195" s="7">
        <v>1268.82</v>
      </c>
      <c r="O2195" s="7">
        <f t="shared" si="240"/>
        <v>8881.74</v>
      </c>
      <c r="P2195" s="4">
        <v>0.12</v>
      </c>
      <c r="Q2195" s="7">
        <f t="shared" si="241"/>
        <v>1065.8088</v>
      </c>
      <c r="R2195" s="7">
        <f t="shared" si="242"/>
        <v>7815.9312</v>
      </c>
      <c r="S2195" s="7">
        <f t="shared" si="243"/>
        <v>1116.5616</v>
      </c>
      <c r="T2195" s="6">
        <f t="shared" si="244"/>
        <v>1.7199017199017199E-2</v>
      </c>
      <c r="U2195" t="s">
        <v>91</v>
      </c>
      <c r="V2195" t="s">
        <v>29</v>
      </c>
    </row>
    <row r="2196" spans="1:22">
      <c r="A2196" s="3">
        <v>45749</v>
      </c>
      <c r="B2196" t="str">
        <f t="shared" si="238"/>
        <v>yyyy-04</v>
      </c>
      <c r="C2196">
        <f t="shared" si="239"/>
        <v>14</v>
      </c>
      <c r="D2196" t="s">
        <v>42</v>
      </c>
      <c r="E2196" t="s">
        <v>43</v>
      </c>
      <c r="F2196" t="s">
        <v>46</v>
      </c>
      <c r="G2196" t="s">
        <v>31</v>
      </c>
      <c r="H2196" t="s">
        <v>32</v>
      </c>
      <c r="I2196" s="5">
        <v>612</v>
      </c>
      <c r="J2196" s="5">
        <v>412</v>
      </c>
      <c r="K2196" s="5">
        <v>45</v>
      </c>
      <c r="L2196" s="5">
        <v>11</v>
      </c>
      <c r="M2196" s="5">
        <v>11</v>
      </c>
      <c r="N2196" s="7">
        <v>2139.42</v>
      </c>
      <c r="O2196" s="7">
        <f t="shared" si="240"/>
        <v>23533.620000000003</v>
      </c>
      <c r="P2196" s="4">
        <v>0.12</v>
      </c>
      <c r="Q2196" s="7">
        <f t="shared" si="241"/>
        <v>2824.0344</v>
      </c>
      <c r="R2196" s="7">
        <f t="shared" si="242"/>
        <v>20709.585600000002</v>
      </c>
      <c r="S2196" s="7">
        <f t="shared" si="243"/>
        <v>1882.6896000000002</v>
      </c>
      <c r="T2196" s="6">
        <f t="shared" si="244"/>
        <v>1.7973856209150325E-2</v>
      </c>
      <c r="U2196" t="s">
        <v>91</v>
      </c>
      <c r="V2196" t="s">
        <v>29</v>
      </c>
    </row>
    <row r="2197" spans="1:22">
      <c r="A2197" s="3">
        <v>45749</v>
      </c>
      <c r="B2197" t="str">
        <f t="shared" si="238"/>
        <v>yyyy-04</v>
      </c>
      <c r="C2197">
        <f t="shared" si="239"/>
        <v>14</v>
      </c>
      <c r="D2197" t="s">
        <v>42</v>
      </c>
      <c r="E2197" t="s">
        <v>43</v>
      </c>
      <c r="F2197" t="s">
        <v>47</v>
      </c>
      <c r="G2197" t="s">
        <v>36</v>
      </c>
      <c r="H2197" t="s">
        <v>37</v>
      </c>
      <c r="I2197" s="5">
        <v>559</v>
      </c>
      <c r="J2197" s="5">
        <v>303</v>
      </c>
      <c r="K2197" s="5">
        <v>41</v>
      </c>
      <c r="L2197" s="5">
        <v>10</v>
      </c>
      <c r="M2197" s="5">
        <v>10</v>
      </c>
      <c r="N2197" s="7">
        <v>609.35</v>
      </c>
      <c r="O2197" s="7">
        <f t="shared" si="240"/>
        <v>6093.5</v>
      </c>
      <c r="P2197" s="4">
        <v>0.12</v>
      </c>
      <c r="Q2197" s="7">
        <f t="shared" si="241"/>
        <v>731.22</v>
      </c>
      <c r="R2197" s="7">
        <f t="shared" si="242"/>
        <v>5362.28</v>
      </c>
      <c r="S2197" s="7">
        <f t="shared" si="243"/>
        <v>536.22799999999995</v>
      </c>
      <c r="T2197" s="6">
        <f t="shared" si="244"/>
        <v>1.7889087656529516E-2</v>
      </c>
      <c r="U2197" t="s">
        <v>91</v>
      </c>
      <c r="V2197" t="s">
        <v>29</v>
      </c>
    </row>
    <row r="2198" spans="1:22">
      <c r="A2198" s="3">
        <v>45749</v>
      </c>
      <c r="B2198" t="str">
        <f t="shared" si="238"/>
        <v>yyyy-04</v>
      </c>
      <c r="C2198">
        <f t="shared" si="239"/>
        <v>14</v>
      </c>
      <c r="D2198" t="s">
        <v>42</v>
      </c>
      <c r="E2198" t="s">
        <v>49</v>
      </c>
      <c r="F2198" t="s">
        <v>50</v>
      </c>
      <c r="G2198" t="s">
        <v>27</v>
      </c>
      <c r="H2198" t="s">
        <v>63</v>
      </c>
      <c r="I2198" s="5">
        <v>136</v>
      </c>
      <c r="J2198" s="5">
        <v>93</v>
      </c>
      <c r="K2198" s="5">
        <v>9</v>
      </c>
      <c r="L2198" s="5">
        <v>2</v>
      </c>
      <c r="M2198" s="5">
        <v>2</v>
      </c>
      <c r="N2198" s="7">
        <v>987.49</v>
      </c>
      <c r="O2198" s="7">
        <f t="shared" si="240"/>
        <v>1974.98</v>
      </c>
      <c r="P2198" s="4">
        <v>0</v>
      </c>
      <c r="Q2198" s="7">
        <f t="shared" si="241"/>
        <v>0</v>
      </c>
      <c r="R2198" s="7">
        <f t="shared" si="242"/>
        <v>1974.98</v>
      </c>
      <c r="S2198" s="7">
        <f t="shared" si="243"/>
        <v>987.49</v>
      </c>
      <c r="T2198" s="6">
        <f t="shared" si="244"/>
        <v>1.4705882352941176E-2</v>
      </c>
      <c r="V2198" t="s">
        <v>29</v>
      </c>
    </row>
    <row r="2199" spans="1:22">
      <c r="A2199" s="3">
        <v>45749</v>
      </c>
      <c r="B2199" t="str">
        <f t="shared" si="238"/>
        <v>yyyy-04</v>
      </c>
      <c r="C2199">
        <f t="shared" si="239"/>
        <v>14</v>
      </c>
      <c r="D2199" t="s">
        <v>42</v>
      </c>
      <c r="E2199" t="s">
        <v>51</v>
      </c>
      <c r="F2199" t="s">
        <v>52</v>
      </c>
      <c r="G2199" t="s">
        <v>27</v>
      </c>
      <c r="H2199" t="s">
        <v>45</v>
      </c>
      <c r="I2199" s="5">
        <v>226</v>
      </c>
      <c r="J2199" s="5">
        <v>129</v>
      </c>
      <c r="K2199" s="5">
        <v>10</v>
      </c>
      <c r="L2199" s="5">
        <v>3</v>
      </c>
      <c r="M2199" s="5">
        <v>3</v>
      </c>
      <c r="N2199" s="7">
        <v>580.22</v>
      </c>
      <c r="O2199" s="7">
        <f t="shared" si="240"/>
        <v>1740.66</v>
      </c>
      <c r="P2199" s="4">
        <v>0</v>
      </c>
      <c r="Q2199" s="7">
        <f t="shared" si="241"/>
        <v>0</v>
      </c>
      <c r="R2199" s="7">
        <f t="shared" si="242"/>
        <v>1740.66</v>
      </c>
      <c r="S2199" s="7">
        <f t="shared" si="243"/>
        <v>580.22</v>
      </c>
      <c r="T2199" s="6">
        <f t="shared" si="244"/>
        <v>1.3274336283185841E-2</v>
      </c>
      <c r="V2199" t="s">
        <v>29</v>
      </c>
    </row>
    <row r="2200" spans="1:22">
      <c r="A2200" s="3">
        <v>45749</v>
      </c>
      <c r="B2200" t="str">
        <f t="shared" si="238"/>
        <v>yyyy-04</v>
      </c>
      <c r="C2200">
        <f t="shared" si="239"/>
        <v>14</v>
      </c>
      <c r="D2200" t="s">
        <v>53</v>
      </c>
      <c r="E2200" t="s">
        <v>54</v>
      </c>
      <c r="F2200" t="s">
        <v>55</v>
      </c>
      <c r="G2200" t="s">
        <v>36</v>
      </c>
      <c r="H2200" t="s">
        <v>37</v>
      </c>
      <c r="I2200" s="5">
        <v>192</v>
      </c>
      <c r="J2200" s="5">
        <v>141</v>
      </c>
      <c r="K2200" s="5">
        <v>7</v>
      </c>
      <c r="L2200" s="5">
        <v>2</v>
      </c>
      <c r="M2200" s="5">
        <v>2</v>
      </c>
      <c r="N2200" s="7">
        <v>1288.6300000000001</v>
      </c>
      <c r="O2200" s="7">
        <f t="shared" si="240"/>
        <v>2577.2600000000002</v>
      </c>
      <c r="P2200" s="4">
        <v>0</v>
      </c>
      <c r="Q2200" s="7">
        <f t="shared" si="241"/>
        <v>0</v>
      </c>
      <c r="R2200" s="7">
        <f t="shared" si="242"/>
        <v>2577.2600000000002</v>
      </c>
      <c r="S2200" s="7">
        <f t="shared" si="243"/>
        <v>1288.6300000000001</v>
      </c>
      <c r="T2200" s="6">
        <f t="shared" si="244"/>
        <v>1.0416666666666666E-2</v>
      </c>
      <c r="V2200" t="s">
        <v>29</v>
      </c>
    </row>
    <row r="2201" spans="1:22">
      <c r="A2201" s="3">
        <v>45749</v>
      </c>
      <c r="B2201" t="str">
        <f t="shared" si="238"/>
        <v>yyyy-04</v>
      </c>
      <c r="C2201">
        <f t="shared" si="239"/>
        <v>14</v>
      </c>
      <c r="D2201" t="s">
        <v>53</v>
      </c>
      <c r="E2201" t="s">
        <v>56</v>
      </c>
      <c r="F2201" t="s">
        <v>57</v>
      </c>
      <c r="G2201" t="s">
        <v>27</v>
      </c>
      <c r="H2201" t="s">
        <v>28</v>
      </c>
      <c r="I2201" s="5">
        <v>187</v>
      </c>
      <c r="J2201" s="5">
        <v>137</v>
      </c>
      <c r="K2201" s="5">
        <v>7</v>
      </c>
      <c r="L2201" s="5">
        <v>2</v>
      </c>
      <c r="M2201" s="5">
        <v>2</v>
      </c>
      <c r="N2201" s="7">
        <v>736.99</v>
      </c>
      <c r="O2201" s="7">
        <f t="shared" si="240"/>
        <v>1473.98</v>
      </c>
      <c r="P2201" s="4">
        <v>0</v>
      </c>
      <c r="Q2201" s="7">
        <f t="shared" si="241"/>
        <v>0</v>
      </c>
      <c r="R2201" s="7">
        <f t="shared" si="242"/>
        <v>1473.98</v>
      </c>
      <c r="S2201" s="7">
        <f t="shared" si="243"/>
        <v>736.99</v>
      </c>
      <c r="T2201" s="6">
        <f t="shared" si="244"/>
        <v>1.06951871657754E-2</v>
      </c>
      <c r="V2201" t="s">
        <v>29</v>
      </c>
    </row>
    <row r="2202" spans="1:22">
      <c r="A2202" s="3">
        <v>45749</v>
      </c>
      <c r="B2202" t="str">
        <f t="shared" si="238"/>
        <v>yyyy-04</v>
      </c>
      <c r="C2202">
        <f t="shared" si="239"/>
        <v>14</v>
      </c>
      <c r="D2202" t="s">
        <v>53</v>
      </c>
      <c r="E2202" t="s">
        <v>56</v>
      </c>
      <c r="F2202" t="s">
        <v>58</v>
      </c>
      <c r="G2202" t="s">
        <v>27</v>
      </c>
      <c r="H2202" t="s">
        <v>45</v>
      </c>
      <c r="I2202" s="5">
        <v>213</v>
      </c>
      <c r="J2202" s="5">
        <v>172</v>
      </c>
      <c r="K2202" s="5">
        <v>11</v>
      </c>
      <c r="L2202" s="5">
        <v>2</v>
      </c>
      <c r="M2202" s="5">
        <v>2</v>
      </c>
      <c r="N2202" s="7">
        <v>905.78</v>
      </c>
      <c r="O2202" s="7">
        <f t="shared" si="240"/>
        <v>1811.56</v>
      </c>
      <c r="P2202" s="4">
        <v>0</v>
      </c>
      <c r="Q2202" s="7">
        <f t="shared" si="241"/>
        <v>0</v>
      </c>
      <c r="R2202" s="7">
        <f t="shared" si="242"/>
        <v>1811.56</v>
      </c>
      <c r="S2202" s="7">
        <f t="shared" si="243"/>
        <v>905.78</v>
      </c>
      <c r="T2202" s="6">
        <f t="shared" si="244"/>
        <v>9.3896713615023476E-3</v>
      </c>
      <c r="V2202" t="s">
        <v>78</v>
      </c>
    </row>
    <row r="2203" spans="1:22">
      <c r="A2203" s="3">
        <v>45749</v>
      </c>
      <c r="B2203" t="str">
        <f t="shared" si="238"/>
        <v>yyyy-04</v>
      </c>
      <c r="C2203">
        <f t="shared" si="239"/>
        <v>14</v>
      </c>
      <c r="D2203" t="s">
        <v>53</v>
      </c>
      <c r="E2203" t="s">
        <v>59</v>
      </c>
      <c r="F2203" t="s">
        <v>60</v>
      </c>
      <c r="G2203" t="s">
        <v>36</v>
      </c>
      <c r="H2203" t="s">
        <v>37</v>
      </c>
      <c r="I2203" s="5">
        <v>192</v>
      </c>
      <c r="J2203" s="5">
        <v>124</v>
      </c>
      <c r="K2203" s="5">
        <v>8</v>
      </c>
      <c r="L2203" s="5">
        <v>2</v>
      </c>
      <c r="M2203" s="5">
        <v>2</v>
      </c>
      <c r="N2203" s="7">
        <v>690.99</v>
      </c>
      <c r="O2203" s="7">
        <f t="shared" si="240"/>
        <v>1381.98</v>
      </c>
      <c r="P2203" s="4">
        <v>0</v>
      </c>
      <c r="Q2203" s="7">
        <f t="shared" si="241"/>
        <v>0</v>
      </c>
      <c r="R2203" s="7">
        <f t="shared" si="242"/>
        <v>1381.98</v>
      </c>
      <c r="S2203" s="7">
        <f t="shared" si="243"/>
        <v>690.99</v>
      </c>
      <c r="T2203" s="6">
        <f t="shared" si="244"/>
        <v>1.0416666666666666E-2</v>
      </c>
      <c r="V2203" t="s">
        <v>29</v>
      </c>
    </row>
    <row r="2204" spans="1:22">
      <c r="A2204" s="3">
        <v>45749</v>
      </c>
      <c r="B2204" t="str">
        <f t="shared" si="238"/>
        <v>yyyy-04</v>
      </c>
      <c r="C2204">
        <f t="shared" si="239"/>
        <v>14</v>
      </c>
      <c r="D2204" t="s">
        <v>53</v>
      </c>
      <c r="E2204" t="s">
        <v>61</v>
      </c>
      <c r="F2204" t="s">
        <v>62</v>
      </c>
      <c r="G2204" t="s">
        <v>36</v>
      </c>
      <c r="H2204" t="s">
        <v>37</v>
      </c>
      <c r="I2204" s="5">
        <v>197</v>
      </c>
      <c r="J2204" s="5">
        <v>117</v>
      </c>
      <c r="K2204" s="5">
        <v>14</v>
      </c>
      <c r="L2204" s="5">
        <v>2</v>
      </c>
      <c r="M2204" s="5">
        <v>2</v>
      </c>
      <c r="N2204" s="7">
        <v>479.82</v>
      </c>
      <c r="O2204" s="7">
        <f t="shared" si="240"/>
        <v>959.64</v>
      </c>
      <c r="P2204" s="4">
        <v>0</v>
      </c>
      <c r="Q2204" s="7">
        <f t="shared" si="241"/>
        <v>0</v>
      </c>
      <c r="R2204" s="7">
        <f t="shared" si="242"/>
        <v>959.64</v>
      </c>
      <c r="S2204" s="7">
        <f t="shared" si="243"/>
        <v>479.82</v>
      </c>
      <c r="T2204" s="6">
        <f t="shared" si="244"/>
        <v>1.015228426395939E-2</v>
      </c>
      <c r="V2204" t="s">
        <v>29</v>
      </c>
    </row>
    <row r="2205" spans="1:22">
      <c r="A2205" s="3">
        <v>45749</v>
      </c>
      <c r="B2205" t="str">
        <f t="shared" si="238"/>
        <v>yyyy-04</v>
      </c>
      <c r="C2205">
        <f t="shared" si="239"/>
        <v>14</v>
      </c>
      <c r="D2205" t="s">
        <v>53</v>
      </c>
      <c r="E2205" t="s">
        <v>64</v>
      </c>
      <c r="F2205" t="s">
        <v>65</v>
      </c>
      <c r="G2205" t="s">
        <v>36</v>
      </c>
      <c r="H2205" t="s">
        <v>37</v>
      </c>
      <c r="I2205" s="5">
        <v>255</v>
      </c>
      <c r="J2205" s="5">
        <v>184</v>
      </c>
      <c r="K2205" s="5">
        <v>10</v>
      </c>
      <c r="L2205" s="5">
        <v>2</v>
      </c>
      <c r="M2205" s="5">
        <v>2</v>
      </c>
      <c r="N2205" s="7">
        <v>806.02</v>
      </c>
      <c r="O2205" s="7">
        <f t="shared" si="240"/>
        <v>1612.04</v>
      </c>
      <c r="P2205" s="4">
        <v>0.03</v>
      </c>
      <c r="Q2205" s="7">
        <f t="shared" si="241"/>
        <v>48.361199999999997</v>
      </c>
      <c r="R2205" s="7">
        <f t="shared" si="242"/>
        <v>1563.6787999999999</v>
      </c>
      <c r="S2205" s="7">
        <f t="shared" si="243"/>
        <v>781.83939999999996</v>
      </c>
      <c r="T2205" s="6">
        <f t="shared" si="244"/>
        <v>7.8431372549019607E-3</v>
      </c>
      <c r="V2205" t="s">
        <v>29</v>
      </c>
    </row>
    <row r="2206" spans="1:22">
      <c r="A2206" s="3">
        <v>45749</v>
      </c>
      <c r="B2206" t="str">
        <f t="shared" si="238"/>
        <v>yyyy-04</v>
      </c>
      <c r="C2206">
        <f t="shared" si="239"/>
        <v>14</v>
      </c>
      <c r="D2206" t="s">
        <v>66</v>
      </c>
      <c r="E2206" t="s">
        <v>67</v>
      </c>
      <c r="F2206" t="s">
        <v>68</v>
      </c>
      <c r="G2206" t="s">
        <v>27</v>
      </c>
      <c r="H2206" t="s">
        <v>28</v>
      </c>
      <c r="I2206" s="5">
        <v>463</v>
      </c>
      <c r="J2206" s="5">
        <v>367</v>
      </c>
      <c r="K2206" s="5">
        <v>31</v>
      </c>
      <c r="L2206" s="5">
        <v>9</v>
      </c>
      <c r="M2206" s="5">
        <v>9</v>
      </c>
      <c r="N2206" s="7">
        <v>672.09</v>
      </c>
      <c r="O2206" s="7">
        <f t="shared" si="240"/>
        <v>6048.81</v>
      </c>
      <c r="P2206" s="4">
        <v>0.05</v>
      </c>
      <c r="Q2206" s="7">
        <f t="shared" si="241"/>
        <v>302.44050000000004</v>
      </c>
      <c r="R2206" s="7">
        <f t="shared" si="242"/>
        <v>5746.3695000000007</v>
      </c>
      <c r="S2206" s="7">
        <f t="shared" si="243"/>
        <v>638.48550000000012</v>
      </c>
      <c r="T2206" s="6">
        <f t="shared" si="244"/>
        <v>1.9438444924406047E-2</v>
      </c>
      <c r="V2206" t="s">
        <v>29</v>
      </c>
    </row>
    <row r="2207" spans="1:22">
      <c r="A2207" s="3">
        <v>45749</v>
      </c>
      <c r="B2207" t="str">
        <f t="shared" si="238"/>
        <v>yyyy-04</v>
      </c>
      <c r="C2207">
        <f t="shared" si="239"/>
        <v>14</v>
      </c>
      <c r="D2207" t="s">
        <v>66</v>
      </c>
      <c r="E2207" t="s">
        <v>67</v>
      </c>
      <c r="F2207" t="s">
        <v>69</v>
      </c>
      <c r="G2207" t="s">
        <v>27</v>
      </c>
      <c r="H2207" t="s">
        <v>48</v>
      </c>
      <c r="I2207" s="5">
        <v>282</v>
      </c>
      <c r="J2207" s="5">
        <v>182</v>
      </c>
      <c r="K2207" s="5">
        <v>16</v>
      </c>
      <c r="L2207" s="5">
        <v>4</v>
      </c>
      <c r="M2207" s="5">
        <v>4</v>
      </c>
      <c r="N2207" s="7">
        <v>396.14</v>
      </c>
      <c r="O2207" s="7">
        <f t="shared" si="240"/>
        <v>1584.56</v>
      </c>
      <c r="P2207" s="4">
        <v>0</v>
      </c>
      <c r="Q2207" s="7">
        <f t="shared" si="241"/>
        <v>0</v>
      </c>
      <c r="R2207" s="7">
        <f t="shared" si="242"/>
        <v>1584.56</v>
      </c>
      <c r="S2207" s="7">
        <f t="shared" si="243"/>
        <v>396.14</v>
      </c>
      <c r="T2207" s="6">
        <f t="shared" si="244"/>
        <v>1.4184397163120567E-2</v>
      </c>
      <c r="V2207" t="s">
        <v>29</v>
      </c>
    </row>
    <row r="2208" spans="1:22">
      <c r="A2208" s="3">
        <v>45749</v>
      </c>
      <c r="B2208" t="str">
        <f t="shared" si="238"/>
        <v>yyyy-04</v>
      </c>
      <c r="C2208">
        <f t="shared" si="239"/>
        <v>14</v>
      </c>
      <c r="D2208" t="s">
        <v>66</v>
      </c>
      <c r="E2208" t="s">
        <v>67</v>
      </c>
      <c r="F2208" t="s">
        <v>70</v>
      </c>
      <c r="G2208" t="s">
        <v>27</v>
      </c>
      <c r="H2208" t="s">
        <v>63</v>
      </c>
      <c r="I2208" s="5">
        <v>235</v>
      </c>
      <c r="J2208" s="5">
        <v>122</v>
      </c>
      <c r="K2208" s="5">
        <v>11</v>
      </c>
      <c r="L2208" s="5">
        <v>4</v>
      </c>
      <c r="M2208" s="5">
        <v>4</v>
      </c>
      <c r="N2208" s="7">
        <v>355.53</v>
      </c>
      <c r="O2208" s="7">
        <f t="shared" si="240"/>
        <v>1422.12</v>
      </c>
      <c r="P2208" s="4">
        <v>0</v>
      </c>
      <c r="Q2208" s="7">
        <f t="shared" si="241"/>
        <v>0</v>
      </c>
      <c r="R2208" s="7">
        <f t="shared" si="242"/>
        <v>1422.12</v>
      </c>
      <c r="S2208" s="7">
        <f t="shared" si="243"/>
        <v>355.53</v>
      </c>
      <c r="T2208" s="6">
        <f t="shared" si="244"/>
        <v>1.7021276595744681E-2</v>
      </c>
      <c r="V2208" t="s">
        <v>29</v>
      </c>
    </row>
    <row r="2209" spans="1:22">
      <c r="A2209" s="3">
        <v>45749</v>
      </c>
      <c r="B2209" t="str">
        <f t="shared" si="238"/>
        <v>yyyy-04</v>
      </c>
      <c r="C2209">
        <f t="shared" si="239"/>
        <v>14</v>
      </c>
      <c r="D2209" t="s">
        <v>66</v>
      </c>
      <c r="E2209" t="s">
        <v>71</v>
      </c>
      <c r="F2209" t="s">
        <v>72</v>
      </c>
      <c r="G2209" t="s">
        <v>27</v>
      </c>
      <c r="H2209" t="s">
        <v>48</v>
      </c>
      <c r="I2209" s="5">
        <v>280</v>
      </c>
      <c r="J2209" s="5">
        <v>161</v>
      </c>
      <c r="K2209" s="5">
        <v>16</v>
      </c>
      <c r="L2209" s="5">
        <v>4</v>
      </c>
      <c r="M2209" s="5">
        <v>5</v>
      </c>
      <c r="N2209" s="7">
        <v>125.5</v>
      </c>
      <c r="O2209" s="7">
        <f t="shared" si="240"/>
        <v>627.5</v>
      </c>
      <c r="P2209" s="4">
        <v>0</v>
      </c>
      <c r="Q2209" s="7">
        <f t="shared" si="241"/>
        <v>0</v>
      </c>
      <c r="R2209" s="7">
        <f t="shared" si="242"/>
        <v>627.5</v>
      </c>
      <c r="S2209" s="7">
        <f t="shared" si="243"/>
        <v>156.875</v>
      </c>
      <c r="T2209" s="6">
        <f t="shared" si="244"/>
        <v>1.4285714285714285E-2</v>
      </c>
      <c r="V2209" t="s">
        <v>29</v>
      </c>
    </row>
    <row r="2210" spans="1:22">
      <c r="A2210" s="3">
        <v>45749</v>
      </c>
      <c r="B2210" t="str">
        <f t="shared" si="238"/>
        <v>yyyy-04</v>
      </c>
      <c r="C2210">
        <f t="shared" si="239"/>
        <v>14</v>
      </c>
      <c r="D2210" t="s">
        <v>66</v>
      </c>
      <c r="E2210" t="s">
        <v>73</v>
      </c>
      <c r="F2210" t="s">
        <v>74</v>
      </c>
      <c r="G2210" t="s">
        <v>27</v>
      </c>
      <c r="H2210" t="s">
        <v>28</v>
      </c>
      <c r="I2210" s="5">
        <v>148</v>
      </c>
      <c r="J2210" s="5">
        <v>110</v>
      </c>
      <c r="K2210" s="5">
        <v>13</v>
      </c>
      <c r="L2210" s="5">
        <v>3</v>
      </c>
      <c r="M2210" s="5">
        <v>3</v>
      </c>
      <c r="N2210" s="7">
        <v>1172.99</v>
      </c>
      <c r="O2210" s="7">
        <f t="shared" si="240"/>
        <v>3518.9700000000003</v>
      </c>
      <c r="P2210" s="4">
        <v>0</v>
      </c>
      <c r="Q2210" s="7">
        <f t="shared" si="241"/>
        <v>0</v>
      </c>
      <c r="R2210" s="7">
        <f t="shared" si="242"/>
        <v>3518.9700000000003</v>
      </c>
      <c r="S2210" s="7">
        <f t="shared" si="243"/>
        <v>1172.99</v>
      </c>
      <c r="T2210" s="6">
        <f t="shared" si="244"/>
        <v>2.0270270270270271E-2</v>
      </c>
      <c r="V2210" t="s">
        <v>29</v>
      </c>
    </row>
    <row r="2211" spans="1:22">
      <c r="A2211" s="3">
        <v>45749</v>
      </c>
      <c r="B2211" t="str">
        <f t="shared" si="238"/>
        <v>yyyy-04</v>
      </c>
      <c r="C2211">
        <f t="shared" si="239"/>
        <v>14</v>
      </c>
      <c r="D2211" t="s">
        <v>66</v>
      </c>
      <c r="E2211" t="s">
        <v>71</v>
      </c>
      <c r="F2211" t="s">
        <v>75</v>
      </c>
      <c r="G2211" t="s">
        <v>27</v>
      </c>
      <c r="H2211" t="s">
        <v>48</v>
      </c>
      <c r="I2211" s="5">
        <v>255</v>
      </c>
      <c r="J2211" s="5">
        <v>185</v>
      </c>
      <c r="K2211" s="5">
        <v>19</v>
      </c>
      <c r="L2211" s="5">
        <v>5</v>
      </c>
      <c r="M2211" s="5">
        <v>6</v>
      </c>
      <c r="N2211" s="7">
        <v>37.75</v>
      </c>
      <c r="O2211" s="7">
        <f t="shared" si="240"/>
        <v>226.5</v>
      </c>
      <c r="P2211" s="4">
        <v>0</v>
      </c>
      <c r="Q2211" s="7">
        <f t="shared" si="241"/>
        <v>0</v>
      </c>
      <c r="R2211" s="7">
        <f t="shared" si="242"/>
        <v>226.5</v>
      </c>
      <c r="S2211" s="7">
        <f t="shared" si="243"/>
        <v>45.3</v>
      </c>
      <c r="T2211" s="6">
        <f t="shared" si="244"/>
        <v>1.9607843137254902E-2</v>
      </c>
      <c r="V2211" t="s">
        <v>29</v>
      </c>
    </row>
    <row r="2212" spans="1:22">
      <c r="A2212" s="3">
        <v>45749</v>
      </c>
      <c r="B2212" t="str">
        <f t="shared" si="238"/>
        <v>yyyy-04</v>
      </c>
      <c r="C2212">
        <f t="shared" si="239"/>
        <v>14</v>
      </c>
      <c r="D2212" t="s">
        <v>24</v>
      </c>
      <c r="E2212" t="s">
        <v>76</v>
      </c>
      <c r="F2212" t="s">
        <v>77</v>
      </c>
      <c r="G2212" t="s">
        <v>36</v>
      </c>
      <c r="H2212" t="s">
        <v>37</v>
      </c>
      <c r="I2212" s="5">
        <v>639</v>
      </c>
      <c r="J2212" s="5">
        <v>494</v>
      </c>
      <c r="K2212" s="5">
        <v>58</v>
      </c>
      <c r="L2212" s="5">
        <v>15</v>
      </c>
      <c r="M2212" s="5">
        <v>16</v>
      </c>
      <c r="N2212" s="7">
        <v>202.36</v>
      </c>
      <c r="O2212" s="7">
        <f t="shared" si="240"/>
        <v>3237.76</v>
      </c>
      <c r="P2212" s="4">
        <v>0.05</v>
      </c>
      <c r="Q2212" s="7">
        <f t="shared" si="241"/>
        <v>161.88800000000003</v>
      </c>
      <c r="R2212" s="7">
        <f t="shared" si="242"/>
        <v>3075.8720000000003</v>
      </c>
      <c r="S2212" s="7">
        <f t="shared" si="243"/>
        <v>205.05813333333336</v>
      </c>
      <c r="T2212" s="6">
        <f t="shared" si="244"/>
        <v>2.3474178403755867E-2</v>
      </c>
      <c r="V2212" t="s">
        <v>29</v>
      </c>
    </row>
    <row r="2213" spans="1:22">
      <c r="A2213" s="3">
        <v>45750</v>
      </c>
      <c r="B2213" t="str">
        <f t="shared" si="238"/>
        <v>yyyy-04</v>
      </c>
      <c r="C2213">
        <f t="shared" si="239"/>
        <v>14</v>
      </c>
      <c r="D2213" t="s">
        <v>24</v>
      </c>
      <c r="E2213" t="s">
        <v>25</v>
      </c>
      <c r="F2213" t="s">
        <v>26</v>
      </c>
      <c r="G2213" t="s">
        <v>27</v>
      </c>
      <c r="H2213" t="s">
        <v>48</v>
      </c>
      <c r="I2213" s="5">
        <v>1109</v>
      </c>
      <c r="J2213" s="5">
        <v>621</v>
      </c>
      <c r="K2213" s="5">
        <v>72</v>
      </c>
      <c r="L2213" s="5">
        <v>18</v>
      </c>
      <c r="M2213" s="5">
        <v>18</v>
      </c>
      <c r="N2213" s="7">
        <v>1014.79</v>
      </c>
      <c r="O2213" s="7">
        <f t="shared" si="240"/>
        <v>18266.22</v>
      </c>
      <c r="P2213" s="4">
        <v>0</v>
      </c>
      <c r="Q2213" s="7">
        <f t="shared" si="241"/>
        <v>0</v>
      </c>
      <c r="R2213" s="7">
        <f t="shared" si="242"/>
        <v>18266.22</v>
      </c>
      <c r="S2213" s="7">
        <f t="shared" si="243"/>
        <v>1014.7900000000001</v>
      </c>
      <c r="T2213" s="6">
        <f t="shared" si="244"/>
        <v>1.6230838593327322E-2</v>
      </c>
      <c r="V2213" t="s">
        <v>29</v>
      </c>
    </row>
    <row r="2214" spans="1:22">
      <c r="A2214" s="3">
        <v>45750</v>
      </c>
      <c r="B2214" t="str">
        <f t="shared" si="238"/>
        <v>yyyy-04</v>
      </c>
      <c r="C2214">
        <f t="shared" si="239"/>
        <v>14</v>
      </c>
      <c r="D2214" t="s">
        <v>24</v>
      </c>
      <c r="E2214" t="s">
        <v>25</v>
      </c>
      <c r="F2214" t="s">
        <v>30</v>
      </c>
      <c r="G2214" t="s">
        <v>27</v>
      </c>
      <c r="H2214" t="s">
        <v>28</v>
      </c>
      <c r="I2214" s="5">
        <v>1740</v>
      </c>
      <c r="J2214" s="5">
        <v>1136</v>
      </c>
      <c r="K2214" s="5">
        <v>214</v>
      </c>
      <c r="L2214" s="5">
        <v>43</v>
      </c>
      <c r="M2214" s="5">
        <v>43</v>
      </c>
      <c r="N2214" s="7">
        <v>400.58</v>
      </c>
      <c r="O2214" s="7">
        <f t="shared" si="240"/>
        <v>17224.939999999999</v>
      </c>
      <c r="P2214" s="4">
        <v>0</v>
      </c>
      <c r="Q2214" s="7">
        <f t="shared" si="241"/>
        <v>0</v>
      </c>
      <c r="R2214" s="7">
        <f t="shared" si="242"/>
        <v>17224.939999999999</v>
      </c>
      <c r="S2214" s="7">
        <f t="shared" si="243"/>
        <v>400.58</v>
      </c>
      <c r="T2214" s="6">
        <f t="shared" si="244"/>
        <v>2.4712643678160919E-2</v>
      </c>
      <c r="V2214" t="s">
        <v>29</v>
      </c>
    </row>
    <row r="2215" spans="1:22">
      <c r="A2215" s="3">
        <v>45750</v>
      </c>
      <c r="B2215" t="str">
        <f t="shared" si="238"/>
        <v>yyyy-04</v>
      </c>
      <c r="C2215">
        <f t="shared" si="239"/>
        <v>14</v>
      </c>
      <c r="D2215" t="s">
        <v>24</v>
      </c>
      <c r="E2215" t="s">
        <v>25</v>
      </c>
      <c r="F2215" t="s">
        <v>33</v>
      </c>
      <c r="G2215" t="s">
        <v>27</v>
      </c>
      <c r="H2215" t="s">
        <v>45</v>
      </c>
      <c r="I2215" s="5">
        <v>1057</v>
      </c>
      <c r="J2215" s="5">
        <v>847</v>
      </c>
      <c r="K2215" s="5">
        <v>72</v>
      </c>
      <c r="L2215" s="5">
        <v>22</v>
      </c>
      <c r="M2215" s="5">
        <v>22</v>
      </c>
      <c r="N2215" s="7">
        <v>1767.99</v>
      </c>
      <c r="O2215" s="7">
        <f t="shared" si="240"/>
        <v>38895.78</v>
      </c>
      <c r="P2215" s="4">
        <v>0</v>
      </c>
      <c r="Q2215" s="7">
        <f t="shared" si="241"/>
        <v>0</v>
      </c>
      <c r="R2215" s="7">
        <f t="shared" si="242"/>
        <v>38895.78</v>
      </c>
      <c r="S2215" s="7">
        <f t="shared" si="243"/>
        <v>1767.99</v>
      </c>
      <c r="T2215" s="6">
        <f t="shared" si="244"/>
        <v>2.0813623462630087E-2</v>
      </c>
      <c r="V2215" t="s">
        <v>29</v>
      </c>
    </row>
    <row r="2216" spans="1:22">
      <c r="A2216" s="3">
        <v>45750</v>
      </c>
      <c r="B2216" t="str">
        <f t="shared" si="238"/>
        <v>yyyy-04</v>
      </c>
      <c r="C2216">
        <f t="shared" si="239"/>
        <v>14</v>
      </c>
      <c r="D2216" t="s">
        <v>24</v>
      </c>
      <c r="E2216" t="s">
        <v>34</v>
      </c>
      <c r="F2216" t="s">
        <v>35</v>
      </c>
      <c r="G2216" t="s">
        <v>31</v>
      </c>
      <c r="H2216" t="s">
        <v>32</v>
      </c>
      <c r="I2216" s="5">
        <v>568</v>
      </c>
      <c r="J2216" s="5">
        <v>350</v>
      </c>
      <c r="K2216" s="5">
        <v>10</v>
      </c>
      <c r="L2216" s="5">
        <v>0</v>
      </c>
      <c r="M2216" s="5">
        <v>0</v>
      </c>
      <c r="N2216" s="7">
        <v>907.32</v>
      </c>
      <c r="O2216" s="7">
        <f t="shared" si="240"/>
        <v>0</v>
      </c>
      <c r="P2216" s="4">
        <v>0.08</v>
      </c>
      <c r="Q2216" s="7">
        <f t="shared" si="241"/>
        <v>0</v>
      </c>
      <c r="R2216" s="7">
        <f t="shared" si="242"/>
        <v>0</v>
      </c>
      <c r="S2216" s="7">
        <f t="shared" si="243"/>
        <v>0</v>
      </c>
      <c r="T2216" s="6">
        <f t="shared" si="244"/>
        <v>0</v>
      </c>
      <c r="U2216" t="s">
        <v>92</v>
      </c>
      <c r="V2216" t="s">
        <v>81</v>
      </c>
    </row>
    <row r="2217" spans="1:22">
      <c r="A2217" s="3">
        <v>45750</v>
      </c>
      <c r="B2217" t="str">
        <f t="shared" si="238"/>
        <v>yyyy-04</v>
      </c>
      <c r="C2217">
        <f t="shared" si="239"/>
        <v>14</v>
      </c>
      <c r="D2217" t="s">
        <v>24</v>
      </c>
      <c r="E2217" t="s">
        <v>38</v>
      </c>
      <c r="F2217" t="s">
        <v>39</v>
      </c>
      <c r="G2217" t="s">
        <v>27</v>
      </c>
      <c r="H2217" t="s">
        <v>28</v>
      </c>
      <c r="I2217" s="5">
        <v>854</v>
      </c>
      <c r="J2217" s="5">
        <v>521</v>
      </c>
      <c r="K2217" s="5">
        <v>50</v>
      </c>
      <c r="L2217" s="5">
        <v>21</v>
      </c>
      <c r="M2217" s="5">
        <v>21</v>
      </c>
      <c r="N2217" s="7">
        <v>316.7</v>
      </c>
      <c r="O2217" s="7">
        <f t="shared" si="240"/>
        <v>6650.7</v>
      </c>
      <c r="P2217" s="4">
        <v>0</v>
      </c>
      <c r="Q2217" s="7">
        <f t="shared" si="241"/>
        <v>0</v>
      </c>
      <c r="R2217" s="7">
        <f t="shared" si="242"/>
        <v>6650.7</v>
      </c>
      <c r="S2217" s="7">
        <f t="shared" si="243"/>
        <v>316.7</v>
      </c>
      <c r="T2217" s="6">
        <f t="shared" si="244"/>
        <v>2.4590163934426229E-2</v>
      </c>
      <c r="V2217" t="s">
        <v>29</v>
      </c>
    </row>
    <row r="2218" spans="1:22">
      <c r="A2218" s="3">
        <v>45750</v>
      </c>
      <c r="B2218" t="str">
        <f t="shared" si="238"/>
        <v>yyyy-04</v>
      </c>
      <c r="C2218">
        <f t="shared" si="239"/>
        <v>14</v>
      </c>
      <c r="D2218" t="s">
        <v>24</v>
      </c>
      <c r="E2218" t="s">
        <v>40</v>
      </c>
      <c r="F2218" t="s">
        <v>41</v>
      </c>
      <c r="G2218" t="s">
        <v>36</v>
      </c>
      <c r="H2218" t="s">
        <v>37</v>
      </c>
      <c r="I2218" s="5">
        <v>814</v>
      </c>
      <c r="J2218" s="5">
        <v>556</v>
      </c>
      <c r="K2218" s="5">
        <v>94</v>
      </c>
      <c r="L2218" s="5">
        <v>20</v>
      </c>
      <c r="M2218" s="5">
        <v>23</v>
      </c>
      <c r="N2218" s="7">
        <v>182.17</v>
      </c>
      <c r="O2218" s="7">
        <f t="shared" si="240"/>
        <v>4189.91</v>
      </c>
      <c r="P2218" s="4">
        <v>0.05</v>
      </c>
      <c r="Q2218" s="7">
        <f t="shared" si="241"/>
        <v>209.49549999999999</v>
      </c>
      <c r="R2218" s="7">
        <f t="shared" si="242"/>
        <v>3980.4144999999999</v>
      </c>
      <c r="S2218" s="7">
        <f t="shared" si="243"/>
        <v>199.020725</v>
      </c>
      <c r="T2218" s="6">
        <f t="shared" si="244"/>
        <v>2.4570024570024569E-2</v>
      </c>
      <c r="V2218" t="s">
        <v>29</v>
      </c>
    </row>
    <row r="2219" spans="1:22">
      <c r="A2219" s="3">
        <v>45750</v>
      </c>
      <c r="B2219" t="str">
        <f t="shared" si="238"/>
        <v>yyyy-04</v>
      </c>
      <c r="C2219">
        <f t="shared" si="239"/>
        <v>14</v>
      </c>
      <c r="D2219" t="s">
        <v>42</v>
      </c>
      <c r="E2219" t="s">
        <v>43</v>
      </c>
      <c r="F2219" t="s">
        <v>44</v>
      </c>
      <c r="G2219" t="s">
        <v>27</v>
      </c>
      <c r="H2219" t="s">
        <v>28</v>
      </c>
      <c r="I2219" s="5">
        <v>551</v>
      </c>
      <c r="J2219" s="5">
        <v>334</v>
      </c>
      <c r="K2219" s="5">
        <v>26</v>
      </c>
      <c r="L2219" s="5">
        <v>8</v>
      </c>
      <c r="M2219" s="5">
        <v>8</v>
      </c>
      <c r="N2219" s="7">
        <v>1321.13</v>
      </c>
      <c r="O2219" s="7">
        <f t="shared" si="240"/>
        <v>10569.04</v>
      </c>
      <c r="P2219" s="4">
        <v>0.12</v>
      </c>
      <c r="Q2219" s="7">
        <f t="shared" si="241"/>
        <v>1268.2848000000001</v>
      </c>
      <c r="R2219" s="7">
        <f t="shared" si="242"/>
        <v>9300.7552000000014</v>
      </c>
      <c r="S2219" s="7">
        <f t="shared" si="243"/>
        <v>1162.5944000000002</v>
      </c>
      <c r="T2219" s="6">
        <f t="shared" si="244"/>
        <v>1.4519056261343012E-2</v>
      </c>
      <c r="U2219" t="s">
        <v>91</v>
      </c>
      <c r="V2219" t="s">
        <v>29</v>
      </c>
    </row>
    <row r="2220" spans="1:22">
      <c r="A2220" s="3">
        <v>45750</v>
      </c>
      <c r="B2220" t="str">
        <f t="shared" si="238"/>
        <v>yyyy-04</v>
      </c>
      <c r="C2220">
        <f t="shared" si="239"/>
        <v>14</v>
      </c>
      <c r="D2220" t="s">
        <v>42</v>
      </c>
      <c r="E2220" t="s">
        <v>43</v>
      </c>
      <c r="F2220" t="s">
        <v>46</v>
      </c>
      <c r="G2220" t="s">
        <v>27</v>
      </c>
      <c r="H2220" t="s">
        <v>28</v>
      </c>
      <c r="I2220" s="5">
        <v>298</v>
      </c>
      <c r="J2220" s="5">
        <v>207</v>
      </c>
      <c r="K2220" s="5">
        <v>15</v>
      </c>
      <c r="L2220" s="5">
        <v>5</v>
      </c>
      <c r="M2220" s="5">
        <v>5</v>
      </c>
      <c r="N2220" s="7">
        <v>2130.5700000000002</v>
      </c>
      <c r="O2220" s="7">
        <f t="shared" si="240"/>
        <v>10652.85</v>
      </c>
      <c r="P2220" s="4">
        <v>0.12</v>
      </c>
      <c r="Q2220" s="7">
        <f t="shared" si="241"/>
        <v>1278.3420000000001</v>
      </c>
      <c r="R2220" s="7">
        <f t="shared" si="242"/>
        <v>9374.5079999999998</v>
      </c>
      <c r="S2220" s="7">
        <f t="shared" si="243"/>
        <v>1874.9015999999999</v>
      </c>
      <c r="T2220" s="6">
        <f t="shared" si="244"/>
        <v>1.6778523489932886E-2</v>
      </c>
      <c r="U2220" t="s">
        <v>91</v>
      </c>
      <c r="V2220" t="s">
        <v>29</v>
      </c>
    </row>
    <row r="2221" spans="1:22">
      <c r="A2221" s="3">
        <v>45750</v>
      </c>
      <c r="B2221" t="str">
        <f t="shared" si="238"/>
        <v>yyyy-04</v>
      </c>
      <c r="C2221">
        <f t="shared" si="239"/>
        <v>14</v>
      </c>
      <c r="D2221" t="s">
        <v>42</v>
      </c>
      <c r="E2221" t="s">
        <v>43</v>
      </c>
      <c r="F2221" t="s">
        <v>47</v>
      </c>
      <c r="G2221" t="s">
        <v>27</v>
      </c>
      <c r="H2221" t="s">
        <v>48</v>
      </c>
      <c r="I2221" s="5">
        <v>433</v>
      </c>
      <c r="J2221" s="5">
        <v>322</v>
      </c>
      <c r="K2221" s="5">
        <v>35</v>
      </c>
      <c r="L2221" s="5">
        <v>8</v>
      </c>
      <c r="M2221" s="5">
        <v>8</v>
      </c>
      <c r="N2221" s="7">
        <v>587.95000000000005</v>
      </c>
      <c r="O2221" s="7">
        <f t="shared" si="240"/>
        <v>4703.6000000000004</v>
      </c>
      <c r="P2221" s="4">
        <v>0.12</v>
      </c>
      <c r="Q2221" s="7">
        <f t="shared" si="241"/>
        <v>564.43200000000002</v>
      </c>
      <c r="R2221" s="7">
        <f t="shared" si="242"/>
        <v>4139.1680000000006</v>
      </c>
      <c r="S2221" s="7">
        <f t="shared" si="243"/>
        <v>517.39600000000007</v>
      </c>
      <c r="T2221" s="6">
        <f t="shared" si="244"/>
        <v>1.8475750577367205E-2</v>
      </c>
      <c r="U2221" t="s">
        <v>91</v>
      </c>
      <c r="V2221" t="s">
        <v>29</v>
      </c>
    </row>
    <row r="2222" spans="1:22">
      <c r="A2222" s="3">
        <v>45750</v>
      </c>
      <c r="B2222" t="str">
        <f t="shared" si="238"/>
        <v>yyyy-04</v>
      </c>
      <c r="C2222">
        <f t="shared" si="239"/>
        <v>14</v>
      </c>
      <c r="D2222" t="s">
        <v>42</v>
      </c>
      <c r="E2222" t="s">
        <v>49</v>
      </c>
      <c r="F2222" t="s">
        <v>50</v>
      </c>
      <c r="G2222" t="s">
        <v>36</v>
      </c>
      <c r="H2222" t="s">
        <v>37</v>
      </c>
      <c r="I2222" s="5">
        <v>175</v>
      </c>
      <c r="J2222" s="5">
        <v>91</v>
      </c>
      <c r="K2222" s="5">
        <v>7</v>
      </c>
      <c r="L2222" s="5">
        <v>2</v>
      </c>
      <c r="M2222" s="5">
        <v>2</v>
      </c>
      <c r="N2222" s="7">
        <v>1006.59</v>
      </c>
      <c r="O2222" s="7">
        <f t="shared" si="240"/>
        <v>2013.18</v>
      </c>
      <c r="P2222" s="4">
        <v>0</v>
      </c>
      <c r="Q2222" s="7">
        <f t="shared" si="241"/>
        <v>0</v>
      </c>
      <c r="R2222" s="7">
        <f t="shared" si="242"/>
        <v>2013.18</v>
      </c>
      <c r="S2222" s="7">
        <f t="shared" si="243"/>
        <v>1006.59</v>
      </c>
      <c r="T2222" s="6">
        <f t="shared" si="244"/>
        <v>1.1428571428571429E-2</v>
      </c>
      <c r="V2222" t="s">
        <v>29</v>
      </c>
    </row>
    <row r="2223" spans="1:22">
      <c r="A2223" s="3">
        <v>45750</v>
      </c>
      <c r="B2223" t="str">
        <f t="shared" si="238"/>
        <v>yyyy-04</v>
      </c>
      <c r="C2223">
        <f t="shared" si="239"/>
        <v>14</v>
      </c>
      <c r="D2223" t="s">
        <v>42</v>
      </c>
      <c r="E2223" t="s">
        <v>51</v>
      </c>
      <c r="F2223" t="s">
        <v>52</v>
      </c>
      <c r="G2223" t="s">
        <v>27</v>
      </c>
      <c r="H2223" t="s">
        <v>45</v>
      </c>
      <c r="I2223" s="5">
        <v>206</v>
      </c>
      <c r="J2223" s="5">
        <v>107</v>
      </c>
      <c r="K2223" s="5">
        <v>13</v>
      </c>
      <c r="L2223" s="5">
        <v>3</v>
      </c>
      <c r="M2223" s="5">
        <v>3</v>
      </c>
      <c r="N2223" s="7">
        <v>578.27</v>
      </c>
      <c r="O2223" s="7">
        <f t="shared" si="240"/>
        <v>1734.81</v>
      </c>
      <c r="P2223" s="4">
        <v>0</v>
      </c>
      <c r="Q2223" s="7">
        <f t="shared" si="241"/>
        <v>0</v>
      </c>
      <c r="R2223" s="7">
        <f t="shared" si="242"/>
        <v>1734.81</v>
      </c>
      <c r="S2223" s="7">
        <f t="shared" si="243"/>
        <v>578.27</v>
      </c>
      <c r="T2223" s="6">
        <f t="shared" si="244"/>
        <v>1.4563106796116505E-2</v>
      </c>
      <c r="V2223" t="s">
        <v>29</v>
      </c>
    </row>
    <row r="2224" spans="1:22">
      <c r="A2224" s="3">
        <v>45750</v>
      </c>
      <c r="B2224" t="str">
        <f t="shared" si="238"/>
        <v>yyyy-04</v>
      </c>
      <c r="C2224">
        <f t="shared" si="239"/>
        <v>14</v>
      </c>
      <c r="D2224" t="s">
        <v>53</v>
      </c>
      <c r="E2224" t="s">
        <v>54</v>
      </c>
      <c r="F2224" t="s">
        <v>55</v>
      </c>
      <c r="G2224" t="s">
        <v>36</v>
      </c>
      <c r="H2224" t="s">
        <v>37</v>
      </c>
      <c r="I2224" s="5">
        <v>178</v>
      </c>
      <c r="J2224" s="5">
        <v>93</v>
      </c>
      <c r="K2224" s="5">
        <v>9</v>
      </c>
      <c r="L2224" s="5">
        <v>2</v>
      </c>
      <c r="M2224" s="5">
        <v>2</v>
      </c>
      <c r="N2224" s="7">
        <v>1305.73</v>
      </c>
      <c r="O2224" s="7">
        <f t="shared" si="240"/>
        <v>2611.46</v>
      </c>
      <c r="P2224" s="4">
        <v>0</v>
      </c>
      <c r="Q2224" s="7">
        <f t="shared" si="241"/>
        <v>0</v>
      </c>
      <c r="R2224" s="7">
        <f t="shared" si="242"/>
        <v>2611.46</v>
      </c>
      <c r="S2224" s="7">
        <f t="shared" si="243"/>
        <v>1305.73</v>
      </c>
      <c r="T2224" s="6">
        <f t="shared" si="244"/>
        <v>1.1235955056179775E-2</v>
      </c>
      <c r="V2224" t="s">
        <v>29</v>
      </c>
    </row>
    <row r="2225" spans="1:22">
      <c r="A2225" s="3">
        <v>45750</v>
      </c>
      <c r="B2225" t="str">
        <f t="shared" si="238"/>
        <v>yyyy-04</v>
      </c>
      <c r="C2225">
        <f t="shared" si="239"/>
        <v>14</v>
      </c>
      <c r="D2225" t="s">
        <v>53</v>
      </c>
      <c r="E2225" t="s">
        <v>56</v>
      </c>
      <c r="F2225" t="s">
        <v>57</v>
      </c>
      <c r="G2225" t="s">
        <v>27</v>
      </c>
      <c r="H2225" t="s">
        <v>28</v>
      </c>
      <c r="I2225" s="5">
        <v>138</v>
      </c>
      <c r="J2225" s="5">
        <v>103</v>
      </c>
      <c r="K2225" s="5">
        <v>10</v>
      </c>
      <c r="L2225" s="5">
        <v>2</v>
      </c>
      <c r="M2225" s="5">
        <v>2</v>
      </c>
      <c r="N2225" s="7">
        <v>751.7</v>
      </c>
      <c r="O2225" s="7">
        <f t="shared" si="240"/>
        <v>1503.4</v>
      </c>
      <c r="P2225" s="4">
        <v>0</v>
      </c>
      <c r="Q2225" s="7">
        <f t="shared" si="241"/>
        <v>0</v>
      </c>
      <c r="R2225" s="7">
        <f t="shared" si="242"/>
        <v>1503.4</v>
      </c>
      <c r="S2225" s="7">
        <f t="shared" si="243"/>
        <v>751.7</v>
      </c>
      <c r="T2225" s="6">
        <f t="shared" si="244"/>
        <v>1.4492753623188406E-2</v>
      </c>
      <c r="V2225" t="s">
        <v>29</v>
      </c>
    </row>
    <row r="2226" spans="1:22">
      <c r="A2226" s="3">
        <v>45750</v>
      </c>
      <c r="B2226" t="str">
        <f t="shared" si="238"/>
        <v>yyyy-04</v>
      </c>
      <c r="C2226">
        <f t="shared" si="239"/>
        <v>14</v>
      </c>
      <c r="D2226" t="s">
        <v>53</v>
      </c>
      <c r="E2226" t="s">
        <v>56</v>
      </c>
      <c r="F2226" t="s">
        <v>58</v>
      </c>
      <c r="G2226" t="s">
        <v>27</v>
      </c>
      <c r="H2226" t="s">
        <v>45</v>
      </c>
      <c r="I2226" s="5">
        <v>194</v>
      </c>
      <c r="J2226" s="5">
        <v>101</v>
      </c>
      <c r="K2226" s="5">
        <v>8</v>
      </c>
      <c r="L2226" s="5">
        <v>2</v>
      </c>
      <c r="M2226" s="5">
        <v>2</v>
      </c>
      <c r="N2226" s="7">
        <v>908.49</v>
      </c>
      <c r="O2226" s="7">
        <f t="shared" si="240"/>
        <v>1816.98</v>
      </c>
      <c r="P2226" s="4">
        <v>0.03</v>
      </c>
      <c r="Q2226" s="7">
        <f t="shared" si="241"/>
        <v>54.509399999999999</v>
      </c>
      <c r="R2226" s="7">
        <f t="shared" si="242"/>
        <v>1762.4706000000001</v>
      </c>
      <c r="S2226" s="7">
        <f t="shared" si="243"/>
        <v>881.23530000000005</v>
      </c>
      <c r="T2226" s="6">
        <f t="shared" si="244"/>
        <v>1.0309278350515464E-2</v>
      </c>
      <c r="V2226" t="s">
        <v>78</v>
      </c>
    </row>
    <row r="2227" spans="1:22">
      <c r="A2227" s="3">
        <v>45750</v>
      </c>
      <c r="B2227" t="str">
        <f t="shared" si="238"/>
        <v>yyyy-04</v>
      </c>
      <c r="C2227">
        <f t="shared" si="239"/>
        <v>14</v>
      </c>
      <c r="D2227" t="s">
        <v>53</v>
      </c>
      <c r="E2227" t="s">
        <v>59</v>
      </c>
      <c r="F2227" t="s">
        <v>60</v>
      </c>
      <c r="G2227" t="s">
        <v>31</v>
      </c>
      <c r="H2227" t="s">
        <v>32</v>
      </c>
      <c r="I2227" s="5">
        <v>213</v>
      </c>
      <c r="J2227" s="5">
        <v>113</v>
      </c>
      <c r="K2227" s="5">
        <v>12</v>
      </c>
      <c r="L2227" s="5">
        <v>2</v>
      </c>
      <c r="M2227" s="5">
        <v>2</v>
      </c>
      <c r="N2227" s="7">
        <v>695.76</v>
      </c>
      <c r="O2227" s="7">
        <f t="shared" si="240"/>
        <v>1391.52</v>
      </c>
      <c r="P2227" s="4">
        <v>0.03</v>
      </c>
      <c r="Q2227" s="7">
        <f t="shared" si="241"/>
        <v>41.745599999999996</v>
      </c>
      <c r="R2227" s="7">
        <f t="shared" si="242"/>
        <v>1349.7744</v>
      </c>
      <c r="S2227" s="7">
        <f t="shared" si="243"/>
        <v>674.88720000000001</v>
      </c>
      <c r="T2227" s="6">
        <f t="shared" si="244"/>
        <v>9.3896713615023476E-3</v>
      </c>
      <c r="V2227" t="s">
        <v>29</v>
      </c>
    </row>
    <row r="2228" spans="1:22">
      <c r="A2228" s="3">
        <v>45750</v>
      </c>
      <c r="B2228" t="str">
        <f t="shared" si="238"/>
        <v>yyyy-04</v>
      </c>
      <c r="C2228">
        <f t="shared" si="239"/>
        <v>14</v>
      </c>
      <c r="D2228" t="s">
        <v>53</v>
      </c>
      <c r="E2228" t="s">
        <v>61</v>
      </c>
      <c r="F2228" t="s">
        <v>62</v>
      </c>
      <c r="G2228" t="s">
        <v>36</v>
      </c>
      <c r="H2228" t="s">
        <v>37</v>
      </c>
      <c r="I2228" s="5">
        <v>186</v>
      </c>
      <c r="J2228" s="5">
        <v>103</v>
      </c>
      <c r="K2228" s="5">
        <v>12</v>
      </c>
      <c r="L2228" s="5">
        <v>2</v>
      </c>
      <c r="M2228" s="5">
        <v>2</v>
      </c>
      <c r="N2228" s="7">
        <v>481.51</v>
      </c>
      <c r="O2228" s="7">
        <f t="shared" si="240"/>
        <v>963.02</v>
      </c>
      <c r="P2228" s="4">
        <v>0</v>
      </c>
      <c r="Q2228" s="7">
        <f t="shared" si="241"/>
        <v>0</v>
      </c>
      <c r="R2228" s="7">
        <f t="shared" si="242"/>
        <v>963.02</v>
      </c>
      <c r="S2228" s="7">
        <f t="shared" si="243"/>
        <v>481.51</v>
      </c>
      <c r="T2228" s="6">
        <f t="shared" si="244"/>
        <v>1.0752688172043012E-2</v>
      </c>
      <c r="V2228" t="s">
        <v>29</v>
      </c>
    </row>
    <row r="2229" spans="1:22">
      <c r="A2229" s="3">
        <v>45750</v>
      </c>
      <c r="B2229" t="str">
        <f t="shared" si="238"/>
        <v>yyyy-04</v>
      </c>
      <c r="C2229">
        <f t="shared" si="239"/>
        <v>14</v>
      </c>
      <c r="D2229" t="s">
        <v>53</v>
      </c>
      <c r="E2229" t="s">
        <v>64</v>
      </c>
      <c r="F2229" t="s">
        <v>65</v>
      </c>
      <c r="G2229" t="s">
        <v>31</v>
      </c>
      <c r="H2229" t="s">
        <v>32</v>
      </c>
      <c r="I2229" s="5">
        <v>228</v>
      </c>
      <c r="J2229" s="5">
        <v>144</v>
      </c>
      <c r="K2229" s="5">
        <v>15</v>
      </c>
      <c r="L2229" s="5">
        <v>2</v>
      </c>
      <c r="M2229" s="5">
        <v>2</v>
      </c>
      <c r="N2229" s="7">
        <v>813.2</v>
      </c>
      <c r="O2229" s="7">
        <f t="shared" si="240"/>
        <v>1626.4</v>
      </c>
      <c r="P2229" s="4">
        <v>0</v>
      </c>
      <c r="Q2229" s="7">
        <f t="shared" si="241"/>
        <v>0</v>
      </c>
      <c r="R2229" s="7">
        <f t="shared" si="242"/>
        <v>1626.4</v>
      </c>
      <c r="S2229" s="7">
        <f t="shared" si="243"/>
        <v>813.2</v>
      </c>
      <c r="T2229" s="6">
        <f t="shared" si="244"/>
        <v>8.771929824561403E-3</v>
      </c>
      <c r="V2229" t="s">
        <v>29</v>
      </c>
    </row>
    <row r="2230" spans="1:22">
      <c r="A2230" s="3">
        <v>45750</v>
      </c>
      <c r="B2230" t="str">
        <f t="shared" si="238"/>
        <v>yyyy-04</v>
      </c>
      <c r="C2230">
        <f t="shared" si="239"/>
        <v>14</v>
      </c>
      <c r="D2230" t="s">
        <v>66</v>
      </c>
      <c r="E2230" t="s">
        <v>67</v>
      </c>
      <c r="F2230" t="s">
        <v>68</v>
      </c>
      <c r="G2230" t="s">
        <v>36</v>
      </c>
      <c r="H2230" t="s">
        <v>37</v>
      </c>
      <c r="I2230" s="5">
        <v>342</v>
      </c>
      <c r="J2230" s="5">
        <v>205</v>
      </c>
      <c r="K2230" s="5">
        <v>14</v>
      </c>
      <c r="L2230" s="5">
        <v>7</v>
      </c>
      <c r="M2230" s="5">
        <v>7</v>
      </c>
      <c r="N2230" s="7">
        <v>684.63</v>
      </c>
      <c r="O2230" s="7">
        <f t="shared" si="240"/>
        <v>4792.41</v>
      </c>
      <c r="P2230" s="4">
        <v>0</v>
      </c>
      <c r="Q2230" s="7">
        <f t="shared" si="241"/>
        <v>0</v>
      </c>
      <c r="R2230" s="7">
        <f t="shared" si="242"/>
        <v>4792.41</v>
      </c>
      <c r="S2230" s="7">
        <f t="shared" si="243"/>
        <v>684.63</v>
      </c>
      <c r="T2230" s="6">
        <f t="shared" si="244"/>
        <v>2.046783625730994E-2</v>
      </c>
      <c r="V2230" t="s">
        <v>29</v>
      </c>
    </row>
    <row r="2231" spans="1:22">
      <c r="A2231" s="3">
        <v>45750</v>
      </c>
      <c r="B2231" t="str">
        <f t="shared" si="238"/>
        <v>yyyy-04</v>
      </c>
      <c r="C2231">
        <f t="shared" si="239"/>
        <v>14</v>
      </c>
      <c r="D2231" t="s">
        <v>66</v>
      </c>
      <c r="E2231" t="s">
        <v>67</v>
      </c>
      <c r="F2231" t="s">
        <v>69</v>
      </c>
      <c r="G2231" t="s">
        <v>31</v>
      </c>
      <c r="H2231" t="s">
        <v>32</v>
      </c>
      <c r="I2231" s="5">
        <v>383</v>
      </c>
      <c r="J2231" s="5">
        <v>267</v>
      </c>
      <c r="K2231" s="5">
        <v>30</v>
      </c>
      <c r="L2231" s="5">
        <v>7</v>
      </c>
      <c r="M2231" s="5">
        <v>7</v>
      </c>
      <c r="N2231" s="7">
        <v>389.58</v>
      </c>
      <c r="O2231" s="7">
        <f t="shared" si="240"/>
        <v>2727.06</v>
      </c>
      <c r="P2231" s="4">
        <v>0</v>
      </c>
      <c r="Q2231" s="7">
        <f t="shared" si="241"/>
        <v>0</v>
      </c>
      <c r="R2231" s="7">
        <f t="shared" si="242"/>
        <v>2727.06</v>
      </c>
      <c r="S2231" s="7">
        <f t="shared" si="243"/>
        <v>389.58</v>
      </c>
      <c r="T2231" s="6">
        <f t="shared" si="244"/>
        <v>1.8276762402088774E-2</v>
      </c>
      <c r="V2231" t="s">
        <v>29</v>
      </c>
    </row>
    <row r="2232" spans="1:22">
      <c r="A2232" s="3">
        <v>45750</v>
      </c>
      <c r="B2232" t="str">
        <f t="shared" si="238"/>
        <v>yyyy-04</v>
      </c>
      <c r="C2232">
        <f t="shared" si="239"/>
        <v>14</v>
      </c>
      <c r="D2232" t="s">
        <v>66</v>
      </c>
      <c r="E2232" t="s">
        <v>67</v>
      </c>
      <c r="F2232" t="s">
        <v>70</v>
      </c>
      <c r="G2232" t="s">
        <v>36</v>
      </c>
      <c r="H2232" t="s">
        <v>37</v>
      </c>
      <c r="I2232" s="5">
        <v>428</v>
      </c>
      <c r="J2232" s="5">
        <v>229</v>
      </c>
      <c r="K2232" s="5">
        <v>25</v>
      </c>
      <c r="L2232" s="5">
        <v>6</v>
      </c>
      <c r="M2232" s="5">
        <v>6</v>
      </c>
      <c r="N2232" s="7">
        <v>350.14</v>
      </c>
      <c r="O2232" s="7">
        <f t="shared" si="240"/>
        <v>2100.84</v>
      </c>
      <c r="P2232" s="4">
        <v>0</v>
      </c>
      <c r="Q2232" s="7">
        <f t="shared" si="241"/>
        <v>0</v>
      </c>
      <c r="R2232" s="7">
        <f t="shared" si="242"/>
        <v>2100.84</v>
      </c>
      <c r="S2232" s="7">
        <f t="shared" si="243"/>
        <v>350.14000000000004</v>
      </c>
      <c r="T2232" s="6">
        <f t="shared" si="244"/>
        <v>1.4018691588785047E-2</v>
      </c>
      <c r="V2232" t="s">
        <v>29</v>
      </c>
    </row>
    <row r="2233" spans="1:22">
      <c r="A2233" s="3">
        <v>45750</v>
      </c>
      <c r="B2233" t="str">
        <f t="shared" si="238"/>
        <v>yyyy-04</v>
      </c>
      <c r="C2233">
        <f t="shared" si="239"/>
        <v>14</v>
      </c>
      <c r="D2233" t="s">
        <v>66</v>
      </c>
      <c r="E2233" t="s">
        <v>71</v>
      </c>
      <c r="F2233" t="s">
        <v>72</v>
      </c>
      <c r="G2233" t="s">
        <v>27</v>
      </c>
      <c r="H2233" t="s">
        <v>45</v>
      </c>
      <c r="I2233" s="5">
        <v>360</v>
      </c>
      <c r="J2233" s="5">
        <v>204</v>
      </c>
      <c r="K2233" s="5">
        <v>15</v>
      </c>
      <c r="L2233" s="5">
        <v>5</v>
      </c>
      <c r="M2233" s="5">
        <v>7</v>
      </c>
      <c r="N2233" s="7">
        <v>126.08</v>
      </c>
      <c r="O2233" s="7">
        <f t="shared" si="240"/>
        <v>882.56</v>
      </c>
      <c r="P2233" s="4">
        <v>0.05</v>
      </c>
      <c r="Q2233" s="7">
        <f t="shared" si="241"/>
        <v>44.128</v>
      </c>
      <c r="R2233" s="7">
        <f t="shared" si="242"/>
        <v>838.4319999999999</v>
      </c>
      <c r="S2233" s="7">
        <f t="shared" si="243"/>
        <v>167.68639999999999</v>
      </c>
      <c r="T2233" s="6">
        <f t="shared" si="244"/>
        <v>1.3888888888888888E-2</v>
      </c>
      <c r="V2233" t="s">
        <v>29</v>
      </c>
    </row>
    <row r="2234" spans="1:22">
      <c r="A2234" s="3">
        <v>45750</v>
      </c>
      <c r="B2234" t="str">
        <f t="shared" si="238"/>
        <v>yyyy-04</v>
      </c>
      <c r="C2234">
        <f t="shared" si="239"/>
        <v>14</v>
      </c>
      <c r="D2234" t="s">
        <v>66</v>
      </c>
      <c r="E2234" t="s">
        <v>73</v>
      </c>
      <c r="F2234" t="s">
        <v>74</v>
      </c>
      <c r="G2234" t="s">
        <v>31</v>
      </c>
      <c r="H2234" t="s">
        <v>32</v>
      </c>
      <c r="I2234" s="5">
        <v>225</v>
      </c>
      <c r="J2234" s="5">
        <v>154</v>
      </c>
      <c r="K2234" s="5">
        <v>9</v>
      </c>
      <c r="L2234" s="5">
        <v>4</v>
      </c>
      <c r="M2234" s="5">
        <v>4</v>
      </c>
      <c r="N2234" s="7">
        <v>1174.4000000000001</v>
      </c>
      <c r="O2234" s="7">
        <f t="shared" si="240"/>
        <v>4697.6000000000004</v>
      </c>
      <c r="P2234" s="4">
        <v>0</v>
      </c>
      <c r="Q2234" s="7">
        <f t="shared" si="241"/>
        <v>0</v>
      </c>
      <c r="R2234" s="7">
        <f t="shared" si="242"/>
        <v>4697.6000000000004</v>
      </c>
      <c r="S2234" s="7">
        <f t="shared" si="243"/>
        <v>1174.4000000000001</v>
      </c>
      <c r="T2234" s="6">
        <f t="shared" si="244"/>
        <v>1.7777777777777778E-2</v>
      </c>
      <c r="V2234" t="s">
        <v>29</v>
      </c>
    </row>
    <row r="2235" spans="1:22">
      <c r="A2235" s="3">
        <v>45750</v>
      </c>
      <c r="B2235" t="str">
        <f t="shared" si="238"/>
        <v>yyyy-04</v>
      </c>
      <c r="C2235">
        <f t="shared" si="239"/>
        <v>14</v>
      </c>
      <c r="D2235" t="s">
        <v>66</v>
      </c>
      <c r="E2235" t="s">
        <v>71</v>
      </c>
      <c r="F2235" t="s">
        <v>75</v>
      </c>
      <c r="G2235" t="s">
        <v>31</v>
      </c>
      <c r="H2235" t="s">
        <v>32</v>
      </c>
      <c r="I2235" s="5">
        <v>297</v>
      </c>
      <c r="J2235" s="5">
        <v>192</v>
      </c>
      <c r="K2235" s="5">
        <v>19</v>
      </c>
      <c r="L2235" s="5">
        <v>4</v>
      </c>
      <c r="M2235" s="5">
        <v>5</v>
      </c>
      <c r="N2235" s="7">
        <v>37.46</v>
      </c>
      <c r="O2235" s="7">
        <f t="shared" si="240"/>
        <v>187.3</v>
      </c>
      <c r="P2235" s="4">
        <v>0</v>
      </c>
      <c r="Q2235" s="7">
        <f t="shared" si="241"/>
        <v>0</v>
      </c>
      <c r="R2235" s="7">
        <f t="shared" si="242"/>
        <v>187.3</v>
      </c>
      <c r="S2235" s="7">
        <f t="shared" si="243"/>
        <v>46.825000000000003</v>
      </c>
      <c r="T2235" s="6">
        <f t="shared" si="244"/>
        <v>1.3468013468013467E-2</v>
      </c>
      <c r="V2235" t="s">
        <v>29</v>
      </c>
    </row>
    <row r="2236" spans="1:22">
      <c r="A2236" s="3">
        <v>45750</v>
      </c>
      <c r="B2236" t="str">
        <f t="shared" si="238"/>
        <v>yyyy-04</v>
      </c>
      <c r="C2236">
        <f t="shared" si="239"/>
        <v>14</v>
      </c>
      <c r="D2236" t="s">
        <v>24</v>
      </c>
      <c r="E2236" t="s">
        <v>76</v>
      </c>
      <c r="F2236" t="s">
        <v>77</v>
      </c>
      <c r="G2236" t="s">
        <v>31</v>
      </c>
      <c r="H2236" t="s">
        <v>32</v>
      </c>
      <c r="I2236" s="5">
        <v>889</v>
      </c>
      <c r="J2236" s="5">
        <v>674</v>
      </c>
      <c r="K2236" s="5">
        <v>84</v>
      </c>
      <c r="L2236" s="5">
        <v>23</v>
      </c>
      <c r="M2236" s="5">
        <v>28</v>
      </c>
      <c r="N2236" s="7">
        <v>199.24</v>
      </c>
      <c r="O2236" s="7">
        <f t="shared" si="240"/>
        <v>5578.72</v>
      </c>
      <c r="P2236" s="4">
        <v>0.03</v>
      </c>
      <c r="Q2236" s="7">
        <f t="shared" si="241"/>
        <v>167.36160000000001</v>
      </c>
      <c r="R2236" s="7">
        <f t="shared" si="242"/>
        <v>5411.3584000000001</v>
      </c>
      <c r="S2236" s="7">
        <f t="shared" si="243"/>
        <v>235.27645217391304</v>
      </c>
      <c r="T2236" s="6">
        <f t="shared" si="244"/>
        <v>2.5871766029246346E-2</v>
      </c>
      <c r="V2236" t="s">
        <v>29</v>
      </c>
    </row>
    <row r="2237" spans="1:22">
      <c r="A2237" s="3">
        <v>45751</v>
      </c>
      <c r="B2237" t="str">
        <f t="shared" si="238"/>
        <v>yyyy-04</v>
      </c>
      <c r="C2237">
        <f t="shared" si="239"/>
        <v>14</v>
      </c>
      <c r="D2237" t="s">
        <v>24</v>
      </c>
      <c r="E2237" t="s">
        <v>25</v>
      </c>
      <c r="F2237" t="s">
        <v>26</v>
      </c>
      <c r="G2237" t="s">
        <v>27</v>
      </c>
      <c r="H2237" t="s">
        <v>63</v>
      </c>
      <c r="I2237" s="5">
        <v>1010</v>
      </c>
      <c r="J2237" s="5">
        <v>701</v>
      </c>
      <c r="K2237" s="5">
        <v>83</v>
      </c>
      <c r="L2237" s="5">
        <v>18</v>
      </c>
      <c r="M2237" s="5">
        <v>18</v>
      </c>
      <c r="N2237" s="7">
        <v>1011.99</v>
      </c>
      <c r="O2237" s="7">
        <f t="shared" si="240"/>
        <v>18215.82</v>
      </c>
      <c r="P2237" s="4">
        <v>0.05</v>
      </c>
      <c r="Q2237" s="7">
        <f t="shared" si="241"/>
        <v>910.79100000000005</v>
      </c>
      <c r="R2237" s="7">
        <f t="shared" si="242"/>
        <v>17305.028999999999</v>
      </c>
      <c r="S2237" s="7">
        <f t="shared" si="243"/>
        <v>961.39049999999997</v>
      </c>
      <c r="T2237" s="6">
        <f t="shared" si="244"/>
        <v>1.782178217821782E-2</v>
      </c>
      <c r="V2237" t="s">
        <v>29</v>
      </c>
    </row>
    <row r="2238" spans="1:22">
      <c r="A2238" s="3">
        <v>45751</v>
      </c>
      <c r="B2238" t="str">
        <f t="shared" si="238"/>
        <v>yyyy-04</v>
      </c>
      <c r="C2238">
        <f t="shared" si="239"/>
        <v>14</v>
      </c>
      <c r="D2238" t="s">
        <v>24</v>
      </c>
      <c r="E2238" t="s">
        <v>25</v>
      </c>
      <c r="F2238" t="s">
        <v>30</v>
      </c>
      <c r="G2238" t="s">
        <v>31</v>
      </c>
      <c r="H2238" t="s">
        <v>32</v>
      </c>
      <c r="I2238" s="5">
        <v>1670</v>
      </c>
      <c r="J2238" s="5">
        <v>897</v>
      </c>
      <c r="K2238" s="5">
        <v>68</v>
      </c>
      <c r="L2238" s="5">
        <v>33</v>
      </c>
      <c r="M2238" s="5">
        <v>33</v>
      </c>
      <c r="N2238" s="7">
        <v>396.48</v>
      </c>
      <c r="O2238" s="7">
        <f t="shared" si="240"/>
        <v>13083.84</v>
      </c>
      <c r="P2238" s="4">
        <v>0.03</v>
      </c>
      <c r="Q2238" s="7">
        <f t="shared" si="241"/>
        <v>392.51519999999999</v>
      </c>
      <c r="R2238" s="7">
        <f t="shared" si="242"/>
        <v>12691.3248</v>
      </c>
      <c r="S2238" s="7">
        <f t="shared" si="243"/>
        <v>384.5856</v>
      </c>
      <c r="T2238" s="6">
        <f t="shared" si="244"/>
        <v>1.9760479041916169E-2</v>
      </c>
      <c r="V2238" t="s">
        <v>29</v>
      </c>
    </row>
    <row r="2239" spans="1:22">
      <c r="A2239" s="3">
        <v>45751</v>
      </c>
      <c r="B2239" t="str">
        <f t="shared" si="238"/>
        <v>yyyy-04</v>
      </c>
      <c r="C2239">
        <f t="shared" si="239"/>
        <v>14</v>
      </c>
      <c r="D2239" t="s">
        <v>24</v>
      </c>
      <c r="E2239" t="s">
        <v>25</v>
      </c>
      <c r="F2239" t="s">
        <v>33</v>
      </c>
      <c r="G2239" t="s">
        <v>27</v>
      </c>
      <c r="H2239" t="s">
        <v>28</v>
      </c>
      <c r="I2239" s="5">
        <v>1961</v>
      </c>
      <c r="J2239" s="5">
        <v>1571</v>
      </c>
      <c r="K2239" s="5">
        <v>160</v>
      </c>
      <c r="L2239" s="5">
        <v>34</v>
      </c>
      <c r="M2239" s="5">
        <v>34</v>
      </c>
      <c r="N2239" s="7">
        <v>1833.92</v>
      </c>
      <c r="O2239" s="7">
        <f t="shared" si="240"/>
        <v>62353.279999999999</v>
      </c>
      <c r="P2239" s="4">
        <v>0</v>
      </c>
      <c r="Q2239" s="7">
        <f t="shared" si="241"/>
        <v>0</v>
      </c>
      <c r="R2239" s="7">
        <f t="shared" si="242"/>
        <v>62353.279999999999</v>
      </c>
      <c r="S2239" s="7">
        <f t="shared" si="243"/>
        <v>1833.92</v>
      </c>
      <c r="T2239" s="6">
        <f t="shared" si="244"/>
        <v>1.7338092809790925E-2</v>
      </c>
      <c r="V2239" t="s">
        <v>29</v>
      </c>
    </row>
    <row r="2240" spans="1:22">
      <c r="A2240" s="3">
        <v>45751</v>
      </c>
      <c r="B2240" t="str">
        <f t="shared" si="238"/>
        <v>yyyy-04</v>
      </c>
      <c r="C2240">
        <f t="shared" si="239"/>
        <v>14</v>
      </c>
      <c r="D2240" t="s">
        <v>24</v>
      </c>
      <c r="E2240" t="s">
        <v>34</v>
      </c>
      <c r="F2240" t="s">
        <v>35</v>
      </c>
      <c r="G2240" t="s">
        <v>27</v>
      </c>
      <c r="H2240" t="s">
        <v>28</v>
      </c>
      <c r="I2240" s="5">
        <v>1147</v>
      </c>
      <c r="J2240" s="5">
        <v>628</v>
      </c>
      <c r="K2240" s="5">
        <v>75</v>
      </c>
      <c r="L2240" s="5">
        <v>16</v>
      </c>
      <c r="M2240" s="5">
        <v>16</v>
      </c>
      <c r="N2240" s="7">
        <v>901.62</v>
      </c>
      <c r="O2240" s="7">
        <f t="shared" si="240"/>
        <v>14425.92</v>
      </c>
      <c r="P2240" s="4">
        <v>0.08</v>
      </c>
      <c r="Q2240" s="7">
        <f t="shared" si="241"/>
        <v>1154.0735999999999</v>
      </c>
      <c r="R2240" s="7">
        <f t="shared" si="242"/>
        <v>13271.8464</v>
      </c>
      <c r="S2240" s="7">
        <f t="shared" si="243"/>
        <v>829.49040000000002</v>
      </c>
      <c r="T2240" s="6">
        <f t="shared" si="244"/>
        <v>1.3949433304272014E-2</v>
      </c>
      <c r="U2240" t="s">
        <v>92</v>
      </c>
      <c r="V2240" t="s">
        <v>78</v>
      </c>
    </row>
    <row r="2241" spans="1:22">
      <c r="A2241" s="3">
        <v>45751</v>
      </c>
      <c r="B2241" t="str">
        <f t="shared" si="238"/>
        <v>yyyy-04</v>
      </c>
      <c r="C2241">
        <f t="shared" si="239"/>
        <v>14</v>
      </c>
      <c r="D2241" t="s">
        <v>24</v>
      </c>
      <c r="E2241" t="s">
        <v>38</v>
      </c>
      <c r="F2241" t="s">
        <v>39</v>
      </c>
      <c r="G2241" t="s">
        <v>31</v>
      </c>
      <c r="H2241" t="s">
        <v>32</v>
      </c>
      <c r="I2241" s="5">
        <v>988</v>
      </c>
      <c r="J2241" s="5">
        <v>763</v>
      </c>
      <c r="K2241" s="5">
        <v>119</v>
      </c>
      <c r="L2241" s="5">
        <v>25</v>
      </c>
      <c r="M2241" s="5">
        <v>25</v>
      </c>
      <c r="N2241" s="7">
        <v>322</v>
      </c>
      <c r="O2241" s="7">
        <f t="shared" si="240"/>
        <v>8050</v>
      </c>
      <c r="P2241" s="4">
        <v>0.05</v>
      </c>
      <c r="Q2241" s="7">
        <f t="shared" si="241"/>
        <v>402.5</v>
      </c>
      <c r="R2241" s="7">
        <f t="shared" si="242"/>
        <v>7647.5</v>
      </c>
      <c r="S2241" s="7">
        <f t="shared" si="243"/>
        <v>305.89999999999998</v>
      </c>
      <c r="T2241" s="6">
        <f t="shared" si="244"/>
        <v>2.5303643724696356E-2</v>
      </c>
      <c r="V2241" t="s">
        <v>29</v>
      </c>
    </row>
    <row r="2242" spans="1:22">
      <c r="A2242" s="3">
        <v>45751</v>
      </c>
      <c r="B2242" t="str">
        <f t="shared" si="238"/>
        <v>yyyy-04</v>
      </c>
      <c r="C2242">
        <f t="shared" si="239"/>
        <v>14</v>
      </c>
      <c r="D2242" t="s">
        <v>24</v>
      </c>
      <c r="E2242" t="s">
        <v>40</v>
      </c>
      <c r="F2242" t="s">
        <v>41</v>
      </c>
      <c r="G2242" t="s">
        <v>27</v>
      </c>
      <c r="H2242" t="s">
        <v>45</v>
      </c>
      <c r="I2242" s="5">
        <v>586</v>
      </c>
      <c r="J2242" s="5">
        <v>467</v>
      </c>
      <c r="K2242" s="5">
        <v>49</v>
      </c>
      <c r="L2242" s="5">
        <v>15</v>
      </c>
      <c r="M2242" s="5">
        <v>19</v>
      </c>
      <c r="N2242" s="7">
        <v>175.95</v>
      </c>
      <c r="O2242" s="7">
        <f t="shared" si="240"/>
        <v>3343.0499999999997</v>
      </c>
      <c r="P2242" s="4">
        <v>0</v>
      </c>
      <c r="Q2242" s="7">
        <f t="shared" si="241"/>
        <v>0</v>
      </c>
      <c r="R2242" s="7">
        <f t="shared" si="242"/>
        <v>3343.0499999999997</v>
      </c>
      <c r="S2242" s="7">
        <f t="shared" si="243"/>
        <v>222.86999999999998</v>
      </c>
      <c r="T2242" s="6">
        <f t="shared" si="244"/>
        <v>2.5597269624573378E-2</v>
      </c>
      <c r="V2242" t="s">
        <v>29</v>
      </c>
    </row>
    <row r="2243" spans="1:22">
      <c r="A2243" s="3">
        <v>45751</v>
      </c>
      <c r="B2243" t="str">
        <f t="shared" si="238"/>
        <v>yyyy-04</v>
      </c>
      <c r="C2243">
        <f t="shared" si="239"/>
        <v>14</v>
      </c>
      <c r="D2243" t="s">
        <v>42</v>
      </c>
      <c r="E2243" t="s">
        <v>43</v>
      </c>
      <c r="F2243" t="s">
        <v>44</v>
      </c>
      <c r="G2243" t="s">
        <v>27</v>
      </c>
      <c r="H2243" t="s">
        <v>63</v>
      </c>
      <c r="I2243" s="5">
        <v>394</v>
      </c>
      <c r="J2243" s="5">
        <v>249</v>
      </c>
      <c r="K2243" s="5">
        <v>35</v>
      </c>
      <c r="L2243" s="5">
        <v>8</v>
      </c>
      <c r="M2243" s="5">
        <v>8</v>
      </c>
      <c r="N2243" s="7">
        <v>1322.18</v>
      </c>
      <c r="O2243" s="7">
        <f t="shared" si="240"/>
        <v>10577.44</v>
      </c>
      <c r="P2243" s="4">
        <v>0.12</v>
      </c>
      <c r="Q2243" s="7">
        <f t="shared" si="241"/>
        <v>1269.2927999999999</v>
      </c>
      <c r="R2243" s="7">
        <f t="shared" si="242"/>
        <v>9308.1472000000012</v>
      </c>
      <c r="S2243" s="7">
        <f t="shared" si="243"/>
        <v>1163.5184000000002</v>
      </c>
      <c r="T2243" s="6">
        <f t="shared" si="244"/>
        <v>2.030456852791878E-2</v>
      </c>
      <c r="U2243" t="s">
        <v>91</v>
      </c>
      <c r="V2243" t="s">
        <v>29</v>
      </c>
    </row>
    <row r="2244" spans="1:22">
      <c r="A2244" s="3">
        <v>45751</v>
      </c>
      <c r="B2244" t="str">
        <f t="shared" si="238"/>
        <v>yyyy-04</v>
      </c>
      <c r="C2244">
        <f t="shared" si="239"/>
        <v>14</v>
      </c>
      <c r="D2244" t="s">
        <v>42</v>
      </c>
      <c r="E2244" t="s">
        <v>43</v>
      </c>
      <c r="F2244" t="s">
        <v>46</v>
      </c>
      <c r="G2244" t="s">
        <v>36</v>
      </c>
      <c r="H2244" t="s">
        <v>37</v>
      </c>
      <c r="I2244" s="5">
        <v>584</v>
      </c>
      <c r="J2244" s="5">
        <v>350</v>
      </c>
      <c r="K2244" s="5">
        <v>44</v>
      </c>
      <c r="L2244" s="5">
        <v>9</v>
      </c>
      <c r="M2244" s="5">
        <v>9</v>
      </c>
      <c r="N2244" s="7">
        <v>2242.87</v>
      </c>
      <c r="O2244" s="7">
        <f t="shared" si="240"/>
        <v>20185.829999999998</v>
      </c>
      <c r="P2244" s="4">
        <v>0.12</v>
      </c>
      <c r="Q2244" s="7">
        <f t="shared" si="241"/>
        <v>2422.2995999999998</v>
      </c>
      <c r="R2244" s="7">
        <f t="shared" si="242"/>
        <v>17763.5304</v>
      </c>
      <c r="S2244" s="7">
        <f t="shared" si="243"/>
        <v>1973.7256</v>
      </c>
      <c r="T2244" s="6">
        <f t="shared" si="244"/>
        <v>1.5410958904109588E-2</v>
      </c>
      <c r="U2244" t="s">
        <v>91</v>
      </c>
      <c r="V2244" t="s">
        <v>29</v>
      </c>
    </row>
    <row r="2245" spans="1:22">
      <c r="A2245" s="3">
        <v>45751</v>
      </c>
      <c r="B2245" t="str">
        <f t="shared" ref="B2245:B2308" si="245">TEXT(A2245,"yyyy-mm")</f>
        <v>yyyy-04</v>
      </c>
      <c r="C2245">
        <f t="shared" ref="C2245:C2308" si="246">WEEKNUM(A2245,2)</f>
        <v>14</v>
      </c>
      <c r="D2245" t="s">
        <v>42</v>
      </c>
      <c r="E2245" t="s">
        <v>43</v>
      </c>
      <c r="F2245" t="s">
        <v>47</v>
      </c>
      <c r="G2245" t="s">
        <v>27</v>
      </c>
      <c r="H2245" t="s">
        <v>28</v>
      </c>
      <c r="I2245" s="5">
        <v>490</v>
      </c>
      <c r="J2245" s="5">
        <v>357</v>
      </c>
      <c r="K2245" s="5">
        <v>40</v>
      </c>
      <c r="L2245" s="5">
        <v>10</v>
      </c>
      <c r="M2245" s="5">
        <v>10</v>
      </c>
      <c r="N2245" s="7">
        <v>591.32000000000005</v>
      </c>
      <c r="O2245" s="7">
        <f t="shared" ref="O2245:O2308" si="247">M2245*N2245</f>
        <v>5913.2000000000007</v>
      </c>
      <c r="P2245" s="4">
        <v>0.12</v>
      </c>
      <c r="Q2245" s="7">
        <f t="shared" ref="Q2245:Q2308" si="248">O2245*P2245</f>
        <v>709.58400000000006</v>
      </c>
      <c r="R2245" s="7">
        <f t="shared" ref="R2245:R2308" si="249">O2245-Q2245</f>
        <v>5203.6160000000009</v>
      </c>
      <c r="S2245" s="7">
        <f t="shared" ref="S2245:S2308" si="250">IFERROR(R2245/L2245,0)</f>
        <v>520.36160000000007</v>
      </c>
      <c r="T2245" s="6">
        <f t="shared" ref="T2245:T2308" si="251">IFERROR(L2245/I2245,0)</f>
        <v>2.0408163265306121E-2</v>
      </c>
      <c r="U2245" t="s">
        <v>91</v>
      </c>
      <c r="V2245" t="s">
        <v>29</v>
      </c>
    </row>
    <row r="2246" spans="1:22">
      <c r="A2246" s="3">
        <v>45751</v>
      </c>
      <c r="B2246" t="str">
        <f t="shared" si="245"/>
        <v>yyyy-04</v>
      </c>
      <c r="C2246">
        <f t="shared" si="246"/>
        <v>14</v>
      </c>
      <c r="D2246" t="s">
        <v>42</v>
      </c>
      <c r="E2246" t="s">
        <v>49</v>
      </c>
      <c r="F2246" t="s">
        <v>50</v>
      </c>
      <c r="G2246" t="s">
        <v>31</v>
      </c>
      <c r="H2246" t="s">
        <v>32</v>
      </c>
      <c r="I2246" s="5">
        <v>203</v>
      </c>
      <c r="J2246" s="5">
        <v>149</v>
      </c>
      <c r="K2246" s="5">
        <v>14</v>
      </c>
      <c r="L2246" s="5">
        <v>3</v>
      </c>
      <c r="M2246" s="5">
        <v>3</v>
      </c>
      <c r="N2246" s="7">
        <v>983.03</v>
      </c>
      <c r="O2246" s="7">
        <f t="shared" si="247"/>
        <v>2949.09</v>
      </c>
      <c r="P2246" s="4">
        <v>0</v>
      </c>
      <c r="Q2246" s="7">
        <f t="shared" si="248"/>
        <v>0</v>
      </c>
      <c r="R2246" s="7">
        <f t="shared" si="249"/>
        <v>2949.09</v>
      </c>
      <c r="S2246" s="7">
        <f t="shared" si="250"/>
        <v>983.03000000000009</v>
      </c>
      <c r="T2246" s="6">
        <f t="shared" si="251"/>
        <v>1.4778325123152709E-2</v>
      </c>
      <c r="V2246" t="s">
        <v>29</v>
      </c>
    </row>
    <row r="2247" spans="1:22">
      <c r="A2247" s="3">
        <v>45751</v>
      </c>
      <c r="B2247" t="str">
        <f t="shared" si="245"/>
        <v>yyyy-04</v>
      </c>
      <c r="C2247">
        <f t="shared" si="246"/>
        <v>14</v>
      </c>
      <c r="D2247" t="s">
        <v>42</v>
      </c>
      <c r="E2247" t="s">
        <v>51</v>
      </c>
      <c r="F2247" t="s">
        <v>52</v>
      </c>
      <c r="G2247" t="s">
        <v>31</v>
      </c>
      <c r="H2247" t="s">
        <v>32</v>
      </c>
      <c r="I2247" s="5">
        <v>427</v>
      </c>
      <c r="J2247" s="5">
        <v>338</v>
      </c>
      <c r="K2247" s="5">
        <v>28</v>
      </c>
      <c r="L2247" s="5">
        <v>7</v>
      </c>
      <c r="M2247" s="5">
        <v>7</v>
      </c>
      <c r="N2247" s="7">
        <v>593.39</v>
      </c>
      <c r="O2247" s="7">
        <f t="shared" si="247"/>
        <v>4153.7299999999996</v>
      </c>
      <c r="P2247" s="4">
        <v>0</v>
      </c>
      <c r="Q2247" s="7">
        <f t="shared" si="248"/>
        <v>0</v>
      </c>
      <c r="R2247" s="7">
        <f t="shared" si="249"/>
        <v>4153.7299999999996</v>
      </c>
      <c r="S2247" s="7">
        <f t="shared" si="250"/>
        <v>593.39</v>
      </c>
      <c r="T2247" s="6">
        <f t="shared" si="251"/>
        <v>1.6393442622950821E-2</v>
      </c>
      <c r="V2247" t="s">
        <v>29</v>
      </c>
    </row>
    <row r="2248" spans="1:22">
      <c r="A2248" s="3">
        <v>45751</v>
      </c>
      <c r="B2248" t="str">
        <f t="shared" si="245"/>
        <v>yyyy-04</v>
      </c>
      <c r="C2248">
        <f t="shared" si="246"/>
        <v>14</v>
      </c>
      <c r="D2248" t="s">
        <v>53</v>
      </c>
      <c r="E2248" t="s">
        <v>54</v>
      </c>
      <c r="F2248" t="s">
        <v>55</v>
      </c>
      <c r="G2248" t="s">
        <v>27</v>
      </c>
      <c r="H2248" t="s">
        <v>48</v>
      </c>
      <c r="I2248" s="5">
        <v>166</v>
      </c>
      <c r="J2248" s="5">
        <v>110</v>
      </c>
      <c r="K2248" s="5">
        <v>5</v>
      </c>
      <c r="L2248" s="5">
        <v>1</v>
      </c>
      <c r="M2248" s="5">
        <v>1</v>
      </c>
      <c r="N2248" s="7">
        <v>1263.23</v>
      </c>
      <c r="O2248" s="7">
        <f t="shared" si="247"/>
        <v>1263.23</v>
      </c>
      <c r="P2248" s="4">
        <v>0.03</v>
      </c>
      <c r="Q2248" s="7">
        <f t="shared" si="248"/>
        <v>37.896900000000002</v>
      </c>
      <c r="R2248" s="7">
        <f t="shared" si="249"/>
        <v>1225.3331000000001</v>
      </c>
      <c r="S2248" s="7">
        <f t="shared" si="250"/>
        <v>1225.3331000000001</v>
      </c>
      <c r="T2248" s="6">
        <f t="shared" si="251"/>
        <v>6.024096385542169E-3</v>
      </c>
      <c r="V2248" t="s">
        <v>29</v>
      </c>
    </row>
    <row r="2249" spans="1:22">
      <c r="A2249" s="3">
        <v>45751</v>
      </c>
      <c r="B2249" t="str">
        <f t="shared" si="245"/>
        <v>yyyy-04</v>
      </c>
      <c r="C2249">
        <f t="shared" si="246"/>
        <v>14</v>
      </c>
      <c r="D2249" t="s">
        <v>53</v>
      </c>
      <c r="E2249" t="s">
        <v>56</v>
      </c>
      <c r="F2249" t="s">
        <v>57</v>
      </c>
      <c r="G2249" t="s">
        <v>31</v>
      </c>
      <c r="H2249" t="s">
        <v>32</v>
      </c>
      <c r="I2249" s="5">
        <v>288</v>
      </c>
      <c r="J2249" s="5">
        <v>194</v>
      </c>
      <c r="K2249" s="5">
        <v>10</v>
      </c>
      <c r="L2249" s="5">
        <v>3</v>
      </c>
      <c r="M2249" s="5">
        <v>3</v>
      </c>
      <c r="N2249" s="7">
        <v>729.61</v>
      </c>
      <c r="O2249" s="7">
        <f t="shared" si="247"/>
        <v>2188.83</v>
      </c>
      <c r="P2249" s="4">
        <v>0</v>
      </c>
      <c r="Q2249" s="7">
        <f t="shared" si="248"/>
        <v>0</v>
      </c>
      <c r="R2249" s="7">
        <f t="shared" si="249"/>
        <v>2188.83</v>
      </c>
      <c r="S2249" s="7">
        <f t="shared" si="250"/>
        <v>729.61</v>
      </c>
      <c r="T2249" s="6">
        <f t="shared" si="251"/>
        <v>1.0416666666666666E-2</v>
      </c>
      <c r="V2249" t="s">
        <v>29</v>
      </c>
    </row>
    <row r="2250" spans="1:22">
      <c r="A2250" s="3">
        <v>45751</v>
      </c>
      <c r="B2250" t="str">
        <f t="shared" si="245"/>
        <v>yyyy-04</v>
      </c>
      <c r="C2250">
        <f t="shared" si="246"/>
        <v>14</v>
      </c>
      <c r="D2250" t="s">
        <v>53</v>
      </c>
      <c r="E2250" t="s">
        <v>56</v>
      </c>
      <c r="F2250" t="s">
        <v>58</v>
      </c>
      <c r="G2250" t="s">
        <v>27</v>
      </c>
      <c r="H2250" t="s">
        <v>48</v>
      </c>
      <c r="I2250" s="5">
        <v>185</v>
      </c>
      <c r="J2250" s="5">
        <v>113</v>
      </c>
      <c r="K2250" s="5">
        <v>8</v>
      </c>
      <c r="L2250" s="5">
        <v>2</v>
      </c>
      <c r="M2250" s="5">
        <v>2</v>
      </c>
      <c r="N2250" s="7">
        <v>871.26</v>
      </c>
      <c r="O2250" s="7">
        <f t="shared" si="247"/>
        <v>1742.52</v>
      </c>
      <c r="P2250" s="4">
        <v>0</v>
      </c>
      <c r="Q2250" s="7">
        <f t="shared" si="248"/>
        <v>0</v>
      </c>
      <c r="R2250" s="7">
        <f t="shared" si="249"/>
        <v>1742.52</v>
      </c>
      <c r="S2250" s="7">
        <f t="shared" si="250"/>
        <v>871.26</v>
      </c>
      <c r="T2250" s="6">
        <f t="shared" si="251"/>
        <v>1.0810810810810811E-2</v>
      </c>
      <c r="V2250" t="s">
        <v>29</v>
      </c>
    </row>
    <row r="2251" spans="1:22">
      <c r="A2251" s="3">
        <v>45751</v>
      </c>
      <c r="B2251" t="str">
        <f t="shared" si="245"/>
        <v>yyyy-04</v>
      </c>
      <c r="C2251">
        <f t="shared" si="246"/>
        <v>14</v>
      </c>
      <c r="D2251" t="s">
        <v>53</v>
      </c>
      <c r="E2251" t="s">
        <v>59</v>
      </c>
      <c r="F2251" t="s">
        <v>60</v>
      </c>
      <c r="G2251" t="s">
        <v>31</v>
      </c>
      <c r="H2251" t="s">
        <v>32</v>
      </c>
      <c r="I2251" s="5">
        <v>150</v>
      </c>
      <c r="J2251" s="5">
        <v>106</v>
      </c>
      <c r="K2251" s="5">
        <v>6</v>
      </c>
      <c r="L2251" s="5">
        <v>2</v>
      </c>
      <c r="M2251" s="5">
        <v>2</v>
      </c>
      <c r="N2251" s="7">
        <v>703.99</v>
      </c>
      <c r="O2251" s="7">
        <f t="shared" si="247"/>
        <v>1407.98</v>
      </c>
      <c r="P2251" s="4">
        <v>0</v>
      </c>
      <c r="Q2251" s="7">
        <f t="shared" si="248"/>
        <v>0</v>
      </c>
      <c r="R2251" s="7">
        <f t="shared" si="249"/>
        <v>1407.98</v>
      </c>
      <c r="S2251" s="7">
        <f t="shared" si="250"/>
        <v>703.99</v>
      </c>
      <c r="T2251" s="6">
        <f t="shared" si="251"/>
        <v>1.3333333333333334E-2</v>
      </c>
      <c r="V2251" t="s">
        <v>29</v>
      </c>
    </row>
    <row r="2252" spans="1:22">
      <c r="A2252" s="3">
        <v>45751</v>
      </c>
      <c r="B2252" t="str">
        <f t="shared" si="245"/>
        <v>yyyy-04</v>
      </c>
      <c r="C2252">
        <f t="shared" si="246"/>
        <v>14</v>
      </c>
      <c r="D2252" t="s">
        <v>53</v>
      </c>
      <c r="E2252" t="s">
        <v>61</v>
      </c>
      <c r="F2252" t="s">
        <v>62</v>
      </c>
      <c r="G2252" t="s">
        <v>31</v>
      </c>
      <c r="H2252" t="s">
        <v>32</v>
      </c>
      <c r="I2252" s="5">
        <v>158</v>
      </c>
      <c r="J2252" s="5">
        <v>95</v>
      </c>
      <c r="K2252" s="5">
        <v>10</v>
      </c>
      <c r="L2252" s="5">
        <v>2</v>
      </c>
      <c r="M2252" s="5">
        <v>2</v>
      </c>
      <c r="N2252" s="7">
        <v>482.07</v>
      </c>
      <c r="O2252" s="7">
        <f t="shared" si="247"/>
        <v>964.14</v>
      </c>
      <c r="P2252" s="4">
        <v>0</v>
      </c>
      <c r="Q2252" s="7">
        <f t="shared" si="248"/>
        <v>0</v>
      </c>
      <c r="R2252" s="7">
        <f t="shared" si="249"/>
        <v>964.14</v>
      </c>
      <c r="S2252" s="7">
        <f t="shared" si="250"/>
        <v>482.07</v>
      </c>
      <c r="T2252" s="6">
        <f t="shared" si="251"/>
        <v>1.2658227848101266E-2</v>
      </c>
      <c r="V2252" t="s">
        <v>29</v>
      </c>
    </row>
    <row r="2253" spans="1:22">
      <c r="A2253" s="3">
        <v>45751</v>
      </c>
      <c r="B2253" t="str">
        <f t="shared" si="245"/>
        <v>yyyy-04</v>
      </c>
      <c r="C2253">
        <f t="shared" si="246"/>
        <v>14</v>
      </c>
      <c r="D2253" t="s">
        <v>53</v>
      </c>
      <c r="E2253" t="s">
        <v>64</v>
      </c>
      <c r="F2253" t="s">
        <v>65</v>
      </c>
      <c r="G2253" t="s">
        <v>27</v>
      </c>
      <c r="H2253" t="s">
        <v>45</v>
      </c>
      <c r="I2253" s="5">
        <v>181</v>
      </c>
      <c r="J2253" s="5">
        <v>102</v>
      </c>
      <c r="K2253" s="5">
        <v>9</v>
      </c>
      <c r="L2253" s="5">
        <v>2</v>
      </c>
      <c r="M2253" s="5">
        <v>2</v>
      </c>
      <c r="N2253" s="7">
        <v>781.74</v>
      </c>
      <c r="O2253" s="7">
        <f t="shared" si="247"/>
        <v>1563.48</v>
      </c>
      <c r="P2253" s="4">
        <v>0</v>
      </c>
      <c r="Q2253" s="7">
        <f t="shared" si="248"/>
        <v>0</v>
      </c>
      <c r="R2253" s="7">
        <f t="shared" si="249"/>
        <v>1563.48</v>
      </c>
      <c r="S2253" s="7">
        <f t="shared" si="250"/>
        <v>781.74</v>
      </c>
      <c r="T2253" s="6">
        <f t="shared" si="251"/>
        <v>1.1049723756906077E-2</v>
      </c>
      <c r="V2253" t="s">
        <v>29</v>
      </c>
    </row>
    <row r="2254" spans="1:22">
      <c r="A2254" s="3">
        <v>45751</v>
      </c>
      <c r="B2254" t="str">
        <f t="shared" si="245"/>
        <v>yyyy-04</v>
      </c>
      <c r="C2254">
        <f t="shared" si="246"/>
        <v>14</v>
      </c>
      <c r="D2254" t="s">
        <v>66</v>
      </c>
      <c r="E2254" t="s">
        <v>67</v>
      </c>
      <c r="F2254" t="s">
        <v>68</v>
      </c>
      <c r="G2254" t="s">
        <v>36</v>
      </c>
      <c r="H2254" t="s">
        <v>37</v>
      </c>
      <c r="I2254" s="5">
        <v>401</v>
      </c>
      <c r="J2254" s="5">
        <v>270</v>
      </c>
      <c r="K2254" s="5">
        <v>40</v>
      </c>
      <c r="L2254" s="5">
        <v>9</v>
      </c>
      <c r="M2254" s="5">
        <v>9</v>
      </c>
      <c r="N2254" s="7">
        <v>693.19</v>
      </c>
      <c r="O2254" s="7">
        <f t="shared" si="247"/>
        <v>6238.7100000000009</v>
      </c>
      <c r="P2254" s="4">
        <v>0.03</v>
      </c>
      <c r="Q2254" s="7">
        <f t="shared" si="248"/>
        <v>187.16130000000001</v>
      </c>
      <c r="R2254" s="7">
        <f t="shared" si="249"/>
        <v>6051.5487000000012</v>
      </c>
      <c r="S2254" s="7">
        <f t="shared" si="250"/>
        <v>672.39430000000016</v>
      </c>
      <c r="T2254" s="6">
        <f t="shared" si="251"/>
        <v>2.2443890274314215E-2</v>
      </c>
      <c r="V2254" t="s">
        <v>29</v>
      </c>
    </row>
    <row r="2255" spans="1:22">
      <c r="A2255" s="3">
        <v>45751</v>
      </c>
      <c r="B2255" t="str">
        <f t="shared" si="245"/>
        <v>yyyy-04</v>
      </c>
      <c r="C2255">
        <f t="shared" si="246"/>
        <v>14</v>
      </c>
      <c r="D2255" t="s">
        <v>66</v>
      </c>
      <c r="E2255" t="s">
        <v>67</v>
      </c>
      <c r="F2255" t="s">
        <v>69</v>
      </c>
      <c r="G2255" t="s">
        <v>36</v>
      </c>
      <c r="H2255" t="s">
        <v>37</v>
      </c>
      <c r="I2255" s="5">
        <v>471</v>
      </c>
      <c r="J2255" s="5">
        <v>371</v>
      </c>
      <c r="K2255" s="5">
        <v>39</v>
      </c>
      <c r="L2255" s="5">
        <v>6</v>
      </c>
      <c r="M2255" s="5">
        <v>6</v>
      </c>
      <c r="N2255" s="7">
        <v>406.81</v>
      </c>
      <c r="O2255" s="7">
        <f t="shared" si="247"/>
        <v>2440.86</v>
      </c>
      <c r="P2255" s="4">
        <v>0</v>
      </c>
      <c r="Q2255" s="7">
        <f t="shared" si="248"/>
        <v>0</v>
      </c>
      <c r="R2255" s="7">
        <f t="shared" si="249"/>
        <v>2440.86</v>
      </c>
      <c r="S2255" s="7">
        <f t="shared" si="250"/>
        <v>406.81</v>
      </c>
      <c r="T2255" s="6">
        <f t="shared" si="251"/>
        <v>1.2738853503184714E-2</v>
      </c>
      <c r="V2255" t="s">
        <v>29</v>
      </c>
    </row>
    <row r="2256" spans="1:22">
      <c r="A2256" s="3">
        <v>45751</v>
      </c>
      <c r="B2256" t="str">
        <f t="shared" si="245"/>
        <v>yyyy-04</v>
      </c>
      <c r="C2256">
        <f t="shared" si="246"/>
        <v>14</v>
      </c>
      <c r="D2256" t="s">
        <v>66</v>
      </c>
      <c r="E2256" t="s">
        <v>67</v>
      </c>
      <c r="F2256" t="s">
        <v>70</v>
      </c>
      <c r="G2256" t="s">
        <v>31</v>
      </c>
      <c r="H2256" t="s">
        <v>32</v>
      </c>
      <c r="I2256" s="5">
        <v>441</v>
      </c>
      <c r="J2256" s="5">
        <v>280</v>
      </c>
      <c r="K2256" s="5">
        <v>30</v>
      </c>
      <c r="L2256" s="5">
        <v>7</v>
      </c>
      <c r="M2256" s="5">
        <v>7</v>
      </c>
      <c r="N2256" s="7">
        <v>350.25</v>
      </c>
      <c r="O2256" s="7">
        <f t="shared" si="247"/>
        <v>2451.75</v>
      </c>
      <c r="P2256" s="4">
        <v>0</v>
      </c>
      <c r="Q2256" s="7">
        <f t="shared" si="248"/>
        <v>0</v>
      </c>
      <c r="R2256" s="7">
        <f t="shared" si="249"/>
        <v>2451.75</v>
      </c>
      <c r="S2256" s="7">
        <f t="shared" si="250"/>
        <v>350.25</v>
      </c>
      <c r="T2256" s="6">
        <f t="shared" si="251"/>
        <v>1.5873015873015872E-2</v>
      </c>
      <c r="V2256" t="s">
        <v>29</v>
      </c>
    </row>
    <row r="2257" spans="1:22">
      <c r="A2257" s="3">
        <v>45751</v>
      </c>
      <c r="B2257" t="str">
        <f t="shared" si="245"/>
        <v>yyyy-04</v>
      </c>
      <c r="C2257">
        <f t="shared" si="246"/>
        <v>14</v>
      </c>
      <c r="D2257" t="s">
        <v>66</v>
      </c>
      <c r="E2257" t="s">
        <v>71</v>
      </c>
      <c r="F2257" t="s">
        <v>72</v>
      </c>
      <c r="G2257" t="s">
        <v>31</v>
      </c>
      <c r="H2257" t="s">
        <v>32</v>
      </c>
      <c r="I2257" s="5">
        <v>355</v>
      </c>
      <c r="J2257" s="5">
        <v>266</v>
      </c>
      <c r="K2257" s="5">
        <v>31</v>
      </c>
      <c r="L2257" s="5">
        <v>7</v>
      </c>
      <c r="M2257" s="5">
        <v>8</v>
      </c>
      <c r="N2257" s="7">
        <v>124.62</v>
      </c>
      <c r="O2257" s="7">
        <f t="shared" si="247"/>
        <v>996.96</v>
      </c>
      <c r="P2257" s="4">
        <v>0</v>
      </c>
      <c r="Q2257" s="7">
        <f t="shared" si="248"/>
        <v>0</v>
      </c>
      <c r="R2257" s="7">
        <f t="shared" si="249"/>
        <v>996.96</v>
      </c>
      <c r="S2257" s="7">
        <f t="shared" si="250"/>
        <v>142.42285714285714</v>
      </c>
      <c r="T2257" s="6">
        <f t="shared" si="251"/>
        <v>1.9718309859154931E-2</v>
      </c>
      <c r="V2257" t="s">
        <v>29</v>
      </c>
    </row>
    <row r="2258" spans="1:22">
      <c r="A2258" s="3">
        <v>45751</v>
      </c>
      <c r="B2258" t="str">
        <f t="shared" si="245"/>
        <v>yyyy-04</v>
      </c>
      <c r="C2258">
        <f t="shared" si="246"/>
        <v>14</v>
      </c>
      <c r="D2258" t="s">
        <v>66</v>
      </c>
      <c r="E2258" t="s">
        <v>73</v>
      </c>
      <c r="F2258" t="s">
        <v>74</v>
      </c>
      <c r="G2258" t="s">
        <v>27</v>
      </c>
      <c r="H2258" t="s">
        <v>45</v>
      </c>
      <c r="I2258" s="5">
        <v>210</v>
      </c>
      <c r="J2258" s="5">
        <v>173</v>
      </c>
      <c r="K2258" s="5">
        <v>17</v>
      </c>
      <c r="L2258" s="5">
        <v>3</v>
      </c>
      <c r="M2258" s="5">
        <v>3</v>
      </c>
      <c r="N2258" s="7">
        <v>1158.5999999999999</v>
      </c>
      <c r="O2258" s="7">
        <f t="shared" si="247"/>
        <v>3475.7999999999997</v>
      </c>
      <c r="P2258" s="4">
        <v>0.03</v>
      </c>
      <c r="Q2258" s="7">
        <f t="shared" si="248"/>
        <v>104.27399999999999</v>
      </c>
      <c r="R2258" s="7">
        <f t="shared" si="249"/>
        <v>3371.5259999999998</v>
      </c>
      <c r="S2258" s="7">
        <f t="shared" si="250"/>
        <v>1123.8419999999999</v>
      </c>
      <c r="T2258" s="6">
        <f t="shared" si="251"/>
        <v>1.4285714285714285E-2</v>
      </c>
      <c r="V2258" t="s">
        <v>29</v>
      </c>
    </row>
    <row r="2259" spans="1:22">
      <c r="A2259" s="3">
        <v>45751</v>
      </c>
      <c r="B2259" t="str">
        <f t="shared" si="245"/>
        <v>yyyy-04</v>
      </c>
      <c r="C2259">
        <f t="shared" si="246"/>
        <v>14</v>
      </c>
      <c r="D2259" t="s">
        <v>66</v>
      </c>
      <c r="E2259" t="s">
        <v>71</v>
      </c>
      <c r="F2259" t="s">
        <v>75</v>
      </c>
      <c r="G2259" t="s">
        <v>36</v>
      </c>
      <c r="H2259" t="s">
        <v>37</v>
      </c>
      <c r="I2259" s="5">
        <v>380</v>
      </c>
      <c r="J2259" s="5">
        <v>208</v>
      </c>
      <c r="K2259" s="5">
        <v>29</v>
      </c>
      <c r="L2259" s="5">
        <v>6</v>
      </c>
      <c r="M2259" s="5">
        <v>8</v>
      </c>
      <c r="N2259" s="7">
        <v>38.549999999999997</v>
      </c>
      <c r="O2259" s="7">
        <f t="shared" si="247"/>
        <v>308.39999999999998</v>
      </c>
      <c r="P2259" s="4">
        <v>0.03</v>
      </c>
      <c r="Q2259" s="7">
        <f t="shared" si="248"/>
        <v>9.2519999999999989</v>
      </c>
      <c r="R2259" s="7">
        <f t="shared" si="249"/>
        <v>299.14799999999997</v>
      </c>
      <c r="S2259" s="7">
        <f t="shared" si="250"/>
        <v>49.857999999999997</v>
      </c>
      <c r="T2259" s="6">
        <f t="shared" si="251"/>
        <v>1.5789473684210527E-2</v>
      </c>
      <c r="V2259" t="s">
        <v>29</v>
      </c>
    </row>
    <row r="2260" spans="1:22">
      <c r="A2260" s="3">
        <v>45751</v>
      </c>
      <c r="B2260" t="str">
        <f t="shared" si="245"/>
        <v>yyyy-04</v>
      </c>
      <c r="C2260">
        <f t="shared" si="246"/>
        <v>14</v>
      </c>
      <c r="D2260" t="s">
        <v>24</v>
      </c>
      <c r="E2260" t="s">
        <v>76</v>
      </c>
      <c r="F2260" t="s">
        <v>77</v>
      </c>
      <c r="G2260" t="s">
        <v>31</v>
      </c>
      <c r="H2260" t="s">
        <v>32</v>
      </c>
      <c r="I2260" s="5">
        <v>662</v>
      </c>
      <c r="J2260" s="5">
        <v>446</v>
      </c>
      <c r="K2260" s="5">
        <v>49</v>
      </c>
      <c r="L2260" s="5">
        <v>11</v>
      </c>
      <c r="M2260" s="5">
        <v>13</v>
      </c>
      <c r="N2260" s="7">
        <v>191.58</v>
      </c>
      <c r="O2260" s="7">
        <f t="shared" si="247"/>
        <v>2490.54</v>
      </c>
      <c r="P2260" s="4">
        <v>0</v>
      </c>
      <c r="Q2260" s="7">
        <f t="shared" si="248"/>
        <v>0</v>
      </c>
      <c r="R2260" s="7">
        <f t="shared" si="249"/>
        <v>2490.54</v>
      </c>
      <c r="S2260" s="7">
        <f t="shared" si="250"/>
        <v>226.41272727272727</v>
      </c>
      <c r="T2260" s="6">
        <f t="shared" si="251"/>
        <v>1.6616314199395771E-2</v>
      </c>
      <c r="V2260" t="s">
        <v>29</v>
      </c>
    </row>
    <row r="2261" spans="1:22">
      <c r="A2261" s="3">
        <v>45752</v>
      </c>
      <c r="B2261" t="str">
        <f t="shared" si="245"/>
        <v>yyyy-04</v>
      </c>
      <c r="C2261">
        <f t="shared" si="246"/>
        <v>14</v>
      </c>
      <c r="D2261" t="s">
        <v>24</v>
      </c>
      <c r="E2261" t="s">
        <v>25</v>
      </c>
      <c r="F2261" t="s">
        <v>26</v>
      </c>
      <c r="G2261" t="s">
        <v>27</v>
      </c>
      <c r="H2261" t="s">
        <v>45</v>
      </c>
      <c r="I2261" s="5">
        <v>1679</v>
      </c>
      <c r="J2261" s="5">
        <v>1387</v>
      </c>
      <c r="K2261" s="5">
        <v>164</v>
      </c>
      <c r="L2261" s="5">
        <v>32</v>
      </c>
      <c r="M2261" s="5">
        <v>32</v>
      </c>
      <c r="N2261" s="7">
        <v>1018.42</v>
      </c>
      <c r="O2261" s="7">
        <f t="shared" si="247"/>
        <v>32589.439999999999</v>
      </c>
      <c r="P2261" s="4">
        <v>0.05</v>
      </c>
      <c r="Q2261" s="7">
        <f t="shared" si="248"/>
        <v>1629.472</v>
      </c>
      <c r="R2261" s="7">
        <f t="shared" si="249"/>
        <v>30959.967999999997</v>
      </c>
      <c r="S2261" s="7">
        <f t="shared" si="250"/>
        <v>967.49899999999991</v>
      </c>
      <c r="T2261" s="6">
        <f t="shared" si="251"/>
        <v>1.9058963668850508E-2</v>
      </c>
      <c r="V2261" t="s">
        <v>29</v>
      </c>
    </row>
    <row r="2262" spans="1:22">
      <c r="A2262" s="3">
        <v>45752</v>
      </c>
      <c r="B2262" t="str">
        <f t="shared" si="245"/>
        <v>yyyy-04</v>
      </c>
      <c r="C2262">
        <f t="shared" si="246"/>
        <v>14</v>
      </c>
      <c r="D2262" t="s">
        <v>24</v>
      </c>
      <c r="E2262" t="s">
        <v>25</v>
      </c>
      <c r="F2262" t="s">
        <v>30</v>
      </c>
      <c r="G2262" t="s">
        <v>27</v>
      </c>
      <c r="H2262" t="s">
        <v>45</v>
      </c>
      <c r="I2262" s="5">
        <v>1485</v>
      </c>
      <c r="J2262" s="5">
        <v>1070</v>
      </c>
      <c r="K2262" s="5">
        <v>141</v>
      </c>
      <c r="L2262" s="5">
        <v>36</v>
      </c>
      <c r="M2262" s="5">
        <v>36</v>
      </c>
      <c r="N2262" s="7">
        <v>390.91</v>
      </c>
      <c r="O2262" s="7">
        <f t="shared" si="247"/>
        <v>14072.76</v>
      </c>
      <c r="P2262" s="4">
        <v>0</v>
      </c>
      <c r="Q2262" s="7">
        <f t="shared" si="248"/>
        <v>0</v>
      </c>
      <c r="R2262" s="7">
        <f t="shared" si="249"/>
        <v>14072.76</v>
      </c>
      <c r="S2262" s="7">
        <f t="shared" si="250"/>
        <v>390.91</v>
      </c>
      <c r="T2262" s="6">
        <f t="shared" si="251"/>
        <v>2.4242424242424242E-2</v>
      </c>
      <c r="V2262" t="s">
        <v>29</v>
      </c>
    </row>
    <row r="2263" spans="1:22">
      <c r="A2263" s="3">
        <v>45752</v>
      </c>
      <c r="B2263" t="str">
        <f t="shared" si="245"/>
        <v>yyyy-04</v>
      </c>
      <c r="C2263">
        <f t="shared" si="246"/>
        <v>14</v>
      </c>
      <c r="D2263" t="s">
        <v>24</v>
      </c>
      <c r="E2263" t="s">
        <v>25</v>
      </c>
      <c r="F2263" t="s">
        <v>33</v>
      </c>
      <c r="G2263" t="s">
        <v>36</v>
      </c>
      <c r="H2263" t="s">
        <v>37</v>
      </c>
      <c r="I2263" s="5">
        <v>2547</v>
      </c>
      <c r="J2263" s="5">
        <v>1593</v>
      </c>
      <c r="K2263" s="5">
        <v>120</v>
      </c>
      <c r="L2263" s="5">
        <v>48</v>
      </c>
      <c r="M2263" s="5">
        <v>48</v>
      </c>
      <c r="N2263" s="7">
        <v>1778.05</v>
      </c>
      <c r="O2263" s="7">
        <f t="shared" si="247"/>
        <v>85346.4</v>
      </c>
      <c r="P2263" s="4">
        <v>0</v>
      </c>
      <c r="Q2263" s="7">
        <f t="shared" si="248"/>
        <v>0</v>
      </c>
      <c r="R2263" s="7">
        <f t="shared" si="249"/>
        <v>85346.4</v>
      </c>
      <c r="S2263" s="7">
        <f t="shared" si="250"/>
        <v>1778.05</v>
      </c>
      <c r="T2263" s="6">
        <f t="shared" si="251"/>
        <v>1.884570082449941E-2</v>
      </c>
      <c r="V2263" t="s">
        <v>29</v>
      </c>
    </row>
    <row r="2264" spans="1:22">
      <c r="A2264" s="3">
        <v>45752</v>
      </c>
      <c r="B2264" t="str">
        <f t="shared" si="245"/>
        <v>yyyy-04</v>
      </c>
      <c r="C2264">
        <f t="shared" si="246"/>
        <v>14</v>
      </c>
      <c r="D2264" t="s">
        <v>24</v>
      </c>
      <c r="E2264" t="s">
        <v>34</v>
      </c>
      <c r="F2264" t="s">
        <v>35</v>
      </c>
      <c r="G2264" t="s">
        <v>31</v>
      </c>
      <c r="H2264" t="s">
        <v>32</v>
      </c>
      <c r="I2264" s="5">
        <v>1545</v>
      </c>
      <c r="J2264" s="5">
        <v>1218</v>
      </c>
      <c r="K2264" s="5">
        <v>157</v>
      </c>
      <c r="L2264" s="5">
        <v>37</v>
      </c>
      <c r="M2264" s="5">
        <v>37</v>
      </c>
      <c r="N2264" s="7">
        <v>905.08</v>
      </c>
      <c r="O2264" s="7">
        <f t="shared" si="247"/>
        <v>33487.96</v>
      </c>
      <c r="P2264" s="4">
        <v>0.08</v>
      </c>
      <c r="Q2264" s="7">
        <f t="shared" si="248"/>
        <v>2679.0367999999999</v>
      </c>
      <c r="R2264" s="7">
        <f t="shared" si="249"/>
        <v>30808.923199999997</v>
      </c>
      <c r="S2264" s="7">
        <f t="shared" si="250"/>
        <v>832.67359999999996</v>
      </c>
      <c r="T2264" s="6">
        <f t="shared" si="251"/>
        <v>2.3948220064724919E-2</v>
      </c>
      <c r="U2264" t="s">
        <v>92</v>
      </c>
      <c r="V2264" t="s">
        <v>29</v>
      </c>
    </row>
    <row r="2265" spans="1:22">
      <c r="A2265" s="3">
        <v>45752</v>
      </c>
      <c r="B2265" t="str">
        <f t="shared" si="245"/>
        <v>yyyy-04</v>
      </c>
      <c r="C2265">
        <f t="shared" si="246"/>
        <v>14</v>
      </c>
      <c r="D2265" t="s">
        <v>24</v>
      </c>
      <c r="E2265" t="s">
        <v>38</v>
      </c>
      <c r="F2265" t="s">
        <v>39</v>
      </c>
      <c r="G2265" t="s">
        <v>27</v>
      </c>
      <c r="H2265" t="s">
        <v>28</v>
      </c>
      <c r="I2265" s="5">
        <v>599</v>
      </c>
      <c r="J2265" s="5">
        <v>331</v>
      </c>
      <c r="K2265" s="5">
        <v>37</v>
      </c>
      <c r="L2265" s="5">
        <v>9</v>
      </c>
      <c r="M2265" s="5">
        <v>9</v>
      </c>
      <c r="N2265" s="7">
        <v>327.99</v>
      </c>
      <c r="O2265" s="7">
        <f t="shared" si="247"/>
        <v>2951.91</v>
      </c>
      <c r="P2265" s="4">
        <v>0</v>
      </c>
      <c r="Q2265" s="7">
        <f t="shared" si="248"/>
        <v>0</v>
      </c>
      <c r="R2265" s="7">
        <f t="shared" si="249"/>
        <v>2951.91</v>
      </c>
      <c r="S2265" s="7">
        <f t="shared" si="250"/>
        <v>327.99</v>
      </c>
      <c r="T2265" s="6">
        <f t="shared" si="251"/>
        <v>1.5025041736227046E-2</v>
      </c>
      <c r="V2265" t="s">
        <v>29</v>
      </c>
    </row>
    <row r="2266" spans="1:22">
      <c r="A2266" s="3">
        <v>45752</v>
      </c>
      <c r="B2266" t="str">
        <f t="shared" si="245"/>
        <v>yyyy-04</v>
      </c>
      <c r="C2266">
        <f t="shared" si="246"/>
        <v>14</v>
      </c>
      <c r="D2266" t="s">
        <v>24</v>
      </c>
      <c r="E2266" t="s">
        <v>40</v>
      </c>
      <c r="F2266" t="s">
        <v>41</v>
      </c>
      <c r="G2266" t="s">
        <v>27</v>
      </c>
      <c r="H2266" t="s">
        <v>63</v>
      </c>
      <c r="I2266" s="5">
        <v>622</v>
      </c>
      <c r="J2266" s="5">
        <v>362</v>
      </c>
      <c r="K2266" s="5">
        <v>56</v>
      </c>
      <c r="L2266" s="5">
        <v>13</v>
      </c>
      <c r="M2266" s="5">
        <v>15</v>
      </c>
      <c r="N2266" s="7">
        <v>177.01</v>
      </c>
      <c r="O2266" s="7">
        <f t="shared" si="247"/>
        <v>2655.1499999999996</v>
      </c>
      <c r="P2266" s="4">
        <v>0</v>
      </c>
      <c r="Q2266" s="7">
        <f t="shared" si="248"/>
        <v>0</v>
      </c>
      <c r="R2266" s="7">
        <f t="shared" si="249"/>
        <v>2655.1499999999996</v>
      </c>
      <c r="S2266" s="7">
        <f t="shared" si="250"/>
        <v>204.24230769230766</v>
      </c>
      <c r="T2266" s="6">
        <f t="shared" si="251"/>
        <v>2.0900321543408359E-2</v>
      </c>
      <c r="V2266" t="s">
        <v>29</v>
      </c>
    </row>
    <row r="2267" spans="1:22">
      <c r="A2267" s="3">
        <v>45752</v>
      </c>
      <c r="B2267" t="str">
        <f t="shared" si="245"/>
        <v>yyyy-04</v>
      </c>
      <c r="C2267">
        <f t="shared" si="246"/>
        <v>14</v>
      </c>
      <c r="D2267" t="s">
        <v>42</v>
      </c>
      <c r="E2267" t="s">
        <v>43</v>
      </c>
      <c r="F2267" t="s">
        <v>44</v>
      </c>
      <c r="G2267" t="s">
        <v>27</v>
      </c>
      <c r="H2267" t="s">
        <v>45</v>
      </c>
      <c r="I2267" s="5">
        <v>365</v>
      </c>
      <c r="J2267" s="5">
        <v>194</v>
      </c>
      <c r="K2267" s="5">
        <v>29</v>
      </c>
      <c r="L2267" s="5">
        <v>8</v>
      </c>
      <c r="M2267" s="5">
        <v>8</v>
      </c>
      <c r="N2267" s="7">
        <v>1317.42</v>
      </c>
      <c r="O2267" s="7">
        <f t="shared" si="247"/>
        <v>10539.36</v>
      </c>
      <c r="P2267" s="4">
        <v>0.12</v>
      </c>
      <c r="Q2267" s="7">
        <f t="shared" si="248"/>
        <v>1264.7232000000001</v>
      </c>
      <c r="R2267" s="7">
        <f t="shared" si="249"/>
        <v>9274.6368000000002</v>
      </c>
      <c r="S2267" s="7">
        <f t="shared" si="250"/>
        <v>1159.3296</v>
      </c>
      <c r="T2267" s="6">
        <f t="shared" si="251"/>
        <v>2.1917808219178082E-2</v>
      </c>
      <c r="U2267" t="s">
        <v>91</v>
      </c>
      <c r="V2267" t="s">
        <v>29</v>
      </c>
    </row>
    <row r="2268" spans="1:22">
      <c r="A2268" s="3">
        <v>45752</v>
      </c>
      <c r="B2268" t="str">
        <f t="shared" si="245"/>
        <v>yyyy-04</v>
      </c>
      <c r="C2268">
        <f t="shared" si="246"/>
        <v>14</v>
      </c>
      <c r="D2268" t="s">
        <v>42</v>
      </c>
      <c r="E2268" t="s">
        <v>43</v>
      </c>
      <c r="F2268" t="s">
        <v>46</v>
      </c>
      <c r="G2268" t="s">
        <v>31</v>
      </c>
      <c r="H2268" t="s">
        <v>32</v>
      </c>
      <c r="I2268" s="5">
        <v>690</v>
      </c>
      <c r="J2268" s="5">
        <v>361</v>
      </c>
      <c r="K2268" s="5">
        <v>51</v>
      </c>
      <c r="L2268" s="5">
        <v>14</v>
      </c>
      <c r="M2268" s="5">
        <v>14</v>
      </c>
      <c r="N2268" s="7">
        <v>2172.46</v>
      </c>
      <c r="O2268" s="7">
        <f t="shared" si="247"/>
        <v>30414.440000000002</v>
      </c>
      <c r="P2268" s="4">
        <v>0.12</v>
      </c>
      <c r="Q2268" s="7">
        <f t="shared" si="248"/>
        <v>3649.7328000000002</v>
      </c>
      <c r="R2268" s="7">
        <f t="shared" si="249"/>
        <v>26764.707200000001</v>
      </c>
      <c r="S2268" s="7">
        <f t="shared" si="250"/>
        <v>1911.7648000000002</v>
      </c>
      <c r="T2268" s="6">
        <f t="shared" si="251"/>
        <v>2.0289855072463767E-2</v>
      </c>
      <c r="U2268" t="s">
        <v>91</v>
      </c>
      <c r="V2268" t="s">
        <v>29</v>
      </c>
    </row>
    <row r="2269" spans="1:22">
      <c r="A2269" s="3">
        <v>45752</v>
      </c>
      <c r="B2269" t="str">
        <f t="shared" si="245"/>
        <v>yyyy-04</v>
      </c>
      <c r="C2269">
        <f t="shared" si="246"/>
        <v>14</v>
      </c>
      <c r="D2269" t="s">
        <v>42</v>
      </c>
      <c r="E2269" t="s">
        <v>43</v>
      </c>
      <c r="F2269" t="s">
        <v>47</v>
      </c>
      <c r="G2269" t="s">
        <v>27</v>
      </c>
      <c r="H2269" t="s">
        <v>63</v>
      </c>
      <c r="I2269" s="5">
        <v>426</v>
      </c>
      <c r="J2269" s="5">
        <v>336</v>
      </c>
      <c r="K2269" s="5">
        <v>22</v>
      </c>
      <c r="L2269" s="5">
        <v>5</v>
      </c>
      <c r="M2269" s="5">
        <v>5</v>
      </c>
      <c r="N2269" s="7">
        <v>589.25</v>
      </c>
      <c r="O2269" s="7">
        <f t="shared" si="247"/>
        <v>2946.25</v>
      </c>
      <c r="P2269" s="4">
        <v>0.12</v>
      </c>
      <c r="Q2269" s="7">
        <f t="shared" si="248"/>
        <v>353.55</v>
      </c>
      <c r="R2269" s="7">
        <f t="shared" si="249"/>
        <v>2592.6999999999998</v>
      </c>
      <c r="S2269" s="7">
        <f t="shared" si="250"/>
        <v>518.54</v>
      </c>
      <c r="T2269" s="6">
        <f t="shared" si="251"/>
        <v>1.1737089201877934E-2</v>
      </c>
      <c r="U2269" t="s">
        <v>91</v>
      </c>
      <c r="V2269" t="s">
        <v>78</v>
      </c>
    </row>
    <row r="2270" spans="1:22">
      <c r="A2270" s="3">
        <v>45752</v>
      </c>
      <c r="B2270" t="str">
        <f t="shared" si="245"/>
        <v>yyyy-04</v>
      </c>
      <c r="C2270">
        <f t="shared" si="246"/>
        <v>14</v>
      </c>
      <c r="D2270" t="s">
        <v>42</v>
      </c>
      <c r="E2270" t="s">
        <v>49</v>
      </c>
      <c r="F2270" t="s">
        <v>50</v>
      </c>
      <c r="G2270" t="s">
        <v>31</v>
      </c>
      <c r="H2270" t="s">
        <v>32</v>
      </c>
      <c r="I2270" s="5">
        <v>235</v>
      </c>
      <c r="J2270" s="5">
        <v>124</v>
      </c>
      <c r="K2270" s="5">
        <v>15</v>
      </c>
      <c r="L2270" s="5">
        <v>4</v>
      </c>
      <c r="M2270" s="5">
        <v>4</v>
      </c>
      <c r="N2270" s="7">
        <v>992.1</v>
      </c>
      <c r="O2270" s="7">
        <f t="shared" si="247"/>
        <v>3968.4</v>
      </c>
      <c r="P2270" s="4">
        <v>0</v>
      </c>
      <c r="Q2270" s="7">
        <f t="shared" si="248"/>
        <v>0</v>
      </c>
      <c r="R2270" s="7">
        <f t="shared" si="249"/>
        <v>3968.4</v>
      </c>
      <c r="S2270" s="7">
        <f t="shared" si="250"/>
        <v>992.1</v>
      </c>
      <c r="T2270" s="6">
        <f t="shared" si="251"/>
        <v>1.7021276595744681E-2</v>
      </c>
      <c r="V2270" t="s">
        <v>29</v>
      </c>
    </row>
    <row r="2271" spans="1:22">
      <c r="A2271" s="3">
        <v>45752</v>
      </c>
      <c r="B2271" t="str">
        <f t="shared" si="245"/>
        <v>yyyy-04</v>
      </c>
      <c r="C2271">
        <f t="shared" si="246"/>
        <v>14</v>
      </c>
      <c r="D2271" t="s">
        <v>42</v>
      </c>
      <c r="E2271" t="s">
        <v>51</v>
      </c>
      <c r="F2271" t="s">
        <v>52</v>
      </c>
      <c r="G2271" t="s">
        <v>27</v>
      </c>
      <c r="H2271" t="s">
        <v>48</v>
      </c>
      <c r="I2271" s="5">
        <v>205</v>
      </c>
      <c r="J2271" s="5">
        <v>134</v>
      </c>
      <c r="K2271" s="5">
        <v>12</v>
      </c>
      <c r="L2271" s="5">
        <v>3</v>
      </c>
      <c r="M2271" s="5">
        <v>3</v>
      </c>
      <c r="N2271" s="7">
        <v>579.29999999999995</v>
      </c>
      <c r="O2271" s="7">
        <f t="shared" si="247"/>
        <v>1737.8999999999999</v>
      </c>
      <c r="P2271" s="4">
        <v>0</v>
      </c>
      <c r="Q2271" s="7">
        <f t="shared" si="248"/>
        <v>0</v>
      </c>
      <c r="R2271" s="7">
        <f t="shared" si="249"/>
        <v>1737.8999999999999</v>
      </c>
      <c r="S2271" s="7">
        <f t="shared" si="250"/>
        <v>579.29999999999995</v>
      </c>
      <c r="T2271" s="6">
        <f t="shared" si="251"/>
        <v>1.4634146341463415E-2</v>
      </c>
      <c r="V2271" t="s">
        <v>29</v>
      </c>
    </row>
    <row r="2272" spans="1:22">
      <c r="A2272" s="3">
        <v>45752</v>
      </c>
      <c r="B2272" t="str">
        <f t="shared" si="245"/>
        <v>yyyy-04</v>
      </c>
      <c r="C2272">
        <f t="shared" si="246"/>
        <v>14</v>
      </c>
      <c r="D2272" t="s">
        <v>53</v>
      </c>
      <c r="E2272" t="s">
        <v>54</v>
      </c>
      <c r="F2272" t="s">
        <v>55</v>
      </c>
      <c r="G2272" t="s">
        <v>27</v>
      </c>
      <c r="H2272" t="s">
        <v>28</v>
      </c>
      <c r="I2272" s="5">
        <v>212</v>
      </c>
      <c r="J2272" s="5">
        <v>171</v>
      </c>
      <c r="K2272" s="5">
        <v>8</v>
      </c>
      <c r="L2272" s="5">
        <v>3</v>
      </c>
      <c r="M2272" s="5">
        <v>3</v>
      </c>
      <c r="N2272" s="7">
        <v>1256.04</v>
      </c>
      <c r="O2272" s="7">
        <f t="shared" si="247"/>
        <v>3768.12</v>
      </c>
      <c r="P2272" s="4">
        <v>0</v>
      </c>
      <c r="Q2272" s="7">
        <f t="shared" si="248"/>
        <v>0</v>
      </c>
      <c r="R2272" s="7">
        <f t="shared" si="249"/>
        <v>3768.12</v>
      </c>
      <c r="S2272" s="7">
        <f t="shared" si="250"/>
        <v>1256.04</v>
      </c>
      <c r="T2272" s="6">
        <f t="shared" si="251"/>
        <v>1.4150943396226415E-2</v>
      </c>
      <c r="V2272" t="s">
        <v>29</v>
      </c>
    </row>
    <row r="2273" spans="1:22">
      <c r="A2273" s="3">
        <v>45752</v>
      </c>
      <c r="B2273" t="str">
        <f t="shared" si="245"/>
        <v>yyyy-04</v>
      </c>
      <c r="C2273">
        <f t="shared" si="246"/>
        <v>14</v>
      </c>
      <c r="D2273" t="s">
        <v>53</v>
      </c>
      <c r="E2273" t="s">
        <v>56</v>
      </c>
      <c r="F2273" t="s">
        <v>57</v>
      </c>
      <c r="G2273" t="s">
        <v>36</v>
      </c>
      <c r="H2273" t="s">
        <v>37</v>
      </c>
      <c r="I2273" s="5">
        <v>258</v>
      </c>
      <c r="J2273" s="5">
        <v>208</v>
      </c>
      <c r="K2273" s="5">
        <v>25</v>
      </c>
      <c r="L2273" s="5">
        <v>2</v>
      </c>
      <c r="M2273" s="5">
        <v>2</v>
      </c>
      <c r="N2273" s="7">
        <v>761.96</v>
      </c>
      <c r="O2273" s="7">
        <f t="shared" si="247"/>
        <v>1523.92</v>
      </c>
      <c r="P2273" s="4">
        <v>0</v>
      </c>
      <c r="Q2273" s="7">
        <f t="shared" si="248"/>
        <v>0</v>
      </c>
      <c r="R2273" s="7">
        <f t="shared" si="249"/>
        <v>1523.92</v>
      </c>
      <c r="S2273" s="7">
        <f t="shared" si="250"/>
        <v>761.96</v>
      </c>
      <c r="T2273" s="6">
        <f t="shared" si="251"/>
        <v>7.7519379844961239E-3</v>
      </c>
      <c r="V2273" t="s">
        <v>29</v>
      </c>
    </row>
    <row r="2274" spans="1:22">
      <c r="A2274" s="3">
        <v>45752</v>
      </c>
      <c r="B2274" t="str">
        <f t="shared" si="245"/>
        <v>yyyy-04</v>
      </c>
      <c r="C2274">
        <f t="shared" si="246"/>
        <v>14</v>
      </c>
      <c r="D2274" t="s">
        <v>53</v>
      </c>
      <c r="E2274" t="s">
        <v>56</v>
      </c>
      <c r="F2274" t="s">
        <v>58</v>
      </c>
      <c r="G2274" t="s">
        <v>27</v>
      </c>
      <c r="H2274" t="s">
        <v>28</v>
      </c>
      <c r="I2274" s="5">
        <v>240</v>
      </c>
      <c r="J2274" s="5">
        <v>136</v>
      </c>
      <c r="K2274" s="5">
        <v>13</v>
      </c>
      <c r="L2274" s="5">
        <v>3</v>
      </c>
      <c r="M2274" s="5">
        <v>3</v>
      </c>
      <c r="N2274" s="7">
        <v>896.48</v>
      </c>
      <c r="O2274" s="7">
        <f t="shared" si="247"/>
        <v>2689.44</v>
      </c>
      <c r="P2274" s="4">
        <v>0</v>
      </c>
      <c r="Q2274" s="7">
        <f t="shared" si="248"/>
        <v>0</v>
      </c>
      <c r="R2274" s="7">
        <f t="shared" si="249"/>
        <v>2689.44</v>
      </c>
      <c r="S2274" s="7">
        <f t="shared" si="250"/>
        <v>896.48</v>
      </c>
      <c r="T2274" s="6">
        <f t="shared" si="251"/>
        <v>1.2500000000000001E-2</v>
      </c>
      <c r="V2274" t="s">
        <v>29</v>
      </c>
    </row>
    <row r="2275" spans="1:22">
      <c r="A2275" s="3">
        <v>45752</v>
      </c>
      <c r="B2275" t="str">
        <f t="shared" si="245"/>
        <v>yyyy-04</v>
      </c>
      <c r="C2275">
        <f t="shared" si="246"/>
        <v>14</v>
      </c>
      <c r="D2275" t="s">
        <v>53</v>
      </c>
      <c r="E2275" t="s">
        <v>59</v>
      </c>
      <c r="F2275" t="s">
        <v>60</v>
      </c>
      <c r="G2275" t="s">
        <v>27</v>
      </c>
      <c r="H2275" t="s">
        <v>48</v>
      </c>
      <c r="I2275" s="5">
        <v>120</v>
      </c>
      <c r="J2275" s="5">
        <v>64</v>
      </c>
      <c r="K2275" s="5">
        <v>3</v>
      </c>
      <c r="L2275" s="5">
        <v>1</v>
      </c>
      <c r="M2275" s="5">
        <v>1</v>
      </c>
      <c r="N2275" s="7">
        <v>688.87</v>
      </c>
      <c r="O2275" s="7">
        <f t="shared" si="247"/>
        <v>688.87</v>
      </c>
      <c r="P2275" s="4">
        <v>0.03</v>
      </c>
      <c r="Q2275" s="7">
        <f t="shared" si="248"/>
        <v>20.6661</v>
      </c>
      <c r="R2275" s="7">
        <f t="shared" si="249"/>
        <v>668.20389999999998</v>
      </c>
      <c r="S2275" s="7">
        <f t="shared" si="250"/>
        <v>668.20389999999998</v>
      </c>
      <c r="T2275" s="6">
        <f t="shared" si="251"/>
        <v>8.3333333333333332E-3</v>
      </c>
      <c r="V2275" t="s">
        <v>29</v>
      </c>
    </row>
    <row r="2276" spans="1:22">
      <c r="A2276" s="3">
        <v>45752</v>
      </c>
      <c r="B2276" t="str">
        <f t="shared" si="245"/>
        <v>yyyy-04</v>
      </c>
      <c r="C2276">
        <f t="shared" si="246"/>
        <v>14</v>
      </c>
      <c r="D2276" t="s">
        <v>53</v>
      </c>
      <c r="E2276" t="s">
        <v>61</v>
      </c>
      <c r="F2276" t="s">
        <v>62</v>
      </c>
      <c r="G2276" t="s">
        <v>27</v>
      </c>
      <c r="H2276" t="s">
        <v>45</v>
      </c>
      <c r="I2276" s="5">
        <v>167</v>
      </c>
      <c r="J2276" s="5">
        <v>103</v>
      </c>
      <c r="K2276" s="5">
        <v>7</v>
      </c>
      <c r="L2276" s="5">
        <v>2</v>
      </c>
      <c r="M2276" s="5">
        <v>2</v>
      </c>
      <c r="N2276" s="7">
        <v>481.17</v>
      </c>
      <c r="O2276" s="7">
        <f t="shared" si="247"/>
        <v>962.34</v>
      </c>
      <c r="P2276" s="4">
        <v>0</v>
      </c>
      <c r="Q2276" s="7">
        <f t="shared" si="248"/>
        <v>0</v>
      </c>
      <c r="R2276" s="7">
        <f t="shared" si="249"/>
        <v>962.34</v>
      </c>
      <c r="S2276" s="7">
        <f t="shared" si="250"/>
        <v>481.17</v>
      </c>
      <c r="T2276" s="6">
        <f t="shared" si="251"/>
        <v>1.1976047904191617E-2</v>
      </c>
      <c r="V2276" t="s">
        <v>29</v>
      </c>
    </row>
    <row r="2277" spans="1:22">
      <c r="A2277" s="3">
        <v>45752</v>
      </c>
      <c r="B2277" t="str">
        <f t="shared" si="245"/>
        <v>yyyy-04</v>
      </c>
      <c r="C2277">
        <f t="shared" si="246"/>
        <v>14</v>
      </c>
      <c r="D2277" t="s">
        <v>53</v>
      </c>
      <c r="E2277" t="s">
        <v>64</v>
      </c>
      <c r="F2277" t="s">
        <v>65</v>
      </c>
      <c r="G2277" t="s">
        <v>36</v>
      </c>
      <c r="H2277" t="s">
        <v>37</v>
      </c>
      <c r="I2277" s="5">
        <v>234</v>
      </c>
      <c r="J2277" s="5">
        <v>172</v>
      </c>
      <c r="K2277" s="5">
        <v>13</v>
      </c>
      <c r="L2277" s="5">
        <v>3</v>
      </c>
      <c r="M2277" s="5">
        <v>3</v>
      </c>
      <c r="N2277" s="7">
        <v>808.64</v>
      </c>
      <c r="O2277" s="7">
        <f t="shared" si="247"/>
        <v>2425.92</v>
      </c>
      <c r="P2277" s="4">
        <v>0</v>
      </c>
      <c r="Q2277" s="7">
        <f t="shared" si="248"/>
        <v>0</v>
      </c>
      <c r="R2277" s="7">
        <f t="shared" si="249"/>
        <v>2425.92</v>
      </c>
      <c r="S2277" s="7">
        <f t="shared" si="250"/>
        <v>808.64</v>
      </c>
      <c r="T2277" s="6">
        <f t="shared" si="251"/>
        <v>1.282051282051282E-2</v>
      </c>
      <c r="V2277" t="s">
        <v>29</v>
      </c>
    </row>
    <row r="2278" spans="1:22">
      <c r="A2278" s="3">
        <v>45752</v>
      </c>
      <c r="B2278" t="str">
        <f t="shared" si="245"/>
        <v>yyyy-04</v>
      </c>
      <c r="C2278">
        <f t="shared" si="246"/>
        <v>14</v>
      </c>
      <c r="D2278" t="s">
        <v>66</v>
      </c>
      <c r="E2278" t="s">
        <v>67</v>
      </c>
      <c r="F2278" t="s">
        <v>68</v>
      </c>
      <c r="G2278" t="s">
        <v>27</v>
      </c>
      <c r="H2278" t="s">
        <v>28</v>
      </c>
      <c r="I2278" s="5">
        <v>234</v>
      </c>
      <c r="J2278" s="5">
        <v>161</v>
      </c>
      <c r="K2278" s="5">
        <v>17</v>
      </c>
      <c r="L2278" s="5">
        <v>3</v>
      </c>
      <c r="M2278" s="5">
        <v>3</v>
      </c>
      <c r="N2278" s="7">
        <v>707.97</v>
      </c>
      <c r="O2278" s="7">
        <f t="shared" si="247"/>
        <v>2123.91</v>
      </c>
      <c r="P2278" s="4">
        <v>0</v>
      </c>
      <c r="Q2278" s="7">
        <f t="shared" si="248"/>
        <v>0</v>
      </c>
      <c r="R2278" s="7">
        <f t="shared" si="249"/>
        <v>2123.91</v>
      </c>
      <c r="S2278" s="7">
        <f t="shared" si="250"/>
        <v>707.96999999999991</v>
      </c>
      <c r="T2278" s="6">
        <f t="shared" si="251"/>
        <v>1.282051282051282E-2</v>
      </c>
      <c r="V2278" t="s">
        <v>29</v>
      </c>
    </row>
    <row r="2279" spans="1:22">
      <c r="A2279" s="3">
        <v>45752</v>
      </c>
      <c r="B2279" t="str">
        <f t="shared" si="245"/>
        <v>yyyy-04</v>
      </c>
      <c r="C2279">
        <f t="shared" si="246"/>
        <v>14</v>
      </c>
      <c r="D2279" t="s">
        <v>66</v>
      </c>
      <c r="E2279" t="s">
        <v>67</v>
      </c>
      <c r="F2279" t="s">
        <v>69</v>
      </c>
      <c r="G2279" t="s">
        <v>36</v>
      </c>
      <c r="H2279" t="s">
        <v>37</v>
      </c>
      <c r="I2279" s="5">
        <v>462</v>
      </c>
      <c r="J2279" s="5">
        <v>312</v>
      </c>
      <c r="K2279" s="5">
        <v>44</v>
      </c>
      <c r="L2279" s="5">
        <v>10</v>
      </c>
      <c r="M2279" s="5">
        <v>10</v>
      </c>
      <c r="N2279" s="7">
        <v>385.97</v>
      </c>
      <c r="O2279" s="7">
        <f t="shared" si="247"/>
        <v>3859.7000000000003</v>
      </c>
      <c r="P2279" s="4">
        <v>0</v>
      </c>
      <c r="Q2279" s="7">
        <f t="shared" si="248"/>
        <v>0</v>
      </c>
      <c r="R2279" s="7">
        <f t="shared" si="249"/>
        <v>3859.7000000000003</v>
      </c>
      <c r="S2279" s="7">
        <f t="shared" si="250"/>
        <v>385.97</v>
      </c>
      <c r="T2279" s="6">
        <f t="shared" si="251"/>
        <v>2.1645021645021644E-2</v>
      </c>
      <c r="V2279" t="s">
        <v>29</v>
      </c>
    </row>
    <row r="2280" spans="1:22">
      <c r="A2280" s="3">
        <v>45752</v>
      </c>
      <c r="B2280" t="str">
        <f t="shared" si="245"/>
        <v>yyyy-04</v>
      </c>
      <c r="C2280">
        <f t="shared" si="246"/>
        <v>14</v>
      </c>
      <c r="D2280" t="s">
        <v>66</v>
      </c>
      <c r="E2280" t="s">
        <v>67</v>
      </c>
      <c r="F2280" t="s">
        <v>70</v>
      </c>
      <c r="G2280" t="s">
        <v>36</v>
      </c>
      <c r="H2280" t="s">
        <v>37</v>
      </c>
      <c r="I2280" s="5">
        <v>418</v>
      </c>
      <c r="J2280" s="5">
        <v>313</v>
      </c>
      <c r="K2280" s="5">
        <v>26</v>
      </c>
      <c r="L2280" s="5">
        <v>9</v>
      </c>
      <c r="M2280" s="5">
        <v>9</v>
      </c>
      <c r="N2280" s="7">
        <v>336.64</v>
      </c>
      <c r="O2280" s="7">
        <f t="shared" si="247"/>
        <v>3029.7599999999998</v>
      </c>
      <c r="P2280" s="4">
        <v>0.03</v>
      </c>
      <c r="Q2280" s="7">
        <f t="shared" si="248"/>
        <v>90.892799999999994</v>
      </c>
      <c r="R2280" s="7">
        <f t="shared" si="249"/>
        <v>2938.8671999999997</v>
      </c>
      <c r="S2280" s="7">
        <f t="shared" si="250"/>
        <v>326.54079999999999</v>
      </c>
      <c r="T2280" s="6">
        <f t="shared" si="251"/>
        <v>2.1531100478468901E-2</v>
      </c>
      <c r="V2280" t="s">
        <v>29</v>
      </c>
    </row>
    <row r="2281" spans="1:22">
      <c r="A2281" s="3">
        <v>45752</v>
      </c>
      <c r="B2281" t="str">
        <f t="shared" si="245"/>
        <v>yyyy-04</v>
      </c>
      <c r="C2281">
        <f t="shared" si="246"/>
        <v>14</v>
      </c>
      <c r="D2281" t="s">
        <v>66</v>
      </c>
      <c r="E2281" t="s">
        <v>71</v>
      </c>
      <c r="F2281" t="s">
        <v>72</v>
      </c>
      <c r="G2281" t="s">
        <v>36</v>
      </c>
      <c r="H2281" t="s">
        <v>37</v>
      </c>
      <c r="I2281" s="5">
        <v>446</v>
      </c>
      <c r="J2281" s="5">
        <v>283</v>
      </c>
      <c r="K2281" s="5">
        <v>32</v>
      </c>
      <c r="L2281" s="5">
        <v>9</v>
      </c>
      <c r="M2281" s="5">
        <v>10</v>
      </c>
      <c r="N2281" s="7">
        <v>126.75</v>
      </c>
      <c r="O2281" s="7">
        <f t="shared" si="247"/>
        <v>1267.5</v>
      </c>
      <c r="P2281" s="4">
        <v>0</v>
      </c>
      <c r="Q2281" s="7">
        <f t="shared" si="248"/>
        <v>0</v>
      </c>
      <c r="R2281" s="7">
        <f t="shared" si="249"/>
        <v>1267.5</v>
      </c>
      <c r="S2281" s="7">
        <f t="shared" si="250"/>
        <v>140.83333333333334</v>
      </c>
      <c r="T2281" s="6">
        <f t="shared" si="251"/>
        <v>2.0179372197309416E-2</v>
      </c>
      <c r="V2281" t="s">
        <v>29</v>
      </c>
    </row>
    <row r="2282" spans="1:22">
      <c r="A2282" s="3">
        <v>45752</v>
      </c>
      <c r="B2282" t="str">
        <f t="shared" si="245"/>
        <v>yyyy-04</v>
      </c>
      <c r="C2282">
        <f t="shared" si="246"/>
        <v>14</v>
      </c>
      <c r="D2282" t="s">
        <v>66</v>
      </c>
      <c r="E2282" t="s">
        <v>73</v>
      </c>
      <c r="F2282" t="s">
        <v>74</v>
      </c>
      <c r="G2282" t="s">
        <v>27</v>
      </c>
      <c r="H2282" t="s">
        <v>63</v>
      </c>
      <c r="I2282" s="5">
        <v>183</v>
      </c>
      <c r="J2282" s="5">
        <v>141</v>
      </c>
      <c r="K2282" s="5">
        <v>10</v>
      </c>
      <c r="L2282" s="5">
        <v>3</v>
      </c>
      <c r="M2282" s="5">
        <v>3</v>
      </c>
      <c r="N2282" s="7">
        <v>1162.08</v>
      </c>
      <c r="O2282" s="7">
        <f t="shared" si="247"/>
        <v>3486.24</v>
      </c>
      <c r="P2282" s="4">
        <v>0</v>
      </c>
      <c r="Q2282" s="7">
        <f t="shared" si="248"/>
        <v>0</v>
      </c>
      <c r="R2282" s="7">
        <f t="shared" si="249"/>
        <v>3486.24</v>
      </c>
      <c r="S2282" s="7">
        <f t="shared" si="250"/>
        <v>1162.08</v>
      </c>
      <c r="T2282" s="6">
        <f t="shared" si="251"/>
        <v>1.6393442622950821E-2</v>
      </c>
      <c r="V2282" t="s">
        <v>29</v>
      </c>
    </row>
    <row r="2283" spans="1:22">
      <c r="A2283" s="3">
        <v>45752</v>
      </c>
      <c r="B2283" t="str">
        <f t="shared" si="245"/>
        <v>yyyy-04</v>
      </c>
      <c r="C2283">
        <f t="shared" si="246"/>
        <v>14</v>
      </c>
      <c r="D2283" t="s">
        <v>66</v>
      </c>
      <c r="E2283" t="s">
        <v>71</v>
      </c>
      <c r="F2283" t="s">
        <v>75</v>
      </c>
      <c r="G2283" t="s">
        <v>27</v>
      </c>
      <c r="H2283" t="s">
        <v>45</v>
      </c>
      <c r="I2283" s="5">
        <v>365</v>
      </c>
      <c r="J2283" s="5">
        <v>221</v>
      </c>
      <c r="K2283" s="5">
        <v>27</v>
      </c>
      <c r="L2283" s="5">
        <v>8</v>
      </c>
      <c r="M2283" s="5">
        <v>9</v>
      </c>
      <c r="N2283" s="7">
        <v>37.68</v>
      </c>
      <c r="O2283" s="7">
        <f t="shared" si="247"/>
        <v>339.12</v>
      </c>
      <c r="P2283" s="4">
        <v>0</v>
      </c>
      <c r="Q2283" s="7">
        <f t="shared" si="248"/>
        <v>0</v>
      </c>
      <c r="R2283" s="7">
        <f t="shared" si="249"/>
        <v>339.12</v>
      </c>
      <c r="S2283" s="7">
        <f t="shared" si="250"/>
        <v>42.39</v>
      </c>
      <c r="T2283" s="6">
        <f t="shared" si="251"/>
        <v>2.1917808219178082E-2</v>
      </c>
      <c r="V2283" t="s">
        <v>29</v>
      </c>
    </row>
    <row r="2284" spans="1:22">
      <c r="A2284" s="3">
        <v>45752</v>
      </c>
      <c r="B2284" t="str">
        <f t="shared" si="245"/>
        <v>yyyy-04</v>
      </c>
      <c r="C2284">
        <f t="shared" si="246"/>
        <v>14</v>
      </c>
      <c r="D2284" t="s">
        <v>24</v>
      </c>
      <c r="E2284" t="s">
        <v>76</v>
      </c>
      <c r="F2284" t="s">
        <v>77</v>
      </c>
      <c r="G2284" t="s">
        <v>36</v>
      </c>
      <c r="H2284" t="s">
        <v>37</v>
      </c>
      <c r="I2284" s="5">
        <v>615</v>
      </c>
      <c r="J2284" s="5">
        <v>408</v>
      </c>
      <c r="K2284" s="5">
        <v>53</v>
      </c>
      <c r="L2284" s="5">
        <v>12</v>
      </c>
      <c r="M2284" s="5">
        <v>14</v>
      </c>
      <c r="N2284" s="7">
        <v>202.92</v>
      </c>
      <c r="O2284" s="7">
        <f t="shared" si="247"/>
        <v>2840.8799999999997</v>
      </c>
      <c r="P2284" s="4">
        <v>0</v>
      </c>
      <c r="Q2284" s="7">
        <f t="shared" si="248"/>
        <v>0</v>
      </c>
      <c r="R2284" s="7">
        <f t="shared" si="249"/>
        <v>2840.8799999999997</v>
      </c>
      <c r="S2284" s="7">
        <f t="shared" si="250"/>
        <v>236.73999999999998</v>
      </c>
      <c r="T2284" s="6">
        <f t="shared" si="251"/>
        <v>1.9512195121951219E-2</v>
      </c>
      <c r="V2284" t="s">
        <v>29</v>
      </c>
    </row>
    <row r="2285" spans="1:22">
      <c r="A2285" s="3">
        <v>45753</v>
      </c>
      <c r="B2285" t="str">
        <f t="shared" si="245"/>
        <v>yyyy-04</v>
      </c>
      <c r="C2285">
        <f t="shared" si="246"/>
        <v>14</v>
      </c>
      <c r="D2285" t="s">
        <v>24</v>
      </c>
      <c r="E2285" t="s">
        <v>25</v>
      </c>
      <c r="F2285" t="s">
        <v>26</v>
      </c>
      <c r="G2285" t="s">
        <v>27</v>
      </c>
      <c r="H2285" t="s">
        <v>45</v>
      </c>
      <c r="I2285" s="5">
        <v>1676</v>
      </c>
      <c r="J2285" s="5">
        <v>1036</v>
      </c>
      <c r="K2285" s="5">
        <v>154</v>
      </c>
      <c r="L2285" s="5">
        <v>43</v>
      </c>
      <c r="M2285" s="5">
        <v>43</v>
      </c>
      <c r="N2285" s="7">
        <v>1012.31</v>
      </c>
      <c r="O2285" s="7">
        <f t="shared" si="247"/>
        <v>43529.329999999994</v>
      </c>
      <c r="P2285" s="4">
        <v>0</v>
      </c>
      <c r="Q2285" s="7">
        <f t="shared" si="248"/>
        <v>0</v>
      </c>
      <c r="R2285" s="7">
        <f t="shared" si="249"/>
        <v>43529.329999999994</v>
      </c>
      <c r="S2285" s="7">
        <f t="shared" si="250"/>
        <v>1012.3099999999998</v>
      </c>
      <c r="T2285" s="6">
        <f t="shared" si="251"/>
        <v>2.5656324582338901E-2</v>
      </c>
      <c r="V2285" t="s">
        <v>29</v>
      </c>
    </row>
    <row r="2286" spans="1:22">
      <c r="A2286" s="3">
        <v>45753</v>
      </c>
      <c r="B2286" t="str">
        <f t="shared" si="245"/>
        <v>yyyy-04</v>
      </c>
      <c r="C2286">
        <f t="shared" si="246"/>
        <v>14</v>
      </c>
      <c r="D2286" t="s">
        <v>24</v>
      </c>
      <c r="E2286" t="s">
        <v>25</v>
      </c>
      <c r="F2286" t="s">
        <v>30</v>
      </c>
      <c r="G2286" t="s">
        <v>36</v>
      </c>
      <c r="H2286" t="s">
        <v>37</v>
      </c>
      <c r="I2286" s="5">
        <v>1957</v>
      </c>
      <c r="J2286" s="5">
        <v>1322</v>
      </c>
      <c r="K2286" s="5">
        <v>122</v>
      </c>
      <c r="L2286" s="5">
        <v>36</v>
      </c>
      <c r="M2286" s="5">
        <v>36</v>
      </c>
      <c r="N2286" s="7">
        <v>384.23</v>
      </c>
      <c r="O2286" s="7">
        <f t="shared" si="247"/>
        <v>13832.28</v>
      </c>
      <c r="P2286" s="4">
        <v>0</v>
      </c>
      <c r="Q2286" s="7">
        <f t="shared" si="248"/>
        <v>0</v>
      </c>
      <c r="R2286" s="7">
        <f t="shared" si="249"/>
        <v>13832.28</v>
      </c>
      <c r="S2286" s="7">
        <f t="shared" si="250"/>
        <v>384.23</v>
      </c>
      <c r="T2286" s="6">
        <f t="shared" si="251"/>
        <v>1.8395503321410323E-2</v>
      </c>
      <c r="V2286" t="s">
        <v>29</v>
      </c>
    </row>
    <row r="2287" spans="1:22">
      <c r="A2287" s="3">
        <v>45753</v>
      </c>
      <c r="B2287" t="str">
        <f t="shared" si="245"/>
        <v>yyyy-04</v>
      </c>
      <c r="C2287">
        <f t="shared" si="246"/>
        <v>14</v>
      </c>
      <c r="D2287" t="s">
        <v>24</v>
      </c>
      <c r="E2287" t="s">
        <v>25</v>
      </c>
      <c r="F2287" t="s">
        <v>33</v>
      </c>
      <c r="G2287" t="s">
        <v>27</v>
      </c>
      <c r="H2287" t="s">
        <v>28</v>
      </c>
      <c r="I2287" s="5">
        <v>1747</v>
      </c>
      <c r="J2287" s="5">
        <v>1126</v>
      </c>
      <c r="K2287" s="5">
        <v>97</v>
      </c>
      <c r="L2287" s="5">
        <v>29</v>
      </c>
      <c r="M2287" s="5">
        <v>29</v>
      </c>
      <c r="N2287" s="7">
        <v>1817.05</v>
      </c>
      <c r="O2287" s="7">
        <f t="shared" si="247"/>
        <v>52694.45</v>
      </c>
      <c r="P2287" s="4">
        <v>0</v>
      </c>
      <c r="Q2287" s="7">
        <f t="shared" si="248"/>
        <v>0</v>
      </c>
      <c r="R2287" s="7">
        <f t="shared" si="249"/>
        <v>52694.45</v>
      </c>
      <c r="S2287" s="7">
        <f t="shared" si="250"/>
        <v>1817.05</v>
      </c>
      <c r="T2287" s="6">
        <f t="shared" si="251"/>
        <v>1.6599885518030912E-2</v>
      </c>
      <c r="V2287" t="s">
        <v>29</v>
      </c>
    </row>
    <row r="2288" spans="1:22">
      <c r="A2288" s="3">
        <v>45753</v>
      </c>
      <c r="B2288" t="str">
        <f t="shared" si="245"/>
        <v>yyyy-04</v>
      </c>
      <c r="C2288">
        <f t="shared" si="246"/>
        <v>14</v>
      </c>
      <c r="D2288" t="s">
        <v>24</v>
      </c>
      <c r="E2288" t="s">
        <v>34</v>
      </c>
      <c r="F2288" t="s">
        <v>35</v>
      </c>
      <c r="G2288" t="s">
        <v>27</v>
      </c>
      <c r="H2288" t="s">
        <v>63</v>
      </c>
      <c r="I2288" s="5">
        <v>608</v>
      </c>
      <c r="J2288" s="5">
        <v>396</v>
      </c>
      <c r="K2288" s="5">
        <v>44</v>
      </c>
      <c r="L2288" s="5">
        <v>12</v>
      </c>
      <c r="M2288" s="5">
        <v>12</v>
      </c>
      <c r="N2288" s="7">
        <v>899.89</v>
      </c>
      <c r="O2288" s="7">
        <f t="shared" si="247"/>
        <v>10798.68</v>
      </c>
      <c r="P2288" s="4">
        <v>0.08</v>
      </c>
      <c r="Q2288" s="7">
        <f t="shared" si="248"/>
        <v>863.89440000000002</v>
      </c>
      <c r="R2288" s="7">
        <f t="shared" si="249"/>
        <v>9934.7856000000011</v>
      </c>
      <c r="S2288" s="7">
        <f t="shared" si="250"/>
        <v>827.89880000000005</v>
      </c>
      <c r="T2288" s="6">
        <f t="shared" si="251"/>
        <v>1.9736842105263157E-2</v>
      </c>
      <c r="U2288" t="s">
        <v>92</v>
      </c>
      <c r="V2288" t="s">
        <v>29</v>
      </c>
    </row>
    <row r="2289" spans="1:22">
      <c r="A2289" s="3">
        <v>45753</v>
      </c>
      <c r="B2289" t="str">
        <f t="shared" si="245"/>
        <v>yyyy-04</v>
      </c>
      <c r="C2289">
        <f t="shared" si="246"/>
        <v>14</v>
      </c>
      <c r="D2289" t="s">
        <v>24</v>
      </c>
      <c r="E2289" t="s">
        <v>38</v>
      </c>
      <c r="F2289" t="s">
        <v>39</v>
      </c>
      <c r="G2289" t="s">
        <v>31</v>
      </c>
      <c r="H2289" t="s">
        <v>32</v>
      </c>
      <c r="I2289" s="5">
        <v>999</v>
      </c>
      <c r="J2289" s="5">
        <v>583</v>
      </c>
      <c r="K2289" s="5">
        <v>100</v>
      </c>
      <c r="L2289" s="5">
        <v>21</v>
      </c>
      <c r="M2289" s="5">
        <v>21</v>
      </c>
      <c r="N2289" s="7">
        <v>329.49</v>
      </c>
      <c r="O2289" s="7">
        <f t="shared" si="247"/>
        <v>6919.29</v>
      </c>
      <c r="P2289" s="4">
        <v>0</v>
      </c>
      <c r="Q2289" s="7">
        <f t="shared" si="248"/>
        <v>0</v>
      </c>
      <c r="R2289" s="7">
        <f t="shared" si="249"/>
        <v>6919.29</v>
      </c>
      <c r="S2289" s="7">
        <f t="shared" si="250"/>
        <v>329.49</v>
      </c>
      <c r="T2289" s="6">
        <f t="shared" si="251"/>
        <v>2.1021021021021023E-2</v>
      </c>
      <c r="V2289" t="s">
        <v>29</v>
      </c>
    </row>
    <row r="2290" spans="1:22">
      <c r="A2290" s="3">
        <v>45753</v>
      </c>
      <c r="B2290" t="str">
        <f t="shared" si="245"/>
        <v>yyyy-04</v>
      </c>
      <c r="C2290">
        <f t="shared" si="246"/>
        <v>14</v>
      </c>
      <c r="D2290" t="s">
        <v>24</v>
      </c>
      <c r="E2290" t="s">
        <v>40</v>
      </c>
      <c r="F2290" t="s">
        <v>41</v>
      </c>
      <c r="G2290" t="s">
        <v>36</v>
      </c>
      <c r="H2290" t="s">
        <v>37</v>
      </c>
      <c r="I2290" s="5">
        <v>582</v>
      </c>
      <c r="J2290" s="5">
        <v>398</v>
      </c>
      <c r="K2290" s="5">
        <v>59</v>
      </c>
      <c r="L2290" s="5">
        <v>13</v>
      </c>
      <c r="M2290" s="5">
        <v>15</v>
      </c>
      <c r="N2290" s="7">
        <v>179.06</v>
      </c>
      <c r="O2290" s="7">
        <f t="shared" si="247"/>
        <v>2685.9</v>
      </c>
      <c r="P2290" s="4">
        <v>0</v>
      </c>
      <c r="Q2290" s="7">
        <f t="shared" si="248"/>
        <v>0</v>
      </c>
      <c r="R2290" s="7">
        <f t="shared" si="249"/>
        <v>2685.9</v>
      </c>
      <c r="S2290" s="7">
        <f t="shared" si="250"/>
        <v>206.6076923076923</v>
      </c>
      <c r="T2290" s="6">
        <f t="shared" si="251"/>
        <v>2.2336769759450172E-2</v>
      </c>
      <c r="V2290" t="s">
        <v>29</v>
      </c>
    </row>
    <row r="2291" spans="1:22">
      <c r="A2291" s="3">
        <v>45753</v>
      </c>
      <c r="B2291" t="str">
        <f t="shared" si="245"/>
        <v>yyyy-04</v>
      </c>
      <c r="C2291">
        <f t="shared" si="246"/>
        <v>14</v>
      </c>
      <c r="D2291" t="s">
        <v>42</v>
      </c>
      <c r="E2291" t="s">
        <v>43</v>
      </c>
      <c r="F2291" t="s">
        <v>44</v>
      </c>
      <c r="G2291" t="s">
        <v>31</v>
      </c>
      <c r="H2291" t="s">
        <v>32</v>
      </c>
      <c r="I2291" s="5">
        <v>779</v>
      </c>
      <c r="J2291" s="5">
        <v>500</v>
      </c>
      <c r="K2291" s="5">
        <v>48</v>
      </c>
      <c r="L2291" s="5">
        <v>15</v>
      </c>
      <c r="M2291" s="5">
        <v>15</v>
      </c>
      <c r="N2291" s="7">
        <v>1307.8499999999999</v>
      </c>
      <c r="O2291" s="7">
        <f t="shared" si="247"/>
        <v>19617.75</v>
      </c>
      <c r="P2291" s="4">
        <v>0.12</v>
      </c>
      <c r="Q2291" s="7">
        <f t="shared" si="248"/>
        <v>2354.13</v>
      </c>
      <c r="R2291" s="7">
        <f t="shared" si="249"/>
        <v>17263.62</v>
      </c>
      <c r="S2291" s="7">
        <f t="shared" si="250"/>
        <v>1150.9079999999999</v>
      </c>
      <c r="T2291" s="6">
        <f t="shared" si="251"/>
        <v>1.9255455712451863E-2</v>
      </c>
      <c r="U2291" t="s">
        <v>91</v>
      </c>
      <c r="V2291" t="s">
        <v>29</v>
      </c>
    </row>
    <row r="2292" spans="1:22">
      <c r="A2292" s="3">
        <v>45753</v>
      </c>
      <c r="B2292" t="str">
        <f t="shared" si="245"/>
        <v>yyyy-04</v>
      </c>
      <c r="C2292">
        <f t="shared" si="246"/>
        <v>14</v>
      </c>
      <c r="D2292" t="s">
        <v>42</v>
      </c>
      <c r="E2292" t="s">
        <v>43</v>
      </c>
      <c r="F2292" t="s">
        <v>46</v>
      </c>
      <c r="G2292" t="s">
        <v>27</v>
      </c>
      <c r="H2292" t="s">
        <v>45</v>
      </c>
      <c r="I2292" s="5">
        <v>465</v>
      </c>
      <c r="J2292" s="5">
        <v>291</v>
      </c>
      <c r="K2292" s="5">
        <v>31</v>
      </c>
      <c r="L2292" s="5">
        <v>6</v>
      </c>
      <c r="M2292" s="5">
        <v>6</v>
      </c>
      <c r="N2292" s="7">
        <v>2212.9</v>
      </c>
      <c r="O2292" s="7">
        <f t="shared" si="247"/>
        <v>13277.400000000001</v>
      </c>
      <c r="P2292" s="4">
        <v>0.12</v>
      </c>
      <c r="Q2292" s="7">
        <f t="shared" si="248"/>
        <v>1593.288</v>
      </c>
      <c r="R2292" s="7">
        <f t="shared" si="249"/>
        <v>11684.112000000001</v>
      </c>
      <c r="S2292" s="7">
        <f t="shared" si="250"/>
        <v>1947.3520000000001</v>
      </c>
      <c r="T2292" s="6">
        <f t="shared" si="251"/>
        <v>1.2903225806451613E-2</v>
      </c>
      <c r="U2292" t="s">
        <v>91</v>
      </c>
      <c r="V2292" t="s">
        <v>29</v>
      </c>
    </row>
    <row r="2293" spans="1:22">
      <c r="A2293" s="3">
        <v>45753</v>
      </c>
      <c r="B2293" t="str">
        <f t="shared" si="245"/>
        <v>yyyy-04</v>
      </c>
      <c r="C2293">
        <f t="shared" si="246"/>
        <v>14</v>
      </c>
      <c r="D2293" t="s">
        <v>42</v>
      </c>
      <c r="E2293" t="s">
        <v>43</v>
      </c>
      <c r="F2293" t="s">
        <v>47</v>
      </c>
      <c r="G2293" t="s">
        <v>36</v>
      </c>
      <c r="H2293" t="s">
        <v>37</v>
      </c>
      <c r="I2293" s="5">
        <v>607</v>
      </c>
      <c r="J2293" s="5">
        <v>377</v>
      </c>
      <c r="K2293" s="5">
        <v>43</v>
      </c>
      <c r="L2293" s="5">
        <v>13</v>
      </c>
      <c r="M2293" s="5">
        <v>13</v>
      </c>
      <c r="N2293" s="7">
        <v>575.36</v>
      </c>
      <c r="O2293" s="7">
        <f t="shared" si="247"/>
        <v>7479.68</v>
      </c>
      <c r="P2293" s="4">
        <v>0.12</v>
      </c>
      <c r="Q2293" s="7">
        <f t="shared" si="248"/>
        <v>897.5616</v>
      </c>
      <c r="R2293" s="7">
        <f t="shared" si="249"/>
        <v>6582.1184000000003</v>
      </c>
      <c r="S2293" s="7">
        <f t="shared" si="250"/>
        <v>506.3168</v>
      </c>
      <c r="T2293" s="6">
        <f t="shared" si="251"/>
        <v>2.1416803953871501E-2</v>
      </c>
      <c r="U2293" t="s">
        <v>91</v>
      </c>
      <c r="V2293" t="s">
        <v>29</v>
      </c>
    </row>
    <row r="2294" spans="1:22">
      <c r="A2294" s="3">
        <v>45753</v>
      </c>
      <c r="B2294" t="str">
        <f t="shared" si="245"/>
        <v>yyyy-04</v>
      </c>
      <c r="C2294">
        <f t="shared" si="246"/>
        <v>14</v>
      </c>
      <c r="D2294" t="s">
        <v>42</v>
      </c>
      <c r="E2294" t="s">
        <v>49</v>
      </c>
      <c r="F2294" t="s">
        <v>50</v>
      </c>
      <c r="G2294" t="s">
        <v>31</v>
      </c>
      <c r="H2294" t="s">
        <v>32</v>
      </c>
      <c r="I2294" s="5">
        <v>133</v>
      </c>
      <c r="J2294" s="5">
        <v>86</v>
      </c>
      <c r="K2294" s="5">
        <v>8</v>
      </c>
      <c r="L2294" s="5">
        <v>1</v>
      </c>
      <c r="M2294" s="5">
        <v>1</v>
      </c>
      <c r="N2294" s="7">
        <v>986.81</v>
      </c>
      <c r="O2294" s="7">
        <f t="shared" si="247"/>
        <v>986.81</v>
      </c>
      <c r="P2294" s="4">
        <v>0.05</v>
      </c>
      <c r="Q2294" s="7">
        <f t="shared" si="248"/>
        <v>49.340499999999999</v>
      </c>
      <c r="R2294" s="7">
        <f t="shared" si="249"/>
        <v>937.46949999999993</v>
      </c>
      <c r="S2294" s="7">
        <f t="shared" si="250"/>
        <v>937.46949999999993</v>
      </c>
      <c r="T2294" s="6">
        <f t="shared" si="251"/>
        <v>7.5187969924812026E-3</v>
      </c>
      <c r="V2294" t="s">
        <v>29</v>
      </c>
    </row>
    <row r="2295" spans="1:22">
      <c r="A2295" s="3">
        <v>45753</v>
      </c>
      <c r="B2295" t="str">
        <f t="shared" si="245"/>
        <v>yyyy-04</v>
      </c>
      <c r="C2295">
        <f t="shared" si="246"/>
        <v>14</v>
      </c>
      <c r="D2295" t="s">
        <v>42</v>
      </c>
      <c r="E2295" t="s">
        <v>51</v>
      </c>
      <c r="F2295" t="s">
        <v>52</v>
      </c>
      <c r="G2295" t="s">
        <v>27</v>
      </c>
      <c r="H2295" t="s">
        <v>45</v>
      </c>
      <c r="I2295" s="5">
        <v>263</v>
      </c>
      <c r="J2295" s="5">
        <v>194</v>
      </c>
      <c r="K2295" s="5">
        <v>16</v>
      </c>
      <c r="L2295" s="5">
        <v>3</v>
      </c>
      <c r="M2295" s="5">
        <v>3</v>
      </c>
      <c r="N2295" s="7">
        <v>580.33000000000004</v>
      </c>
      <c r="O2295" s="7">
        <f t="shared" si="247"/>
        <v>1740.9900000000002</v>
      </c>
      <c r="P2295" s="4">
        <v>0</v>
      </c>
      <c r="Q2295" s="7">
        <f t="shared" si="248"/>
        <v>0</v>
      </c>
      <c r="R2295" s="7">
        <f t="shared" si="249"/>
        <v>1740.9900000000002</v>
      </c>
      <c r="S2295" s="7">
        <f t="shared" si="250"/>
        <v>580.33000000000004</v>
      </c>
      <c r="T2295" s="6">
        <f t="shared" si="251"/>
        <v>1.1406844106463879E-2</v>
      </c>
      <c r="V2295" t="s">
        <v>29</v>
      </c>
    </row>
    <row r="2296" spans="1:22">
      <c r="A2296" s="3">
        <v>45753</v>
      </c>
      <c r="B2296" t="str">
        <f t="shared" si="245"/>
        <v>yyyy-04</v>
      </c>
      <c r="C2296">
        <f t="shared" si="246"/>
        <v>14</v>
      </c>
      <c r="D2296" t="s">
        <v>53</v>
      </c>
      <c r="E2296" t="s">
        <v>54</v>
      </c>
      <c r="F2296" t="s">
        <v>55</v>
      </c>
      <c r="G2296" t="s">
        <v>31</v>
      </c>
      <c r="H2296" t="s">
        <v>32</v>
      </c>
      <c r="I2296" s="5">
        <v>251</v>
      </c>
      <c r="J2296" s="5">
        <v>188</v>
      </c>
      <c r="K2296" s="5">
        <v>10</v>
      </c>
      <c r="L2296" s="5">
        <v>2</v>
      </c>
      <c r="M2296" s="5">
        <v>2</v>
      </c>
      <c r="N2296" s="7">
        <v>1302.08</v>
      </c>
      <c r="O2296" s="7">
        <f t="shared" si="247"/>
        <v>2604.16</v>
      </c>
      <c r="P2296" s="4">
        <v>0</v>
      </c>
      <c r="Q2296" s="7">
        <f t="shared" si="248"/>
        <v>0</v>
      </c>
      <c r="R2296" s="7">
        <f t="shared" si="249"/>
        <v>2604.16</v>
      </c>
      <c r="S2296" s="7">
        <f t="shared" si="250"/>
        <v>1302.08</v>
      </c>
      <c r="T2296" s="6">
        <f t="shared" si="251"/>
        <v>7.9681274900398405E-3</v>
      </c>
      <c r="V2296" t="s">
        <v>29</v>
      </c>
    </row>
    <row r="2297" spans="1:22">
      <c r="A2297" s="3">
        <v>45753</v>
      </c>
      <c r="B2297" t="str">
        <f t="shared" si="245"/>
        <v>yyyy-04</v>
      </c>
      <c r="C2297">
        <f t="shared" si="246"/>
        <v>14</v>
      </c>
      <c r="D2297" t="s">
        <v>53</v>
      </c>
      <c r="E2297" t="s">
        <v>56</v>
      </c>
      <c r="F2297" t="s">
        <v>57</v>
      </c>
      <c r="G2297" t="s">
        <v>31</v>
      </c>
      <c r="H2297" t="s">
        <v>32</v>
      </c>
      <c r="I2297" s="5">
        <v>341</v>
      </c>
      <c r="J2297" s="5">
        <v>265</v>
      </c>
      <c r="K2297" s="5">
        <v>21</v>
      </c>
      <c r="L2297" s="5">
        <v>5</v>
      </c>
      <c r="M2297" s="5">
        <v>5</v>
      </c>
      <c r="N2297" s="7">
        <v>746.31</v>
      </c>
      <c r="O2297" s="7">
        <f t="shared" si="247"/>
        <v>3731.5499999999997</v>
      </c>
      <c r="P2297" s="4">
        <v>0.05</v>
      </c>
      <c r="Q2297" s="7">
        <f t="shared" si="248"/>
        <v>186.57749999999999</v>
      </c>
      <c r="R2297" s="7">
        <f t="shared" si="249"/>
        <v>3544.9724999999999</v>
      </c>
      <c r="S2297" s="7">
        <f t="shared" si="250"/>
        <v>708.99450000000002</v>
      </c>
      <c r="T2297" s="6">
        <f t="shared" si="251"/>
        <v>1.466275659824047E-2</v>
      </c>
      <c r="V2297" t="s">
        <v>29</v>
      </c>
    </row>
    <row r="2298" spans="1:22">
      <c r="A2298" s="3">
        <v>45753</v>
      </c>
      <c r="B2298" t="str">
        <f t="shared" si="245"/>
        <v>yyyy-04</v>
      </c>
      <c r="C2298">
        <f t="shared" si="246"/>
        <v>14</v>
      </c>
      <c r="D2298" t="s">
        <v>53</v>
      </c>
      <c r="E2298" t="s">
        <v>56</v>
      </c>
      <c r="F2298" t="s">
        <v>58</v>
      </c>
      <c r="G2298" t="s">
        <v>27</v>
      </c>
      <c r="H2298" t="s">
        <v>63</v>
      </c>
      <c r="I2298" s="5">
        <v>196</v>
      </c>
      <c r="J2298" s="5">
        <v>105</v>
      </c>
      <c r="K2298" s="5">
        <v>9</v>
      </c>
      <c r="L2298" s="5">
        <v>2</v>
      </c>
      <c r="M2298" s="5">
        <v>2</v>
      </c>
      <c r="N2298" s="7">
        <v>869.19</v>
      </c>
      <c r="O2298" s="7">
        <f t="shared" si="247"/>
        <v>1738.38</v>
      </c>
      <c r="P2298" s="4">
        <v>0</v>
      </c>
      <c r="Q2298" s="7">
        <f t="shared" si="248"/>
        <v>0</v>
      </c>
      <c r="R2298" s="7">
        <f t="shared" si="249"/>
        <v>1738.38</v>
      </c>
      <c r="S2298" s="7">
        <f t="shared" si="250"/>
        <v>869.19</v>
      </c>
      <c r="T2298" s="6">
        <f t="shared" si="251"/>
        <v>1.020408163265306E-2</v>
      </c>
      <c r="V2298" t="s">
        <v>29</v>
      </c>
    </row>
    <row r="2299" spans="1:22">
      <c r="A2299" s="3">
        <v>45753</v>
      </c>
      <c r="B2299" t="str">
        <f t="shared" si="245"/>
        <v>yyyy-04</v>
      </c>
      <c r="C2299">
        <f t="shared" si="246"/>
        <v>14</v>
      </c>
      <c r="D2299" t="s">
        <v>53</v>
      </c>
      <c r="E2299" t="s">
        <v>59</v>
      </c>
      <c r="F2299" t="s">
        <v>60</v>
      </c>
      <c r="G2299" t="s">
        <v>36</v>
      </c>
      <c r="H2299" t="s">
        <v>37</v>
      </c>
      <c r="I2299" s="5">
        <v>184</v>
      </c>
      <c r="J2299" s="5">
        <v>105</v>
      </c>
      <c r="K2299" s="5">
        <v>9</v>
      </c>
      <c r="L2299" s="5">
        <v>2</v>
      </c>
      <c r="M2299" s="5">
        <v>2</v>
      </c>
      <c r="N2299" s="7">
        <v>679.74</v>
      </c>
      <c r="O2299" s="7">
        <f t="shared" si="247"/>
        <v>1359.48</v>
      </c>
      <c r="P2299" s="4">
        <v>0.03</v>
      </c>
      <c r="Q2299" s="7">
        <f t="shared" si="248"/>
        <v>40.784399999999998</v>
      </c>
      <c r="R2299" s="7">
        <f t="shared" si="249"/>
        <v>1318.6956</v>
      </c>
      <c r="S2299" s="7">
        <f t="shared" si="250"/>
        <v>659.34780000000001</v>
      </c>
      <c r="T2299" s="6">
        <f t="shared" si="251"/>
        <v>1.0869565217391304E-2</v>
      </c>
      <c r="V2299" t="s">
        <v>29</v>
      </c>
    </row>
    <row r="2300" spans="1:22">
      <c r="A2300" s="3">
        <v>45753</v>
      </c>
      <c r="B2300" t="str">
        <f t="shared" si="245"/>
        <v>yyyy-04</v>
      </c>
      <c r="C2300">
        <f t="shared" si="246"/>
        <v>14</v>
      </c>
      <c r="D2300" t="s">
        <v>53</v>
      </c>
      <c r="E2300" t="s">
        <v>61</v>
      </c>
      <c r="F2300" t="s">
        <v>62</v>
      </c>
      <c r="G2300" t="s">
        <v>27</v>
      </c>
      <c r="H2300" t="s">
        <v>48</v>
      </c>
      <c r="I2300" s="5">
        <v>147</v>
      </c>
      <c r="J2300" s="5">
        <v>117</v>
      </c>
      <c r="K2300" s="5">
        <v>14</v>
      </c>
      <c r="L2300" s="5">
        <v>2</v>
      </c>
      <c r="M2300" s="5">
        <v>2</v>
      </c>
      <c r="N2300" s="7">
        <v>502.83</v>
      </c>
      <c r="O2300" s="7">
        <f t="shared" si="247"/>
        <v>1005.66</v>
      </c>
      <c r="P2300" s="4">
        <v>0</v>
      </c>
      <c r="Q2300" s="7">
        <f t="shared" si="248"/>
        <v>0</v>
      </c>
      <c r="R2300" s="7">
        <f t="shared" si="249"/>
        <v>1005.66</v>
      </c>
      <c r="S2300" s="7">
        <f t="shared" si="250"/>
        <v>502.83</v>
      </c>
      <c r="T2300" s="6">
        <f t="shared" si="251"/>
        <v>1.3605442176870748E-2</v>
      </c>
      <c r="V2300" t="s">
        <v>29</v>
      </c>
    </row>
    <row r="2301" spans="1:22">
      <c r="A2301" s="3">
        <v>45753</v>
      </c>
      <c r="B2301" t="str">
        <f t="shared" si="245"/>
        <v>yyyy-04</v>
      </c>
      <c r="C2301">
        <f t="shared" si="246"/>
        <v>14</v>
      </c>
      <c r="D2301" t="s">
        <v>53</v>
      </c>
      <c r="E2301" t="s">
        <v>64</v>
      </c>
      <c r="F2301" t="s">
        <v>65</v>
      </c>
      <c r="G2301" t="s">
        <v>31</v>
      </c>
      <c r="H2301" t="s">
        <v>32</v>
      </c>
      <c r="I2301" s="5">
        <v>244</v>
      </c>
      <c r="J2301" s="5">
        <v>132</v>
      </c>
      <c r="K2301" s="5">
        <v>6</v>
      </c>
      <c r="L2301" s="5">
        <v>3</v>
      </c>
      <c r="M2301" s="5">
        <v>3</v>
      </c>
      <c r="N2301" s="7">
        <v>789.31</v>
      </c>
      <c r="O2301" s="7">
        <f t="shared" si="247"/>
        <v>2367.9299999999998</v>
      </c>
      <c r="P2301" s="4">
        <v>0</v>
      </c>
      <c r="Q2301" s="7">
        <f t="shared" si="248"/>
        <v>0</v>
      </c>
      <c r="R2301" s="7">
        <f t="shared" si="249"/>
        <v>2367.9299999999998</v>
      </c>
      <c r="S2301" s="7">
        <f t="shared" si="250"/>
        <v>789.31</v>
      </c>
      <c r="T2301" s="6">
        <f t="shared" si="251"/>
        <v>1.2295081967213115E-2</v>
      </c>
      <c r="V2301" t="s">
        <v>29</v>
      </c>
    </row>
    <row r="2302" spans="1:22">
      <c r="A2302" s="3">
        <v>45753</v>
      </c>
      <c r="B2302" t="str">
        <f t="shared" si="245"/>
        <v>yyyy-04</v>
      </c>
      <c r="C2302">
        <f t="shared" si="246"/>
        <v>14</v>
      </c>
      <c r="D2302" t="s">
        <v>66</v>
      </c>
      <c r="E2302" t="s">
        <v>67</v>
      </c>
      <c r="F2302" t="s">
        <v>68</v>
      </c>
      <c r="G2302" t="s">
        <v>27</v>
      </c>
      <c r="H2302" t="s">
        <v>48</v>
      </c>
      <c r="I2302" s="5">
        <v>361</v>
      </c>
      <c r="J2302" s="5">
        <v>277</v>
      </c>
      <c r="K2302" s="5">
        <v>24</v>
      </c>
      <c r="L2302" s="5">
        <v>5</v>
      </c>
      <c r="M2302" s="5">
        <v>5</v>
      </c>
      <c r="N2302" s="7">
        <v>703.69</v>
      </c>
      <c r="O2302" s="7">
        <f t="shared" si="247"/>
        <v>3518.4500000000003</v>
      </c>
      <c r="P2302" s="4">
        <v>0</v>
      </c>
      <c r="Q2302" s="7">
        <f t="shared" si="248"/>
        <v>0</v>
      </c>
      <c r="R2302" s="7">
        <f t="shared" si="249"/>
        <v>3518.4500000000003</v>
      </c>
      <c r="S2302" s="7">
        <f t="shared" si="250"/>
        <v>703.69</v>
      </c>
      <c r="T2302" s="6">
        <f t="shared" si="251"/>
        <v>1.3850415512465374E-2</v>
      </c>
      <c r="V2302" t="s">
        <v>29</v>
      </c>
    </row>
    <row r="2303" spans="1:22">
      <c r="A2303" s="3">
        <v>45753</v>
      </c>
      <c r="B2303" t="str">
        <f t="shared" si="245"/>
        <v>yyyy-04</v>
      </c>
      <c r="C2303">
        <f t="shared" si="246"/>
        <v>14</v>
      </c>
      <c r="D2303" t="s">
        <v>66</v>
      </c>
      <c r="E2303" t="s">
        <v>67</v>
      </c>
      <c r="F2303" t="s">
        <v>69</v>
      </c>
      <c r="G2303" t="s">
        <v>27</v>
      </c>
      <c r="H2303" t="s">
        <v>48</v>
      </c>
      <c r="I2303" s="5">
        <v>164</v>
      </c>
      <c r="J2303" s="5">
        <v>106</v>
      </c>
      <c r="K2303" s="5">
        <v>3</v>
      </c>
      <c r="L2303" s="5">
        <v>0</v>
      </c>
      <c r="M2303" s="5">
        <v>0</v>
      </c>
      <c r="N2303" s="7">
        <v>396.87</v>
      </c>
      <c r="O2303" s="7">
        <f t="shared" si="247"/>
        <v>0</v>
      </c>
      <c r="P2303" s="4">
        <v>0.05</v>
      </c>
      <c r="Q2303" s="7">
        <f t="shared" si="248"/>
        <v>0</v>
      </c>
      <c r="R2303" s="7">
        <f t="shared" si="249"/>
        <v>0</v>
      </c>
      <c r="S2303" s="7">
        <f t="shared" si="250"/>
        <v>0</v>
      </c>
      <c r="T2303" s="6">
        <f t="shared" si="251"/>
        <v>0</v>
      </c>
      <c r="V2303" t="s">
        <v>81</v>
      </c>
    </row>
    <row r="2304" spans="1:22">
      <c r="A2304" s="3">
        <v>45753</v>
      </c>
      <c r="B2304" t="str">
        <f t="shared" si="245"/>
        <v>yyyy-04</v>
      </c>
      <c r="C2304">
        <f t="shared" si="246"/>
        <v>14</v>
      </c>
      <c r="D2304" t="s">
        <v>66</v>
      </c>
      <c r="E2304" t="s">
        <v>67</v>
      </c>
      <c r="F2304" t="s">
        <v>70</v>
      </c>
      <c r="G2304" t="s">
        <v>27</v>
      </c>
      <c r="H2304" t="s">
        <v>48</v>
      </c>
      <c r="I2304" s="5">
        <v>339</v>
      </c>
      <c r="J2304" s="5">
        <v>205</v>
      </c>
      <c r="K2304" s="5">
        <v>30</v>
      </c>
      <c r="L2304" s="5">
        <v>6</v>
      </c>
      <c r="M2304" s="5">
        <v>6</v>
      </c>
      <c r="N2304" s="7">
        <v>335.15</v>
      </c>
      <c r="O2304" s="7">
        <f t="shared" si="247"/>
        <v>2010.8999999999999</v>
      </c>
      <c r="P2304" s="4">
        <v>0</v>
      </c>
      <c r="Q2304" s="7">
        <f t="shared" si="248"/>
        <v>0</v>
      </c>
      <c r="R2304" s="7">
        <f t="shared" si="249"/>
        <v>2010.8999999999999</v>
      </c>
      <c r="S2304" s="7">
        <f t="shared" si="250"/>
        <v>335.15</v>
      </c>
      <c r="T2304" s="6">
        <f t="shared" si="251"/>
        <v>1.7699115044247787E-2</v>
      </c>
      <c r="V2304" t="s">
        <v>29</v>
      </c>
    </row>
    <row r="2305" spans="1:22">
      <c r="A2305" s="3">
        <v>45753</v>
      </c>
      <c r="B2305" t="str">
        <f t="shared" si="245"/>
        <v>yyyy-04</v>
      </c>
      <c r="C2305">
        <f t="shared" si="246"/>
        <v>14</v>
      </c>
      <c r="D2305" t="s">
        <v>66</v>
      </c>
      <c r="E2305" t="s">
        <v>71</v>
      </c>
      <c r="F2305" t="s">
        <v>72</v>
      </c>
      <c r="G2305" t="s">
        <v>31</v>
      </c>
      <c r="H2305" t="s">
        <v>32</v>
      </c>
      <c r="I2305" s="5">
        <v>322</v>
      </c>
      <c r="J2305" s="5">
        <v>193</v>
      </c>
      <c r="K2305" s="5">
        <v>19</v>
      </c>
      <c r="L2305" s="5">
        <v>4</v>
      </c>
      <c r="M2305" s="5">
        <v>5</v>
      </c>
      <c r="N2305" s="7">
        <v>128.1</v>
      </c>
      <c r="O2305" s="7">
        <f t="shared" si="247"/>
        <v>640.5</v>
      </c>
      <c r="P2305" s="4">
        <v>0.03</v>
      </c>
      <c r="Q2305" s="7">
        <f t="shared" si="248"/>
        <v>19.215</v>
      </c>
      <c r="R2305" s="7">
        <f t="shared" si="249"/>
        <v>621.28499999999997</v>
      </c>
      <c r="S2305" s="7">
        <f t="shared" si="250"/>
        <v>155.32124999999999</v>
      </c>
      <c r="T2305" s="6">
        <f t="shared" si="251"/>
        <v>1.2422360248447204E-2</v>
      </c>
      <c r="V2305" t="s">
        <v>78</v>
      </c>
    </row>
    <row r="2306" spans="1:22">
      <c r="A2306" s="3">
        <v>45753</v>
      </c>
      <c r="B2306" t="str">
        <f t="shared" si="245"/>
        <v>yyyy-04</v>
      </c>
      <c r="C2306">
        <f t="shared" si="246"/>
        <v>14</v>
      </c>
      <c r="D2306" t="s">
        <v>66</v>
      </c>
      <c r="E2306" t="s">
        <v>73</v>
      </c>
      <c r="F2306" t="s">
        <v>74</v>
      </c>
      <c r="G2306" t="s">
        <v>31</v>
      </c>
      <c r="H2306" t="s">
        <v>32</v>
      </c>
      <c r="I2306" s="5">
        <v>348</v>
      </c>
      <c r="J2306" s="5">
        <v>246</v>
      </c>
      <c r="K2306" s="5">
        <v>29</v>
      </c>
      <c r="L2306" s="5">
        <v>5</v>
      </c>
      <c r="M2306" s="5">
        <v>5</v>
      </c>
      <c r="N2306" s="7">
        <v>1186.52</v>
      </c>
      <c r="O2306" s="7">
        <f t="shared" si="247"/>
        <v>5932.6</v>
      </c>
      <c r="P2306" s="4">
        <v>0.03</v>
      </c>
      <c r="Q2306" s="7">
        <f t="shared" si="248"/>
        <v>177.97800000000001</v>
      </c>
      <c r="R2306" s="7">
        <f t="shared" si="249"/>
        <v>5754.6220000000003</v>
      </c>
      <c r="S2306" s="7">
        <f t="shared" si="250"/>
        <v>1150.9244000000001</v>
      </c>
      <c r="T2306" s="6">
        <f t="shared" si="251"/>
        <v>1.4367816091954023E-2</v>
      </c>
      <c r="V2306" t="s">
        <v>29</v>
      </c>
    </row>
    <row r="2307" spans="1:22">
      <c r="A2307" s="3">
        <v>45753</v>
      </c>
      <c r="B2307" t="str">
        <f t="shared" si="245"/>
        <v>yyyy-04</v>
      </c>
      <c r="C2307">
        <f t="shared" si="246"/>
        <v>14</v>
      </c>
      <c r="D2307" t="s">
        <v>66</v>
      </c>
      <c r="E2307" t="s">
        <v>71</v>
      </c>
      <c r="F2307" t="s">
        <v>75</v>
      </c>
      <c r="G2307" t="s">
        <v>27</v>
      </c>
      <c r="H2307" t="s">
        <v>28</v>
      </c>
      <c r="I2307" s="5">
        <v>280</v>
      </c>
      <c r="J2307" s="5">
        <v>164</v>
      </c>
      <c r="K2307" s="5">
        <v>17</v>
      </c>
      <c r="L2307" s="5">
        <v>6</v>
      </c>
      <c r="M2307" s="5">
        <v>8</v>
      </c>
      <c r="N2307" s="7">
        <v>37.58</v>
      </c>
      <c r="O2307" s="7">
        <f t="shared" si="247"/>
        <v>300.64</v>
      </c>
      <c r="P2307" s="4">
        <v>0</v>
      </c>
      <c r="Q2307" s="7">
        <f t="shared" si="248"/>
        <v>0</v>
      </c>
      <c r="R2307" s="7">
        <f t="shared" si="249"/>
        <v>300.64</v>
      </c>
      <c r="S2307" s="7">
        <f t="shared" si="250"/>
        <v>50.106666666666662</v>
      </c>
      <c r="T2307" s="6">
        <f t="shared" si="251"/>
        <v>2.1428571428571429E-2</v>
      </c>
      <c r="V2307" t="s">
        <v>29</v>
      </c>
    </row>
    <row r="2308" spans="1:22">
      <c r="A2308" s="3">
        <v>45753</v>
      </c>
      <c r="B2308" t="str">
        <f t="shared" si="245"/>
        <v>yyyy-04</v>
      </c>
      <c r="C2308">
        <f t="shared" si="246"/>
        <v>14</v>
      </c>
      <c r="D2308" t="s">
        <v>24</v>
      </c>
      <c r="E2308" t="s">
        <v>76</v>
      </c>
      <c r="F2308" t="s">
        <v>77</v>
      </c>
      <c r="G2308" t="s">
        <v>27</v>
      </c>
      <c r="H2308" t="s">
        <v>48</v>
      </c>
      <c r="I2308" s="5">
        <v>437</v>
      </c>
      <c r="J2308" s="5">
        <v>280</v>
      </c>
      <c r="K2308" s="5">
        <v>31</v>
      </c>
      <c r="L2308" s="5">
        <v>8</v>
      </c>
      <c r="M2308" s="5">
        <v>10</v>
      </c>
      <c r="N2308" s="7">
        <v>194.67</v>
      </c>
      <c r="O2308" s="7">
        <f t="shared" si="247"/>
        <v>1946.6999999999998</v>
      </c>
      <c r="P2308" s="4">
        <v>0.05</v>
      </c>
      <c r="Q2308" s="7">
        <f t="shared" si="248"/>
        <v>97.334999999999994</v>
      </c>
      <c r="R2308" s="7">
        <f t="shared" si="249"/>
        <v>1849.3649999999998</v>
      </c>
      <c r="S2308" s="7">
        <f t="shared" si="250"/>
        <v>231.17062499999997</v>
      </c>
      <c r="T2308" s="6">
        <f t="shared" si="251"/>
        <v>1.8306636155606407E-2</v>
      </c>
      <c r="V2308" t="s">
        <v>29</v>
      </c>
    </row>
    <row r="2309" spans="1:22">
      <c r="A2309" s="3">
        <v>45754</v>
      </c>
      <c r="B2309" t="str">
        <f t="shared" ref="B2309:B2372" si="252">TEXT(A2309,"yyyy-mm")</f>
        <v>yyyy-04</v>
      </c>
      <c r="C2309">
        <f t="shared" ref="C2309:C2372" si="253">WEEKNUM(A2309,2)</f>
        <v>15</v>
      </c>
      <c r="D2309" t="s">
        <v>24</v>
      </c>
      <c r="E2309" t="s">
        <v>25</v>
      </c>
      <c r="F2309" t="s">
        <v>26</v>
      </c>
      <c r="G2309" t="s">
        <v>27</v>
      </c>
      <c r="H2309" t="s">
        <v>63</v>
      </c>
      <c r="I2309" s="5">
        <v>944</v>
      </c>
      <c r="J2309" s="5">
        <v>600</v>
      </c>
      <c r="K2309" s="5">
        <v>65</v>
      </c>
      <c r="L2309" s="5">
        <v>19</v>
      </c>
      <c r="M2309" s="5">
        <v>19</v>
      </c>
      <c r="N2309" s="7">
        <v>985.1</v>
      </c>
      <c r="O2309" s="7">
        <f t="shared" ref="O2309:O2372" si="254">M2309*N2309</f>
        <v>18716.900000000001</v>
      </c>
      <c r="P2309" s="4">
        <v>0.03</v>
      </c>
      <c r="Q2309" s="7">
        <f t="shared" ref="Q2309:Q2372" si="255">O2309*P2309</f>
        <v>561.50700000000006</v>
      </c>
      <c r="R2309" s="7">
        <f t="shared" ref="R2309:R2372" si="256">O2309-Q2309</f>
        <v>18155.393</v>
      </c>
      <c r="S2309" s="7">
        <f t="shared" ref="S2309:S2372" si="257">IFERROR(R2309/L2309,0)</f>
        <v>955.54700000000003</v>
      </c>
      <c r="T2309" s="6">
        <f t="shared" ref="T2309:T2372" si="258">IFERROR(L2309/I2309,0)</f>
        <v>2.0127118644067795E-2</v>
      </c>
      <c r="V2309" t="s">
        <v>29</v>
      </c>
    </row>
    <row r="2310" spans="1:22">
      <c r="A2310" s="3">
        <v>45754</v>
      </c>
      <c r="B2310" t="str">
        <f t="shared" si="252"/>
        <v>yyyy-04</v>
      </c>
      <c r="C2310">
        <f t="shared" si="253"/>
        <v>15</v>
      </c>
      <c r="D2310" t="s">
        <v>24</v>
      </c>
      <c r="E2310" t="s">
        <v>25</v>
      </c>
      <c r="F2310" t="s">
        <v>30</v>
      </c>
      <c r="G2310" t="s">
        <v>27</v>
      </c>
      <c r="H2310" t="s">
        <v>45</v>
      </c>
      <c r="I2310" s="5">
        <v>1200</v>
      </c>
      <c r="J2310" s="5">
        <v>993</v>
      </c>
      <c r="K2310" s="5">
        <v>127</v>
      </c>
      <c r="L2310" s="5">
        <v>28</v>
      </c>
      <c r="M2310" s="5">
        <v>28</v>
      </c>
      <c r="N2310" s="7">
        <v>384.11</v>
      </c>
      <c r="O2310" s="7">
        <f t="shared" si="254"/>
        <v>10755.08</v>
      </c>
      <c r="P2310" s="4">
        <v>0</v>
      </c>
      <c r="Q2310" s="7">
        <f t="shared" si="255"/>
        <v>0</v>
      </c>
      <c r="R2310" s="7">
        <f t="shared" si="256"/>
        <v>10755.08</v>
      </c>
      <c r="S2310" s="7">
        <f t="shared" si="257"/>
        <v>384.11</v>
      </c>
      <c r="T2310" s="6">
        <f t="shared" si="258"/>
        <v>2.3333333333333334E-2</v>
      </c>
      <c r="V2310" t="s">
        <v>29</v>
      </c>
    </row>
    <row r="2311" spans="1:22">
      <c r="A2311" s="3">
        <v>45754</v>
      </c>
      <c r="B2311" t="str">
        <f t="shared" si="252"/>
        <v>yyyy-04</v>
      </c>
      <c r="C2311">
        <f t="shared" si="253"/>
        <v>15</v>
      </c>
      <c r="D2311" t="s">
        <v>24</v>
      </c>
      <c r="E2311" t="s">
        <v>25</v>
      </c>
      <c r="F2311" t="s">
        <v>33</v>
      </c>
      <c r="G2311" t="s">
        <v>31</v>
      </c>
      <c r="H2311" t="s">
        <v>32</v>
      </c>
      <c r="I2311" s="5">
        <v>1362</v>
      </c>
      <c r="J2311" s="5">
        <v>780</v>
      </c>
      <c r="K2311" s="5">
        <v>54</v>
      </c>
      <c r="L2311" s="5">
        <v>21</v>
      </c>
      <c r="M2311" s="5">
        <v>21</v>
      </c>
      <c r="N2311" s="7">
        <v>1767.13</v>
      </c>
      <c r="O2311" s="7">
        <f t="shared" si="254"/>
        <v>37109.730000000003</v>
      </c>
      <c r="P2311" s="4">
        <v>0.05</v>
      </c>
      <c r="Q2311" s="7">
        <f t="shared" si="255"/>
        <v>1855.4865000000002</v>
      </c>
      <c r="R2311" s="7">
        <f t="shared" si="256"/>
        <v>35254.243500000004</v>
      </c>
      <c r="S2311" s="7">
        <f t="shared" si="257"/>
        <v>1678.7735000000002</v>
      </c>
      <c r="T2311" s="6">
        <f t="shared" si="258"/>
        <v>1.5418502202643172E-2</v>
      </c>
      <c r="V2311" t="s">
        <v>29</v>
      </c>
    </row>
    <row r="2312" spans="1:22">
      <c r="A2312" s="3">
        <v>45754</v>
      </c>
      <c r="B2312" t="str">
        <f t="shared" si="252"/>
        <v>yyyy-04</v>
      </c>
      <c r="C2312">
        <f t="shared" si="253"/>
        <v>15</v>
      </c>
      <c r="D2312" t="s">
        <v>24</v>
      </c>
      <c r="E2312" t="s">
        <v>34</v>
      </c>
      <c r="F2312" t="s">
        <v>35</v>
      </c>
      <c r="G2312" t="s">
        <v>27</v>
      </c>
      <c r="H2312" t="s">
        <v>48</v>
      </c>
      <c r="I2312" s="5">
        <v>681</v>
      </c>
      <c r="J2312" s="5">
        <v>525</v>
      </c>
      <c r="K2312" s="5">
        <v>51</v>
      </c>
      <c r="L2312" s="5">
        <v>18</v>
      </c>
      <c r="M2312" s="5">
        <v>18</v>
      </c>
      <c r="N2312" s="7">
        <v>912.33</v>
      </c>
      <c r="O2312" s="7">
        <f t="shared" si="254"/>
        <v>16421.940000000002</v>
      </c>
      <c r="P2312" s="4">
        <v>0.08</v>
      </c>
      <c r="Q2312" s="7">
        <f t="shared" si="255"/>
        <v>1313.7552000000003</v>
      </c>
      <c r="R2312" s="7">
        <f t="shared" si="256"/>
        <v>15108.184800000003</v>
      </c>
      <c r="S2312" s="7">
        <f t="shared" si="257"/>
        <v>839.34360000000015</v>
      </c>
      <c r="T2312" s="6">
        <f t="shared" si="258"/>
        <v>2.643171806167401E-2</v>
      </c>
      <c r="U2312" t="s">
        <v>92</v>
      </c>
      <c r="V2312" t="s">
        <v>29</v>
      </c>
    </row>
    <row r="2313" spans="1:22">
      <c r="A2313" s="3">
        <v>45754</v>
      </c>
      <c r="B2313" t="str">
        <f t="shared" si="252"/>
        <v>yyyy-04</v>
      </c>
      <c r="C2313">
        <f t="shared" si="253"/>
        <v>15</v>
      </c>
      <c r="D2313" t="s">
        <v>24</v>
      </c>
      <c r="E2313" t="s">
        <v>38</v>
      </c>
      <c r="F2313" t="s">
        <v>39</v>
      </c>
      <c r="G2313" t="s">
        <v>27</v>
      </c>
      <c r="H2313" t="s">
        <v>28</v>
      </c>
      <c r="I2313" s="5">
        <v>782</v>
      </c>
      <c r="J2313" s="5">
        <v>456</v>
      </c>
      <c r="K2313" s="5">
        <v>31</v>
      </c>
      <c r="L2313" s="5">
        <v>12</v>
      </c>
      <c r="M2313" s="5">
        <v>12</v>
      </c>
      <c r="N2313" s="7">
        <v>316.64</v>
      </c>
      <c r="O2313" s="7">
        <f t="shared" si="254"/>
        <v>3799.68</v>
      </c>
      <c r="P2313" s="4">
        <v>0</v>
      </c>
      <c r="Q2313" s="7">
        <f t="shared" si="255"/>
        <v>0</v>
      </c>
      <c r="R2313" s="7">
        <f t="shared" si="256"/>
        <v>3799.68</v>
      </c>
      <c r="S2313" s="7">
        <f t="shared" si="257"/>
        <v>316.64</v>
      </c>
      <c r="T2313" s="6">
        <f t="shared" si="258"/>
        <v>1.5345268542199489E-2</v>
      </c>
      <c r="V2313" t="s">
        <v>29</v>
      </c>
    </row>
    <row r="2314" spans="1:22">
      <c r="A2314" s="3">
        <v>45754</v>
      </c>
      <c r="B2314" t="str">
        <f t="shared" si="252"/>
        <v>yyyy-04</v>
      </c>
      <c r="C2314">
        <f t="shared" si="253"/>
        <v>15</v>
      </c>
      <c r="D2314" t="s">
        <v>24</v>
      </c>
      <c r="E2314" t="s">
        <v>40</v>
      </c>
      <c r="F2314" t="s">
        <v>41</v>
      </c>
      <c r="G2314" t="s">
        <v>27</v>
      </c>
      <c r="H2314" t="s">
        <v>45</v>
      </c>
      <c r="I2314" s="5">
        <v>709</v>
      </c>
      <c r="J2314" s="5">
        <v>444</v>
      </c>
      <c r="K2314" s="5">
        <v>49</v>
      </c>
      <c r="L2314" s="5">
        <v>18</v>
      </c>
      <c r="M2314" s="5">
        <v>20</v>
      </c>
      <c r="N2314" s="7">
        <v>175.47</v>
      </c>
      <c r="O2314" s="7">
        <f t="shared" si="254"/>
        <v>3509.4</v>
      </c>
      <c r="P2314" s="4">
        <v>0.05</v>
      </c>
      <c r="Q2314" s="7">
        <f t="shared" si="255"/>
        <v>175.47000000000003</v>
      </c>
      <c r="R2314" s="7">
        <f t="shared" si="256"/>
        <v>3333.9300000000003</v>
      </c>
      <c r="S2314" s="7">
        <f t="shared" si="257"/>
        <v>185.21833333333336</v>
      </c>
      <c r="T2314" s="6">
        <f t="shared" si="258"/>
        <v>2.5387870239774329E-2</v>
      </c>
      <c r="V2314" t="s">
        <v>29</v>
      </c>
    </row>
    <row r="2315" spans="1:22">
      <c r="A2315" s="3">
        <v>45754</v>
      </c>
      <c r="B2315" t="str">
        <f t="shared" si="252"/>
        <v>yyyy-04</v>
      </c>
      <c r="C2315">
        <f t="shared" si="253"/>
        <v>15</v>
      </c>
      <c r="D2315" t="s">
        <v>42</v>
      </c>
      <c r="E2315" t="s">
        <v>43</v>
      </c>
      <c r="F2315" t="s">
        <v>44</v>
      </c>
      <c r="G2315" t="s">
        <v>36</v>
      </c>
      <c r="H2315" t="s">
        <v>37</v>
      </c>
      <c r="I2315" s="5">
        <v>711</v>
      </c>
      <c r="J2315" s="5">
        <v>497</v>
      </c>
      <c r="K2315" s="5">
        <v>53</v>
      </c>
      <c r="L2315" s="5">
        <v>12</v>
      </c>
      <c r="M2315" s="5">
        <v>12</v>
      </c>
      <c r="N2315" s="7">
        <v>1308.0999999999999</v>
      </c>
      <c r="O2315" s="7">
        <f t="shared" si="254"/>
        <v>15697.199999999999</v>
      </c>
      <c r="P2315" s="4">
        <v>0.05</v>
      </c>
      <c r="Q2315" s="7">
        <f t="shared" si="255"/>
        <v>784.86</v>
      </c>
      <c r="R2315" s="7">
        <f t="shared" si="256"/>
        <v>14912.339999999998</v>
      </c>
      <c r="S2315" s="7">
        <f t="shared" si="257"/>
        <v>1242.6949999999999</v>
      </c>
      <c r="T2315" s="6">
        <f t="shared" si="258"/>
        <v>1.6877637130801686E-2</v>
      </c>
      <c r="V2315" t="s">
        <v>29</v>
      </c>
    </row>
    <row r="2316" spans="1:22">
      <c r="A2316" s="3">
        <v>45754</v>
      </c>
      <c r="B2316" t="str">
        <f t="shared" si="252"/>
        <v>yyyy-04</v>
      </c>
      <c r="C2316">
        <f t="shared" si="253"/>
        <v>15</v>
      </c>
      <c r="D2316" t="s">
        <v>42</v>
      </c>
      <c r="E2316" t="s">
        <v>43</v>
      </c>
      <c r="F2316" t="s">
        <v>46</v>
      </c>
      <c r="G2316" t="s">
        <v>27</v>
      </c>
      <c r="H2316" t="s">
        <v>28</v>
      </c>
      <c r="I2316" s="5">
        <v>535</v>
      </c>
      <c r="J2316" s="5">
        <v>305</v>
      </c>
      <c r="K2316" s="5">
        <v>29</v>
      </c>
      <c r="L2316" s="5">
        <v>9</v>
      </c>
      <c r="M2316" s="5">
        <v>9</v>
      </c>
      <c r="N2316" s="7">
        <v>2167.35</v>
      </c>
      <c r="O2316" s="7">
        <f t="shared" si="254"/>
        <v>19506.149999999998</v>
      </c>
      <c r="P2316" s="4">
        <v>0</v>
      </c>
      <c r="Q2316" s="7">
        <f t="shared" si="255"/>
        <v>0</v>
      </c>
      <c r="R2316" s="7">
        <f t="shared" si="256"/>
        <v>19506.149999999998</v>
      </c>
      <c r="S2316" s="7">
        <f t="shared" si="257"/>
        <v>2167.35</v>
      </c>
      <c r="T2316" s="6">
        <f t="shared" si="258"/>
        <v>1.6822429906542057E-2</v>
      </c>
      <c r="V2316" t="s">
        <v>29</v>
      </c>
    </row>
    <row r="2317" spans="1:22">
      <c r="A2317" s="3">
        <v>45754</v>
      </c>
      <c r="B2317" t="str">
        <f t="shared" si="252"/>
        <v>yyyy-04</v>
      </c>
      <c r="C2317">
        <f t="shared" si="253"/>
        <v>15</v>
      </c>
      <c r="D2317" t="s">
        <v>42</v>
      </c>
      <c r="E2317" t="s">
        <v>43</v>
      </c>
      <c r="F2317" t="s">
        <v>47</v>
      </c>
      <c r="G2317" t="s">
        <v>31</v>
      </c>
      <c r="H2317" t="s">
        <v>32</v>
      </c>
      <c r="I2317" s="5">
        <v>464</v>
      </c>
      <c r="J2317" s="5">
        <v>385</v>
      </c>
      <c r="K2317" s="5">
        <v>45</v>
      </c>
      <c r="L2317" s="5">
        <v>4</v>
      </c>
      <c r="M2317" s="5">
        <v>4</v>
      </c>
      <c r="N2317" s="7">
        <v>584.72</v>
      </c>
      <c r="O2317" s="7">
        <f t="shared" si="254"/>
        <v>2338.88</v>
      </c>
      <c r="P2317" s="4">
        <v>0.03</v>
      </c>
      <c r="Q2317" s="7">
        <f t="shared" si="255"/>
        <v>70.166399999999996</v>
      </c>
      <c r="R2317" s="7">
        <f t="shared" si="256"/>
        <v>2268.7136</v>
      </c>
      <c r="S2317" s="7">
        <f t="shared" si="257"/>
        <v>567.17840000000001</v>
      </c>
      <c r="T2317" s="6">
        <f t="shared" si="258"/>
        <v>8.6206896551724137E-3</v>
      </c>
      <c r="V2317" t="s">
        <v>78</v>
      </c>
    </row>
    <row r="2318" spans="1:22">
      <c r="A2318" s="3">
        <v>45754</v>
      </c>
      <c r="B2318" t="str">
        <f t="shared" si="252"/>
        <v>yyyy-04</v>
      </c>
      <c r="C2318">
        <f t="shared" si="253"/>
        <v>15</v>
      </c>
      <c r="D2318" t="s">
        <v>42</v>
      </c>
      <c r="E2318" t="s">
        <v>49</v>
      </c>
      <c r="F2318" t="s">
        <v>50</v>
      </c>
      <c r="G2318" t="s">
        <v>36</v>
      </c>
      <c r="H2318" t="s">
        <v>37</v>
      </c>
      <c r="I2318" s="5">
        <v>158</v>
      </c>
      <c r="J2318" s="5">
        <v>84</v>
      </c>
      <c r="K2318" s="5">
        <v>13</v>
      </c>
      <c r="L2318" s="5">
        <v>3</v>
      </c>
      <c r="M2318" s="5">
        <v>3</v>
      </c>
      <c r="N2318" s="7">
        <v>1013.45</v>
      </c>
      <c r="O2318" s="7">
        <f t="shared" si="254"/>
        <v>3040.3500000000004</v>
      </c>
      <c r="P2318" s="4">
        <v>0</v>
      </c>
      <c r="Q2318" s="7">
        <f t="shared" si="255"/>
        <v>0</v>
      </c>
      <c r="R2318" s="7">
        <f t="shared" si="256"/>
        <v>3040.3500000000004</v>
      </c>
      <c r="S2318" s="7">
        <f t="shared" si="257"/>
        <v>1013.4500000000002</v>
      </c>
      <c r="T2318" s="6">
        <f t="shared" si="258"/>
        <v>1.8987341772151899E-2</v>
      </c>
      <c r="V2318" t="s">
        <v>29</v>
      </c>
    </row>
    <row r="2319" spans="1:22">
      <c r="A2319" s="3">
        <v>45754</v>
      </c>
      <c r="B2319" t="str">
        <f t="shared" si="252"/>
        <v>yyyy-04</v>
      </c>
      <c r="C2319">
        <f t="shared" si="253"/>
        <v>15</v>
      </c>
      <c r="D2319" t="s">
        <v>42</v>
      </c>
      <c r="E2319" t="s">
        <v>51</v>
      </c>
      <c r="F2319" t="s">
        <v>52</v>
      </c>
      <c r="G2319" t="s">
        <v>27</v>
      </c>
      <c r="H2319" t="s">
        <v>28</v>
      </c>
      <c r="I2319" s="5">
        <v>296</v>
      </c>
      <c r="J2319" s="5">
        <v>242</v>
      </c>
      <c r="K2319" s="5">
        <v>19</v>
      </c>
      <c r="L2319" s="5">
        <v>4</v>
      </c>
      <c r="M2319" s="5">
        <v>4</v>
      </c>
      <c r="N2319" s="7">
        <v>596.16999999999996</v>
      </c>
      <c r="O2319" s="7">
        <f t="shared" si="254"/>
        <v>2384.6799999999998</v>
      </c>
      <c r="P2319" s="4">
        <v>0.03</v>
      </c>
      <c r="Q2319" s="7">
        <f t="shared" si="255"/>
        <v>71.540399999999991</v>
      </c>
      <c r="R2319" s="7">
        <f t="shared" si="256"/>
        <v>2313.1396</v>
      </c>
      <c r="S2319" s="7">
        <f t="shared" si="257"/>
        <v>578.28489999999999</v>
      </c>
      <c r="T2319" s="6">
        <f t="shared" si="258"/>
        <v>1.3513513513513514E-2</v>
      </c>
      <c r="V2319" t="s">
        <v>29</v>
      </c>
    </row>
    <row r="2320" spans="1:22">
      <c r="A2320" s="3">
        <v>45754</v>
      </c>
      <c r="B2320" t="str">
        <f t="shared" si="252"/>
        <v>yyyy-04</v>
      </c>
      <c r="C2320">
        <f t="shared" si="253"/>
        <v>15</v>
      </c>
      <c r="D2320" t="s">
        <v>53</v>
      </c>
      <c r="E2320" t="s">
        <v>54</v>
      </c>
      <c r="F2320" t="s">
        <v>55</v>
      </c>
      <c r="G2320" t="s">
        <v>36</v>
      </c>
      <c r="H2320" t="s">
        <v>37</v>
      </c>
      <c r="I2320" s="5">
        <v>207</v>
      </c>
      <c r="J2320" s="5">
        <v>132</v>
      </c>
      <c r="K2320" s="5">
        <v>12</v>
      </c>
      <c r="L2320" s="5">
        <v>2</v>
      </c>
      <c r="M2320" s="5">
        <v>2</v>
      </c>
      <c r="N2320" s="7">
        <v>1291.18</v>
      </c>
      <c r="O2320" s="7">
        <f t="shared" si="254"/>
        <v>2582.36</v>
      </c>
      <c r="P2320" s="4">
        <v>0</v>
      </c>
      <c r="Q2320" s="7">
        <f t="shared" si="255"/>
        <v>0</v>
      </c>
      <c r="R2320" s="7">
        <f t="shared" si="256"/>
        <v>2582.36</v>
      </c>
      <c r="S2320" s="7">
        <f t="shared" si="257"/>
        <v>1291.18</v>
      </c>
      <c r="T2320" s="6">
        <f t="shared" si="258"/>
        <v>9.6618357487922701E-3</v>
      </c>
      <c r="V2320" t="s">
        <v>29</v>
      </c>
    </row>
    <row r="2321" spans="1:22">
      <c r="A2321" s="3">
        <v>45754</v>
      </c>
      <c r="B2321" t="str">
        <f t="shared" si="252"/>
        <v>yyyy-04</v>
      </c>
      <c r="C2321">
        <f t="shared" si="253"/>
        <v>15</v>
      </c>
      <c r="D2321" t="s">
        <v>53</v>
      </c>
      <c r="E2321" t="s">
        <v>56</v>
      </c>
      <c r="F2321" t="s">
        <v>57</v>
      </c>
      <c r="G2321" t="s">
        <v>27</v>
      </c>
      <c r="H2321" t="s">
        <v>48</v>
      </c>
      <c r="I2321" s="5">
        <v>175</v>
      </c>
      <c r="J2321" s="5">
        <v>100</v>
      </c>
      <c r="K2321" s="5">
        <v>8</v>
      </c>
      <c r="L2321" s="5">
        <v>2</v>
      </c>
      <c r="M2321" s="5">
        <v>2</v>
      </c>
      <c r="N2321" s="7">
        <v>735.77</v>
      </c>
      <c r="O2321" s="7">
        <f t="shared" si="254"/>
        <v>1471.54</v>
      </c>
      <c r="P2321" s="4">
        <v>0</v>
      </c>
      <c r="Q2321" s="7">
        <f t="shared" si="255"/>
        <v>0</v>
      </c>
      <c r="R2321" s="7">
        <f t="shared" si="256"/>
        <v>1471.54</v>
      </c>
      <c r="S2321" s="7">
        <f t="shared" si="257"/>
        <v>735.77</v>
      </c>
      <c r="T2321" s="6">
        <f t="shared" si="258"/>
        <v>1.1428571428571429E-2</v>
      </c>
      <c r="V2321" t="s">
        <v>29</v>
      </c>
    </row>
    <row r="2322" spans="1:22">
      <c r="A2322" s="3">
        <v>45754</v>
      </c>
      <c r="B2322" t="str">
        <f t="shared" si="252"/>
        <v>yyyy-04</v>
      </c>
      <c r="C2322">
        <f t="shared" si="253"/>
        <v>15</v>
      </c>
      <c r="D2322" t="s">
        <v>53</v>
      </c>
      <c r="E2322" t="s">
        <v>56</v>
      </c>
      <c r="F2322" t="s">
        <v>58</v>
      </c>
      <c r="G2322" t="s">
        <v>27</v>
      </c>
      <c r="H2322" t="s">
        <v>45</v>
      </c>
      <c r="I2322" s="5">
        <v>155</v>
      </c>
      <c r="J2322" s="5">
        <v>121</v>
      </c>
      <c r="K2322" s="5">
        <v>11</v>
      </c>
      <c r="L2322" s="5">
        <v>2</v>
      </c>
      <c r="M2322" s="5">
        <v>2</v>
      </c>
      <c r="N2322" s="7">
        <v>890.48</v>
      </c>
      <c r="O2322" s="7">
        <f t="shared" si="254"/>
        <v>1780.96</v>
      </c>
      <c r="P2322" s="4">
        <v>0</v>
      </c>
      <c r="Q2322" s="7">
        <f t="shared" si="255"/>
        <v>0</v>
      </c>
      <c r="R2322" s="7">
        <f t="shared" si="256"/>
        <v>1780.96</v>
      </c>
      <c r="S2322" s="7">
        <f t="shared" si="257"/>
        <v>890.48</v>
      </c>
      <c r="T2322" s="6">
        <f t="shared" si="258"/>
        <v>1.2903225806451613E-2</v>
      </c>
      <c r="V2322" t="s">
        <v>29</v>
      </c>
    </row>
    <row r="2323" spans="1:22">
      <c r="A2323" s="3">
        <v>45754</v>
      </c>
      <c r="B2323" t="str">
        <f t="shared" si="252"/>
        <v>yyyy-04</v>
      </c>
      <c r="C2323">
        <f t="shared" si="253"/>
        <v>15</v>
      </c>
      <c r="D2323" t="s">
        <v>53</v>
      </c>
      <c r="E2323" t="s">
        <v>59</v>
      </c>
      <c r="F2323" t="s">
        <v>60</v>
      </c>
      <c r="G2323" t="s">
        <v>27</v>
      </c>
      <c r="H2323" t="s">
        <v>48</v>
      </c>
      <c r="I2323" s="5">
        <v>153</v>
      </c>
      <c r="J2323" s="5">
        <v>112</v>
      </c>
      <c r="K2323" s="5">
        <v>10</v>
      </c>
      <c r="L2323" s="5">
        <v>3</v>
      </c>
      <c r="M2323" s="5">
        <v>3</v>
      </c>
      <c r="N2323" s="7">
        <v>703.19</v>
      </c>
      <c r="O2323" s="7">
        <f t="shared" si="254"/>
        <v>2109.5700000000002</v>
      </c>
      <c r="P2323" s="4">
        <v>0.09</v>
      </c>
      <c r="Q2323" s="7">
        <f t="shared" si="255"/>
        <v>189.8613</v>
      </c>
      <c r="R2323" s="7">
        <f t="shared" si="256"/>
        <v>1919.7087000000001</v>
      </c>
      <c r="S2323" s="7">
        <f t="shared" si="257"/>
        <v>639.90290000000005</v>
      </c>
      <c r="T2323" s="6">
        <f t="shared" si="258"/>
        <v>1.9607843137254902E-2</v>
      </c>
      <c r="U2323" t="s">
        <v>93</v>
      </c>
      <c r="V2323" t="s">
        <v>29</v>
      </c>
    </row>
    <row r="2324" spans="1:22">
      <c r="A2324" s="3">
        <v>45754</v>
      </c>
      <c r="B2324" t="str">
        <f t="shared" si="252"/>
        <v>yyyy-04</v>
      </c>
      <c r="C2324">
        <f t="shared" si="253"/>
        <v>15</v>
      </c>
      <c r="D2324" t="s">
        <v>53</v>
      </c>
      <c r="E2324" t="s">
        <v>61</v>
      </c>
      <c r="F2324" t="s">
        <v>62</v>
      </c>
      <c r="G2324" t="s">
        <v>31</v>
      </c>
      <c r="H2324" t="s">
        <v>32</v>
      </c>
      <c r="I2324" s="5">
        <v>242</v>
      </c>
      <c r="J2324" s="5">
        <v>175</v>
      </c>
      <c r="K2324" s="5">
        <v>14</v>
      </c>
      <c r="L2324" s="5">
        <v>3</v>
      </c>
      <c r="M2324" s="5">
        <v>3</v>
      </c>
      <c r="N2324" s="7">
        <v>483.15</v>
      </c>
      <c r="O2324" s="7">
        <f t="shared" si="254"/>
        <v>1449.4499999999998</v>
      </c>
      <c r="P2324" s="4">
        <v>0.03</v>
      </c>
      <c r="Q2324" s="7">
        <f t="shared" si="255"/>
        <v>43.483499999999992</v>
      </c>
      <c r="R2324" s="7">
        <f t="shared" si="256"/>
        <v>1405.9664999999998</v>
      </c>
      <c r="S2324" s="7">
        <f t="shared" si="257"/>
        <v>468.6554999999999</v>
      </c>
      <c r="T2324" s="6">
        <f t="shared" si="258"/>
        <v>1.2396694214876033E-2</v>
      </c>
      <c r="V2324" t="s">
        <v>29</v>
      </c>
    </row>
    <row r="2325" spans="1:22">
      <c r="A2325" s="3">
        <v>45754</v>
      </c>
      <c r="B2325" t="str">
        <f t="shared" si="252"/>
        <v>yyyy-04</v>
      </c>
      <c r="C2325">
        <f t="shared" si="253"/>
        <v>15</v>
      </c>
      <c r="D2325" t="s">
        <v>53</v>
      </c>
      <c r="E2325" t="s">
        <v>64</v>
      </c>
      <c r="F2325" t="s">
        <v>65</v>
      </c>
      <c r="G2325" t="s">
        <v>31</v>
      </c>
      <c r="H2325" t="s">
        <v>32</v>
      </c>
      <c r="I2325" s="5">
        <v>307</v>
      </c>
      <c r="J2325" s="5">
        <v>241</v>
      </c>
      <c r="K2325" s="5">
        <v>15</v>
      </c>
      <c r="L2325" s="5">
        <v>3</v>
      </c>
      <c r="M2325" s="5">
        <v>3</v>
      </c>
      <c r="N2325" s="7">
        <v>801.55</v>
      </c>
      <c r="O2325" s="7">
        <f t="shared" si="254"/>
        <v>2404.6499999999996</v>
      </c>
      <c r="P2325" s="4">
        <v>0</v>
      </c>
      <c r="Q2325" s="7">
        <f t="shared" si="255"/>
        <v>0</v>
      </c>
      <c r="R2325" s="7">
        <f t="shared" si="256"/>
        <v>2404.6499999999996</v>
      </c>
      <c r="S2325" s="7">
        <f t="shared" si="257"/>
        <v>801.54999999999984</v>
      </c>
      <c r="T2325" s="6">
        <f t="shared" si="258"/>
        <v>9.7719869706840382E-3</v>
      </c>
      <c r="V2325" t="s">
        <v>29</v>
      </c>
    </row>
    <row r="2326" spans="1:22">
      <c r="A2326" s="3">
        <v>45754</v>
      </c>
      <c r="B2326" t="str">
        <f t="shared" si="252"/>
        <v>yyyy-04</v>
      </c>
      <c r="C2326">
        <f t="shared" si="253"/>
        <v>15</v>
      </c>
      <c r="D2326" t="s">
        <v>66</v>
      </c>
      <c r="E2326" t="s">
        <v>67</v>
      </c>
      <c r="F2326" t="s">
        <v>68</v>
      </c>
      <c r="G2326" t="s">
        <v>31</v>
      </c>
      <c r="H2326" t="s">
        <v>32</v>
      </c>
      <c r="I2326" s="5">
        <v>483</v>
      </c>
      <c r="J2326" s="5">
        <v>296</v>
      </c>
      <c r="K2326" s="5">
        <v>32</v>
      </c>
      <c r="L2326" s="5">
        <v>10</v>
      </c>
      <c r="M2326" s="5">
        <v>10</v>
      </c>
      <c r="N2326" s="7">
        <v>691.39</v>
      </c>
      <c r="O2326" s="7">
        <f t="shared" si="254"/>
        <v>6913.9</v>
      </c>
      <c r="P2326" s="4">
        <v>0.03</v>
      </c>
      <c r="Q2326" s="7">
        <f t="shared" si="255"/>
        <v>207.41699999999997</v>
      </c>
      <c r="R2326" s="7">
        <f t="shared" si="256"/>
        <v>6706.4829999999993</v>
      </c>
      <c r="S2326" s="7">
        <f t="shared" si="257"/>
        <v>670.64829999999995</v>
      </c>
      <c r="T2326" s="6">
        <f t="shared" si="258"/>
        <v>2.0703933747412008E-2</v>
      </c>
      <c r="V2326" t="s">
        <v>29</v>
      </c>
    </row>
    <row r="2327" spans="1:22">
      <c r="A2327" s="3">
        <v>45754</v>
      </c>
      <c r="B2327" t="str">
        <f t="shared" si="252"/>
        <v>yyyy-04</v>
      </c>
      <c r="C2327">
        <f t="shared" si="253"/>
        <v>15</v>
      </c>
      <c r="D2327" t="s">
        <v>66</v>
      </c>
      <c r="E2327" t="s">
        <v>67</v>
      </c>
      <c r="F2327" t="s">
        <v>69</v>
      </c>
      <c r="G2327" t="s">
        <v>27</v>
      </c>
      <c r="H2327" t="s">
        <v>28</v>
      </c>
      <c r="I2327" s="5">
        <v>225</v>
      </c>
      <c r="J2327" s="5">
        <v>143</v>
      </c>
      <c r="K2327" s="5">
        <v>23</v>
      </c>
      <c r="L2327" s="5">
        <v>5</v>
      </c>
      <c r="M2327" s="5">
        <v>5</v>
      </c>
      <c r="N2327" s="7">
        <v>385.28</v>
      </c>
      <c r="O2327" s="7">
        <f t="shared" si="254"/>
        <v>1926.3999999999999</v>
      </c>
      <c r="P2327" s="4">
        <v>0.05</v>
      </c>
      <c r="Q2327" s="7">
        <f t="shared" si="255"/>
        <v>96.32</v>
      </c>
      <c r="R2327" s="7">
        <f t="shared" si="256"/>
        <v>1830.08</v>
      </c>
      <c r="S2327" s="7">
        <f t="shared" si="257"/>
        <v>366.01599999999996</v>
      </c>
      <c r="T2327" s="6">
        <f t="shared" si="258"/>
        <v>2.2222222222222223E-2</v>
      </c>
      <c r="V2327" t="s">
        <v>29</v>
      </c>
    </row>
    <row r="2328" spans="1:22">
      <c r="A2328" s="3">
        <v>45754</v>
      </c>
      <c r="B2328" t="str">
        <f t="shared" si="252"/>
        <v>yyyy-04</v>
      </c>
      <c r="C2328">
        <f t="shared" si="253"/>
        <v>15</v>
      </c>
      <c r="D2328" t="s">
        <v>66</v>
      </c>
      <c r="E2328" t="s">
        <v>67</v>
      </c>
      <c r="F2328" t="s">
        <v>70</v>
      </c>
      <c r="G2328" t="s">
        <v>27</v>
      </c>
      <c r="H2328" t="s">
        <v>28</v>
      </c>
      <c r="I2328" s="5">
        <v>405</v>
      </c>
      <c r="J2328" s="5">
        <v>289</v>
      </c>
      <c r="K2328" s="5">
        <v>33</v>
      </c>
      <c r="L2328" s="5">
        <v>8</v>
      </c>
      <c r="M2328" s="5">
        <v>8</v>
      </c>
      <c r="N2328" s="7">
        <v>337.33</v>
      </c>
      <c r="O2328" s="7">
        <f t="shared" si="254"/>
        <v>2698.64</v>
      </c>
      <c r="P2328" s="4">
        <v>0.05</v>
      </c>
      <c r="Q2328" s="7">
        <f t="shared" si="255"/>
        <v>134.93199999999999</v>
      </c>
      <c r="R2328" s="7">
        <f t="shared" si="256"/>
        <v>2563.7080000000001</v>
      </c>
      <c r="S2328" s="7">
        <f t="shared" si="257"/>
        <v>320.46350000000001</v>
      </c>
      <c r="T2328" s="6">
        <f t="shared" si="258"/>
        <v>1.9753086419753086E-2</v>
      </c>
      <c r="V2328" t="s">
        <v>29</v>
      </c>
    </row>
    <row r="2329" spans="1:22">
      <c r="A2329" s="3">
        <v>45754</v>
      </c>
      <c r="B2329" t="str">
        <f t="shared" si="252"/>
        <v>yyyy-04</v>
      </c>
      <c r="C2329">
        <f t="shared" si="253"/>
        <v>15</v>
      </c>
      <c r="D2329" t="s">
        <v>66</v>
      </c>
      <c r="E2329" t="s">
        <v>71</v>
      </c>
      <c r="F2329" t="s">
        <v>72</v>
      </c>
      <c r="G2329" t="s">
        <v>31</v>
      </c>
      <c r="H2329" t="s">
        <v>32</v>
      </c>
      <c r="I2329" s="5">
        <v>330</v>
      </c>
      <c r="J2329" s="5">
        <v>215</v>
      </c>
      <c r="K2329" s="5">
        <v>31</v>
      </c>
      <c r="L2329" s="5">
        <v>7</v>
      </c>
      <c r="M2329" s="5">
        <v>8</v>
      </c>
      <c r="N2329" s="7">
        <v>125.65</v>
      </c>
      <c r="O2329" s="7">
        <f t="shared" si="254"/>
        <v>1005.2</v>
      </c>
      <c r="P2329" s="4">
        <v>0</v>
      </c>
      <c r="Q2329" s="7">
        <f t="shared" si="255"/>
        <v>0</v>
      </c>
      <c r="R2329" s="7">
        <f t="shared" si="256"/>
        <v>1005.2</v>
      </c>
      <c r="S2329" s="7">
        <f t="shared" si="257"/>
        <v>143.6</v>
      </c>
      <c r="T2329" s="6">
        <f t="shared" si="258"/>
        <v>2.1212121212121213E-2</v>
      </c>
      <c r="V2329" t="s">
        <v>29</v>
      </c>
    </row>
    <row r="2330" spans="1:22">
      <c r="A2330" s="3">
        <v>45754</v>
      </c>
      <c r="B2330" t="str">
        <f t="shared" si="252"/>
        <v>yyyy-04</v>
      </c>
      <c r="C2330">
        <f t="shared" si="253"/>
        <v>15</v>
      </c>
      <c r="D2330" t="s">
        <v>66</v>
      </c>
      <c r="E2330" t="s">
        <v>73</v>
      </c>
      <c r="F2330" t="s">
        <v>74</v>
      </c>
      <c r="G2330" t="s">
        <v>31</v>
      </c>
      <c r="H2330" t="s">
        <v>32</v>
      </c>
      <c r="I2330" s="5">
        <v>245</v>
      </c>
      <c r="J2330" s="5">
        <v>160</v>
      </c>
      <c r="K2330" s="5">
        <v>18</v>
      </c>
      <c r="L2330" s="5">
        <v>4</v>
      </c>
      <c r="M2330" s="5">
        <v>4</v>
      </c>
      <c r="N2330" s="7">
        <v>1162.98</v>
      </c>
      <c r="O2330" s="7">
        <f t="shared" si="254"/>
        <v>4651.92</v>
      </c>
      <c r="P2330" s="4">
        <v>0.03</v>
      </c>
      <c r="Q2330" s="7">
        <f t="shared" si="255"/>
        <v>139.55760000000001</v>
      </c>
      <c r="R2330" s="7">
        <f t="shared" si="256"/>
        <v>4512.3624</v>
      </c>
      <c r="S2330" s="7">
        <f t="shared" si="257"/>
        <v>1128.0906</v>
      </c>
      <c r="T2330" s="6">
        <f t="shared" si="258"/>
        <v>1.6326530612244899E-2</v>
      </c>
      <c r="V2330" t="s">
        <v>29</v>
      </c>
    </row>
    <row r="2331" spans="1:22">
      <c r="A2331" s="3">
        <v>45754</v>
      </c>
      <c r="B2331" t="str">
        <f t="shared" si="252"/>
        <v>yyyy-04</v>
      </c>
      <c r="C2331">
        <f t="shared" si="253"/>
        <v>15</v>
      </c>
      <c r="D2331" t="s">
        <v>66</v>
      </c>
      <c r="E2331" t="s">
        <v>71</v>
      </c>
      <c r="F2331" t="s">
        <v>75</v>
      </c>
      <c r="G2331" t="s">
        <v>36</v>
      </c>
      <c r="H2331" t="s">
        <v>37</v>
      </c>
      <c r="I2331" s="5">
        <v>408</v>
      </c>
      <c r="J2331" s="5">
        <v>323</v>
      </c>
      <c r="K2331" s="5">
        <v>33</v>
      </c>
      <c r="L2331" s="5">
        <v>7</v>
      </c>
      <c r="M2331" s="5">
        <v>9</v>
      </c>
      <c r="N2331" s="7">
        <v>38.68</v>
      </c>
      <c r="O2331" s="7">
        <f t="shared" si="254"/>
        <v>348.12</v>
      </c>
      <c r="P2331" s="4">
        <v>0.03</v>
      </c>
      <c r="Q2331" s="7">
        <f t="shared" si="255"/>
        <v>10.4436</v>
      </c>
      <c r="R2331" s="7">
        <f t="shared" si="256"/>
        <v>337.6764</v>
      </c>
      <c r="S2331" s="7">
        <f t="shared" si="257"/>
        <v>48.239485714285713</v>
      </c>
      <c r="T2331" s="6">
        <f t="shared" si="258"/>
        <v>1.7156862745098041E-2</v>
      </c>
      <c r="V2331" t="s">
        <v>29</v>
      </c>
    </row>
    <row r="2332" spans="1:22">
      <c r="A2332" s="3">
        <v>45754</v>
      </c>
      <c r="B2332" t="str">
        <f t="shared" si="252"/>
        <v>yyyy-04</v>
      </c>
      <c r="C2332">
        <f t="shared" si="253"/>
        <v>15</v>
      </c>
      <c r="D2332" t="s">
        <v>24</v>
      </c>
      <c r="E2332" t="s">
        <v>76</v>
      </c>
      <c r="F2332" t="s">
        <v>77</v>
      </c>
      <c r="G2332" t="s">
        <v>27</v>
      </c>
      <c r="H2332" t="s">
        <v>48</v>
      </c>
      <c r="I2332" s="5">
        <v>432</v>
      </c>
      <c r="J2332" s="5">
        <v>328</v>
      </c>
      <c r="K2332" s="5">
        <v>41</v>
      </c>
      <c r="L2332" s="5">
        <v>10</v>
      </c>
      <c r="M2332" s="5">
        <v>12</v>
      </c>
      <c r="N2332" s="7">
        <v>193.09</v>
      </c>
      <c r="O2332" s="7">
        <f t="shared" si="254"/>
        <v>2317.08</v>
      </c>
      <c r="P2332" s="4">
        <v>0.03</v>
      </c>
      <c r="Q2332" s="7">
        <f t="shared" si="255"/>
        <v>69.5124</v>
      </c>
      <c r="R2332" s="7">
        <f t="shared" si="256"/>
        <v>2247.5675999999999</v>
      </c>
      <c r="S2332" s="7">
        <f t="shared" si="257"/>
        <v>224.75675999999999</v>
      </c>
      <c r="T2332" s="6">
        <f t="shared" si="258"/>
        <v>2.3148148148148147E-2</v>
      </c>
      <c r="V2332" t="s">
        <v>29</v>
      </c>
    </row>
    <row r="2333" spans="1:22">
      <c r="A2333" s="3">
        <v>45755</v>
      </c>
      <c r="B2333" t="str">
        <f t="shared" si="252"/>
        <v>yyyy-04</v>
      </c>
      <c r="C2333">
        <f t="shared" si="253"/>
        <v>15</v>
      </c>
      <c r="D2333" t="s">
        <v>24</v>
      </c>
      <c r="E2333" t="s">
        <v>25</v>
      </c>
      <c r="F2333" t="s">
        <v>26</v>
      </c>
      <c r="G2333" t="s">
        <v>27</v>
      </c>
      <c r="H2333" t="s">
        <v>45</v>
      </c>
      <c r="I2333" s="5">
        <v>1605</v>
      </c>
      <c r="J2333" s="5">
        <v>918</v>
      </c>
      <c r="K2333" s="5">
        <v>94</v>
      </c>
      <c r="L2333" s="5">
        <v>29</v>
      </c>
      <c r="M2333" s="5">
        <v>29</v>
      </c>
      <c r="N2333" s="7">
        <v>1011.48</v>
      </c>
      <c r="O2333" s="7">
        <f t="shared" si="254"/>
        <v>29332.920000000002</v>
      </c>
      <c r="P2333" s="4">
        <v>0</v>
      </c>
      <c r="Q2333" s="7">
        <f t="shared" si="255"/>
        <v>0</v>
      </c>
      <c r="R2333" s="7">
        <f t="shared" si="256"/>
        <v>29332.920000000002</v>
      </c>
      <c r="S2333" s="7">
        <f t="shared" si="257"/>
        <v>1011.48</v>
      </c>
      <c r="T2333" s="6">
        <f t="shared" si="258"/>
        <v>1.8068535825545171E-2</v>
      </c>
      <c r="V2333" t="s">
        <v>29</v>
      </c>
    </row>
    <row r="2334" spans="1:22">
      <c r="A2334" s="3">
        <v>45755</v>
      </c>
      <c r="B2334" t="str">
        <f t="shared" si="252"/>
        <v>yyyy-04</v>
      </c>
      <c r="C2334">
        <f t="shared" si="253"/>
        <v>15</v>
      </c>
      <c r="D2334" t="s">
        <v>24</v>
      </c>
      <c r="E2334" t="s">
        <v>25</v>
      </c>
      <c r="F2334" t="s">
        <v>30</v>
      </c>
      <c r="G2334" t="s">
        <v>27</v>
      </c>
      <c r="H2334" t="s">
        <v>45</v>
      </c>
      <c r="I2334" s="5">
        <v>1606</v>
      </c>
      <c r="J2334" s="5">
        <v>1030</v>
      </c>
      <c r="K2334" s="5">
        <v>113</v>
      </c>
      <c r="L2334" s="5">
        <v>34</v>
      </c>
      <c r="M2334" s="5">
        <v>34</v>
      </c>
      <c r="N2334" s="7">
        <v>383.25</v>
      </c>
      <c r="O2334" s="7">
        <f t="shared" si="254"/>
        <v>13030.5</v>
      </c>
      <c r="P2334" s="4">
        <v>0</v>
      </c>
      <c r="Q2334" s="7">
        <f t="shared" si="255"/>
        <v>0</v>
      </c>
      <c r="R2334" s="7">
        <f t="shared" si="256"/>
        <v>13030.5</v>
      </c>
      <c r="S2334" s="7">
        <f t="shared" si="257"/>
        <v>383.25</v>
      </c>
      <c r="T2334" s="6">
        <f t="shared" si="258"/>
        <v>2.1170610211706103E-2</v>
      </c>
      <c r="V2334" t="s">
        <v>29</v>
      </c>
    </row>
    <row r="2335" spans="1:22">
      <c r="A2335" s="3">
        <v>45755</v>
      </c>
      <c r="B2335" t="str">
        <f t="shared" si="252"/>
        <v>yyyy-04</v>
      </c>
      <c r="C2335">
        <f t="shared" si="253"/>
        <v>15</v>
      </c>
      <c r="D2335" t="s">
        <v>24</v>
      </c>
      <c r="E2335" t="s">
        <v>25</v>
      </c>
      <c r="F2335" t="s">
        <v>33</v>
      </c>
      <c r="G2335" t="s">
        <v>31</v>
      </c>
      <c r="H2335" t="s">
        <v>32</v>
      </c>
      <c r="I2335" s="5">
        <v>2036</v>
      </c>
      <c r="J2335" s="5">
        <v>1314</v>
      </c>
      <c r="K2335" s="5">
        <v>233</v>
      </c>
      <c r="L2335" s="5">
        <v>47</v>
      </c>
      <c r="M2335" s="5">
        <v>47</v>
      </c>
      <c r="N2335" s="7">
        <v>1786.67</v>
      </c>
      <c r="O2335" s="7">
        <f t="shared" si="254"/>
        <v>83973.49</v>
      </c>
      <c r="P2335" s="4">
        <v>0</v>
      </c>
      <c r="Q2335" s="7">
        <f t="shared" si="255"/>
        <v>0</v>
      </c>
      <c r="R2335" s="7">
        <f t="shared" si="256"/>
        <v>83973.49</v>
      </c>
      <c r="S2335" s="7">
        <f t="shared" si="257"/>
        <v>1786.67</v>
      </c>
      <c r="T2335" s="6">
        <f t="shared" si="258"/>
        <v>2.3084479371316306E-2</v>
      </c>
      <c r="V2335" t="s">
        <v>29</v>
      </c>
    </row>
    <row r="2336" spans="1:22">
      <c r="A2336" s="3">
        <v>45755</v>
      </c>
      <c r="B2336" t="str">
        <f t="shared" si="252"/>
        <v>yyyy-04</v>
      </c>
      <c r="C2336">
        <f t="shared" si="253"/>
        <v>15</v>
      </c>
      <c r="D2336" t="s">
        <v>24</v>
      </c>
      <c r="E2336" t="s">
        <v>34</v>
      </c>
      <c r="F2336" t="s">
        <v>35</v>
      </c>
      <c r="G2336" t="s">
        <v>31</v>
      </c>
      <c r="H2336" t="s">
        <v>32</v>
      </c>
      <c r="I2336" s="5">
        <v>779</v>
      </c>
      <c r="J2336" s="5">
        <v>617</v>
      </c>
      <c r="K2336" s="5">
        <v>71</v>
      </c>
      <c r="L2336" s="5">
        <v>21</v>
      </c>
      <c r="M2336" s="5">
        <v>21</v>
      </c>
      <c r="N2336" s="7">
        <v>905.81</v>
      </c>
      <c r="O2336" s="7">
        <f t="shared" si="254"/>
        <v>19022.009999999998</v>
      </c>
      <c r="P2336" s="4">
        <v>0.08</v>
      </c>
      <c r="Q2336" s="7">
        <f t="shared" si="255"/>
        <v>1521.7607999999998</v>
      </c>
      <c r="R2336" s="7">
        <f t="shared" si="256"/>
        <v>17500.249199999998</v>
      </c>
      <c r="S2336" s="7">
        <f t="shared" si="257"/>
        <v>833.34519999999998</v>
      </c>
      <c r="T2336" s="6">
        <f t="shared" si="258"/>
        <v>2.6957637997432605E-2</v>
      </c>
      <c r="U2336" t="s">
        <v>92</v>
      </c>
      <c r="V2336" t="s">
        <v>29</v>
      </c>
    </row>
    <row r="2337" spans="1:22">
      <c r="A2337" s="3">
        <v>45755</v>
      </c>
      <c r="B2337" t="str">
        <f t="shared" si="252"/>
        <v>yyyy-04</v>
      </c>
      <c r="C2337">
        <f t="shared" si="253"/>
        <v>15</v>
      </c>
      <c r="D2337" t="s">
        <v>24</v>
      </c>
      <c r="E2337" t="s">
        <v>38</v>
      </c>
      <c r="F2337" t="s">
        <v>39</v>
      </c>
      <c r="G2337" t="s">
        <v>31</v>
      </c>
      <c r="H2337" t="s">
        <v>32</v>
      </c>
      <c r="I2337" s="5">
        <v>904</v>
      </c>
      <c r="J2337" s="5">
        <v>473</v>
      </c>
      <c r="K2337" s="5">
        <v>57</v>
      </c>
      <c r="L2337" s="5">
        <v>14</v>
      </c>
      <c r="M2337" s="5">
        <v>14</v>
      </c>
      <c r="N2337" s="7">
        <v>319.2</v>
      </c>
      <c r="O2337" s="7">
        <f t="shared" si="254"/>
        <v>4468.8</v>
      </c>
      <c r="P2337" s="4">
        <v>0</v>
      </c>
      <c r="Q2337" s="7">
        <f t="shared" si="255"/>
        <v>0</v>
      </c>
      <c r="R2337" s="7">
        <f t="shared" si="256"/>
        <v>4468.8</v>
      </c>
      <c r="S2337" s="7">
        <f t="shared" si="257"/>
        <v>319.2</v>
      </c>
      <c r="T2337" s="6">
        <f t="shared" si="258"/>
        <v>1.5486725663716814E-2</v>
      </c>
      <c r="V2337" t="s">
        <v>29</v>
      </c>
    </row>
    <row r="2338" spans="1:22">
      <c r="A2338" s="3">
        <v>45755</v>
      </c>
      <c r="B2338" t="str">
        <f t="shared" si="252"/>
        <v>yyyy-04</v>
      </c>
      <c r="C2338">
        <f t="shared" si="253"/>
        <v>15</v>
      </c>
      <c r="D2338" t="s">
        <v>24</v>
      </c>
      <c r="E2338" t="s">
        <v>40</v>
      </c>
      <c r="F2338" t="s">
        <v>41</v>
      </c>
      <c r="G2338" t="s">
        <v>27</v>
      </c>
      <c r="H2338" t="s">
        <v>45</v>
      </c>
      <c r="I2338" s="5">
        <v>631</v>
      </c>
      <c r="J2338" s="5">
        <v>406</v>
      </c>
      <c r="K2338" s="5">
        <v>49</v>
      </c>
      <c r="L2338" s="5">
        <v>11</v>
      </c>
      <c r="M2338" s="5">
        <v>14</v>
      </c>
      <c r="N2338" s="7">
        <v>182.18</v>
      </c>
      <c r="O2338" s="7">
        <f t="shared" si="254"/>
        <v>2550.52</v>
      </c>
      <c r="P2338" s="4">
        <v>0</v>
      </c>
      <c r="Q2338" s="7">
        <f t="shared" si="255"/>
        <v>0</v>
      </c>
      <c r="R2338" s="7">
        <f t="shared" si="256"/>
        <v>2550.52</v>
      </c>
      <c r="S2338" s="7">
        <f t="shared" si="257"/>
        <v>231.86545454545455</v>
      </c>
      <c r="T2338" s="6">
        <f t="shared" si="258"/>
        <v>1.7432646592709985E-2</v>
      </c>
      <c r="V2338" t="s">
        <v>29</v>
      </c>
    </row>
    <row r="2339" spans="1:22">
      <c r="A2339" s="3">
        <v>45755</v>
      </c>
      <c r="B2339" t="str">
        <f t="shared" si="252"/>
        <v>yyyy-04</v>
      </c>
      <c r="C2339">
        <f t="shared" si="253"/>
        <v>15</v>
      </c>
      <c r="D2339" t="s">
        <v>42</v>
      </c>
      <c r="E2339" t="s">
        <v>43</v>
      </c>
      <c r="F2339" t="s">
        <v>44</v>
      </c>
      <c r="G2339" t="s">
        <v>36</v>
      </c>
      <c r="H2339" t="s">
        <v>37</v>
      </c>
      <c r="I2339" s="5">
        <v>485</v>
      </c>
      <c r="J2339" s="5">
        <v>258</v>
      </c>
      <c r="K2339" s="5">
        <v>31</v>
      </c>
      <c r="L2339" s="5">
        <v>8</v>
      </c>
      <c r="M2339" s="5">
        <v>8</v>
      </c>
      <c r="N2339" s="7">
        <v>1306.29</v>
      </c>
      <c r="O2339" s="7">
        <f t="shared" si="254"/>
        <v>10450.32</v>
      </c>
      <c r="P2339" s="4">
        <v>0</v>
      </c>
      <c r="Q2339" s="7">
        <f t="shared" si="255"/>
        <v>0</v>
      </c>
      <c r="R2339" s="7">
        <f t="shared" si="256"/>
        <v>10450.32</v>
      </c>
      <c r="S2339" s="7">
        <f t="shared" si="257"/>
        <v>1306.29</v>
      </c>
      <c r="T2339" s="6">
        <f t="shared" si="258"/>
        <v>1.6494845360824743E-2</v>
      </c>
      <c r="V2339" t="s">
        <v>29</v>
      </c>
    </row>
    <row r="2340" spans="1:22">
      <c r="A2340" s="3">
        <v>45755</v>
      </c>
      <c r="B2340" t="str">
        <f t="shared" si="252"/>
        <v>yyyy-04</v>
      </c>
      <c r="C2340">
        <f t="shared" si="253"/>
        <v>15</v>
      </c>
      <c r="D2340" t="s">
        <v>42</v>
      </c>
      <c r="E2340" t="s">
        <v>43</v>
      </c>
      <c r="F2340" t="s">
        <v>46</v>
      </c>
      <c r="G2340" t="s">
        <v>27</v>
      </c>
      <c r="H2340" t="s">
        <v>28</v>
      </c>
      <c r="I2340" s="5">
        <v>513</v>
      </c>
      <c r="J2340" s="5">
        <v>298</v>
      </c>
      <c r="K2340" s="5">
        <v>19</v>
      </c>
      <c r="L2340" s="5">
        <v>8</v>
      </c>
      <c r="M2340" s="5">
        <v>8</v>
      </c>
      <c r="N2340" s="7">
        <v>2172.2199999999998</v>
      </c>
      <c r="O2340" s="7">
        <f t="shared" si="254"/>
        <v>17377.759999999998</v>
      </c>
      <c r="P2340" s="4">
        <v>0</v>
      </c>
      <c r="Q2340" s="7">
        <f t="shared" si="255"/>
        <v>0</v>
      </c>
      <c r="R2340" s="7">
        <f t="shared" si="256"/>
        <v>17377.759999999998</v>
      </c>
      <c r="S2340" s="7">
        <f t="shared" si="257"/>
        <v>2172.2199999999998</v>
      </c>
      <c r="T2340" s="6">
        <f t="shared" si="258"/>
        <v>1.5594541910331383E-2</v>
      </c>
      <c r="V2340" t="s">
        <v>29</v>
      </c>
    </row>
    <row r="2341" spans="1:22">
      <c r="A2341" s="3">
        <v>45755</v>
      </c>
      <c r="B2341" t="str">
        <f t="shared" si="252"/>
        <v>yyyy-04</v>
      </c>
      <c r="C2341">
        <f t="shared" si="253"/>
        <v>15</v>
      </c>
      <c r="D2341" t="s">
        <v>42</v>
      </c>
      <c r="E2341" t="s">
        <v>43</v>
      </c>
      <c r="F2341" t="s">
        <v>47</v>
      </c>
      <c r="G2341" t="s">
        <v>31</v>
      </c>
      <c r="H2341" t="s">
        <v>32</v>
      </c>
      <c r="I2341" s="5">
        <v>683</v>
      </c>
      <c r="J2341" s="5">
        <v>444</v>
      </c>
      <c r="K2341" s="5">
        <v>34</v>
      </c>
      <c r="L2341" s="5">
        <v>7</v>
      </c>
      <c r="M2341" s="5">
        <v>7</v>
      </c>
      <c r="N2341" s="7">
        <v>598.73</v>
      </c>
      <c r="O2341" s="7">
        <f t="shared" si="254"/>
        <v>4191.1100000000006</v>
      </c>
      <c r="P2341" s="4">
        <v>0.03</v>
      </c>
      <c r="Q2341" s="7">
        <f t="shared" si="255"/>
        <v>125.73330000000001</v>
      </c>
      <c r="R2341" s="7">
        <f t="shared" si="256"/>
        <v>4065.3767000000007</v>
      </c>
      <c r="S2341" s="7">
        <f t="shared" si="257"/>
        <v>580.76810000000012</v>
      </c>
      <c r="T2341" s="6">
        <f t="shared" si="258"/>
        <v>1.0248901903367497E-2</v>
      </c>
      <c r="V2341" t="s">
        <v>29</v>
      </c>
    </row>
    <row r="2342" spans="1:22">
      <c r="A2342" s="3">
        <v>45755</v>
      </c>
      <c r="B2342" t="str">
        <f t="shared" si="252"/>
        <v>yyyy-04</v>
      </c>
      <c r="C2342">
        <f t="shared" si="253"/>
        <v>15</v>
      </c>
      <c r="D2342" t="s">
        <v>42</v>
      </c>
      <c r="E2342" t="s">
        <v>49</v>
      </c>
      <c r="F2342" t="s">
        <v>50</v>
      </c>
      <c r="G2342" t="s">
        <v>36</v>
      </c>
      <c r="H2342" t="s">
        <v>37</v>
      </c>
      <c r="I2342" s="5">
        <v>143</v>
      </c>
      <c r="J2342" s="5">
        <v>115</v>
      </c>
      <c r="K2342" s="5">
        <v>9</v>
      </c>
      <c r="L2342" s="5">
        <v>2</v>
      </c>
      <c r="M2342" s="5">
        <v>2</v>
      </c>
      <c r="N2342" s="7">
        <v>1017.52</v>
      </c>
      <c r="O2342" s="7">
        <f t="shared" si="254"/>
        <v>2035.04</v>
      </c>
      <c r="P2342" s="4">
        <v>0</v>
      </c>
      <c r="Q2342" s="7">
        <f t="shared" si="255"/>
        <v>0</v>
      </c>
      <c r="R2342" s="7">
        <f t="shared" si="256"/>
        <v>2035.04</v>
      </c>
      <c r="S2342" s="7">
        <f t="shared" si="257"/>
        <v>1017.52</v>
      </c>
      <c r="T2342" s="6">
        <f t="shared" si="258"/>
        <v>1.3986013986013986E-2</v>
      </c>
      <c r="V2342" t="s">
        <v>29</v>
      </c>
    </row>
    <row r="2343" spans="1:22">
      <c r="A2343" s="3">
        <v>45755</v>
      </c>
      <c r="B2343" t="str">
        <f t="shared" si="252"/>
        <v>yyyy-04</v>
      </c>
      <c r="C2343">
        <f t="shared" si="253"/>
        <v>15</v>
      </c>
      <c r="D2343" t="s">
        <v>42</v>
      </c>
      <c r="E2343" t="s">
        <v>51</v>
      </c>
      <c r="F2343" t="s">
        <v>52</v>
      </c>
      <c r="G2343" t="s">
        <v>27</v>
      </c>
      <c r="H2343" t="s">
        <v>48</v>
      </c>
      <c r="I2343" s="5">
        <v>201</v>
      </c>
      <c r="J2343" s="5">
        <v>126</v>
      </c>
      <c r="K2343" s="5">
        <v>10</v>
      </c>
      <c r="L2343" s="5">
        <v>2</v>
      </c>
      <c r="M2343" s="5">
        <v>2</v>
      </c>
      <c r="N2343" s="7">
        <v>582.22</v>
      </c>
      <c r="O2343" s="7">
        <f t="shared" si="254"/>
        <v>1164.44</v>
      </c>
      <c r="P2343" s="4">
        <v>0</v>
      </c>
      <c r="Q2343" s="7">
        <f t="shared" si="255"/>
        <v>0</v>
      </c>
      <c r="R2343" s="7">
        <f t="shared" si="256"/>
        <v>1164.44</v>
      </c>
      <c r="S2343" s="7">
        <f t="shared" si="257"/>
        <v>582.22</v>
      </c>
      <c r="T2343" s="6">
        <f t="shared" si="258"/>
        <v>9.9502487562189053E-3</v>
      </c>
      <c r="V2343" t="s">
        <v>29</v>
      </c>
    </row>
    <row r="2344" spans="1:22">
      <c r="A2344" s="3">
        <v>45755</v>
      </c>
      <c r="B2344" t="str">
        <f t="shared" si="252"/>
        <v>yyyy-04</v>
      </c>
      <c r="C2344">
        <f t="shared" si="253"/>
        <v>15</v>
      </c>
      <c r="D2344" t="s">
        <v>53</v>
      </c>
      <c r="E2344" t="s">
        <v>54</v>
      </c>
      <c r="F2344" t="s">
        <v>55</v>
      </c>
      <c r="G2344" t="s">
        <v>36</v>
      </c>
      <c r="H2344" t="s">
        <v>37</v>
      </c>
      <c r="I2344" s="5">
        <v>155</v>
      </c>
      <c r="J2344" s="5">
        <v>112</v>
      </c>
      <c r="K2344" s="5">
        <v>8</v>
      </c>
      <c r="L2344" s="5">
        <v>2</v>
      </c>
      <c r="M2344" s="5">
        <v>2</v>
      </c>
      <c r="N2344" s="7">
        <v>1314.64</v>
      </c>
      <c r="O2344" s="7">
        <f t="shared" si="254"/>
        <v>2629.28</v>
      </c>
      <c r="P2344" s="4">
        <v>0</v>
      </c>
      <c r="Q2344" s="7">
        <f t="shared" si="255"/>
        <v>0</v>
      </c>
      <c r="R2344" s="7">
        <f t="shared" si="256"/>
        <v>2629.28</v>
      </c>
      <c r="S2344" s="7">
        <f t="shared" si="257"/>
        <v>1314.64</v>
      </c>
      <c r="T2344" s="6">
        <f t="shared" si="258"/>
        <v>1.2903225806451613E-2</v>
      </c>
      <c r="V2344" t="s">
        <v>29</v>
      </c>
    </row>
    <row r="2345" spans="1:22">
      <c r="A2345" s="3">
        <v>45755</v>
      </c>
      <c r="B2345" t="str">
        <f t="shared" si="252"/>
        <v>yyyy-04</v>
      </c>
      <c r="C2345">
        <f t="shared" si="253"/>
        <v>15</v>
      </c>
      <c r="D2345" t="s">
        <v>53</v>
      </c>
      <c r="E2345" t="s">
        <v>56</v>
      </c>
      <c r="F2345" t="s">
        <v>57</v>
      </c>
      <c r="G2345" t="s">
        <v>31</v>
      </c>
      <c r="H2345" t="s">
        <v>32</v>
      </c>
      <c r="I2345" s="5">
        <v>211</v>
      </c>
      <c r="J2345" s="5">
        <v>126</v>
      </c>
      <c r="K2345" s="5">
        <v>15</v>
      </c>
      <c r="L2345" s="5">
        <v>3</v>
      </c>
      <c r="M2345" s="5">
        <v>3</v>
      </c>
      <c r="N2345" s="7">
        <v>761.22</v>
      </c>
      <c r="O2345" s="7">
        <f t="shared" si="254"/>
        <v>2283.66</v>
      </c>
      <c r="P2345" s="4">
        <v>0</v>
      </c>
      <c r="Q2345" s="7">
        <f t="shared" si="255"/>
        <v>0</v>
      </c>
      <c r="R2345" s="7">
        <f t="shared" si="256"/>
        <v>2283.66</v>
      </c>
      <c r="S2345" s="7">
        <f t="shared" si="257"/>
        <v>761.21999999999991</v>
      </c>
      <c r="T2345" s="6">
        <f t="shared" si="258"/>
        <v>1.4218009478672985E-2</v>
      </c>
      <c r="V2345" t="s">
        <v>29</v>
      </c>
    </row>
    <row r="2346" spans="1:22">
      <c r="A2346" s="3">
        <v>45755</v>
      </c>
      <c r="B2346" t="str">
        <f t="shared" si="252"/>
        <v>yyyy-04</v>
      </c>
      <c r="C2346">
        <f t="shared" si="253"/>
        <v>15</v>
      </c>
      <c r="D2346" t="s">
        <v>53</v>
      </c>
      <c r="E2346" t="s">
        <v>56</v>
      </c>
      <c r="F2346" t="s">
        <v>58</v>
      </c>
      <c r="G2346" t="s">
        <v>27</v>
      </c>
      <c r="H2346" t="s">
        <v>45</v>
      </c>
      <c r="I2346" s="5">
        <v>152</v>
      </c>
      <c r="J2346" s="5">
        <v>121</v>
      </c>
      <c r="K2346" s="5">
        <v>9</v>
      </c>
      <c r="L2346" s="5">
        <v>2</v>
      </c>
      <c r="M2346" s="5">
        <v>2</v>
      </c>
      <c r="N2346" s="7">
        <v>872.68</v>
      </c>
      <c r="O2346" s="7">
        <f t="shared" si="254"/>
        <v>1745.36</v>
      </c>
      <c r="P2346" s="4">
        <v>0</v>
      </c>
      <c r="Q2346" s="7">
        <f t="shared" si="255"/>
        <v>0</v>
      </c>
      <c r="R2346" s="7">
        <f t="shared" si="256"/>
        <v>1745.36</v>
      </c>
      <c r="S2346" s="7">
        <f t="shared" si="257"/>
        <v>872.68</v>
      </c>
      <c r="T2346" s="6">
        <f t="shared" si="258"/>
        <v>1.3157894736842105E-2</v>
      </c>
      <c r="V2346" t="s">
        <v>29</v>
      </c>
    </row>
    <row r="2347" spans="1:22">
      <c r="A2347" s="3">
        <v>45755</v>
      </c>
      <c r="B2347" t="str">
        <f t="shared" si="252"/>
        <v>yyyy-04</v>
      </c>
      <c r="C2347">
        <f t="shared" si="253"/>
        <v>15</v>
      </c>
      <c r="D2347" t="s">
        <v>53</v>
      </c>
      <c r="E2347" t="s">
        <v>59</v>
      </c>
      <c r="F2347" t="s">
        <v>60</v>
      </c>
      <c r="G2347" t="s">
        <v>36</v>
      </c>
      <c r="H2347" t="s">
        <v>37</v>
      </c>
      <c r="I2347" s="5">
        <v>142</v>
      </c>
      <c r="J2347" s="5">
        <v>92</v>
      </c>
      <c r="K2347" s="5">
        <v>10</v>
      </c>
      <c r="L2347" s="5">
        <v>2</v>
      </c>
      <c r="M2347" s="5">
        <v>2</v>
      </c>
      <c r="N2347" s="7">
        <v>679.78</v>
      </c>
      <c r="O2347" s="7">
        <f t="shared" si="254"/>
        <v>1359.56</v>
      </c>
      <c r="P2347" s="4">
        <v>0.09</v>
      </c>
      <c r="Q2347" s="7">
        <f t="shared" si="255"/>
        <v>122.36039999999998</v>
      </c>
      <c r="R2347" s="7">
        <f t="shared" si="256"/>
        <v>1237.1995999999999</v>
      </c>
      <c r="S2347" s="7">
        <f t="shared" si="257"/>
        <v>618.59979999999996</v>
      </c>
      <c r="T2347" s="6">
        <f t="shared" si="258"/>
        <v>1.4084507042253521E-2</v>
      </c>
      <c r="U2347" t="s">
        <v>93</v>
      </c>
      <c r="V2347" t="s">
        <v>29</v>
      </c>
    </row>
    <row r="2348" spans="1:22">
      <c r="A2348" s="3">
        <v>45755</v>
      </c>
      <c r="B2348" t="str">
        <f t="shared" si="252"/>
        <v>yyyy-04</v>
      </c>
      <c r="C2348">
        <f t="shared" si="253"/>
        <v>15</v>
      </c>
      <c r="D2348" t="s">
        <v>53</v>
      </c>
      <c r="E2348" t="s">
        <v>61</v>
      </c>
      <c r="F2348" t="s">
        <v>62</v>
      </c>
      <c r="G2348" t="s">
        <v>36</v>
      </c>
      <c r="H2348" t="s">
        <v>37</v>
      </c>
      <c r="I2348" s="5">
        <v>181</v>
      </c>
      <c r="J2348" s="5">
        <v>148</v>
      </c>
      <c r="K2348" s="5">
        <v>15</v>
      </c>
      <c r="L2348" s="5">
        <v>2</v>
      </c>
      <c r="M2348" s="5">
        <v>2</v>
      </c>
      <c r="N2348" s="7">
        <v>493.21</v>
      </c>
      <c r="O2348" s="7">
        <f t="shared" si="254"/>
        <v>986.42</v>
      </c>
      <c r="P2348" s="4">
        <v>0</v>
      </c>
      <c r="Q2348" s="7">
        <f t="shared" si="255"/>
        <v>0</v>
      </c>
      <c r="R2348" s="7">
        <f t="shared" si="256"/>
        <v>986.42</v>
      </c>
      <c r="S2348" s="7">
        <f t="shared" si="257"/>
        <v>493.21</v>
      </c>
      <c r="T2348" s="6">
        <f t="shared" si="258"/>
        <v>1.1049723756906077E-2</v>
      </c>
      <c r="V2348" t="s">
        <v>29</v>
      </c>
    </row>
    <row r="2349" spans="1:22">
      <c r="A2349" s="3">
        <v>45755</v>
      </c>
      <c r="B2349" t="str">
        <f t="shared" si="252"/>
        <v>yyyy-04</v>
      </c>
      <c r="C2349">
        <f t="shared" si="253"/>
        <v>15</v>
      </c>
      <c r="D2349" t="s">
        <v>53</v>
      </c>
      <c r="E2349" t="s">
        <v>64</v>
      </c>
      <c r="F2349" t="s">
        <v>65</v>
      </c>
      <c r="G2349" t="s">
        <v>27</v>
      </c>
      <c r="H2349" t="s">
        <v>48</v>
      </c>
      <c r="I2349" s="5">
        <v>84</v>
      </c>
      <c r="J2349" s="5">
        <v>65</v>
      </c>
      <c r="K2349" s="5">
        <v>4</v>
      </c>
      <c r="L2349" s="5">
        <v>1</v>
      </c>
      <c r="M2349" s="5">
        <v>1</v>
      </c>
      <c r="N2349" s="7">
        <v>781.41</v>
      </c>
      <c r="O2349" s="7">
        <f t="shared" si="254"/>
        <v>781.41</v>
      </c>
      <c r="P2349" s="4">
        <v>0</v>
      </c>
      <c r="Q2349" s="7">
        <f t="shared" si="255"/>
        <v>0</v>
      </c>
      <c r="R2349" s="7">
        <f t="shared" si="256"/>
        <v>781.41</v>
      </c>
      <c r="S2349" s="7">
        <f t="shared" si="257"/>
        <v>781.41</v>
      </c>
      <c r="T2349" s="6">
        <f t="shared" si="258"/>
        <v>1.1904761904761904E-2</v>
      </c>
      <c r="V2349" t="s">
        <v>29</v>
      </c>
    </row>
    <row r="2350" spans="1:22">
      <c r="A2350" s="3">
        <v>45755</v>
      </c>
      <c r="B2350" t="str">
        <f t="shared" si="252"/>
        <v>yyyy-04</v>
      </c>
      <c r="C2350">
        <f t="shared" si="253"/>
        <v>15</v>
      </c>
      <c r="D2350" t="s">
        <v>66</v>
      </c>
      <c r="E2350" t="s">
        <v>67</v>
      </c>
      <c r="F2350" t="s">
        <v>68</v>
      </c>
      <c r="G2350" t="s">
        <v>31</v>
      </c>
      <c r="H2350" t="s">
        <v>32</v>
      </c>
      <c r="I2350" s="5">
        <v>529</v>
      </c>
      <c r="J2350" s="5">
        <v>311</v>
      </c>
      <c r="K2350" s="5">
        <v>39</v>
      </c>
      <c r="L2350" s="5">
        <v>9</v>
      </c>
      <c r="M2350" s="5">
        <v>9</v>
      </c>
      <c r="N2350" s="7">
        <v>691.85</v>
      </c>
      <c r="O2350" s="7">
        <f t="shared" si="254"/>
        <v>6226.6500000000005</v>
      </c>
      <c r="P2350" s="4">
        <v>0</v>
      </c>
      <c r="Q2350" s="7">
        <f t="shared" si="255"/>
        <v>0</v>
      </c>
      <c r="R2350" s="7">
        <f t="shared" si="256"/>
        <v>6226.6500000000005</v>
      </c>
      <c r="S2350" s="7">
        <f t="shared" si="257"/>
        <v>691.85</v>
      </c>
      <c r="T2350" s="6">
        <f t="shared" si="258"/>
        <v>1.7013232514177693E-2</v>
      </c>
      <c r="V2350" t="s">
        <v>29</v>
      </c>
    </row>
    <row r="2351" spans="1:22">
      <c r="A2351" s="3">
        <v>45755</v>
      </c>
      <c r="B2351" t="str">
        <f t="shared" si="252"/>
        <v>yyyy-04</v>
      </c>
      <c r="C2351">
        <f t="shared" si="253"/>
        <v>15</v>
      </c>
      <c r="D2351" t="s">
        <v>66</v>
      </c>
      <c r="E2351" t="s">
        <v>67</v>
      </c>
      <c r="F2351" t="s">
        <v>69</v>
      </c>
      <c r="G2351" t="s">
        <v>31</v>
      </c>
      <c r="H2351" t="s">
        <v>32</v>
      </c>
      <c r="I2351" s="5">
        <v>422</v>
      </c>
      <c r="J2351" s="5">
        <v>327</v>
      </c>
      <c r="K2351" s="5">
        <v>33</v>
      </c>
      <c r="L2351" s="5">
        <v>8</v>
      </c>
      <c r="M2351" s="5">
        <v>8</v>
      </c>
      <c r="N2351" s="7">
        <v>383.3</v>
      </c>
      <c r="O2351" s="7">
        <f t="shared" si="254"/>
        <v>3066.4</v>
      </c>
      <c r="P2351" s="4">
        <v>0</v>
      </c>
      <c r="Q2351" s="7">
        <f t="shared" si="255"/>
        <v>0</v>
      </c>
      <c r="R2351" s="7">
        <f t="shared" si="256"/>
        <v>3066.4</v>
      </c>
      <c r="S2351" s="7">
        <f t="shared" si="257"/>
        <v>383.3</v>
      </c>
      <c r="T2351" s="6">
        <f t="shared" si="258"/>
        <v>1.8957345971563982E-2</v>
      </c>
      <c r="V2351" t="s">
        <v>29</v>
      </c>
    </row>
    <row r="2352" spans="1:22">
      <c r="A2352" s="3">
        <v>45755</v>
      </c>
      <c r="B2352" t="str">
        <f t="shared" si="252"/>
        <v>yyyy-04</v>
      </c>
      <c r="C2352">
        <f t="shared" si="253"/>
        <v>15</v>
      </c>
      <c r="D2352" t="s">
        <v>66</v>
      </c>
      <c r="E2352" t="s">
        <v>67</v>
      </c>
      <c r="F2352" t="s">
        <v>70</v>
      </c>
      <c r="G2352" t="s">
        <v>36</v>
      </c>
      <c r="H2352" t="s">
        <v>37</v>
      </c>
      <c r="I2352" s="5">
        <v>443</v>
      </c>
      <c r="J2352" s="5">
        <v>281</v>
      </c>
      <c r="K2352" s="5">
        <v>32</v>
      </c>
      <c r="L2352" s="5">
        <v>7</v>
      </c>
      <c r="M2352" s="5">
        <v>7</v>
      </c>
      <c r="N2352" s="7">
        <v>346.75</v>
      </c>
      <c r="O2352" s="7">
        <f t="shared" si="254"/>
        <v>2427.25</v>
      </c>
      <c r="P2352" s="4">
        <v>0</v>
      </c>
      <c r="Q2352" s="7">
        <f t="shared" si="255"/>
        <v>0</v>
      </c>
      <c r="R2352" s="7">
        <f t="shared" si="256"/>
        <v>2427.25</v>
      </c>
      <c r="S2352" s="7">
        <f t="shared" si="257"/>
        <v>346.75</v>
      </c>
      <c r="T2352" s="6">
        <f t="shared" si="258"/>
        <v>1.580135440180587E-2</v>
      </c>
      <c r="V2352" t="s">
        <v>29</v>
      </c>
    </row>
    <row r="2353" spans="1:22">
      <c r="A2353" s="3">
        <v>45755</v>
      </c>
      <c r="B2353" t="str">
        <f t="shared" si="252"/>
        <v>yyyy-04</v>
      </c>
      <c r="C2353">
        <f t="shared" si="253"/>
        <v>15</v>
      </c>
      <c r="D2353" t="s">
        <v>66</v>
      </c>
      <c r="E2353" t="s">
        <v>71</v>
      </c>
      <c r="F2353" t="s">
        <v>72</v>
      </c>
      <c r="G2353" t="s">
        <v>31</v>
      </c>
      <c r="H2353" t="s">
        <v>32</v>
      </c>
      <c r="I2353" s="5">
        <v>418</v>
      </c>
      <c r="J2353" s="5">
        <v>308</v>
      </c>
      <c r="K2353" s="5">
        <v>36</v>
      </c>
      <c r="L2353" s="5">
        <v>6</v>
      </c>
      <c r="M2353" s="5">
        <v>7</v>
      </c>
      <c r="N2353" s="7">
        <v>125.6</v>
      </c>
      <c r="O2353" s="7">
        <f t="shared" si="254"/>
        <v>879.19999999999993</v>
      </c>
      <c r="P2353" s="4">
        <v>0.05</v>
      </c>
      <c r="Q2353" s="7">
        <f t="shared" si="255"/>
        <v>43.96</v>
      </c>
      <c r="R2353" s="7">
        <f t="shared" si="256"/>
        <v>835.2399999999999</v>
      </c>
      <c r="S2353" s="7">
        <f t="shared" si="257"/>
        <v>139.20666666666665</v>
      </c>
      <c r="T2353" s="6">
        <f t="shared" si="258"/>
        <v>1.4354066985645933E-2</v>
      </c>
      <c r="V2353" t="s">
        <v>29</v>
      </c>
    </row>
    <row r="2354" spans="1:22">
      <c r="A2354" s="3">
        <v>45755</v>
      </c>
      <c r="B2354" t="str">
        <f t="shared" si="252"/>
        <v>yyyy-04</v>
      </c>
      <c r="C2354">
        <f t="shared" si="253"/>
        <v>15</v>
      </c>
      <c r="D2354" t="s">
        <v>66</v>
      </c>
      <c r="E2354" t="s">
        <v>73</v>
      </c>
      <c r="F2354" t="s">
        <v>74</v>
      </c>
      <c r="G2354" t="s">
        <v>27</v>
      </c>
      <c r="H2354" t="s">
        <v>48</v>
      </c>
      <c r="I2354" s="5">
        <v>194</v>
      </c>
      <c r="J2354" s="5">
        <v>129</v>
      </c>
      <c r="K2354" s="5">
        <v>10</v>
      </c>
      <c r="L2354" s="5">
        <v>4</v>
      </c>
      <c r="M2354" s="5">
        <v>4</v>
      </c>
      <c r="N2354" s="7">
        <v>1171.08</v>
      </c>
      <c r="O2354" s="7">
        <f t="shared" si="254"/>
        <v>4684.32</v>
      </c>
      <c r="P2354" s="4">
        <v>0.05</v>
      </c>
      <c r="Q2354" s="7">
        <f t="shared" si="255"/>
        <v>234.21600000000001</v>
      </c>
      <c r="R2354" s="7">
        <f t="shared" si="256"/>
        <v>4450.1039999999994</v>
      </c>
      <c r="S2354" s="7">
        <f t="shared" si="257"/>
        <v>1112.5259999999998</v>
      </c>
      <c r="T2354" s="6">
        <f t="shared" si="258"/>
        <v>2.0618556701030927E-2</v>
      </c>
      <c r="V2354" t="s">
        <v>29</v>
      </c>
    </row>
    <row r="2355" spans="1:22">
      <c r="A2355" s="3">
        <v>45755</v>
      </c>
      <c r="B2355" t="str">
        <f t="shared" si="252"/>
        <v>yyyy-04</v>
      </c>
      <c r="C2355">
        <f t="shared" si="253"/>
        <v>15</v>
      </c>
      <c r="D2355" t="s">
        <v>66</v>
      </c>
      <c r="E2355" t="s">
        <v>71</v>
      </c>
      <c r="F2355" t="s">
        <v>75</v>
      </c>
      <c r="G2355" t="s">
        <v>36</v>
      </c>
      <c r="H2355" t="s">
        <v>37</v>
      </c>
      <c r="I2355" s="5">
        <v>373</v>
      </c>
      <c r="J2355" s="5">
        <v>284</v>
      </c>
      <c r="K2355" s="5">
        <v>27</v>
      </c>
      <c r="L2355" s="5">
        <v>7</v>
      </c>
      <c r="M2355" s="5">
        <v>7</v>
      </c>
      <c r="N2355" s="7">
        <v>38.58</v>
      </c>
      <c r="O2355" s="7">
        <f t="shared" si="254"/>
        <v>270.06</v>
      </c>
      <c r="P2355" s="4">
        <v>0.03</v>
      </c>
      <c r="Q2355" s="7">
        <f t="shared" si="255"/>
        <v>8.101799999999999</v>
      </c>
      <c r="R2355" s="7">
        <f t="shared" si="256"/>
        <v>261.95819999999998</v>
      </c>
      <c r="S2355" s="7">
        <f t="shared" si="257"/>
        <v>37.422599999999996</v>
      </c>
      <c r="T2355" s="6">
        <f t="shared" si="258"/>
        <v>1.876675603217158E-2</v>
      </c>
      <c r="V2355" t="s">
        <v>29</v>
      </c>
    </row>
    <row r="2356" spans="1:22">
      <c r="A2356" s="3">
        <v>45755</v>
      </c>
      <c r="B2356" t="str">
        <f t="shared" si="252"/>
        <v>yyyy-04</v>
      </c>
      <c r="C2356">
        <f t="shared" si="253"/>
        <v>15</v>
      </c>
      <c r="D2356" t="s">
        <v>24</v>
      </c>
      <c r="E2356" t="s">
        <v>76</v>
      </c>
      <c r="F2356" t="s">
        <v>77</v>
      </c>
      <c r="G2356" t="s">
        <v>27</v>
      </c>
      <c r="H2356" t="s">
        <v>28</v>
      </c>
      <c r="I2356" s="5">
        <v>551</v>
      </c>
      <c r="J2356" s="5">
        <v>336</v>
      </c>
      <c r="K2356" s="5">
        <v>54</v>
      </c>
      <c r="L2356" s="5">
        <v>11</v>
      </c>
      <c r="M2356" s="5">
        <v>12</v>
      </c>
      <c r="N2356" s="7">
        <v>196.5</v>
      </c>
      <c r="O2356" s="7">
        <f t="shared" si="254"/>
        <v>2358</v>
      </c>
      <c r="P2356" s="4">
        <v>0</v>
      </c>
      <c r="Q2356" s="7">
        <f t="shared" si="255"/>
        <v>0</v>
      </c>
      <c r="R2356" s="7">
        <f t="shared" si="256"/>
        <v>2358</v>
      </c>
      <c r="S2356" s="7">
        <f t="shared" si="257"/>
        <v>214.36363636363637</v>
      </c>
      <c r="T2356" s="6">
        <f t="shared" si="258"/>
        <v>1.9963702359346643E-2</v>
      </c>
      <c r="V2356" t="s">
        <v>29</v>
      </c>
    </row>
    <row r="2357" spans="1:22">
      <c r="A2357" s="3">
        <v>45756</v>
      </c>
      <c r="B2357" t="str">
        <f t="shared" si="252"/>
        <v>yyyy-04</v>
      </c>
      <c r="C2357">
        <f t="shared" si="253"/>
        <v>15</v>
      </c>
      <c r="D2357" t="s">
        <v>24</v>
      </c>
      <c r="E2357" t="s">
        <v>25</v>
      </c>
      <c r="F2357" t="s">
        <v>26</v>
      </c>
      <c r="G2357" t="s">
        <v>36</v>
      </c>
      <c r="H2357" t="s">
        <v>37</v>
      </c>
      <c r="I2357" s="5">
        <v>1711</v>
      </c>
      <c r="J2357" s="5">
        <v>1400</v>
      </c>
      <c r="K2357" s="5">
        <v>156</v>
      </c>
      <c r="L2357" s="5">
        <v>32</v>
      </c>
      <c r="M2357" s="5">
        <v>32</v>
      </c>
      <c r="N2357" s="7">
        <v>1009.93</v>
      </c>
      <c r="O2357" s="7">
        <f t="shared" si="254"/>
        <v>32317.759999999998</v>
      </c>
      <c r="P2357" s="4">
        <v>0</v>
      </c>
      <c r="Q2357" s="7">
        <f t="shared" si="255"/>
        <v>0</v>
      </c>
      <c r="R2357" s="7">
        <f t="shared" si="256"/>
        <v>32317.759999999998</v>
      </c>
      <c r="S2357" s="7">
        <f t="shared" si="257"/>
        <v>1009.93</v>
      </c>
      <c r="T2357" s="6">
        <f t="shared" si="258"/>
        <v>1.8702513150204558E-2</v>
      </c>
      <c r="V2357" t="s">
        <v>29</v>
      </c>
    </row>
    <row r="2358" spans="1:22">
      <c r="A2358" s="3">
        <v>45756</v>
      </c>
      <c r="B2358" t="str">
        <f t="shared" si="252"/>
        <v>yyyy-04</v>
      </c>
      <c r="C2358">
        <f t="shared" si="253"/>
        <v>15</v>
      </c>
      <c r="D2358" t="s">
        <v>24</v>
      </c>
      <c r="E2358" t="s">
        <v>25</v>
      </c>
      <c r="F2358" t="s">
        <v>30</v>
      </c>
      <c r="G2358" t="s">
        <v>31</v>
      </c>
      <c r="H2358" t="s">
        <v>32</v>
      </c>
      <c r="I2358" s="5">
        <v>1317</v>
      </c>
      <c r="J2358" s="5">
        <v>849</v>
      </c>
      <c r="K2358" s="5">
        <v>155</v>
      </c>
      <c r="L2358" s="5">
        <v>33</v>
      </c>
      <c r="M2358" s="5">
        <v>33</v>
      </c>
      <c r="N2358" s="7">
        <v>391.84</v>
      </c>
      <c r="O2358" s="7">
        <f t="shared" si="254"/>
        <v>12930.72</v>
      </c>
      <c r="P2358" s="4">
        <v>0</v>
      </c>
      <c r="Q2358" s="7">
        <f t="shared" si="255"/>
        <v>0</v>
      </c>
      <c r="R2358" s="7">
        <f t="shared" si="256"/>
        <v>12930.72</v>
      </c>
      <c r="S2358" s="7">
        <f t="shared" si="257"/>
        <v>391.84</v>
      </c>
      <c r="T2358" s="6">
        <f t="shared" si="258"/>
        <v>2.5056947608200455E-2</v>
      </c>
      <c r="V2358" t="s">
        <v>29</v>
      </c>
    </row>
    <row r="2359" spans="1:22">
      <c r="A2359" s="3">
        <v>45756</v>
      </c>
      <c r="B2359" t="str">
        <f t="shared" si="252"/>
        <v>yyyy-04</v>
      </c>
      <c r="C2359">
        <f t="shared" si="253"/>
        <v>15</v>
      </c>
      <c r="D2359" t="s">
        <v>24</v>
      </c>
      <c r="E2359" t="s">
        <v>25</v>
      </c>
      <c r="F2359" t="s">
        <v>33</v>
      </c>
      <c r="G2359" t="s">
        <v>36</v>
      </c>
      <c r="H2359" t="s">
        <v>37</v>
      </c>
      <c r="I2359" s="5">
        <v>1489</v>
      </c>
      <c r="J2359" s="5">
        <v>1055</v>
      </c>
      <c r="K2359" s="5">
        <v>80</v>
      </c>
      <c r="L2359" s="5">
        <v>23</v>
      </c>
      <c r="M2359" s="5">
        <v>23</v>
      </c>
      <c r="N2359" s="7">
        <v>1826.83</v>
      </c>
      <c r="O2359" s="7">
        <f t="shared" si="254"/>
        <v>42017.09</v>
      </c>
      <c r="P2359" s="4">
        <v>0.05</v>
      </c>
      <c r="Q2359" s="7">
        <f t="shared" si="255"/>
        <v>2100.8544999999999</v>
      </c>
      <c r="R2359" s="7">
        <f t="shared" si="256"/>
        <v>39916.235499999995</v>
      </c>
      <c r="S2359" s="7">
        <f t="shared" si="257"/>
        <v>1735.4884999999997</v>
      </c>
      <c r="T2359" s="6">
        <f t="shared" si="258"/>
        <v>1.544660846205507E-2</v>
      </c>
      <c r="V2359" t="s">
        <v>29</v>
      </c>
    </row>
    <row r="2360" spans="1:22">
      <c r="A2360" s="3">
        <v>45756</v>
      </c>
      <c r="B2360" t="str">
        <f t="shared" si="252"/>
        <v>yyyy-04</v>
      </c>
      <c r="C2360">
        <f t="shared" si="253"/>
        <v>15</v>
      </c>
      <c r="D2360" t="s">
        <v>24</v>
      </c>
      <c r="E2360" t="s">
        <v>34</v>
      </c>
      <c r="F2360" t="s">
        <v>35</v>
      </c>
      <c r="G2360" t="s">
        <v>31</v>
      </c>
      <c r="H2360" t="s">
        <v>32</v>
      </c>
      <c r="I2360" s="5">
        <v>1325</v>
      </c>
      <c r="J2360" s="5">
        <v>693</v>
      </c>
      <c r="K2360" s="5">
        <v>99</v>
      </c>
      <c r="L2360" s="5">
        <v>33</v>
      </c>
      <c r="M2360" s="5">
        <v>33</v>
      </c>
      <c r="N2360" s="7">
        <v>898.09</v>
      </c>
      <c r="O2360" s="7">
        <f t="shared" si="254"/>
        <v>29636.97</v>
      </c>
      <c r="P2360" s="4">
        <v>0.08</v>
      </c>
      <c r="Q2360" s="7">
        <f t="shared" si="255"/>
        <v>2370.9576000000002</v>
      </c>
      <c r="R2360" s="7">
        <f t="shared" si="256"/>
        <v>27266.0124</v>
      </c>
      <c r="S2360" s="7">
        <f t="shared" si="257"/>
        <v>826.24279999999999</v>
      </c>
      <c r="T2360" s="6">
        <f t="shared" si="258"/>
        <v>2.4905660377358491E-2</v>
      </c>
      <c r="U2360" t="s">
        <v>92</v>
      </c>
      <c r="V2360" t="s">
        <v>29</v>
      </c>
    </row>
    <row r="2361" spans="1:22">
      <c r="A2361" s="3">
        <v>45756</v>
      </c>
      <c r="B2361" t="str">
        <f t="shared" si="252"/>
        <v>yyyy-04</v>
      </c>
      <c r="C2361">
        <f t="shared" si="253"/>
        <v>15</v>
      </c>
      <c r="D2361" t="s">
        <v>24</v>
      </c>
      <c r="E2361" t="s">
        <v>38</v>
      </c>
      <c r="F2361" t="s">
        <v>39</v>
      </c>
      <c r="G2361" t="s">
        <v>27</v>
      </c>
      <c r="H2361" t="s">
        <v>48</v>
      </c>
      <c r="I2361" s="5">
        <v>739</v>
      </c>
      <c r="J2361" s="5">
        <v>556</v>
      </c>
      <c r="K2361" s="5">
        <v>33</v>
      </c>
      <c r="L2361" s="5">
        <v>11</v>
      </c>
      <c r="M2361" s="5">
        <v>11</v>
      </c>
      <c r="N2361" s="7">
        <v>329.77</v>
      </c>
      <c r="O2361" s="7">
        <f t="shared" si="254"/>
        <v>3627.47</v>
      </c>
      <c r="P2361" s="4">
        <v>0</v>
      </c>
      <c r="Q2361" s="7">
        <f t="shared" si="255"/>
        <v>0</v>
      </c>
      <c r="R2361" s="7">
        <f t="shared" si="256"/>
        <v>3627.47</v>
      </c>
      <c r="S2361" s="7">
        <f t="shared" si="257"/>
        <v>329.77</v>
      </c>
      <c r="T2361" s="6">
        <f t="shared" si="258"/>
        <v>1.4884979702300407E-2</v>
      </c>
      <c r="V2361" t="s">
        <v>78</v>
      </c>
    </row>
    <row r="2362" spans="1:22">
      <c r="A2362" s="3">
        <v>45756</v>
      </c>
      <c r="B2362" t="str">
        <f t="shared" si="252"/>
        <v>yyyy-04</v>
      </c>
      <c r="C2362">
        <f t="shared" si="253"/>
        <v>15</v>
      </c>
      <c r="D2362" t="s">
        <v>24</v>
      </c>
      <c r="E2362" t="s">
        <v>40</v>
      </c>
      <c r="F2362" t="s">
        <v>41</v>
      </c>
      <c r="G2362" t="s">
        <v>36</v>
      </c>
      <c r="H2362" t="s">
        <v>37</v>
      </c>
      <c r="I2362" s="5">
        <v>778</v>
      </c>
      <c r="J2362" s="5">
        <v>463</v>
      </c>
      <c r="K2362" s="5">
        <v>41</v>
      </c>
      <c r="L2362" s="5">
        <v>12</v>
      </c>
      <c r="M2362" s="5">
        <v>13</v>
      </c>
      <c r="N2362" s="7">
        <v>180.62</v>
      </c>
      <c r="O2362" s="7">
        <f t="shared" si="254"/>
        <v>2348.06</v>
      </c>
      <c r="P2362" s="4">
        <v>0</v>
      </c>
      <c r="Q2362" s="7">
        <f t="shared" si="255"/>
        <v>0</v>
      </c>
      <c r="R2362" s="7">
        <f t="shared" si="256"/>
        <v>2348.06</v>
      </c>
      <c r="S2362" s="7">
        <f t="shared" si="257"/>
        <v>195.67166666666665</v>
      </c>
      <c r="T2362" s="6">
        <f t="shared" si="258"/>
        <v>1.5424164524421594E-2</v>
      </c>
      <c r="V2362" t="s">
        <v>29</v>
      </c>
    </row>
    <row r="2363" spans="1:22">
      <c r="A2363" s="3">
        <v>45756</v>
      </c>
      <c r="B2363" t="str">
        <f t="shared" si="252"/>
        <v>yyyy-04</v>
      </c>
      <c r="C2363">
        <f t="shared" si="253"/>
        <v>15</v>
      </c>
      <c r="D2363" t="s">
        <v>42</v>
      </c>
      <c r="E2363" t="s">
        <v>43</v>
      </c>
      <c r="F2363" t="s">
        <v>44</v>
      </c>
      <c r="G2363" t="s">
        <v>36</v>
      </c>
      <c r="H2363" t="s">
        <v>37</v>
      </c>
      <c r="I2363" s="5">
        <v>641</v>
      </c>
      <c r="J2363" s="5">
        <v>416</v>
      </c>
      <c r="K2363" s="5">
        <v>38</v>
      </c>
      <c r="L2363" s="5">
        <v>11</v>
      </c>
      <c r="M2363" s="5">
        <v>11</v>
      </c>
      <c r="N2363" s="7">
        <v>1268.96</v>
      </c>
      <c r="O2363" s="7">
        <f t="shared" si="254"/>
        <v>13958.560000000001</v>
      </c>
      <c r="P2363" s="4">
        <v>0</v>
      </c>
      <c r="Q2363" s="7">
        <f t="shared" si="255"/>
        <v>0</v>
      </c>
      <c r="R2363" s="7">
        <f t="shared" si="256"/>
        <v>13958.560000000001</v>
      </c>
      <c r="S2363" s="7">
        <f t="shared" si="257"/>
        <v>1268.96</v>
      </c>
      <c r="T2363" s="6">
        <f t="shared" si="258"/>
        <v>1.7160686427457099E-2</v>
      </c>
      <c r="V2363" t="s">
        <v>29</v>
      </c>
    </row>
    <row r="2364" spans="1:22">
      <c r="A2364" s="3">
        <v>45756</v>
      </c>
      <c r="B2364" t="str">
        <f t="shared" si="252"/>
        <v>yyyy-04</v>
      </c>
      <c r="C2364">
        <f t="shared" si="253"/>
        <v>15</v>
      </c>
      <c r="D2364" t="s">
        <v>42</v>
      </c>
      <c r="E2364" t="s">
        <v>43</v>
      </c>
      <c r="F2364" t="s">
        <v>46</v>
      </c>
      <c r="G2364" t="s">
        <v>31</v>
      </c>
      <c r="H2364" t="s">
        <v>32</v>
      </c>
      <c r="I2364" s="5">
        <v>711</v>
      </c>
      <c r="J2364" s="5">
        <v>469</v>
      </c>
      <c r="K2364" s="5">
        <v>36</v>
      </c>
      <c r="L2364" s="5">
        <v>11</v>
      </c>
      <c r="M2364" s="5">
        <v>11</v>
      </c>
      <c r="N2364" s="7">
        <v>2211.3000000000002</v>
      </c>
      <c r="O2364" s="7">
        <f t="shared" si="254"/>
        <v>24324.300000000003</v>
      </c>
      <c r="P2364" s="4">
        <v>0</v>
      </c>
      <c r="Q2364" s="7">
        <f t="shared" si="255"/>
        <v>0</v>
      </c>
      <c r="R2364" s="7">
        <f t="shared" si="256"/>
        <v>24324.300000000003</v>
      </c>
      <c r="S2364" s="7">
        <f t="shared" si="257"/>
        <v>2211.3000000000002</v>
      </c>
      <c r="T2364" s="6">
        <f t="shared" si="258"/>
        <v>1.5471167369901548E-2</v>
      </c>
      <c r="V2364" t="s">
        <v>29</v>
      </c>
    </row>
    <row r="2365" spans="1:22">
      <c r="A2365" s="3">
        <v>45756</v>
      </c>
      <c r="B2365" t="str">
        <f t="shared" si="252"/>
        <v>yyyy-04</v>
      </c>
      <c r="C2365">
        <f t="shared" si="253"/>
        <v>15</v>
      </c>
      <c r="D2365" t="s">
        <v>42</v>
      </c>
      <c r="E2365" t="s">
        <v>43</v>
      </c>
      <c r="F2365" t="s">
        <v>47</v>
      </c>
      <c r="G2365" t="s">
        <v>27</v>
      </c>
      <c r="H2365" t="s">
        <v>45</v>
      </c>
      <c r="I2365" s="5">
        <v>457</v>
      </c>
      <c r="J2365" s="5">
        <v>266</v>
      </c>
      <c r="K2365" s="5">
        <v>22</v>
      </c>
      <c r="L2365" s="5">
        <v>7</v>
      </c>
      <c r="M2365" s="5">
        <v>7</v>
      </c>
      <c r="N2365" s="7">
        <v>597.25</v>
      </c>
      <c r="O2365" s="7">
        <f t="shared" si="254"/>
        <v>4180.75</v>
      </c>
      <c r="P2365" s="4">
        <v>0</v>
      </c>
      <c r="Q2365" s="7">
        <f t="shared" si="255"/>
        <v>0</v>
      </c>
      <c r="R2365" s="7">
        <f t="shared" si="256"/>
        <v>4180.75</v>
      </c>
      <c r="S2365" s="7">
        <f t="shared" si="257"/>
        <v>597.25</v>
      </c>
      <c r="T2365" s="6">
        <f t="shared" si="258"/>
        <v>1.5317286652078774E-2</v>
      </c>
      <c r="V2365" t="s">
        <v>29</v>
      </c>
    </row>
    <row r="2366" spans="1:22">
      <c r="A2366" s="3">
        <v>45756</v>
      </c>
      <c r="B2366" t="str">
        <f t="shared" si="252"/>
        <v>yyyy-04</v>
      </c>
      <c r="C2366">
        <f t="shared" si="253"/>
        <v>15</v>
      </c>
      <c r="D2366" t="s">
        <v>42</v>
      </c>
      <c r="E2366" t="s">
        <v>49</v>
      </c>
      <c r="F2366" t="s">
        <v>50</v>
      </c>
      <c r="G2366" t="s">
        <v>27</v>
      </c>
      <c r="H2366" t="s">
        <v>48</v>
      </c>
      <c r="I2366" s="5">
        <v>100</v>
      </c>
      <c r="J2366" s="5">
        <v>52</v>
      </c>
      <c r="K2366" s="5">
        <v>9</v>
      </c>
      <c r="L2366" s="5">
        <v>2</v>
      </c>
      <c r="M2366" s="5">
        <v>2</v>
      </c>
      <c r="N2366" s="7">
        <v>1009.88</v>
      </c>
      <c r="O2366" s="7">
        <f t="shared" si="254"/>
        <v>2019.76</v>
      </c>
      <c r="P2366" s="4">
        <v>0</v>
      </c>
      <c r="Q2366" s="7">
        <f t="shared" si="255"/>
        <v>0</v>
      </c>
      <c r="R2366" s="7">
        <f t="shared" si="256"/>
        <v>2019.76</v>
      </c>
      <c r="S2366" s="7">
        <f t="shared" si="257"/>
        <v>1009.88</v>
      </c>
      <c r="T2366" s="6">
        <f t="shared" si="258"/>
        <v>0.02</v>
      </c>
      <c r="V2366" t="s">
        <v>29</v>
      </c>
    </row>
    <row r="2367" spans="1:22">
      <c r="A2367" s="3">
        <v>45756</v>
      </c>
      <c r="B2367" t="str">
        <f t="shared" si="252"/>
        <v>yyyy-04</v>
      </c>
      <c r="C2367">
        <f t="shared" si="253"/>
        <v>15</v>
      </c>
      <c r="D2367" t="s">
        <v>42</v>
      </c>
      <c r="E2367" t="s">
        <v>51</v>
      </c>
      <c r="F2367" t="s">
        <v>52</v>
      </c>
      <c r="G2367" t="s">
        <v>27</v>
      </c>
      <c r="H2367" t="s">
        <v>48</v>
      </c>
      <c r="I2367" s="5">
        <v>254</v>
      </c>
      <c r="J2367" s="5">
        <v>186</v>
      </c>
      <c r="K2367" s="5">
        <v>16</v>
      </c>
      <c r="L2367" s="5">
        <v>3</v>
      </c>
      <c r="M2367" s="5">
        <v>3</v>
      </c>
      <c r="N2367" s="7">
        <v>602.53</v>
      </c>
      <c r="O2367" s="7">
        <f t="shared" si="254"/>
        <v>1807.59</v>
      </c>
      <c r="P2367" s="4">
        <v>0.05</v>
      </c>
      <c r="Q2367" s="7">
        <f t="shared" si="255"/>
        <v>90.379500000000007</v>
      </c>
      <c r="R2367" s="7">
        <f t="shared" si="256"/>
        <v>1717.2104999999999</v>
      </c>
      <c r="S2367" s="7">
        <f t="shared" si="257"/>
        <v>572.40350000000001</v>
      </c>
      <c r="T2367" s="6">
        <f t="shared" si="258"/>
        <v>1.1811023622047244E-2</v>
      </c>
      <c r="V2367" t="s">
        <v>29</v>
      </c>
    </row>
    <row r="2368" spans="1:22">
      <c r="A2368" s="3">
        <v>45756</v>
      </c>
      <c r="B2368" t="str">
        <f t="shared" si="252"/>
        <v>yyyy-04</v>
      </c>
      <c r="C2368">
        <f t="shared" si="253"/>
        <v>15</v>
      </c>
      <c r="D2368" t="s">
        <v>53</v>
      </c>
      <c r="E2368" t="s">
        <v>54</v>
      </c>
      <c r="F2368" t="s">
        <v>55</v>
      </c>
      <c r="G2368" t="s">
        <v>27</v>
      </c>
      <c r="H2368" t="s">
        <v>45</v>
      </c>
      <c r="I2368" s="5">
        <v>202</v>
      </c>
      <c r="J2368" s="5">
        <v>147</v>
      </c>
      <c r="K2368" s="5">
        <v>8</v>
      </c>
      <c r="L2368" s="5">
        <v>2</v>
      </c>
      <c r="M2368" s="5">
        <v>2</v>
      </c>
      <c r="N2368" s="7">
        <v>1312.43</v>
      </c>
      <c r="O2368" s="7">
        <f t="shared" si="254"/>
        <v>2624.86</v>
      </c>
      <c r="P2368" s="4">
        <v>0.03</v>
      </c>
      <c r="Q2368" s="7">
        <f t="shared" si="255"/>
        <v>78.745800000000003</v>
      </c>
      <c r="R2368" s="7">
        <f t="shared" si="256"/>
        <v>2546.1142</v>
      </c>
      <c r="S2368" s="7">
        <f t="shared" si="257"/>
        <v>1273.0571</v>
      </c>
      <c r="T2368" s="6">
        <f t="shared" si="258"/>
        <v>9.9009900990099011E-3</v>
      </c>
      <c r="V2368" t="s">
        <v>29</v>
      </c>
    </row>
    <row r="2369" spans="1:22">
      <c r="A2369" s="3">
        <v>45756</v>
      </c>
      <c r="B2369" t="str">
        <f t="shared" si="252"/>
        <v>yyyy-04</v>
      </c>
      <c r="C2369">
        <f t="shared" si="253"/>
        <v>15</v>
      </c>
      <c r="D2369" t="s">
        <v>53</v>
      </c>
      <c r="E2369" t="s">
        <v>56</v>
      </c>
      <c r="F2369" t="s">
        <v>57</v>
      </c>
      <c r="G2369" t="s">
        <v>27</v>
      </c>
      <c r="H2369" t="s">
        <v>45</v>
      </c>
      <c r="I2369" s="5">
        <v>127</v>
      </c>
      <c r="J2369" s="5">
        <v>101</v>
      </c>
      <c r="K2369" s="5">
        <v>11</v>
      </c>
      <c r="L2369" s="5">
        <v>1</v>
      </c>
      <c r="M2369" s="5">
        <v>1</v>
      </c>
      <c r="N2369" s="7">
        <v>745.17</v>
      </c>
      <c r="O2369" s="7">
        <f t="shared" si="254"/>
        <v>745.17</v>
      </c>
      <c r="P2369" s="4">
        <v>0</v>
      </c>
      <c r="Q2369" s="7">
        <f t="shared" si="255"/>
        <v>0</v>
      </c>
      <c r="R2369" s="7">
        <f t="shared" si="256"/>
        <v>745.17</v>
      </c>
      <c r="S2369" s="7">
        <f t="shared" si="257"/>
        <v>745.17</v>
      </c>
      <c r="T2369" s="6">
        <f t="shared" si="258"/>
        <v>7.874015748031496E-3</v>
      </c>
      <c r="V2369" t="s">
        <v>29</v>
      </c>
    </row>
    <row r="2370" spans="1:22">
      <c r="A2370" s="3">
        <v>45756</v>
      </c>
      <c r="B2370" t="str">
        <f t="shared" si="252"/>
        <v>yyyy-04</v>
      </c>
      <c r="C2370">
        <f t="shared" si="253"/>
        <v>15</v>
      </c>
      <c r="D2370" t="s">
        <v>53</v>
      </c>
      <c r="E2370" t="s">
        <v>56</v>
      </c>
      <c r="F2370" t="s">
        <v>58</v>
      </c>
      <c r="G2370" t="s">
        <v>27</v>
      </c>
      <c r="H2370" t="s">
        <v>45</v>
      </c>
      <c r="I2370" s="5">
        <v>157</v>
      </c>
      <c r="J2370" s="5">
        <v>85</v>
      </c>
      <c r="K2370" s="5">
        <v>10</v>
      </c>
      <c r="L2370" s="5">
        <v>2</v>
      </c>
      <c r="M2370" s="5">
        <v>2</v>
      </c>
      <c r="N2370" s="7">
        <v>889.5</v>
      </c>
      <c r="O2370" s="7">
        <f t="shared" si="254"/>
        <v>1779</v>
      </c>
      <c r="P2370" s="4">
        <v>0.03</v>
      </c>
      <c r="Q2370" s="7">
        <f t="shared" si="255"/>
        <v>53.37</v>
      </c>
      <c r="R2370" s="7">
        <f t="shared" si="256"/>
        <v>1725.63</v>
      </c>
      <c r="S2370" s="7">
        <f t="shared" si="257"/>
        <v>862.81500000000005</v>
      </c>
      <c r="T2370" s="6">
        <f t="shared" si="258"/>
        <v>1.2738853503184714E-2</v>
      </c>
      <c r="V2370" t="s">
        <v>29</v>
      </c>
    </row>
    <row r="2371" spans="1:22">
      <c r="A2371" s="3">
        <v>45756</v>
      </c>
      <c r="B2371" t="str">
        <f t="shared" si="252"/>
        <v>yyyy-04</v>
      </c>
      <c r="C2371">
        <f t="shared" si="253"/>
        <v>15</v>
      </c>
      <c r="D2371" t="s">
        <v>53</v>
      </c>
      <c r="E2371" t="s">
        <v>59</v>
      </c>
      <c r="F2371" t="s">
        <v>60</v>
      </c>
      <c r="G2371" t="s">
        <v>27</v>
      </c>
      <c r="H2371" t="s">
        <v>28</v>
      </c>
      <c r="I2371" s="5">
        <v>134</v>
      </c>
      <c r="J2371" s="5">
        <v>78</v>
      </c>
      <c r="K2371" s="5">
        <v>7</v>
      </c>
      <c r="L2371" s="5">
        <v>2</v>
      </c>
      <c r="M2371" s="5">
        <v>2</v>
      </c>
      <c r="N2371" s="7">
        <v>709.39</v>
      </c>
      <c r="O2371" s="7">
        <f t="shared" si="254"/>
        <v>1418.78</v>
      </c>
      <c r="P2371" s="4">
        <v>0.09</v>
      </c>
      <c r="Q2371" s="7">
        <f t="shared" si="255"/>
        <v>127.69019999999999</v>
      </c>
      <c r="R2371" s="7">
        <f t="shared" si="256"/>
        <v>1291.0898</v>
      </c>
      <c r="S2371" s="7">
        <f t="shared" si="257"/>
        <v>645.54489999999998</v>
      </c>
      <c r="T2371" s="6">
        <f t="shared" si="258"/>
        <v>1.4925373134328358E-2</v>
      </c>
      <c r="U2371" t="s">
        <v>93</v>
      </c>
      <c r="V2371" t="s">
        <v>29</v>
      </c>
    </row>
    <row r="2372" spans="1:22">
      <c r="A2372" s="3">
        <v>45756</v>
      </c>
      <c r="B2372" t="str">
        <f t="shared" si="252"/>
        <v>yyyy-04</v>
      </c>
      <c r="C2372">
        <f t="shared" si="253"/>
        <v>15</v>
      </c>
      <c r="D2372" t="s">
        <v>53</v>
      </c>
      <c r="E2372" t="s">
        <v>61</v>
      </c>
      <c r="F2372" t="s">
        <v>62</v>
      </c>
      <c r="G2372" t="s">
        <v>31</v>
      </c>
      <c r="H2372" t="s">
        <v>32</v>
      </c>
      <c r="I2372" s="5">
        <v>259</v>
      </c>
      <c r="J2372" s="5">
        <v>159</v>
      </c>
      <c r="K2372" s="5">
        <v>10</v>
      </c>
      <c r="L2372" s="5">
        <v>3</v>
      </c>
      <c r="M2372" s="5">
        <v>3</v>
      </c>
      <c r="N2372" s="7">
        <v>479.94</v>
      </c>
      <c r="O2372" s="7">
        <f t="shared" si="254"/>
        <v>1439.82</v>
      </c>
      <c r="P2372" s="4">
        <v>0</v>
      </c>
      <c r="Q2372" s="7">
        <f t="shared" si="255"/>
        <v>0</v>
      </c>
      <c r="R2372" s="7">
        <f t="shared" si="256"/>
        <v>1439.82</v>
      </c>
      <c r="S2372" s="7">
        <f t="shared" si="257"/>
        <v>479.94</v>
      </c>
      <c r="T2372" s="6">
        <f t="shared" si="258"/>
        <v>1.1583011583011582E-2</v>
      </c>
      <c r="V2372" t="s">
        <v>29</v>
      </c>
    </row>
    <row r="2373" spans="1:22">
      <c r="A2373" s="3">
        <v>45756</v>
      </c>
      <c r="B2373" t="str">
        <f t="shared" ref="B2373:B2436" si="259">TEXT(A2373,"yyyy-mm")</f>
        <v>yyyy-04</v>
      </c>
      <c r="C2373">
        <f t="shared" ref="C2373:C2436" si="260">WEEKNUM(A2373,2)</f>
        <v>15</v>
      </c>
      <c r="D2373" t="s">
        <v>53</v>
      </c>
      <c r="E2373" t="s">
        <v>64</v>
      </c>
      <c r="F2373" t="s">
        <v>65</v>
      </c>
      <c r="G2373" t="s">
        <v>27</v>
      </c>
      <c r="H2373" t="s">
        <v>45</v>
      </c>
      <c r="I2373" s="5">
        <v>212</v>
      </c>
      <c r="J2373" s="5">
        <v>168</v>
      </c>
      <c r="K2373" s="5">
        <v>11</v>
      </c>
      <c r="L2373" s="5">
        <v>3</v>
      </c>
      <c r="M2373" s="5">
        <v>3</v>
      </c>
      <c r="N2373" s="7">
        <v>799.98</v>
      </c>
      <c r="O2373" s="7">
        <f t="shared" ref="O2373:O2436" si="261">M2373*N2373</f>
        <v>2399.94</v>
      </c>
      <c r="P2373" s="4">
        <v>0.03</v>
      </c>
      <c r="Q2373" s="7">
        <f t="shared" ref="Q2373:Q2436" si="262">O2373*P2373</f>
        <v>71.998199999999997</v>
      </c>
      <c r="R2373" s="7">
        <f t="shared" ref="R2373:R2436" si="263">O2373-Q2373</f>
        <v>2327.9418000000001</v>
      </c>
      <c r="S2373" s="7">
        <f t="shared" ref="S2373:S2436" si="264">IFERROR(R2373/L2373,0)</f>
        <v>775.98059999999998</v>
      </c>
      <c r="T2373" s="6">
        <f t="shared" ref="T2373:T2436" si="265">IFERROR(L2373/I2373,0)</f>
        <v>1.4150943396226415E-2</v>
      </c>
      <c r="V2373" t="s">
        <v>29</v>
      </c>
    </row>
    <row r="2374" spans="1:22">
      <c r="A2374" s="3">
        <v>45756</v>
      </c>
      <c r="B2374" t="str">
        <f t="shared" si="259"/>
        <v>yyyy-04</v>
      </c>
      <c r="C2374">
        <f t="shared" si="260"/>
        <v>15</v>
      </c>
      <c r="D2374" t="s">
        <v>66</v>
      </c>
      <c r="E2374" t="s">
        <v>67</v>
      </c>
      <c r="F2374" t="s">
        <v>68</v>
      </c>
      <c r="G2374" t="s">
        <v>27</v>
      </c>
      <c r="H2374" t="s">
        <v>28</v>
      </c>
      <c r="I2374" s="5">
        <v>361</v>
      </c>
      <c r="J2374" s="5">
        <v>219</v>
      </c>
      <c r="K2374" s="5">
        <v>23</v>
      </c>
      <c r="L2374" s="5">
        <v>6</v>
      </c>
      <c r="M2374" s="5">
        <v>6</v>
      </c>
      <c r="N2374" s="7">
        <v>672.16</v>
      </c>
      <c r="O2374" s="7">
        <f t="shared" si="261"/>
        <v>4032.96</v>
      </c>
      <c r="P2374" s="4">
        <v>0.05</v>
      </c>
      <c r="Q2374" s="7">
        <f t="shared" si="262"/>
        <v>201.64800000000002</v>
      </c>
      <c r="R2374" s="7">
        <f t="shared" si="263"/>
        <v>3831.3119999999999</v>
      </c>
      <c r="S2374" s="7">
        <f t="shared" si="264"/>
        <v>638.55200000000002</v>
      </c>
      <c r="T2374" s="6">
        <f t="shared" si="265"/>
        <v>1.662049861495845E-2</v>
      </c>
      <c r="V2374" t="s">
        <v>78</v>
      </c>
    </row>
    <row r="2375" spans="1:22">
      <c r="A2375" s="3">
        <v>45756</v>
      </c>
      <c r="B2375" t="str">
        <f t="shared" si="259"/>
        <v>yyyy-04</v>
      </c>
      <c r="C2375">
        <f t="shared" si="260"/>
        <v>15</v>
      </c>
      <c r="D2375" t="s">
        <v>66</v>
      </c>
      <c r="E2375" t="s">
        <v>67</v>
      </c>
      <c r="F2375" t="s">
        <v>69</v>
      </c>
      <c r="G2375" t="s">
        <v>36</v>
      </c>
      <c r="H2375" t="s">
        <v>37</v>
      </c>
      <c r="I2375" s="5">
        <v>368</v>
      </c>
      <c r="J2375" s="5">
        <v>213</v>
      </c>
      <c r="K2375" s="5">
        <v>25</v>
      </c>
      <c r="L2375" s="5">
        <v>5</v>
      </c>
      <c r="M2375" s="5">
        <v>5</v>
      </c>
      <c r="N2375" s="7">
        <v>405.99</v>
      </c>
      <c r="O2375" s="7">
        <f t="shared" si="261"/>
        <v>2029.95</v>
      </c>
      <c r="P2375" s="4">
        <v>0</v>
      </c>
      <c r="Q2375" s="7">
        <f t="shared" si="262"/>
        <v>0</v>
      </c>
      <c r="R2375" s="7">
        <f t="shared" si="263"/>
        <v>2029.95</v>
      </c>
      <c r="S2375" s="7">
        <f t="shared" si="264"/>
        <v>405.99</v>
      </c>
      <c r="T2375" s="6">
        <f t="shared" si="265"/>
        <v>1.358695652173913E-2</v>
      </c>
      <c r="V2375" t="s">
        <v>78</v>
      </c>
    </row>
    <row r="2376" spans="1:22">
      <c r="A2376" s="3">
        <v>45756</v>
      </c>
      <c r="B2376" t="str">
        <f t="shared" si="259"/>
        <v>yyyy-04</v>
      </c>
      <c r="C2376">
        <f t="shared" si="260"/>
        <v>15</v>
      </c>
      <c r="D2376" t="s">
        <v>66</v>
      </c>
      <c r="E2376" t="s">
        <v>67</v>
      </c>
      <c r="F2376" t="s">
        <v>70</v>
      </c>
      <c r="G2376" t="s">
        <v>36</v>
      </c>
      <c r="H2376" t="s">
        <v>37</v>
      </c>
      <c r="I2376" s="5">
        <v>473</v>
      </c>
      <c r="J2376" s="5">
        <v>354</v>
      </c>
      <c r="K2376" s="5">
        <v>37</v>
      </c>
      <c r="L2376" s="5">
        <v>8</v>
      </c>
      <c r="M2376" s="5">
        <v>8</v>
      </c>
      <c r="N2376" s="7">
        <v>349.64</v>
      </c>
      <c r="O2376" s="7">
        <f t="shared" si="261"/>
        <v>2797.12</v>
      </c>
      <c r="P2376" s="4">
        <v>0.03</v>
      </c>
      <c r="Q2376" s="7">
        <f t="shared" si="262"/>
        <v>83.913599999999988</v>
      </c>
      <c r="R2376" s="7">
        <f t="shared" si="263"/>
        <v>2713.2064</v>
      </c>
      <c r="S2376" s="7">
        <f t="shared" si="264"/>
        <v>339.1508</v>
      </c>
      <c r="T2376" s="6">
        <f t="shared" si="265"/>
        <v>1.6913319238900635E-2</v>
      </c>
      <c r="V2376" t="s">
        <v>29</v>
      </c>
    </row>
    <row r="2377" spans="1:22">
      <c r="A2377" s="3">
        <v>45756</v>
      </c>
      <c r="B2377" t="str">
        <f t="shared" si="259"/>
        <v>yyyy-04</v>
      </c>
      <c r="C2377">
        <f t="shared" si="260"/>
        <v>15</v>
      </c>
      <c r="D2377" t="s">
        <v>66</v>
      </c>
      <c r="E2377" t="s">
        <v>71</v>
      </c>
      <c r="F2377" t="s">
        <v>72</v>
      </c>
      <c r="G2377" t="s">
        <v>27</v>
      </c>
      <c r="H2377" t="s">
        <v>45</v>
      </c>
      <c r="I2377" s="5">
        <v>299</v>
      </c>
      <c r="J2377" s="5">
        <v>205</v>
      </c>
      <c r="K2377" s="5">
        <v>23</v>
      </c>
      <c r="L2377" s="5">
        <v>5</v>
      </c>
      <c r="M2377" s="5">
        <v>6</v>
      </c>
      <c r="N2377" s="7">
        <v>126.76</v>
      </c>
      <c r="O2377" s="7">
        <f t="shared" si="261"/>
        <v>760.56000000000006</v>
      </c>
      <c r="P2377" s="4">
        <v>0.05</v>
      </c>
      <c r="Q2377" s="7">
        <f t="shared" si="262"/>
        <v>38.028000000000006</v>
      </c>
      <c r="R2377" s="7">
        <f t="shared" si="263"/>
        <v>722.53200000000004</v>
      </c>
      <c r="S2377" s="7">
        <f t="shared" si="264"/>
        <v>144.50640000000001</v>
      </c>
      <c r="T2377" s="6">
        <f t="shared" si="265"/>
        <v>1.6722408026755852E-2</v>
      </c>
      <c r="V2377" t="s">
        <v>29</v>
      </c>
    </row>
    <row r="2378" spans="1:22">
      <c r="A2378" s="3">
        <v>45756</v>
      </c>
      <c r="B2378" t="str">
        <f t="shared" si="259"/>
        <v>yyyy-04</v>
      </c>
      <c r="C2378">
        <f t="shared" si="260"/>
        <v>15</v>
      </c>
      <c r="D2378" t="s">
        <v>66</v>
      </c>
      <c r="E2378" t="s">
        <v>73</v>
      </c>
      <c r="F2378" t="s">
        <v>74</v>
      </c>
      <c r="G2378" t="s">
        <v>27</v>
      </c>
      <c r="H2378" t="s">
        <v>28</v>
      </c>
      <c r="I2378" s="5">
        <v>179</v>
      </c>
      <c r="J2378" s="5">
        <v>99</v>
      </c>
      <c r="K2378" s="5">
        <v>14</v>
      </c>
      <c r="L2378" s="5">
        <v>4</v>
      </c>
      <c r="M2378" s="5">
        <v>4</v>
      </c>
      <c r="N2378" s="7">
        <v>1205.6199999999999</v>
      </c>
      <c r="O2378" s="7">
        <f t="shared" si="261"/>
        <v>4822.4799999999996</v>
      </c>
      <c r="P2378" s="4">
        <v>0.05</v>
      </c>
      <c r="Q2378" s="7">
        <f t="shared" si="262"/>
        <v>241.124</v>
      </c>
      <c r="R2378" s="7">
        <f t="shared" si="263"/>
        <v>4581.3559999999998</v>
      </c>
      <c r="S2378" s="7">
        <f t="shared" si="264"/>
        <v>1145.3389999999999</v>
      </c>
      <c r="T2378" s="6">
        <f t="shared" si="265"/>
        <v>2.23463687150838E-2</v>
      </c>
      <c r="V2378" t="s">
        <v>29</v>
      </c>
    </row>
    <row r="2379" spans="1:22">
      <c r="A2379" s="3">
        <v>45756</v>
      </c>
      <c r="B2379" t="str">
        <f t="shared" si="259"/>
        <v>yyyy-04</v>
      </c>
      <c r="C2379">
        <f t="shared" si="260"/>
        <v>15</v>
      </c>
      <c r="D2379" t="s">
        <v>66</v>
      </c>
      <c r="E2379" t="s">
        <v>71</v>
      </c>
      <c r="F2379" t="s">
        <v>75</v>
      </c>
      <c r="G2379" t="s">
        <v>27</v>
      </c>
      <c r="H2379" t="s">
        <v>63</v>
      </c>
      <c r="I2379" s="5">
        <v>282</v>
      </c>
      <c r="J2379" s="5">
        <v>197</v>
      </c>
      <c r="K2379" s="5">
        <v>21</v>
      </c>
      <c r="L2379" s="5">
        <v>6</v>
      </c>
      <c r="M2379" s="5">
        <v>7</v>
      </c>
      <c r="N2379" s="7">
        <v>38.21</v>
      </c>
      <c r="O2379" s="7">
        <f t="shared" si="261"/>
        <v>267.47000000000003</v>
      </c>
      <c r="P2379" s="4">
        <v>0</v>
      </c>
      <c r="Q2379" s="7">
        <f t="shared" si="262"/>
        <v>0</v>
      </c>
      <c r="R2379" s="7">
        <f t="shared" si="263"/>
        <v>267.47000000000003</v>
      </c>
      <c r="S2379" s="7">
        <f t="shared" si="264"/>
        <v>44.57833333333334</v>
      </c>
      <c r="T2379" s="6">
        <f t="shared" si="265"/>
        <v>2.1276595744680851E-2</v>
      </c>
      <c r="V2379" t="s">
        <v>29</v>
      </c>
    </row>
    <row r="2380" spans="1:22">
      <c r="A2380" s="3">
        <v>45756</v>
      </c>
      <c r="B2380" t="str">
        <f t="shared" si="259"/>
        <v>yyyy-04</v>
      </c>
      <c r="C2380">
        <f t="shared" si="260"/>
        <v>15</v>
      </c>
      <c r="D2380" t="s">
        <v>24</v>
      </c>
      <c r="E2380" t="s">
        <v>76</v>
      </c>
      <c r="F2380" t="s">
        <v>77</v>
      </c>
      <c r="G2380" t="s">
        <v>31</v>
      </c>
      <c r="H2380" t="s">
        <v>32</v>
      </c>
      <c r="I2380" s="5">
        <v>509</v>
      </c>
      <c r="J2380" s="5">
        <v>282</v>
      </c>
      <c r="K2380" s="5">
        <v>30</v>
      </c>
      <c r="L2380" s="5">
        <v>8</v>
      </c>
      <c r="M2380" s="5">
        <v>10</v>
      </c>
      <c r="N2380" s="7">
        <v>191.55</v>
      </c>
      <c r="O2380" s="7">
        <f t="shared" si="261"/>
        <v>1915.5</v>
      </c>
      <c r="P2380" s="4">
        <v>0</v>
      </c>
      <c r="Q2380" s="7">
        <f t="shared" si="262"/>
        <v>0</v>
      </c>
      <c r="R2380" s="7">
        <f t="shared" si="263"/>
        <v>1915.5</v>
      </c>
      <c r="S2380" s="7">
        <f t="shared" si="264"/>
        <v>239.4375</v>
      </c>
      <c r="T2380" s="6">
        <f t="shared" si="265"/>
        <v>1.5717092337917484E-2</v>
      </c>
      <c r="V2380" t="s">
        <v>29</v>
      </c>
    </row>
    <row r="2381" spans="1:22">
      <c r="A2381" s="3">
        <v>45757</v>
      </c>
      <c r="B2381" t="str">
        <f t="shared" si="259"/>
        <v>yyyy-04</v>
      </c>
      <c r="C2381">
        <f t="shared" si="260"/>
        <v>15</v>
      </c>
      <c r="D2381" t="s">
        <v>24</v>
      </c>
      <c r="E2381" t="s">
        <v>25</v>
      </c>
      <c r="F2381" t="s">
        <v>26</v>
      </c>
      <c r="G2381" t="s">
        <v>27</v>
      </c>
      <c r="H2381" t="s">
        <v>48</v>
      </c>
      <c r="I2381" s="5">
        <v>1183</v>
      </c>
      <c r="J2381" s="5">
        <v>850</v>
      </c>
      <c r="K2381" s="5">
        <v>101</v>
      </c>
      <c r="L2381" s="5">
        <v>22</v>
      </c>
      <c r="M2381" s="5">
        <v>22</v>
      </c>
      <c r="N2381" s="7">
        <v>983.14</v>
      </c>
      <c r="O2381" s="7">
        <f t="shared" si="261"/>
        <v>21629.079999999998</v>
      </c>
      <c r="P2381" s="4">
        <v>0</v>
      </c>
      <c r="Q2381" s="7">
        <f t="shared" si="262"/>
        <v>0</v>
      </c>
      <c r="R2381" s="7">
        <f t="shared" si="263"/>
        <v>21629.079999999998</v>
      </c>
      <c r="S2381" s="7">
        <f t="shared" si="264"/>
        <v>983.13999999999987</v>
      </c>
      <c r="T2381" s="6">
        <f t="shared" si="265"/>
        <v>1.8596787827557058E-2</v>
      </c>
      <c r="V2381" t="s">
        <v>78</v>
      </c>
    </row>
    <row r="2382" spans="1:22">
      <c r="A2382" s="3">
        <v>45757</v>
      </c>
      <c r="B2382" t="str">
        <f t="shared" si="259"/>
        <v>yyyy-04</v>
      </c>
      <c r="C2382">
        <f t="shared" si="260"/>
        <v>15</v>
      </c>
      <c r="D2382" t="s">
        <v>24</v>
      </c>
      <c r="E2382" t="s">
        <v>25</v>
      </c>
      <c r="F2382" t="s">
        <v>30</v>
      </c>
      <c r="G2382" t="s">
        <v>27</v>
      </c>
      <c r="H2382" t="s">
        <v>28</v>
      </c>
      <c r="I2382" s="5">
        <v>1513</v>
      </c>
      <c r="J2382" s="5">
        <v>1044</v>
      </c>
      <c r="K2382" s="5">
        <v>147</v>
      </c>
      <c r="L2382" s="5">
        <v>34</v>
      </c>
      <c r="M2382" s="5">
        <v>34</v>
      </c>
      <c r="N2382" s="7">
        <v>403.21</v>
      </c>
      <c r="O2382" s="7">
        <f t="shared" si="261"/>
        <v>13709.14</v>
      </c>
      <c r="P2382" s="4">
        <v>0.03</v>
      </c>
      <c r="Q2382" s="7">
        <f t="shared" si="262"/>
        <v>411.27419999999995</v>
      </c>
      <c r="R2382" s="7">
        <f t="shared" si="263"/>
        <v>13297.8658</v>
      </c>
      <c r="S2382" s="7">
        <f t="shared" si="264"/>
        <v>391.11369999999999</v>
      </c>
      <c r="T2382" s="6">
        <f t="shared" si="265"/>
        <v>2.247191011235955E-2</v>
      </c>
      <c r="V2382" t="s">
        <v>29</v>
      </c>
    </row>
    <row r="2383" spans="1:22">
      <c r="A2383" s="3">
        <v>45757</v>
      </c>
      <c r="B2383" t="str">
        <f t="shared" si="259"/>
        <v>yyyy-04</v>
      </c>
      <c r="C2383">
        <f t="shared" si="260"/>
        <v>15</v>
      </c>
      <c r="D2383" t="s">
        <v>24</v>
      </c>
      <c r="E2383" t="s">
        <v>25</v>
      </c>
      <c r="F2383" t="s">
        <v>33</v>
      </c>
      <c r="G2383" t="s">
        <v>36</v>
      </c>
      <c r="H2383" t="s">
        <v>37</v>
      </c>
      <c r="I2383" s="5">
        <v>1847</v>
      </c>
      <c r="J2383" s="5">
        <v>1251</v>
      </c>
      <c r="K2383" s="5">
        <v>118</v>
      </c>
      <c r="L2383" s="5">
        <v>39</v>
      </c>
      <c r="M2383" s="5">
        <v>39</v>
      </c>
      <c r="N2383" s="7">
        <v>1796.29</v>
      </c>
      <c r="O2383" s="7">
        <f t="shared" si="261"/>
        <v>70055.31</v>
      </c>
      <c r="P2383" s="4">
        <v>0</v>
      </c>
      <c r="Q2383" s="7">
        <f t="shared" si="262"/>
        <v>0</v>
      </c>
      <c r="R2383" s="7">
        <f t="shared" si="263"/>
        <v>70055.31</v>
      </c>
      <c r="S2383" s="7">
        <f t="shared" si="264"/>
        <v>1796.29</v>
      </c>
      <c r="T2383" s="6">
        <f t="shared" si="265"/>
        <v>2.1115322144017325E-2</v>
      </c>
      <c r="V2383" t="s">
        <v>29</v>
      </c>
    </row>
    <row r="2384" spans="1:22">
      <c r="A2384" s="3">
        <v>45757</v>
      </c>
      <c r="B2384" t="str">
        <f t="shared" si="259"/>
        <v>yyyy-04</v>
      </c>
      <c r="C2384">
        <f t="shared" si="260"/>
        <v>15</v>
      </c>
      <c r="D2384" t="s">
        <v>24</v>
      </c>
      <c r="E2384" t="s">
        <v>34</v>
      </c>
      <c r="F2384" t="s">
        <v>35</v>
      </c>
      <c r="G2384" t="s">
        <v>36</v>
      </c>
      <c r="H2384" t="s">
        <v>37</v>
      </c>
      <c r="I2384" s="5">
        <v>1090</v>
      </c>
      <c r="J2384" s="5">
        <v>592</v>
      </c>
      <c r="K2384" s="5">
        <v>92</v>
      </c>
      <c r="L2384" s="5">
        <v>28</v>
      </c>
      <c r="M2384" s="5">
        <v>28</v>
      </c>
      <c r="N2384" s="7">
        <v>869.1</v>
      </c>
      <c r="O2384" s="7">
        <f t="shared" si="261"/>
        <v>24334.799999999999</v>
      </c>
      <c r="P2384" s="4">
        <v>0.08</v>
      </c>
      <c r="Q2384" s="7">
        <f t="shared" si="262"/>
        <v>1946.7839999999999</v>
      </c>
      <c r="R2384" s="7">
        <f t="shared" si="263"/>
        <v>22388.016</v>
      </c>
      <c r="S2384" s="7">
        <f t="shared" si="264"/>
        <v>799.572</v>
      </c>
      <c r="T2384" s="6">
        <f t="shared" si="265"/>
        <v>2.5688073394495414E-2</v>
      </c>
      <c r="U2384" t="s">
        <v>92</v>
      </c>
      <c r="V2384" t="s">
        <v>29</v>
      </c>
    </row>
    <row r="2385" spans="1:22">
      <c r="A2385" s="3">
        <v>45757</v>
      </c>
      <c r="B2385" t="str">
        <f t="shared" si="259"/>
        <v>yyyy-04</v>
      </c>
      <c r="C2385">
        <f t="shared" si="260"/>
        <v>15</v>
      </c>
      <c r="D2385" t="s">
        <v>24</v>
      </c>
      <c r="E2385" t="s">
        <v>38</v>
      </c>
      <c r="F2385" t="s">
        <v>39</v>
      </c>
      <c r="G2385" t="s">
        <v>27</v>
      </c>
      <c r="H2385" t="s">
        <v>28</v>
      </c>
      <c r="I2385" s="5">
        <v>896</v>
      </c>
      <c r="J2385" s="5">
        <v>574</v>
      </c>
      <c r="K2385" s="5">
        <v>29</v>
      </c>
      <c r="L2385" s="5">
        <v>14</v>
      </c>
      <c r="M2385" s="5">
        <v>14</v>
      </c>
      <c r="N2385" s="7">
        <v>316.17</v>
      </c>
      <c r="O2385" s="7">
        <f t="shared" si="261"/>
        <v>4426.38</v>
      </c>
      <c r="P2385" s="4">
        <v>0</v>
      </c>
      <c r="Q2385" s="7">
        <f t="shared" si="262"/>
        <v>0</v>
      </c>
      <c r="R2385" s="7">
        <f t="shared" si="263"/>
        <v>4426.38</v>
      </c>
      <c r="S2385" s="7">
        <f t="shared" si="264"/>
        <v>316.17</v>
      </c>
      <c r="T2385" s="6">
        <f t="shared" si="265"/>
        <v>1.5625E-2</v>
      </c>
      <c r="V2385" t="s">
        <v>29</v>
      </c>
    </row>
    <row r="2386" spans="1:22">
      <c r="A2386" s="3">
        <v>45757</v>
      </c>
      <c r="B2386" t="str">
        <f t="shared" si="259"/>
        <v>yyyy-04</v>
      </c>
      <c r="C2386">
        <f t="shared" si="260"/>
        <v>15</v>
      </c>
      <c r="D2386" t="s">
        <v>24</v>
      </c>
      <c r="E2386" t="s">
        <v>40</v>
      </c>
      <c r="F2386" t="s">
        <v>41</v>
      </c>
      <c r="G2386" t="s">
        <v>27</v>
      </c>
      <c r="H2386" t="s">
        <v>28</v>
      </c>
      <c r="I2386" s="5">
        <v>834</v>
      </c>
      <c r="J2386" s="5">
        <v>629</v>
      </c>
      <c r="K2386" s="5">
        <v>52</v>
      </c>
      <c r="L2386" s="5">
        <v>11</v>
      </c>
      <c r="M2386" s="5">
        <v>15</v>
      </c>
      <c r="N2386" s="7">
        <v>174.68</v>
      </c>
      <c r="O2386" s="7">
        <f t="shared" si="261"/>
        <v>2620.2000000000003</v>
      </c>
      <c r="P2386" s="4">
        <v>0</v>
      </c>
      <c r="Q2386" s="7">
        <f t="shared" si="262"/>
        <v>0</v>
      </c>
      <c r="R2386" s="7">
        <f t="shared" si="263"/>
        <v>2620.2000000000003</v>
      </c>
      <c r="S2386" s="7">
        <f t="shared" si="264"/>
        <v>238.20000000000002</v>
      </c>
      <c r="T2386" s="6">
        <f t="shared" si="265"/>
        <v>1.3189448441247002E-2</v>
      </c>
      <c r="V2386" t="s">
        <v>78</v>
      </c>
    </row>
    <row r="2387" spans="1:22">
      <c r="A2387" s="3">
        <v>45757</v>
      </c>
      <c r="B2387" t="str">
        <f t="shared" si="259"/>
        <v>yyyy-04</v>
      </c>
      <c r="C2387">
        <f t="shared" si="260"/>
        <v>15</v>
      </c>
      <c r="D2387" t="s">
        <v>42</v>
      </c>
      <c r="E2387" t="s">
        <v>43</v>
      </c>
      <c r="F2387" t="s">
        <v>44</v>
      </c>
      <c r="G2387" t="s">
        <v>36</v>
      </c>
      <c r="H2387" t="s">
        <v>37</v>
      </c>
      <c r="I2387" s="5">
        <v>464</v>
      </c>
      <c r="J2387" s="5">
        <v>333</v>
      </c>
      <c r="K2387" s="5">
        <v>35</v>
      </c>
      <c r="L2387" s="5">
        <v>6</v>
      </c>
      <c r="M2387" s="5">
        <v>6</v>
      </c>
      <c r="N2387" s="7">
        <v>1284.81</v>
      </c>
      <c r="O2387" s="7">
        <f t="shared" si="261"/>
        <v>7708.86</v>
      </c>
      <c r="P2387" s="4">
        <v>0</v>
      </c>
      <c r="Q2387" s="7">
        <f t="shared" si="262"/>
        <v>0</v>
      </c>
      <c r="R2387" s="7">
        <f t="shared" si="263"/>
        <v>7708.86</v>
      </c>
      <c r="S2387" s="7">
        <f t="shared" si="264"/>
        <v>1284.81</v>
      </c>
      <c r="T2387" s="6">
        <f t="shared" si="265"/>
        <v>1.2931034482758621E-2</v>
      </c>
      <c r="V2387" t="s">
        <v>29</v>
      </c>
    </row>
    <row r="2388" spans="1:22">
      <c r="A2388" s="3">
        <v>45757</v>
      </c>
      <c r="B2388" t="str">
        <f t="shared" si="259"/>
        <v>yyyy-04</v>
      </c>
      <c r="C2388">
        <f t="shared" si="260"/>
        <v>15</v>
      </c>
      <c r="D2388" t="s">
        <v>42</v>
      </c>
      <c r="E2388" t="s">
        <v>43</v>
      </c>
      <c r="F2388" t="s">
        <v>46</v>
      </c>
      <c r="G2388" t="s">
        <v>31</v>
      </c>
      <c r="H2388" t="s">
        <v>32</v>
      </c>
      <c r="I2388" s="5">
        <v>421</v>
      </c>
      <c r="J2388" s="5">
        <v>324</v>
      </c>
      <c r="K2388" s="5">
        <v>9</v>
      </c>
      <c r="L2388" s="5">
        <v>0</v>
      </c>
      <c r="M2388" s="5">
        <v>0</v>
      </c>
      <c r="N2388" s="7">
        <v>2226.7399999999998</v>
      </c>
      <c r="O2388" s="7">
        <f t="shared" si="261"/>
        <v>0</v>
      </c>
      <c r="P2388" s="4">
        <v>0</v>
      </c>
      <c r="Q2388" s="7">
        <f t="shared" si="262"/>
        <v>0</v>
      </c>
      <c r="R2388" s="7">
        <f t="shared" si="263"/>
        <v>0</v>
      </c>
      <c r="S2388" s="7">
        <f t="shared" si="264"/>
        <v>0</v>
      </c>
      <c r="T2388" s="6">
        <f t="shared" si="265"/>
        <v>0</v>
      </c>
      <c r="V2388" t="s">
        <v>81</v>
      </c>
    </row>
    <row r="2389" spans="1:22">
      <c r="A2389" s="3">
        <v>45757</v>
      </c>
      <c r="B2389" t="str">
        <f t="shared" si="259"/>
        <v>yyyy-04</v>
      </c>
      <c r="C2389">
        <f t="shared" si="260"/>
        <v>15</v>
      </c>
      <c r="D2389" t="s">
        <v>42</v>
      </c>
      <c r="E2389" t="s">
        <v>43</v>
      </c>
      <c r="F2389" t="s">
        <v>47</v>
      </c>
      <c r="G2389" t="s">
        <v>31</v>
      </c>
      <c r="H2389" t="s">
        <v>32</v>
      </c>
      <c r="I2389" s="5">
        <v>774</v>
      </c>
      <c r="J2389" s="5">
        <v>632</v>
      </c>
      <c r="K2389" s="5">
        <v>35</v>
      </c>
      <c r="L2389" s="5">
        <v>8</v>
      </c>
      <c r="M2389" s="5">
        <v>8</v>
      </c>
      <c r="N2389" s="7">
        <v>607.73</v>
      </c>
      <c r="O2389" s="7">
        <f t="shared" si="261"/>
        <v>4861.84</v>
      </c>
      <c r="P2389" s="4">
        <v>0.03</v>
      </c>
      <c r="Q2389" s="7">
        <f t="shared" si="262"/>
        <v>145.8552</v>
      </c>
      <c r="R2389" s="7">
        <f t="shared" si="263"/>
        <v>4715.9848000000002</v>
      </c>
      <c r="S2389" s="7">
        <f t="shared" si="264"/>
        <v>589.49810000000002</v>
      </c>
      <c r="T2389" s="6">
        <f t="shared" si="265"/>
        <v>1.0335917312661499E-2</v>
      </c>
      <c r="V2389" t="s">
        <v>78</v>
      </c>
    </row>
    <row r="2390" spans="1:22">
      <c r="A2390" s="3">
        <v>45757</v>
      </c>
      <c r="B2390" t="str">
        <f t="shared" si="259"/>
        <v>yyyy-04</v>
      </c>
      <c r="C2390">
        <f t="shared" si="260"/>
        <v>15</v>
      </c>
      <c r="D2390" t="s">
        <v>42</v>
      </c>
      <c r="E2390" t="s">
        <v>49</v>
      </c>
      <c r="F2390" t="s">
        <v>50</v>
      </c>
      <c r="G2390" t="s">
        <v>27</v>
      </c>
      <c r="H2390" t="s">
        <v>28</v>
      </c>
      <c r="I2390" s="5">
        <v>189</v>
      </c>
      <c r="J2390" s="5">
        <v>152</v>
      </c>
      <c r="K2390" s="5">
        <v>14</v>
      </c>
      <c r="L2390" s="5">
        <v>2</v>
      </c>
      <c r="M2390" s="5">
        <v>2</v>
      </c>
      <c r="N2390" s="7">
        <v>985.94</v>
      </c>
      <c r="O2390" s="7">
        <f t="shared" si="261"/>
        <v>1971.88</v>
      </c>
      <c r="P2390" s="4">
        <v>0</v>
      </c>
      <c r="Q2390" s="7">
        <f t="shared" si="262"/>
        <v>0</v>
      </c>
      <c r="R2390" s="7">
        <f t="shared" si="263"/>
        <v>1971.88</v>
      </c>
      <c r="S2390" s="7">
        <f t="shared" si="264"/>
        <v>985.94</v>
      </c>
      <c r="T2390" s="6">
        <f t="shared" si="265"/>
        <v>1.0582010582010581E-2</v>
      </c>
      <c r="V2390" t="s">
        <v>29</v>
      </c>
    </row>
    <row r="2391" spans="1:22">
      <c r="A2391" s="3">
        <v>45757</v>
      </c>
      <c r="B2391" t="str">
        <f t="shared" si="259"/>
        <v>yyyy-04</v>
      </c>
      <c r="C2391">
        <f t="shared" si="260"/>
        <v>15</v>
      </c>
      <c r="D2391" t="s">
        <v>42</v>
      </c>
      <c r="E2391" t="s">
        <v>51</v>
      </c>
      <c r="F2391" t="s">
        <v>52</v>
      </c>
      <c r="G2391" t="s">
        <v>31</v>
      </c>
      <c r="H2391" t="s">
        <v>32</v>
      </c>
      <c r="I2391" s="5">
        <v>288</v>
      </c>
      <c r="J2391" s="5">
        <v>229</v>
      </c>
      <c r="K2391" s="5">
        <v>13</v>
      </c>
      <c r="L2391" s="5">
        <v>4</v>
      </c>
      <c r="M2391" s="5">
        <v>4</v>
      </c>
      <c r="N2391" s="7">
        <v>602.5</v>
      </c>
      <c r="O2391" s="7">
        <f t="shared" si="261"/>
        <v>2410</v>
      </c>
      <c r="P2391" s="4">
        <v>0</v>
      </c>
      <c r="Q2391" s="7">
        <f t="shared" si="262"/>
        <v>0</v>
      </c>
      <c r="R2391" s="7">
        <f t="shared" si="263"/>
        <v>2410</v>
      </c>
      <c r="S2391" s="7">
        <f t="shared" si="264"/>
        <v>602.5</v>
      </c>
      <c r="T2391" s="6">
        <f t="shared" si="265"/>
        <v>1.3888888888888888E-2</v>
      </c>
      <c r="V2391" t="s">
        <v>29</v>
      </c>
    </row>
    <row r="2392" spans="1:22">
      <c r="A2392" s="3">
        <v>45757</v>
      </c>
      <c r="B2392" t="str">
        <f t="shared" si="259"/>
        <v>yyyy-04</v>
      </c>
      <c r="C2392">
        <f t="shared" si="260"/>
        <v>15</v>
      </c>
      <c r="D2392" t="s">
        <v>53</v>
      </c>
      <c r="E2392" t="s">
        <v>54</v>
      </c>
      <c r="F2392" t="s">
        <v>55</v>
      </c>
      <c r="G2392" t="s">
        <v>36</v>
      </c>
      <c r="H2392" t="s">
        <v>37</v>
      </c>
      <c r="I2392" s="5">
        <v>255</v>
      </c>
      <c r="J2392" s="5">
        <v>197</v>
      </c>
      <c r="K2392" s="5">
        <v>13</v>
      </c>
      <c r="L2392" s="5">
        <v>3</v>
      </c>
      <c r="M2392" s="5">
        <v>3</v>
      </c>
      <c r="N2392" s="7">
        <v>1248.31</v>
      </c>
      <c r="O2392" s="7">
        <f t="shared" si="261"/>
        <v>3744.93</v>
      </c>
      <c r="P2392" s="4">
        <v>0</v>
      </c>
      <c r="Q2392" s="7">
        <f t="shared" si="262"/>
        <v>0</v>
      </c>
      <c r="R2392" s="7">
        <f t="shared" si="263"/>
        <v>3744.93</v>
      </c>
      <c r="S2392" s="7">
        <f t="shared" si="264"/>
        <v>1248.31</v>
      </c>
      <c r="T2392" s="6">
        <f t="shared" si="265"/>
        <v>1.1764705882352941E-2</v>
      </c>
      <c r="V2392" t="s">
        <v>29</v>
      </c>
    </row>
    <row r="2393" spans="1:22">
      <c r="A2393" s="3">
        <v>45757</v>
      </c>
      <c r="B2393" t="str">
        <f t="shared" si="259"/>
        <v>yyyy-04</v>
      </c>
      <c r="C2393">
        <f t="shared" si="260"/>
        <v>15</v>
      </c>
      <c r="D2393" t="s">
        <v>53</v>
      </c>
      <c r="E2393" t="s">
        <v>56</v>
      </c>
      <c r="F2393" t="s">
        <v>57</v>
      </c>
      <c r="G2393" t="s">
        <v>31</v>
      </c>
      <c r="H2393" t="s">
        <v>32</v>
      </c>
      <c r="I2393" s="5">
        <v>242</v>
      </c>
      <c r="J2393" s="5">
        <v>164</v>
      </c>
      <c r="K2393" s="5">
        <v>16</v>
      </c>
      <c r="L2393" s="5">
        <v>2</v>
      </c>
      <c r="M2393" s="5">
        <v>2</v>
      </c>
      <c r="N2393" s="7">
        <v>739.34</v>
      </c>
      <c r="O2393" s="7">
        <f t="shared" si="261"/>
        <v>1478.68</v>
      </c>
      <c r="P2393" s="4">
        <v>0</v>
      </c>
      <c r="Q2393" s="7">
        <f t="shared" si="262"/>
        <v>0</v>
      </c>
      <c r="R2393" s="7">
        <f t="shared" si="263"/>
        <v>1478.68</v>
      </c>
      <c r="S2393" s="7">
        <f t="shared" si="264"/>
        <v>739.34</v>
      </c>
      <c r="T2393" s="6">
        <f t="shared" si="265"/>
        <v>8.2644628099173556E-3</v>
      </c>
      <c r="V2393" t="s">
        <v>29</v>
      </c>
    </row>
    <row r="2394" spans="1:22">
      <c r="A2394" s="3">
        <v>45757</v>
      </c>
      <c r="B2394" t="str">
        <f t="shared" si="259"/>
        <v>yyyy-04</v>
      </c>
      <c r="C2394">
        <f t="shared" si="260"/>
        <v>15</v>
      </c>
      <c r="D2394" t="s">
        <v>53</v>
      </c>
      <c r="E2394" t="s">
        <v>56</v>
      </c>
      <c r="F2394" t="s">
        <v>58</v>
      </c>
      <c r="G2394" t="s">
        <v>27</v>
      </c>
      <c r="H2394" t="s">
        <v>28</v>
      </c>
      <c r="I2394" s="5">
        <v>277</v>
      </c>
      <c r="J2394" s="5">
        <v>224</v>
      </c>
      <c r="K2394" s="5">
        <v>13</v>
      </c>
      <c r="L2394" s="5">
        <v>3</v>
      </c>
      <c r="M2394" s="5">
        <v>3</v>
      </c>
      <c r="N2394" s="7">
        <v>869.9</v>
      </c>
      <c r="O2394" s="7">
        <f t="shared" si="261"/>
        <v>2609.6999999999998</v>
      </c>
      <c r="P2394" s="4">
        <v>0.03</v>
      </c>
      <c r="Q2394" s="7">
        <f t="shared" si="262"/>
        <v>78.290999999999997</v>
      </c>
      <c r="R2394" s="7">
        <f t="shared" si="263"/>
        <v>2531.4089999999997</v>
      </c>
      <c r="S2394" s="7">
        <f t="shared" si="264"/>
        <v>843.80299999999988</v>
      </c>
      <c r="T2394" s="6">
        <f t="shared" si="265"/>
        <v>1.0830324909747292E-2</v>
      </c>
      <c r="V2394" t="s">
        <v>29</v>
      </c>
    </row>
    <row r="2395" spans="1:22">
      <c r="A2395" s="3">
        <v>45757</v>
      </c>
      <c r="B2395" t="str">
        <f t="shared" si="259"/>
        <v>yyyy-04</v>
      </c>
      <c r="C2395">
        <f t="shared" si="260"/>
        <v>15</v>
      </c>
      <c r="D2395" t="s">
        <v>53</v>
      </c>
      <c r="E2395" t="s">
        <v>59</v>
      </c>
      <c r="F2395" t="s">
        <v>60</v>
      </c>
      <c r="G2395" t="s">
        <v>36</v>
      </c>
      <c r="H2395" t="s">
        <v>37</v>
      </c>
      <c r="I2395" s="5">
        <v>183</v>
      </c>
      <c r="J2395" s="5">
        <v>130</v>
      </c>
      <c r="K2395" s="5">
        <v>9</v>
      </c>
      <c r="L2395" s="5">
        <v>3</v>
      </c>
      <c r="M2395" s="5">
        <v>3</v>
      </c>
      <c r="N2395" s="7">
        <v>686.68</v>
      </c>
      <c r="O2395" s="7">
        <f t="shared" si="261"/>
        <v>2060.04</v>
      </c>
      <c r="P2395" s="4">
        <v>0.09</v>
      </c>
      <c r="Q2395" s="7">
        <f t="shared" si="262"/>
        <v>185.40359999999998</v>
      </c>
      <c r="R2395" s="7">
        <f t="shared" si="263"/>
        <v>1874.6363999999999</v>
      </c>
      <c r="S2395" s="7">
        <f t="shared" si="264"/>
        <v>624.87879999999996</v>
      </c>
      <c r="T2395" s="6">
        <f t="shared" si="265"/>
        <v>1.6393442622950821E-2</v>
      </c>
      <c r="U2395" t="s">
        <v>93</v>
      </c>
      <c r="V2395" t="s">
        <v>29</v>
      </c>
    </row>
    <row r="2396" spans="1:22">
      <c r="A2396" s="3">
        <v>45757</v>
      </c>
      <c r="B2396" t="str">
        <f t="shared" si="259"/>
        <v>yyyy-04</v>
      </c>
      <c r="C2396">
        <f t="shared" si="260"/>
        <v>15</v>
      </c>
      <c r="D2396" t="s">
        <v>53</v>
      </c>
      <c r="E2396" t="s">
        <v>61</v>
      </c>
      <c r="F2396" t="s">
        <v>62</v>
      </c>
      <c r="G2396" t="s">
        <v>36</v>
      </c>
      <c r="H2396" t="s">
        <v>37</v>
      </c>
      <c r="I2396" s="5">
        <v>150</v>
      </c>
      <c r="J2396" s="5">
        <v>117</v>
      </c>
      <c r="K2396" s="5">
        <v>12</v>
      </c>
      <c r="L2396" s="5">
        <v>2</v>
      </c>
      <c r="M2396" s="5">
        <v>2</v>
      </c>
      <c r="N2396" s="7">
        <v>507.52</v>
      </c>
      <c r="O2396" s="7">
        <f t="shared" si="261"/>
        <v>1015.04</v>
      </c>
      <c r="P2396" s="4">
        <v>0</v>
      </c>
      <c r="Q2396" s="7">
        <f t="shared" si="262"/>
        <v>0</v>
      </c>
      <c r="R2396" s="7">
        <f t="shared" si="263"/>
        <v>1015.04</v>
      </c>
      <c r="S2396" s="7">
        <f t="shared" si="264"/>
        <v>507.52</v>
      </c>
      <c r="T2396" s="6">
        <f t="shared" si="265"/>
        <v>1.3333333333333334E-2</v>
      </c>
      <c r="V2396" t="s">
        <v>29</v>
      </c>
    </row>
    <row r="2397" spans="1:22">
      <c r="A2397" s="3">
        <v>45757</v>
      </c>
      <c r="B2397" t="str">
        <f t="shared" si="259"/>
        <v>yyyy-04</v>
      </c>
      <c r="C2397">
        <f t="shared" si="260"/>
        <v>15</v>
      </c>
      <c r="D2397" t="s">
        <v>53</v>
      </c>
      <c r="E2397" t="s">
        <v>64</v>
      </c>
      <c r="F2397" t="s">
        <v>65</v>
      </c>
      <c r="G2397" t="s">
        <v>31</v>
      </c>
      <c r="H2397" t="s">
        <v>32</v>
      </c>
      <c r="I2397" s="5">
        <v>273</v>
      </c>
      <c r="J2397" s="5">
        <v>194</v>
      </c>
      <c r="K2397" s="5">
        <v>9</v>
      </c>
      <c r="L2397" s="5">
        <v>2</v>
      </c>
      <c r="M2397" s="5">
        <v>2</v>
      </c>
      <c r="N2397" s="7">
        <v>788.79</v>
      </c>
      <c r="O2397" s="7">
        <f t="shared" si="261"/>
        <v>1577.58</v>
      </c>
      <c r="P2397" s="4">
        <v>0.03</v>
      </c>
      <c r="Q2397" s="7">
        <f t="shared" si="262"/>
        <v>47.327399999999997</v>
      </c>
      <c r="R2397" s="7">
        <f t="shared" si="263"/>
        <v>1530.2526</v>
      </c>
      <c r="S2397" s="7">
        <f t="shared" si="264"/>
        <v>765.12630000000001</v>
      </c>
      <c r="T2397" s="6">
        <f t="shared" si="265"/>
        <v>7.326007326007326E-3</v>
      </c>
      <c r="V2397" t="s">
        <v>29</v>
      </c>
    </row>
    <row r="2398" spans="1:22">
      <c r="A2398" s="3">
        <v>45757</v>
      </c>
      <c r="B2398" t="str">
        <f t="shared" si="259"/>
        <v>yyyy-04</v>
      </c>
      <c r="C2398">
        <f t="shared" si="260"/>
        <v>15</v>
      </c>
      <c r="D2398" t="s">
        <v>66</v>
      </c>
      <c r="E2398" t="s">
        <v>67</v>
      </c>
      <c r="F2398" t="s">
        <v>68</v>
      </c>
      <c r="G2398" t="s">
        <v>27</v>
      </c>
      <c r="H2398" t="s">
        <v>63</v>
      </c>
      <c r="I2398" s="5">
        <v>302</v>
      </c>
      <c r="J2398" s="5">
        <v>174</v>
      </c>
      <c r="K2398" s="5">
        <v>19</v>
      </c>
      <c r="L2398" s="5">
        <v>5</v>
      </c>
      <c r="M2398" s="5">
        <v>5</v>
      </c>
      <c r="N2398" s="7">
        <v>708.35</v>
      </c>
      <c r="O2398" s="7">
        <f t="shared" si="261"/>
        <v>3541.75</v>
      </c>
      <c r="P2398" s="4">
        <v>0.03</v>
      </c>
      <c r="Q2398" s="7">
        <f t="shared" si="262"/>
        <v>106.2525</v>
      </c>
      <c r="R2398" s="7">
        <f t="shared" si="263"/>
        <v>3435.4974999999999</v>
      </c>
      <c r="S2398" s="7">
        <f t="shared" si="264"/>
        <v>687.09950000000003</v>
      </c>
      <c r="T2398" s="6">
        <f t="shared" si="265"/>
        <v>1.6556291390728478E-2</v>
      </c>
      <c r="V2398" t="s">
        <v>29</v>
      </c>
    </row>
    <row r="2399" spans="1:22">
      <c r="A2399" s="3">
        <v>45757</v>
      </c>
      <c r="B2399" t="str">
        <f t="shared" si="259"/>
        <v>yyyy-04</v>
      </c>
      <c r="C2399">
        <f t="shared" si="260"/>
        <v>15</v>
      </c>
      <c r="D2399" t="s">
        <v>66</v>
      </c>
      <c r="E2399" t="s">
        <v>67</v>
      </c>
      <c r="F2399" t="s">
        <v>69</v>
      </c>
      <c r="G2399" t="s">
        <v>27</v>
      </c>
      <c r="H2399" t="s">
        <v>28</v>
      </c>
      <c r="I2399" s="5">
        <v>365</v>
      </c>
      <c r="J2399" s="5">
        <v>272</v>
      </c>
      <c r="K2399" s="5">
        <v>23</v>
      </c>
      <c r="L2399" s="5">
        <v>6</v>
      </c>
      <c r="M2399" s="5">
        <v>6</v>
      </c>
      <c r="N2399" s="7">
        <v>394.47</v>
      </c>
      <c r="O2399" s="7">
        <f t="shared" si="261"/>
        <v>2366.8200000000002</v>
      </c>
      <c r="P2399" s="4">
        <v>0</v>
      </c>
      <c r="Q2399" s="7">
        <f t="shared" si="262"/>
        <v>0</v>
      </c>
      <c r="R2399" s="7">
        <f t="shared" si="263"/>
        <v>2366.8200000000002</v>
      </c>
      <c r="S2399" s="7">
        <f t="shared" si="264"/>
        <v>394.47</v>
      </c>
      <c r="T2399" s="6">
        <f t="shared" si="265"/>
        <v>1.643835616438356E-2</v>
      </c>
      <c r="V2399" t="s">
        <v>29</v>
      </c>
    </row>
    <row r="2400" spans="1:22">
      <c r="A2400" s="3">
        <v>45757</v>
      </c>
      <c r="B2400" t="str">
        <f t="shared" si="259"/>
        <v>yyyy-04</v>
      </c>
      <c r="C2400">
        <f t="shared" si="260"/>
        <v>15</v>
      </c>
      <c r="D2400" t="s">
        <v>66</v>
      </c>
      <c r="E2400" t="s">
        <v>67</v>
      </c>
      <c r="F2400" t="s">
        <v>70</v>
      </c>
      <c r="G2400" t="s">
        <v>27</v>
      </c>
      <c r="H2400" t="s">
        <v>63</v>
      </c>
      <c r="I2400" s="5">
        <v>196</v>
      </c>
      <c r="J2400" s="5">
        <v>145</v>
      </c>
      <c r="K2400" s="5">
        <v>16</v>
      </c>
      <c r="L2400" s="5">
        <v>4</v>
      </c>
      <c r="M2400" s="5">
        <v>4</v>
      </c>
      <c r="N2400" s="7">
        <v>344.12</v>
      </c>
      <c r="O2400" s="7">
        <f t="shared" si="261"/>
        <v>1376.48</v>
      </c>
      <c r="P2400" s="4">
        <v>0.03</v>
      </c>
      <c r="Q2400" s="7">
        <f t="shared" si="262"/>
        <v>41.294399999999996</v>
      </c>
      <c r="R2400" s="7">
        <f t="shared" si="263"/>
        <v>1335.1856</v>
      </c>
      <c r="S2400" s="7">
        <f t="shared" si="264"/>
        <v>333.79640000000001</v>
      </c>
      <c r="T2400" s="6">
        <f t="shared" si="265"/>
        <v>2.0408163265306121E-2</v>
      </c>
      <c r="V2400" t="s">
        <v>29</v>
      </c>
    </row>
    <row r="2401" spans="1:22">
      <c r="A2401" s="3">
        <v>45757</v>
      </c>
      <c r="B2401" t="str">
        <f t="shared" si="259"/>
        <v>yyyy-04</v>
      </c>
      <c r="C2401">
        <f t="shared" si="260"/>
        <v>15</v>
      </c>
      <c r="D2401" t="s">
        <v>66</v>
      </c>
      <c r="E2401" t="s">
        <v>71</v>
      </c>
      <c r="F2401" t="s">
        <v>72</v>
      </c>
      <c r="G2401" t="s">
        <v>36</v>
      </c>
      <c r="H2401" t="s">
        <v>37</v>
      </c>
      <c r="I2401" s="5">
        <v>397</v>
      </c>
      <c r="J2401" s="5">
        <v>313</v>
      </c>
      <c r="K2401" s="5">
        <v>23</v>
      </c>
      <c r="L2401" s="5">
        <v>6</v>
      </c>
      <c r="M2401" s="5">
        <v>7</v>
      </c>
      <c r="N2401" s="7">
        <v>128.51</v>
      </c>
      <c r="O2401" s="7">
        <f t="shared" si="261"/>
        <v>899.56999999999994</v>
      </c>
      <c r="P2401" s="4">
        <v>0</v>
      </c>
      <c r="Q2401" s="7">
        <f t="shared" si="262"/>
        <v>0</v>
      </c>
      <c r="R2401" s="7">
        <f t="shared" si="263"/>
        <v>899.56999999999994</v>
      </c>
      <c r="S2401" s="7">
        <f t="shared" si="264"/>
        <v>149.92833333333331</v>
      </c>
      <c r="T2401" s="6">
        <f t="shared" si="265"/>
        <v>1.5113350125944584E-2</v>
      </c>
      <c r="V2401" t="s">
        <v>29</v>
      </c>
    </row>
    <row r="2402" spans="1:22">
      <c r="A2402" s="3">
        <v>45757</v>
      </c>
      <c r="B2402" t="str">
        <f t="shared" si="259"/>
        <v>yyyy-04</v>
      </c>
      <c r="C2402">
        <f t="shared" si="260"/>
        <v>15</v>
      </c>
      <c r="D2402" t="s">
        <v>66</v>
      </c>
      <c r="E2402" t="s">
        <v>73</v>
      </c>
      <c r="F2402" t="s">
        <v>74</v>
      </c>
      <c r="G2402" t="s">
        <v>27</v>
      </c>
      <c r="H2402" t="s">
        <v>45</v>
      </c>
      <c r="I2402" s="5">
        <v>227</v>
      </c>
      <c r="J2402" s="5">
        <v>187</v>
      </c>
      <c r="K2402" s="5">
        <v>21</v>
      </c>
      <c r="L2402" s="5">
        <v>4</v>
      </c>
      <c r="M2402" s="5">
        <v>4</v>
      </c>
      <c r="N2402" s="7">
        <v>1171.8699999999999</v>
      </c>
      <c r="O2402" s="7">
        <f t="shared" si="261"/>
        <v>4687.4799999999996</v>
      </c>
      <c r="P2402" s="4">
        <v>0.03</v>
      </c>
      <c r="Q2402" s="7">
        <f t="shared" si="262"/>
        <v>140.62439999999998</v>
      </c>
      <c r="R2402" s="7">
        <f t="shared" si="263"/>
        <v>4546.8555999999999</v>
      </c>
      <c r="S2402" s="7">
        <f t="shared" si="264"/>
        <v>1136.7139</v>
      </c>
      <c r="T2402" s="6">
        <f t="shared" si="265"/>
        <v>1.7621145374449341E-2</v>
      </c>
      <c r="V2402" t="s">
        <v>29</v>
      </c>
    </row>
    <row r="2403" spans="1:22">
      <c r="A2403" s="3">
        <v>45757</v>
      </c>
      <c r="B2403" t="str">
        <f t="shared" si="259"/>
        <v>yyyy-04</v>
      </c>
      <c r="C2403">
        <f t="shared" si="260"/>
        <v>15</v>
      </c>
      <c r="D2403" t="s">
        <v>66</v>
      </c>
      <c r="E2403" t="s">
        <v>71</v>
      </c>
      <c r="F2403" t="s">
        <v>75</v>
      </c>
      <c r="G2403" t="s">
        <v>31</v>
      </c>
      <c r="H2403" t="s">
        <v>32</v>
      </c>
      <c r="I2403" s="5">
        <v>428</v>
      </c>
      <c r="J2403" s="5">
        <v>304</v>
      </c>
      <c r="K2403" s="5">
        <v>31</v>
      </c>
      <c r="L2403" s="5">
        <v>9</v>
      </c>
      <c r="M2403" s="5">
        <v>11</v>
      </c>
      <c r="N2403" s="7">
        <v>38.99</v>
      </c>
      <c r="O2403" s="7">
        <f t="shared" si="261"/>
        <v>428.89000000000004</v>
      </c>
      <c r="P2403" s="4">
        <v>0.05</v>
      </c>
      <c r="Q2403" s="7">
        <f t="shared" si="262"/>
        <v>21.444500000000005</v>
      </c>
      <c r="R2403" s="7">
        <f t="shared" si="263"/>
        <v>407.44550000000004</v>
      </c>
      <c r="S2403" s="7">
        <f t="shared" si="264"/>
        <v>45.271722222222223</v>
      </c>
      <c r="T2403" s="6">
        <f t="shared" si="265"/>
        <v>2.1028037383177569E-2</v>
      </c>
      <c r="V2403" t="s">
        <v>29</v>
      </c>
    </row>
    <row r="2404" spans="1:22">
      <c r="A2404" s="3">
        <v>45757</v>
      </c>
      <c r="B2404" t="str">
        <f t="shared" si="259"/>
        <v>yyyy-04</v>
      </c>
      <c r="C2404">
        <f t="shared" si="260"/>
        <v>15</v>
      </c>
      <c r="D2404" t="s">
        <v>24</v>
      </c>
      <c r="E2404" t="s">
        <v>76</v>
      </c>
      <c r="F2404" t="s">
        <v>77</v>
      </c>
      <c r="G2404" t="s">
        <v>27</v>
      </c>
      <c r="H2404" t="s">
        <v>48</v>
      </c>
      <c r="I2404" s="5">
        <v>429</v>
      </c>
      <c r="J2404" s="5">
        <v>298</v>
      </c>
      <c r="K2404" s="5">
        <v>17</v>
      </c>
      <c r="L2404" s="5">
        <v>7</v>
      </c>
      <c r="M2404" s="5">
        <v>9</v>
      </c>
      <c r="N2404" s="7">
        <v>196.96</v>
      </c>
      <c r="O2404" s="7">
        <f t="shared" si="261"/>
        <v>1772.64</v>
      </c>
      <c r="P2404" s="4">
        <v>0</v>
      </c>
      <c r="Q2404" s="7">
        <f t="shared" si="262"/>
        <v>0</v>
      </c>
      <c r="R2404" s="7">
        <f t="shared" si="263"/>
        <v>1772.64</v>
      </c>
      <c r="S2404" s="7">
        <f t="shared" si="264"/>
        <v>253.23428571428573</v>
      </c>
      <c r="T2404" s="6">
        <f t="shared" si="265"/>
        <v>1.6317016317016316E-2</v>
      </c>
      <c r="V2404" t="s">
        <v>29</v>
      </c>
    </row>
    <row r="2405" spans="1:22">
      <c r="A2405" s="3">
        <v>45758</v>
      </c>
      <c r="B2405" t="str">
        <f t="shared" si="259"/>
        <v>yyyy-04</v>
      </c>
      <c r="C2405">
        <f t="shared" si="260"/>
        <v>15</v>
      </c>
      <c r="D2405" t="s">
        <v>24</v>
      </c>
      <c r="E2405" t="s">
        <v>25</v>
      </c>
      <c r="F2405" t="s">
        <v>26</v>
      </c>
      <c r="G2405" t="s">
        <v>31</v>
      </c>
      <c r="H2405" t="s">
        <v>32</v>
      </c>
      <c r="I2405" s="5">
        <v>1781</v>
      </c>
      <c r="J2405" s="5">
        <v>1264</v>
      </c>
      <c r="K2405" s="5">
        <v>118</v>
      </c>
      <c r="L2405" s="5">
        <v>35</v>
      </c>
      <c r="M2405" s="5">
        <v>35</v>
      </c>
      <c r="N2405" s="7">
        <v>976.85</v>
      </c>
      <c r="O2405" s="7">
        <f t="shared" si="261"/>
        <v>34189.75</v>
      </c>
      <c r="P2405" s="4">
        <v>0.05</v>
      </c>
      <c r="Q2405" s="7">
        <f t="shared" si="262"/>
        <v>1709.4875000000002</v>
      </c>
      <c r="R2405" s="7">
        <f t="shared" si="263"/>
        <v>32480.262500000001</v>
      </c>
      <c r="S2405" s="7">
        <f t="shared" si="264"/>
        <v>928.00750000000005</v>
      </c>
      <c r="T2405" s="6">
        <f t="shared" si="265"/>
        <v>1.9651880965749578E-2</v>
      </c>
      <c r="V2405" t="s">
        <v>29</v>
      </c>
    </row>
    <row r="2406" spans="1:22">
      <c r="A2406" s="3">
        <v>45758</v>
      </c>
      <c r="B2406" t="str">
        <f t="shared" si="259"/>
        <v>yyyy-04</v>
      </c>
      <c r="C2406">
        <f t="shared" si="260"/>
        <v>15</v>
      </c>
      <c r="D2406" t="s">
        <v>24</v>
      </c>
      <c r="E2406" t="s">
        <v>25</v>
      </c>
      <c r="F2406" t="s">
        <v>30</v>
      </c>
      <c r="G2406" t="s">
        <v>27</v>
      </c>
      <c r="H2406" t="s">
        <v>45</v>
      </c>
      <c r="I2406" s="5">
        <v>1418</v>
      </c>
      <c r="J2406" s="5">
        <v>796</v>
      </c>
      <c r="K2406" s="5">
        <v>105</v>
      </c>
      <c r="L2406" s="5">
        <v>35</v>
      </c>
      <c r="M2406" s="5">
        <v>35</v>
      </c>
      <c r="N2406" s="7">
        <v>398.58</v>
      </c>
      <c r="O2406" s="7">
        <f t="shared" si="261"/>
        <v>13950.3</v>
      </c>
      <c r="P2406" s="4">
        <v>0.05</v>
      </c>
      <c r="Q2406" s="7">
        <f t="shared" si="262"/>
        <v>697.51499999999999</v>
      </c>
      <c r="R2406" s="7">
        <f t="shared" si="263"/>
        <v>13252.785</v>
      </c>
      <c r="S2406" s="7">
        <f t="shared" si="264"/>
        <v>378.65100000000001</v>
      </c>
      <c r="T2406" s="6">
        <f t="shared" si="265"/>
        <v>2.4682651622002821E-2</v>
      </c>
      <c r="V2406" t="s">
        <v>29</v>
      </c>
    </row>
    <row r="2407" spans="1:22">
      <c r="A2407" s="3">
        <v>45758</v>
      </c>
      <c r="B2407" t="str">
        <f t="shared" si="259"/>
        <v>yyyy-04</v>
      </c>
      <c r="C2407">
        <f t="shared" si="260"/>
        <v>15</v>
      </c>
      <c r="D2407" t="s">
        <v>24</v>
      </c>
      <c r="E2407" t="s">
        <v>25</v>
      </c>
      <c r="F2407" t="s">
        <v>33</v>
      </c>
      <c r="G2407" t="s">
        <v>31</v>
      </c>
      <c r="H2407" t="s">
        <v>32</v>
      </c>
      <c r="I2407" s="5">
        <v>1886</v>
      </c>
      <c r="J2407" s="5">
        <v>1525</v>
      </c>
      <c r="K2407" s="5">
        <v>176</v>
      </c>
      <c r="L2407" s="5">
        <v>49</v>
      </c>
      <c r="M2407" s="5">
        <v>49</v>
      </c>
      <c r="N2407" s="7">
        <v>1738.08</v>
      </c>
      <c r="O2407" s="7">
        <f t="shared" si="261"/>
        <v>85165.92</v>
      </c>
      <c r="P2407" s="4">
        <v>0</v>
      </c>
      <c r="Q2407" s="7">
        <f t="shared" si="262"/>
        <v>0</v>
      </c>
      <c r="R2407" s="7">
        <f t="shared" si="263"/>
        <v>85165.92</v>
      </c>
      <c r="S2407" s="7">
        <f t="shared" si="264"/>
        <v>1738.08</v>
      </c>
      <c r="T2407" s="6">
        <f t="shared" si="265"/>
        <v>2.5980911983032873E-2</v>
      </c>
      <c r="V2407" t="s">
        <v>29</v>
      </c>
    </row>
    <row r="2408" spans="1:22">
      <c r="A2408" s="3">
        <v>45758</v>
      </c>
      <c r="B2408" t="str">
        <f t="shared" si="259"/>
        <v>yyyy-04</v>
      </c>
      <c r="C2408">
        <f t="shared" si="260"/>
        <v>15</v>
      </c>
      <c r="D2408" t="s">
        <v>24</v>
      </c>
      <c r="E2408" t="s">
        <v>34</v>
      </c>
      <c r="F2408" t="s">
        <v>35</v>
      </c>
      <c r="G2408" t="s">
        <v>27</v>
      </c>
      <c r="H2408" t="s">
        <v>63</v>
      </c>
      <c r="I2408" s="5">
        <v>680</v>
      </c>
      <c r="J2408" s="5">
        <v>484</v>
      </c>
      <c r="K2408" s="5">
        <v>67</v>
      </c>
      <c r="L2408" s="5">
        <v>14</v>
      </c>
      <c r="M2408" s="5">
        <v>14</v>
      </c>
      <c r="N2408" s="7">
        <v>907.66</v>
      </c>
      <c r="O2408" s="7">
        <f t="shared" si="261"/>
        <v>12707.24</v>
      </c>
      <c r="P2408" s="4">
        <v>0.08</v>
      </c>
      <c r="Q2408" s="7">
        <f t="shared" si="262"/>
        <v>1016.5792</v>
      </c>
      <c r="R2408" s="7">
        <f t="shared" si="263"/>
        <v>11690.6608</v>
      </c>
      <c r="S2408" s="7">
        <f t="shared" si="264"/>
        <v>835.04719999999998</v>
      </c>
      <c r="T2408" s="6">
        <f t="shared" si="265"/>
        <v>2.0588235294117647E-2</v>
      </c>
      <c r="U2408" t="s">
        <v>92</v>
      </c>
      <c r="V2408" t="s">
        <v>29</v>
      </c>
    </row>
    <row r="2409" spans="1:22">
      <c r="A2409" s="3">
        <v>45758</v>
      </c>
      <c r="B2409" t="str">
        <f t="shared" si="259"/>
        <v>yyyy-04</v>
      </c>
      <c r="C2409">
        <f t="shared" si="260"/>
        <v>15</v>
      </c>
      <c r="D2409" t="s">
        <v>24</v>
      </c>
      <c r="E2409" t="s">
        <v>38</v>
      </c>
      <c r="F2409" t="s">
        <v>39</v>
      </c>
      <c r="G2409" t="s">
        <v>27</v>
      </c>
      <c r="H2409" t="s">
        <v>28</v>
      </c>
      <c r="I2409" s="5">
        <v>908</v>
      </c>
      <c r="J2409" s="5">
        <v>509</v>
      </c>
      <c r="K2409" s="5">
        <v>48</v>
      </c>
      <c r="L2409" s="5">
        <v>14</v>
      </c>
      <c r="M2409" s="5">
        <v>14</v>
      </c>
      <c r="N2409" s="7">
        <v>328.24</v>
      </c>
      <c r="O2409" s="7">
        <f t="shared" si="261"/>
        <v>4595.3600000000006</v>
      </c>
      <c r="P2409" s="4">
        <v>0</v>
      </c>
      <c r="Q2409" s="7">
        <f t="shared" si="262"/>
        <v>0</v>
      </c>
      <c r="R2409" s="7">
        <f t="shared" si="263"/>
        <v>4595.3600000000006</v>
      </c>
      <c r="S2409" s="7">
        <f t="shared" si="264"/>
        <v>328.24000000000007</v>
      </c>
      <c r="T2409" s="6">
        <f t="shared" si="265"/>
        <v>1.5418502202643172E-2</v>
      </c>
      <c r="V2409" t="s">
        <v>29</v>
      </c>
    </row>
    <row r="2410" spans="1:22">
      <c r="A2410" s="3">
        <v>45758</v>
      </c>
      <c r="B2410" t="str">
        <f t="shared" si="259"/>
        <v>yyyy-04</v>
      </c>
      <c r="C2410">
        <f t="shared" si="260"/>
        <v>15</v>
      </c>
      <c r="D2410" t="s">
        <v>24</v>
      </c>
      <c r="E2410" t="s">
        <v>40</v>
      </c>
      <c r="F2410" t="s">
        <v>41</v>
      </c>
      <c r="G2410" t="s">
        <v>31</v>
      </c>
      <c r="H2410" t="s">
        <v>32</v>
      </c>
      <c r="I2410" s="5">
        <v>761</v>
      </c>
      <c r="J2410" s="5">
        <v>419</v>
      </c>
      <c r="K2410" s="5">
        <v>59</v>
      </c>
      <c r="L2410" s="5">
        <v>16</v>
      </c>
      <c r="M2410" s="5">
        <v>18</v>
      </c>
      <c r="N2410" s="7">
        <v>180.05</v>
      </c>
      <c r="O2410" s="7">
        <f t="shared" si="261"/>
        <v>3240.9</v>
      </c>
      <c r="P2410" s="4">
        <v>0.03</v>
      </c>
      <c r="Q2410" s="7">
        <f t="shared" si="262"/>
        <v>97.227000000000004</v>
      </c>
      <c r="R2410" s="7">
        <f t="shared" si="263"/>
        <v>3143.6730000000002</v>
      </c>
      <c r="S2410" s="7">
        <f t="shared" si="264"/>
        <v>196.47956250000001</v>
      </c>
      <c r="T2410" s="6">
        <f t="shared" si="265"/>
        <v>2.1024967148488831E-2</v>
      </c>
      <c r="V2410" t="s">
        <v>29</v>
      </c>
    </row>
    <row r="2411" spans="1:22">
      <c r="A2411" s="3">
        <v>45758</v>
      </c>
      <c r="B2411" t="str">
        <f t="shared" si="259"/>
        <v>yyyy-04</v>
      </c>
      <c r="C2411">
        <f t="shared" si="260"/>
        <v>15</v>
      </c>
      <c r="D2411" t="s">
        <v>42</v>
      </c>
      <c r="E2411" t="s">
        <v>43</v>
      </c>
      <c r="F2411" t="s">
        <v>44</v>
      </c>
      <c r="G2411" t="s">
        <v>27</v>
      </c>
      <c r="H2411" t="s">
        <v>48</v>
      </c>
      <c r="I2411" s="5">
        <v>365</v>
      </c>
      <c r="J2411" s="5">
        <v>224</v>
      </c>
      <c r="K2411" s="5">
        <v>18</v>
      </c>
      <c r="L2411" s="5">
        <v>6</v>
      </c>
      <c r="M2411" s="5">
        <v>6</v>
      </c>
      <c r="N2411" s="7">
        <v>1302.44</v>
      </c>
      <c r="O2411" s="7">
        <f t="shared" si="261"/>
        <v>7814.64</v>
      </c>
      <c r="P2411" s="4">
        <v>0.05</v>
      </c>
      <c r="Q2411" s="7">
        <f t="shared" si="262"/>
        <v>390.73200000000003</v>
      </c>
      <c r="R2411" s="7">
        <f t="shared" si="263"/>
        <v>7423.9080000000004</v>
      </c>
      <c r="S2411" s="7">
        <f t="shared" si="264"/>
        <v>1237.318</v>
      </c>
      <c r="T2411" s="6">
        <f t="shared" si="265"/>
        <v>1.643835616438356E-2</v>
      </c>
      <c r="V2411" t="s">
        <v>29</v>
      </c>
    </row>
    <row r="2412" spans="1:22">
      <c r="A2412" s="3">
        <v>45758</v>
      </c>
      <c r="B2412" t="str">
        <f t="shared" si="259"/>
        <v>yyyy-04</v>
      </c>
      <c r="C2412">
        <f t="shared" si="260"/>
        <v>15</v>
      </c>
      <c r="D2412" t="s">
        <v>42</v>
      </c>
      <c r="E2412" t="s">
        <v>43</v>
      </c>
      <c r="F2412" t="s">
        <v>46</v>
      </c>
      <c r="G2412" t="s">
        <v>36</v>
      </c>
      <c r="H2412" t="s">
        <v>37</v>
      </c>
      <c r="I2412" s="5">
        <v>707</v>
      </c>
      <c r="J2412" s="5">
        <v>473</v>
      </c>
      <c r="K2412" s="5">
        <v>50</v>
      </c>
      <c r="L2412" s="5">
        <v>11</v>
      </c>
      <c r="M2412" s="5">
        <v>11</v>
      </c>
      <c r="N2412" s="7">
        <v>2117.88</v>
      </c>
      <c r="O2412" s="7">
        <f t="shared" si="261"/>
        <v>23296.68</v>
      </c>
      <c r="P2412" s="4">
        <v>0</v>
      </c>
      <c r="Q2412" s="7">
        <f t="shared" si="262"/>
        <v>0</v>
      </c>
      <c r="R2412" s="7">
        <f t="shared" si="263"/>
        <v>23296.68</v>
      </c>
      <c r="S2412" s="7">
        <f t="shared" si="264"/>
        <v>2117.88</v>
      </c>
      <c r="T2412" s="6">
        <f t="shared" si="265"/>
        <v>1.5558698727015558E-2</v>
      </c>
      <c r="V2412" t="s">
        <v>29</v>
      </c>
    </row>
    <row r="2413" spans="1:22">
      <c r="A2413" s="3">
        <v>45758</v>
      </c>
      <c r="B2413" t="str">
        <f t="shared" si="259"/>
        <v>yyyy-04</v>
      </c>
      <c r="C2413">
        <f t="shared" si="260"/>
        <v>15</v>
      </c>
      <c r="D2413" t="s">
        <v>42</v>
      </c>
      <c r="E2413" t="s">
        <v>43</v>
      </c>
      <c r="F2413" t="s">
        <v>47</v>
      </c>
      <c r="G2413" t="s">
        <v>27</v>
      </c>
      <c r="H2413" t="s">
        <v>28</v>
      </c>
      <c r="I2413" s="5">
        <v>711</v>
      </c>
      <c r="J2413" s="5">
        <v>446</v>
      </c>
      <c r="K2413" s="5">
        <v>38</v>
      </c>
      <c r="L2413" s="5">
        <v>9</v>
      </c>
      <c r="M2413" s="5">
        <v>9</v>
      </c>
      <c r="N2413" s="7">
        <v>598.88</v>
      </c>
      <c r="O2413" s="7">
        <f t="shared" si="261"/>
        <v>5389.92</v>
      </c>
      <c r="P2413" s="4">
        <v>0</v>
      </c>
      <c r="Q2413" s="7">
        <f t="shared" si="262"/>
        <v>0</v>
      </c>
      <c r="R2413" s="7">
        <f t="shared" si="263"/>
        <v>5389.92</v>
      </c>
      <c r="S2413" s="7">
        <f t="shared" si="264"/>
        <v>598.88</v>
      </c>
      <c r="T2413" s="6">
        <f t="shared" si="265"/>
        <v>1.2658227848101266E-2</v>
      </c>
      <c r="V2413" t="s">
        <v>29</v>
      </c>
    </row>
    <row r="2414" spans="1:22">
      <c r="A2414" s="3">
        <v>45758</v>
      </c>
      <c r="B2414" t="str">
        <f t="shared" si="259"/>
        <v>yyyy-04</v>
      </c>
      <c r="C2414">
        <f t="shared" si="260"/>
        <v>15</v>
      </c>
      <c r="D2414" t="s">
        <v>42</v>
      </c>
      <c r="E2414" t="s">
        <v>49</v>
      </c>
      <c r="F2414" t="s">
        <v>50</v>
      </c>
      <c r="G2414" t="s">
        <v>27</v>
      </c>
      <c r="H2414" t="s">
        <v>63</v>
      </c>
      <c r="I2414" s="5">
        <v>138</v>
      </c>
      <c r="J2414" s="5">
        <v>107</v>
      </c>
      <c r="K2414" s="5">
        <v>10</v>
      </c>
      <c r="L2414" s="5">
        <v>2</v>
      </c>
      <c r="M2414" s="5">
        <v>2</v>
      </c>
      <c r="N2414" s="7">
        <v>994.45</v>
      </c>
      <c r="O2414" s="7">
        <f t="shared" si="261"/>
        <v>1988.9</v>
      </c>
      <c r="P2414" s="4">
        <v>0</v>
      </c>
      <c r="Q2414" s="7">
        <f t="shared" si="262"/>
        <v>0</v>
      </c>
      <c r="R2414" s="7">
        <f t="shared" si="263"/>
        <v>1988.9</v>
      </c>
      <c r="S2414" s="7">
        <f t="shared" si="264"/>
        <v>994.45</v>
      </c>
      <c r="T2414" s="6">
        <f t="shared" si="265"/>
        <v>1.4492753623188406E-2</v>
      </c>
      <c r="V2414" t="s">
        <v>29</v>
      </c>
    </row>
    <row r="2415" spans="1:22">
      <c r="A2415" s="3">
        <v>45758</v>
      </c>
      <c r="B2415" t="str">
        <f t="shared" si="259"/>
        <v>yyyy-04</v>
      </c>
      <c r="C2415">
        <f t="shared" si="260"/>
        <v>15</v>
      </c>
      <c r="D2415" t="s">
        <v>42</v>
      </c>
      <c r="E2415" t="s">
        <v>51</v>
      </c>
      <c r="F2415" t="s">
        <v>52</v>
      </c>
      <c r="G2415" t="s">
        <v>27</v>
      </c>
      <c r="H2415" t="s">
        <v>28</v>
      </c>
      <c r="I2415" s="5">
        <v>308</v>
      </c>
      <c r="J2415" s="5">
        <v>177</v>
      </c>
      <c r="K2415" s="5">
        <v>20</v>
      </c>
      <c r="L2415" s="5">
        <v>4</v>
      </c>
      <c r="M2415" s="5">
        <v>4</v>
      </c>
      <c r="N2415" s="7">
        <v>591.16</v>
      </c>
      <c r="O2415" s="7">
        <f t="shared" si="261"/>
        <v>2364.64</v>
      </c>
      <c r="P2415" s="4">
        <v>0</v>
      </c>
      <c r="Q2415" s="7">
        <f t="shared" si="262"/>
        <v>0</v>
      </c>
      <c r="R2415" s="7">
        <f t="shared" si="263"/>
        <v>2364.64</v>
      </c>
      <c r="S2415" s="7">
        <f t="shared" si="264"/>
        <v>591.16</v>
      </c>
      <c r="T2415" s="6">
        <f t="shared" si="265"/>
        <v>1.2987012987012988E-2</v>
      </c>
      <c r="V2415" t="s">
        <v>29</v>
      </c>
    </row>
    <row r="2416" spans="1:22">
      <c r="A2416" s="3">
        <v>45758</v>
      </c>
      <c r="B2416" t="str">
        <f t="shared" si="259"/>
        <v>yyyy-04</v>
      </c>
      <c r="C2416">
        <f t="shared" si="260"/>
        <v>15</v>
      </c>
      <c r="D2416" t="s">
        <v>53</v>
      </c>
      <c r="E2416" t="s">
        <v>54</v>
      </c>
      <c r="F2416" t="s">
        <v>55</v>
      </c>
      <c r="G2416" t="s">
        <v>27</v>
      </c>
      <c r="H2416" t="s">
        <v>28</v>
      </c>
      <c r="I2416" s="5">
        <v>190</v>
      </c>
      <c r="J2416" s="5">
        <v>127</v>
      </c>
      <c r="K2416" s="5">
        <v>11</v>
      </c>
      <c r="L2416" s="5">
        <v>2</v>
      </c>
      <c r="M2416" s="5">
        <v>2</v>
      </c>
      <c r="N2416" s="7">
        <v>1314.54</v>
      </c>
      <c r="O2416" s="7">
        <f t="shared" si="261"/>
        <v>2629.08</v>
      </c>
      <c r="P2416" s="4">
        <v>0</v>
      </c>
      <c r="Q2416" s="7">
        <f t="shared" si="262"/>
        <v>0</v>
      </c>
      <c r="R2416" s="7">
        <f t="shared" si="263"/>
        <v>2629.08</v>
      </c>
      <c r="S2416" s="7">
        <f t="shared" si="264"/>
        <v>1314.54</v>
      </c>
      <c r="T2416" s="6">
        <f t="shared" si="265"/>
        <v>1.0526315789473684E-2</v>
      </c>
      <c r="V2416" t="s">
        <v>29</v>
      </c>
    </row>
    <row r="2417" spans="1:22">
      <c r="A2417" s="3">
        <v>45758</v>
      </c>
      <c r="B2417" t="str">
        <f t="shared" si="259"/>
        <v>yyyy-04</v>
      </c>
      <c r="C2417">
        <f t="shared" si="260"/>
        <v>15</v>
      </c>
      <c r="D2417" t="s">
        <v>53</v>
      </c>
      <c r="E2417" t="s">
        <v>56</v>
      </c>
      <c r="F2417" t="s">
        <v>57</v>
      </c>
      <c r="G2417" t="s">
        <v>27</v>
      </c>
      <c r="H2417" t="s">
        <v>45</v>
      </c>
      <c r="I2417" s="5">
        <v>245</v>
      </c>
      <c r="J2417" s="5">
        <v>179</v>
      </c>
      <c r="K2417" s="5">
        <v>18</v>
      </c>
      <c r="L2417" s="5">
        <v>3</v>
      </c>
      <c r="M2417" s="5">
        <v>3</v>
      </c>
      <c r="N2417" s="7">
        <v>746.38</v>
      </c>
      <c r="O2417" s="7">
        <f t="shared" si="261"/>
        <v>2239.14</v>
      </c>
      <c r="P2417" s="4">
        <v>0</v>
      </c>
      <c r="Q2417" s="7">
        <f t="shared" si="262"/>
        <v>0</v>
      </c>
      <c r="R2417" s="7">
        <f t="shared" si="263"/>
        <v>2239.14</v>
      </c>
      <c r="S2417" s="7">
        <f t="shared" si="264"/>
        <v>746.38</v>
      </c>
      <c r="T2417" s="6">
        <f t="shared" si="265"/>
        <v>1.2244897959183673E-2</v>
      </c>
      <c r="V2417" t="s">
        <v>29</v>
      </c>
    </row>
    <row r="2418" spans="1:22">
      <c r="A2418" s="3">
        <v>45758</v>
      </c>
      <c r="B2418" t="str">
        <f t="shared" si="259"/>
        <v>yyyy-04</v>
      </c>
      <c r="C2418">
        <f t="shared" si="260"/>
        <v>15</v>
      </c>
      <c r="D2418" t="s">
        <v>53</v>
      </c>
      <c r="E2418" t="s">
        <v>56</v>
      </c>
      <c r="F2418" t="s">
        <v>58</v>
      </c>
      <c r="G2418" t="s">
        <v>27</v>
      </c>
      <c r="H2418" t="s">
        <v>45</v>
      </c>
      <c r="I2418" s="5">
        <v>164</v>
      </c>
      <c r="J2418" s="5">
        <v>131</v>
      </c>
      <c r="K2418" s="5">
        <v>9</v>
      </c>
      <c r="L2418" s="5">
        <v>1</v>
      </c>
      <c r="M2418" s="5">
        <v>1</v>
      </c>
      <c r="N2418" s="7">
        <v>889.11</v>
      </c>
      <c r="O2418" s="7">
        <f t="shared" si="261"/>
        <v>889.11</v>
      </c>
      <c r="P2418" s="4">
        <v>0.05</v>
      </c>
      <c r="Q2418" s="7">
        <f t="shared" si="262"/>
        <v>44.455500000000001</v>
      </c>
      <c r="R2418" s="7">
        <f t="shared" si="263"/>
        <v>844.65449999999998</v>
      </c>
      <c r="S2418" s="7">
        <f t="shared" si="264"/>
        <v>844.65449999999998</v>
      </c>
      <c r="T2418" s="6">
        <f t="shared" si="265"/>
        <v>6.0975609756097563E-3</v>
      </c>
      <c r="V2418" t="s">
        <v>78</v>
      </c>
    </row>
    <row r="2419" spans="1:22">
      <c r="A2419" s="3">
        <v>45758</v>
      </c>
      <c r="B2419" t="str">
        <f t="shared" si="259"/>
        <v>yyyy-04</v>
      </c>
      <c r="C2419">
        <f t="shared" si="260"/>
        <v>15</v>
      </c>
      <c r="D2419" t="s">
        <v>53</v>
      </c>
      <c r="E2419" t="s">
        <v>59</v>
      </c>
      <c r="F2419" t="s">
        <v>60</v>
      </c>
      <c r="G2419" t="s">
        <v>31</v>
      </c>
      <c r="H2419" t="s">
        <v>32</v>
      </c>
      <c r="I2419" s="5">
        <v>210</v>
      </c>
      <c r="J2419" s="5">
        <v>114</v>
      </c>
      <c r="K2419" s="5">
        <v>8</v>
      </c>
      <c r="L2419" s="5">
        <v>3</v>
      </c>
      <c r="M2419" s="5">
        <v>3</v>
      </c>
      <c r="N2419" s="7">
        <v>696.41</v>
      </c>
      <c r="O2419" s="7">
        <f t="shared" si="261"/>
        <v>2089.23</v>
      </c>
      <c r="P2419" s="4">
        <v>0.09</v>
      </c>
      <c r="Q2419" s="7">
        <f t="shared" si="262"/>
        <v>188.0307</v>
      </c>
      <c r="R2419" s="7">
        <f t="shared" si="263"/>
        <v>1901.1993</v>
      </c>
      <c r="S2419" s="7">
        <f t="shared" si="264"/>
        <v>633.73310000000004</v>
      </c>
      <c r="T2419" s="6">
        <f t="shared" si="265"/>
        <v>1.4285714285714285E-2</v>
      </c>
      <c r="U2419" t="s">
        <v>93</v>
      </c>
      <c r="V2419" t="s">
        <v>29</v>
      </c>
    </row>
    <row r="2420" spans="1:22">
      <c r="A2420" s="3">
        <v>45758</v>
      </c>
      <c r="B2420" t="str">
        <f t="shared" si="259"/>
        <v>yyyy-04</v>
      </c>
      <c r="C2420">
        <f t="shared" si="260"/>
        <v>15</v>
      </c>
      <c r="D2420" t="s">
        <v>53</v>
      </c>
      <c r="E2420" t="s">
        <v>61</v>
      </c>
      <c r="F2420" t="s">
        <v>62</v>
      </c>
      <c r="G2420" t="s">
        <v>31</v>
      </c>
      <c r="H2420" t="s">
        <v>32</v>
      </c>
      <c r="I2420" s="5">
        <v>172</v>
      </c>
      <c r="J2420" s="5">
        <v>107</v>
      </c>
      <c r="K2420" s="5">
        <v>11</v>
      </c>
      <c r="L2420" s="5">
        <v>2</v>
      </c>
      <c r="M2420" s="5">
        <v>2</v>
      </c>
      <c r="N2420" s="7">
        <v>481.9</v>
      </c>
      <c r="O2420" s="7">
        <f t="shared" si="261"/>
        <v>963.8</v>
      </c>
      <c r="P2420" s="4">
        <v>0</v>
      </c>
      <c r="Q2420" s="7">
        <f t="shared" si="262"/>
        <v>0</v>
      </c>
      <c r="R2420" s="7">
        <f t="shared" si="263"/>
        <v>963.8</v>
      </c>
      <c r="S2420" s="7">
        <f t="shared" si="264"/>
        <v>481.9</v>
      </c>
      <c r="T2420" s="6">
        <f t="shared" si="265"/>
        <v>1.1627906976744186E-2</v>
      </c>
      <c r="V2420" t="s">
        <v>29</v>
      </c>
    </row>
    <row r="2421" spans="1:22">
      <c r="A2421" s="3">
        <v>45758</v>
      </c>
      <c r="B2421" t="str">
        <f t="shared" si="259"/>
        <v>yyyy-04</v>
      </c>
      <c r="C2421">
        <f t="shared" si="260"/>
        <v>15</v>
      </c>
      <c r="D2421" t="s">
        <v>53</v>
      </c>
      <c r="E2421" t="s">
        <v>64</v>
      </c>
      <c r="F2421" t="s">
        <v>65</v>
      </c>
      <c r="G2421" t="s">
        <v>27</v>
      </c>
      <c r="H2421" t="s">
        <v>48</v>
      </c>
      <c r="I2421" s="5">
        <v>159</v>
      </c>
      <c r="J2421" s="5">
        <v>115</v>
      </c>
      <c r="K2421" s="5">
        <v>13</v>
      </c>
      <c r="L2421" s="5">
        <v>2</v>
      </c>
      <c r="M2421" s="5">
        <v>2</v>
      </c>
      <c r="N2421" s="7">
        <v>769.29</v>
      </c>
      <c r="O2421" s="7">
        <f t="shared" si="261"/>
        <v>1538.58</v>
      </c>
      <c r="P2421" s="4">
        <v>0</v>
      </c>
      <c r="Q2421" s="7">
        <f t="shared" si="262"/>
        <v>0</v>
      </c>
      <c r="R2421" s="7">
        <f t="shared" si="263"/>
        <v>1538.58</v>
      </c>
      <c r="S2421" s="7">
        <f t="shared" si="264"/>
        <v>769.29</v>
      </c>
      <c r="T2421" s="6">
        <f t="shared" si="265"/>
        <v>1.2578616352201259E-2</v>
      </c>
      <c r="V2421" t="s">
        <v>29</v>
      </c>
    </row>
    <row r="2422" spans="1:22">
      <c r="A2422" s="3">
        <v>45758</v>
      </c>
      <c r="B2422" t="str">
        <f t="shared" si="259"/>
        <v>yyyy-04</v>
      </c>
      <c r="C2422">
        <f t="shared" si="260"/>
        <v>15</v>
      </c>
      <c r="D2422" t="s">
        <v>66</v>
      </c>
      <c r="E2422" t="s">
        <v>67</v>
      </c>
      <c r="F2422" t="s">
        <v>68</v>
      </c>
      <c r="G2422" t="s">
        <v>27</v>
      </c>
      <c r="H2422" t="s">
        <v>28</v>
      </c>
      <c r="I2422" s="5">
        <v>133</v>
      </c>
      <c r="J2422" s="5">
        <v>93</v>
      </c>
      <c r="K2422" s="5">
        <v>2</v>
      </c>
      <c r="L2422" s="5">
        <v>0</v>
      </c>
      <c r="M2422" s="5">
        <v>0</v>
      </c>
      <c r="N2422" s="7">
        <v>684.42</v>
      </c>
      <c r="O2422" s="7">
        <f t="shared" si="261"/>
        <v>0</v>
      </c>
      <c r="P2422" s="4">
        <v>0</v>
      </c>
      <c r="Q2422" s="7">
        <f t="shared" si="262"/>
        <v>0</v>
      </c>
      <c r="R2422" s="7">
        <f t="shared" si="263"/>
        <v>0</v>
      </c>
      <c r="S2422" s="7">
        <f t="shared" si="264"/>
        <v>0</v>
      </c>
      <c r="T2422" s="6">
        <f t="shared" si="265"/>
        <v>0</v>
      </c>
      <c r="V2422" t="s">
        <v>81</v>
      </c>
    </row>
    <row r="2423" spans="1:22">
      <c r="A2423" s="3">
        <v>45758</v>
      </c>
      <c r="B2423" t="str">
        <f t="shared" si="259"/>
        <v>yyyy-04</v>
      </c>
      <c r="C2423">
        <f t="shared" si="260"/>
        <v>15</v>
      </c>
      <c r="D2423" t="s">
        <v>66</v>
      </c>
      <c r="E2423" t="s">
        <v>67</v>
      </c>
      <c r="F2423" t="s">
        <v>69</v>
      </c>
      <c r="G2423" t="s">
        <v>36</v>
      </c>
      <c r="H2423" t="s">
        <v>37</v>
      </c>
      <c r="I2423" s="5">
        <v>512</v>
      </c>
      <c r="J2423" s="5">
        <v>362</v>
      </c>
      <c r="K2423" s="5">
        <v>40</v>
      </c>
      <c r="L2423" s="5">
        <v>11</v>
      </c>
      <c r="M2423" s="5">
        <v>11</v>
      </c>
      <c r="N2423" s="7">
        <v>402.29</v>
      </c>
      <c r="O2423" s="7">
        <f t="shared" si="261"/>
        <v>4425.1900000000005</v>
      </c>
      <c r="P2423" s="4">
        <v>0.03</v>
      </c>
      <c r="Q2423" s="7">
        <f t="shared" si="262"/>
        <v>132.75570000000002</v>
      </c>
      <c r="R2423" s="7">
        <f t="shared" si="263"/>
        <v>4292.4343000000008</v>
      </c>
      <c r="S2423" s="7">
        <f t="shared" si="264"/>
        <v>390.2213000000001</v>
      </c>
      <c r="T2423" s="6">
        <f t="shared" si="265"/>
        <v>2.1484375E-2</v>
      </c>
      <c r="V2423" t="s">
        <v>29</v>
      </c>
    </row>
    <row r="2424" spans="1:22">
      <c r="A2424" s="3">
        <v>45758</v>
      </c>
      <c r="B2424" t="str">
        <f t="shared" si="259"/>
        <v>yyyy-04</v>
      </c>
      <c r="C2424">
        <f t="shared" si="260"/>
        <v>15</v>
      </c>
      <c r="D2424" t="s">
        <v>66</v>
      </c>
      <c r="E2424" t="s">
        <v>67</v>
      </c>
      <c r="F2424" t="s">
        <v>70</v>
      </c>
      <c r="G2424" t="s">
        <v>31</v>
      </c>
      <c r="H2424" t="s">
        <v>32</v>
      </c>
      <c r="I2424" s="5">
        <v>457</v>
      </c>
      <c r="J2424" s="5">
        <v>293</v>
      </c>
      <c r="K2424" s="5">
        <v>34</v>
      </c>
      <c r="L2424" s="5">
        <v>7</v>
      </c>
      <c r="M2424" s="5">
        <v>7</v>
      </c>
      <c r="N2424" s="7">
        <v>340.04</v>
      </c>
      <c r="O2424" s="7">
        <f t="shared" si="261"/>
        <v>2380.2800000000002</v>
      </c>
      <c r="P2424" s="4">
        <v>0</v>
      </c>
      <c r="Q2424" s="7">
        <f t="shared" si="262"/>
        <v>0</v>
      </c>
      <c r="R2424" s="7">
        <f t="shared" si="263"/>
        <v>2380.2800000000002</v>
      </c>
      <c r="S2424" s="7">
        <f t="shared" si="264"/>
        <v>340.04</v>
      </c>
      <c r="T2424" s="6">
        <f t="shared" si="265"/>
        <v>1.5317286652078774E-2</v>
      </c>
      <c r="V2424" t="s">
        <v>29</v>
      </c>
    </row>
    <row r="2425" spans="1:22">
      <c r="A2425" s="3">
        <v>45758</v>
      </c>
      <c r="B2425" t="str">
        <f t="shared" si="259"/>
        <v>yyyy-04</v>
      </c>
      <c r="C2425">
        <f t="shared" si="260"/>
        <v>15</v>
      </c>
      <c r="D2425" t="s">
        <v>66</v>
      </c>
      <c r="E2425" t="s">
        <v>71</v>
      </c>
      <c r="F2425" t="s">
        <v>72</v>
      </c>
      <c r="G2425" t="s">
        <v>36</v>
      </c>
      <c r="H2425" t="s">
        <v>37</v>
      </c>
      <c r="I2425" s="5">
        <v>348</v>
      </c>
      <c r="J2425" s="5">
        <v>285</v>
      </c>
      <c r="K2425" s="5">
        <v>28</v>
      </c>
      <c r="L2425" s="5">
        <v>7</v>
      </c>
      <c r="M2425" s="5">
        <v>7</v>
      </c>
      <c r="N2425" s="7">
        <v>126.87</v>
      </c>
      <c r="O2425" s="7">
        <f t="shared" si="261"/>
        <v>888.09</v>
      </c>
      <c r="P2425" s="4">
        <v>0.03</v>
      </c>
      <c r="Q2425" s="7">
        <f t="shared" si="262"/>
        <v>26.642700000000001</v>
      </c>
      <c r="R2425" s="7">
        <f t="shared" si="263"/>
        <v>861.44730000000004</v>
      </c>
      <c r="S2425" s="7">
        <f t="shared" si="264"/>
        <v>123.0639</v>
      </c>
      <c r="T2425" s="6">
        <f t="shared" si="265"/>
        <v>2.0114942528735632E-2</v>
      </c>
      <c r="V2425" t="s">
        <v>29</v>
      </c>
    </row>
    <row r="2426" spans="1:22">
      <c r="A2426" s="3">
        <v>45758</v>
      </c>
      <c r="B2426" t="str">
        <f t="shared" si="259"/>
        <v>yyyy-04</v>
      </c>
      <c r="C2426">
        <f t="shared" si="260"/>
        <v>15</v>
      </c>
      <c r="D2426" t="s">
        <v>66</v>
      </c>
      <c r="E2426" t="s">
        <v>73</v>
      </c>
      <c r="F2426" t="s">
        <v>74</v>
      </c>
      <c r="G2426" t="s">
        <v>31</v>
      </c>
      <c r="H2426" t="s">
        <v>32</v>
      </c>
      <c r="I2426" s="5">
        <v>228</v>
      </c>
      <c r="J2426" s="5">
        <v>187</v>
      </c>
      <c r="K2426" s="5">
        <v>18</v>
      </c>
      <c r="L2426" s="5">
        <v>4</v>
      </c>
      <c r="M2426" s="5">
        <v>4</v>
      </c>
      <c r="N2426" s="7">
        <v>1165.9100000000001</v>
      </c>
      <c r="O2426" s="7">
        <f t="shared" si="261"/>
        <v>4663.6400000000003</v>
      </c>
      <c r="P2426" s="4">
        <v>0.05</v>
      </c>
      <c r="Q2426" s="7">
        <f t="shared" si="262"/>
        <v>233.18200000000002</v>
      </c>
      <c r="R2426" s="7">
        <f t="shared" si="263"/>
        <v>4430.4580000000005</v>
      </c>
      <c r="S2426" s="7">
        <f t="shared" si="264"/>
        <v>1107.6145000000001</v>
      </c>
      <c r="T2426" s="6">
        <f t="shared" si="265"/>
        <v>1.7543859649122806E-2</v>
      </c>
      <c r="V2426" t="s">
        <v>29</v>
      </c>
    </row>
    <row r="2427" spans="1:22">
      <c r="A2427" s="3">
        <v>45758</v>
      </c>
      <c r="B2427" t="str">
        <f t="shared" si="259"/>
        <v>yyyy-04</v>
      </c>
      <c r="C2427">
        <f t="shared" si="260"/>
        <v>15</v>
      </c>
      <c r="D2427" t="s">
        <v>66</v>
      </c>
      <c r="E2427" t="s">
        <v>71</v>
      </c>
      <c r="F2427" t="s">
        <v>75</v>
      </c>
      <c r="G2427" t="s">
        <v>31</v>
      </c>
      <c r="H2427" t="s">
        <v>32</v>
      </c>
      <c r="I2427" s="5">
        <v>363</v>
      </c>
      <c r="J2427" s="5">
        <v>293</v>
      </c>
      <c r="K2427" s="5">
        <v>24</v>
      </c>
      <c r="L2427" s="5">
        <v>7</v>
      </c>
      <c r="M2427" s="5">
        <v>7</v>
      </c>
      <c r="N2427" s="7">
        <v>39.56</v>
      </c>
      <c r="O2427" s="7">
        <f t="shared" si="261"/>
        <v>276.92</v>
      </c>
      <c r="P2427" s="4">
        <v>0</v>
      </c>
      <c r="Q2427" s="7">
        <f t="shared" si="262"/>
        <v>0</v>
      </c>
      <c r="R2427" s="7">
        <f t="shared" si="263"/>
        <v>276.92</v>
      </c>
      <c r="S2427" s="7">
        <f t="shared" si="264"/>
        <v>39.56</v>
      </c>
      <c r="T2427" s="6">
        <f t="shared" si="265"/>
        <v>1.928374655647383E-2</v>
      </c>
      <c r="V2427" t="s">
        <v>29</v>
      </c>
    </row>
    <row r="2428" spans="1:22">
      <c r="A2428" s="3">
        <v>45758</v>
      </c>
      <c r="B2428" t="str">
        <f t="shared" si="259"/>
        <v>yyyy-04</v>
      </c>
      <c r="C2428">
        <f t="shared" si="260"/>
        <v>15</v>
      </c>
      <c r="D2428" t="s">
        <v>24</v>
      </c>
      <c r="E2428" t="s">
        <v>76</v>
      </c>
      <c r="F2428" t="s">
        <v>77</v>
      </c>
      <c r="G2428" t="s">
        <v>27</v>
      </c>
      <c r="H2428" t="s">
        <v>48</v>
      </c>
      <c r="I2428" s="5">
        <v>467</v>
      </c>
      <c r="J2428" s="5">
        <v>316</v>
      </c>
      <c r="K2428" s="5">
        <v>44</v>
      </c>
      <c r="L2428" s="5">
        <v>12</v>
      </c>
      <c r="M2428" s="5">
        <v>13</v>
      </c>
      <c r="N2428" s="7">
        <v>193.05</v>
      </c>
      <c r="O2428" s="7">
        <f t="shared" si="261"/>
        <v>2509.65</v>
      </c>
      <c r="P2428" s="4">
        <v>0</v>
      </c>
      <c r="Q2428" s="7">
        <f t="shared" si="262"/>
        <v>0</v>
      </c>
      <c r="R2428" s="7">
        <f t="shared" si="263"/>
        <v>2509.65</v>
      </c>
      <c r="S2428" s="7">
        <f t="shared" si="264"/>
        <v>209.13750000000002</v>
      </c>
      <c r="T2428" s="6">
        <f t="shared" si="265"/>
        <v>2.569593147751606E-2</v>
      </c>
      <c r="V2428" t="s">
        <v>29</v>
      </c>
    </row>
    <row r="2429" spans="1:22">
      <c r="A2429" s="3">
        <v>45759</v>
      </c>
      <c r="B2429" t="str">
        <f t="shared" si="259"/>
        <v>yyyy-04</v>
      </c>
      <c r="C2429">
        <f t="shared" si="260"/>
        <v>15</v>
      </c>
      <c r="D2429" t="s">
        <v>24</v>
      </c>
      <c r="E2429" t="s">
        <v>25</v>
      </c>
      <c r="F2429" t="s">
        <v>26</v>
      </c>
      <c r="G2429" t="s">
        <v>27</v>
      </c>
      <c r="H2429" t="s">
        <v>63</v>
      </c>
      <c r="I2429" s="5">
        <v>1219</v>
      </c>
      <c r="J2429" s="5">
        <v>950</v>
      </c>
      <c r="K2429" s="5">
        <v>113</v>
      </c>
      <c r="L2429" s="5">
        <v>29</v>
      </c>
      <c r="M2429" s="5">
        <v>29</v>
      </c>
      <c r="N2429" s="7">
        <v>1010.93</v>
      </c>
      <c r="O2429" s="7">
        <f t="shared" si="261"/>
        <v>29316.969999999998</v>
      </c>
      <c r="P2429" s="4">
        <v>0.05</v>
      </c>
      <c r="Q2429" s="7">
        <f t="shared" si="262"/>
        <v>1465.8485000000001</v>
      </c>
      <c r="R2429" s="7">
        <f t="shared" si="263"/>
        <v>27851.121499999997</v>
      </c>
      <c r="S2429" s="7">
        <f t="shared" si="264"/>
        <v>960.38349999999991</v>
      </c>
      <c r="T2429" s="6">
        <f t="shared" si="265"/>
        <v>2.3789991796554551E-2</v>
      </c>
      <c r="V2429" t="s">
        <v>29</v>
      </c>
    </row>
    <row r="2430" spans="1:22">
      <c r="A2430" s="3">
        <v>45759</v>
      </c>
      <c r="B2430" t="str">
        <f t="shared" si="259"/>
        <v>yyyy-04</v>
      </c>
      <c r="C2430">
        <f t="shared" si="260"/>
        <v>15</v>
      </c>
      <c r="D2430" t="s">
        <v>24</v>
      </c>
      <c r="E2430" t="s">
        <v>25</v>
      </c>
      <c r="F2430" t="s">
        <v>30</v>
      </c>
      <c r="G2430" t="s">
        <v>31</v>
      </c>
      <c r="H2430" t="s">
        <v>32</v>
      </c>
      <c r="I2430" s="5">
        <v>1944</v>
      </c>
      <c r="J2430" s="5">
        <v>1559</v>
      </c>
      <c r="K2430" s="5">
        <v>144</v>
      </c>
      <c r="L2430" s="5">
        <v>46</v>
      </c>
      <c r="M2430" s="5">
        <v>46</v>
      </c>
      <c r="N2430" s="7">
        <v>395.9</v>
      </c>
      <c r="O2430" s="7">
        <f t="shared" si="261"/>
        <v>18211.399999999998</v>
      </c>
      <c r="P2430" s="4">
        <v>0</v>
      </c>
      <c r="Q2430" s="7">
        <f t="shared" si="262"/>
        <v>0</v>
      </c>
      <c r="R2430" s="7">
        <f t="shared" si="263"/>
        <v>18211.399999999998</v>
      </c>
      <c r="S2430" s="7">
        <f t="shared" si="264"/>
        <v>395.9</v>
      </c>
      <c r="T2430" s="6">
        <f t="shared" si="265"/>
        <v>2.3662551440329218E-2</v>
      </c>
      <c r="V2430" t="s">
        <v>29</v>
      </c>
    </row>
    <row r="2431" spans="1:22">
      <c r="A2431" s="3">
        <v>45759</v>
      </c>
      <c r="B2431" t="str">
        <f t="shared" si="259"/>
        <v>yyyy-04</v>
      </c>
      <c r="C2431">
        <f t="shared" si="260"/>
        <v>15</v>
      </c>
      <c r="D2431" t="s">
        <v>24</v>
      </c>
      <c r="E2431" t="s">
        <v>25</v>
      </c>
      <c r="F2431" t="s">
        <v>33</v>
      </c>
      <c r="G2431" t="s">
        <v>27</v>
      </c>
      <c r="H2431" t="s">
        <v>28</v>
      </c>
      <c r="I2431" s="5">
        <v>1880</v>
      </c>
      <c r="J2431" s="5">
        <v>1086</v>
      </c>
      <c r="K2431" s="5">
        <v>87</v>
      </c>
      <c r="L2431" s="5">
        <v>23</v>
      </c>
      <c r="M2431" s="5">
        <v>23</v>
      </c>
      <c r="N2431" s="7">
        <v>1758.91</v>
      </c>
      <c r="O2431" s="7">
        <f t="shared" si="261"/>
        <v>40454.93</v>
      </c>
      <c r="P2431" s="4">
        <v>0.03</v>
      </c>
      <c r="Q2431" s="7">
        <f t="shared" si="262"/>
        <v>1213.6478999999999</v>
      </c>
      <c r="R2431" s="7">
        <f t="shared" si="263"/>
        <v>39241.282099999997</v>
      </c>
      <c r="S2431" s="7">
        <f t="shared" si="264"/>
        <v>1706.1426999999999</v>
      </c>
      <c r="T2431" s="6">
        <f t="shared" si="265"/>
        <v>1.223404255319149E-2</v>
      </c>
      <c r="V2431" t="s">
        <v>78</v>
      </c>
    </row>
    <row r="2432" spans="1:22">
      <c r="A2432" s="3">
        <v>45759</v>
      </c>
      <c r="B2432" t="str">
        <f t="shared" si="259"/>
        <v>yyyy-04</v>
      </c>
      <c r="C2432">
        <f t="shared" si="260"/>
        <v>15</v>
      </c>
      <c r="D2432" t="s">
        <v>24</v>
      </c>
      <c r="E2432" t="s">
        <v>34</v>
      </c>
      <c r="F2432" t="s">
        <v>35</v>
      </c>
      <c r="G2432" t="s">
        <v>36</v>
      </c>
      <c r="H2432" t="s">
        <v>37</v>
      </c>
      <c r="I2432" s="5">
        <v>1365</v>
      </c>
      <c r="J2432" s="5">
        <v>1127</v>
      </c>
      <c r="K2432" s="5">
        <v>99</v>
      </c>
      <c r="L2432" s="5">
        <v>28</v>
      </c>
      <c r="M2432" s="5">
        <v>28</v>
      </c>
      <c r="N2432" s="7">
        <v>888.41</v>
      </c>
      <c r="O2432" s="7">
        <f t="shared" si="261"/>
        <v>24875.48</v>
      </c>
      <c r="P2432" s="4">
        <v>0.08</v>
      </c>
      <c r="Q2432" s="7">
        <f t="shared" si="262"/>
        <v>1990.0383999999999</v>
      </c>
      <c r="R2432" s="7">
        <f t="shared" si="263"/>
        <v>22885.441599999998</v>
      </c>
      <c r="S2432" s="7">
        <f t="shared" si="264"/>
        <v>817.33719999999994</v>
      </c>
      <c r="T2432" s="6">
        <f t="shared" si="265"/>
        <v>2.0512820512820513E-2</v>
      </c>
      <c r="U2432" t="s">
        <v>92</v>
      </c>
      <c r="V2432" t="s">
        <v>29</v>
      </c>
    </row>
    <row r="2433" spans="1:22">
      <c r="A2433" s="3">
        <v>45759</v>
      </c>
      <c r="B2433" t="str">
        <f t="shared" si="259"/>
        <v>yyyy-04</v>
      </c>
      <c r="C2433">
        <f t="shared" si="260"/>
        <v>15</v>
      </c>
      <c r="D2433" t="s">
        <v>24</v>
      </c>
      <c r="E2433" t="s">
        <v>38</v>
      </c>
      <c r="F2433" t="s">
        <v>39</v>
      </c>
      <c r="G2433" t="s">
        <v>31</v>
      </c>
      <c r="H2433" t="s">
        <v>32</v>
      </c>
      <c r="I2433" s="5">
        <v>1018</v>
      </c>
      <c r="J2433" s="5">
        <v>680</v>
      </c>
      <c r="K2433" s="5">
        <v>101</v>
      </c>
      <c r="L2433" s="5">
        <v>23</v>
      </c>
      <c r="M2433" s="5">
        <v>23</v>
      </c>
      <c r="N2433" s="7">
        <v>329.24</v>
      </c>
      <c r="O2433" s="7">
        <f t="shared" si="261"/>
        <v>7572.52</v>
      </c>
      <c r="P2433" s="4">
        <v>0</v>
      </c>
      <c r="Q2433" s="7">
        <f t="shared" si="262"/>
        <v>0</v>
      </c>
      <c r="R2433" s="7">
        <f t="shared" si="263"/>
        <v>7572.52</v>
      </c>
      <c r="S2433" s="7">
        <f t="shared" si="264"/>
        <v>329.24</v>
      </c>
      <c r="T2433" s="6">
        <f t="shared" si="265"/>
        <v>2.2593320235756387E-2</v>
      </c>
      <c r="V2433" t="s">
        <v>29</v>
      </c>
    </row>
    <row r="2434" spans="1:22">
      <c r="A2434" s="3">
        <v>45759</v>
      </c>
      <c r="B2434" t="str">
        <f t="shared" si="259"/>
        <v>yyyy-04</v>
      </c>
      <c r="C2434">
        <f t="shared" si="260"/>
        <v>15</v>
      </c>
      <c r="D2434" t="s">
        <v>24</v>
      </c>
      <c r="E2434" t="s">
        <v>40</v>
      </c>
      <c r="F2434" t="s">
        <v>41</v>
      </c>
      <c r="G2434" t="s">
        <v>27</v>
      </c>
      <c r="H2434" t="s">
        <v>45</v>
      </c>
      <c r="I2434" s="5">
        <v>803</v>
      </c>
      <c r="J2434" s="5">
        <v>640</v>
      </c>
      <c r="K2434" s="5">
        <v>55</v>
      </c>
      <c r="L2434" s="5">
        <v>13</v>
      </c>
      <c r="M2434" s="5">
        <v>17</v>
      </c>
      <c r="N2434" s="7">
        <v>180.68</v>
      </c>
      <c r="O2434" s="7">
        <f t="shared" si="261"/>
        <v>3071.56</v>
      </c>
      <c r="P2434" s="4">
        <v>0</v>
      </c>
      <c r="Q2434" s="7">
        <f t="shared" si="262"/>
        <v>0</v>
      </c>
      <c r="R2434" s="7">
        <f t="shared" si="263"/>
        <v>3071.56</v>
      </c>
      <c r="S2434" s="7">
        <f t="shared" si="264"/>
        <v>236.27384615384614</v>
      </c>
      <c r="T2434" s="6">
        <f t="shared" si="265"/>
        <v>1.61892901618929E-2</v>
      </c>
      <c r="V2434" t="s">
        <v>29</v>
      </c>
    </row>
    <row r="2435" spans="1:22">
      <c r="A2435" s="3">
        <v>45759</v>
      </c>
      <c r="B2435" t="str">
        <f t="shared" si="259"/>
        <v>yyyy-04</v>
      </c>
      <c r="C2435">
        <f t="shared" si="260"/>
        <v>15</v>
      </c>
      <c r="D2435" t="s">
        <v>42</v>
      </c>
      <c r="E2435" t="s">
        <v>43</v>
      </c>
      <c r="F2435" t="s">
        <v>44</v>
      </c>
      <c r="G2435" t="s">
        <v>27</v>
      </c>
      <c r="H2435" t="s">
        <v>28</v>
      </c>
      <c r="I2435" s="5">
        <v>540</v>
      </c>
      <c r="J2435" s="5">
        <v>362</v>
      </c>
      <c r="K2435" s="5">
        <v>40</v>
      </c>
      <c r="L2435" s="5">
        <v>7</v>
      </c>
      <c r="M2435" s="5">
        <v>7</v>
      </c>
      <c r="N2435" s="7">
        <v>1261.05</v>
      </c>
      <c r="O2435" s="7">
        <f t="shared" si="261"/>
        <v>8827.35</v>
      </c>
      <c r="P2435" s="4">
        <v>0.05</v>
      </c>
      <c r="Q2435" s="7">
        <f t="shared" si="262"/>
        <v>441.36750000000006</v>
      </c>
      <c r="R2435" s="7">
        <f t="shared" si="263"/>
        <v>8385.9825000000001</v>
      </c>
      <c r="S2435" s="7">
        <f t="shared" si="264"/>
        <v>1197.9974999999999</v>
      </c>
      <c r="T2435" s="6">
        <f t="shared" si="265"/>
        <v>1.2962962962962963E-2</v>
      </c>
      <c r="V2435" t="s">
        <v>29</v>
      </c>
    </row>
    <row r="2436" spans="1:22">
      <c r="A2436" s="3">
        <v>45759</v>
      </c>
      <c r="B2436" t="str">
        <f t="shared" si="259"/>
        <v>yyyy-04</v>
      </c>
      <c r="C2436">
        <f t="shared" si="260"/>
        <v>15</v>
      </c>
      <c r="D2436" t="s">
        <v>42</v>
      </c>
      <c r="E2436" t="s">
        <v>43</v>
      </c>
      <c r="F2436" t="s">
        <v>46</v>
      </c>
      <c r="G2436" t="s">
        <v>36</v>
      </c>
      <c r="H2436" t="s">
        <v>37</v>
      </c>
      <c r="I2436" s="5">
        <v>806</v>
      </c>
      <c r="J2436" s="5">
        <v>419</v>
      </c>
      <c r="K2436" s="5">
        <v>42</v>
      </c>
      <c r="L2436" s="5">
        <v>10</v>
      </c>
      <c r="M2436" s="5">
        <v>10</v>
      </c>
      <c r="N2436" s="7">
        <v>2120.7600000000002</v>
      </c>
      <c r="O2436" s="7">
        <f t="shared" si="261"/>
        <v>21207.600000000002</v>
      </c>
      <c r="P2436" s="4">
        <v>0.03</v>
      </c>
      <c r="Q2436" s="7">
        <f t="shared" si="262"/>
        <v>636.22800000000007</v>
      </c>
      <c r="R2436" s="7">
        <f t="shared" si="263"/>
        <v>20571.372000000003</v>
      </c>
      <c r="S2436" s="7">
        <f t="shared" si="264"/>
        <v>2057.1372000000001</v>
      </c>
      <c r="T2436" s="6">
        <f t="shared" si="265"/>
        <v>1.2406947890818859E-2</v>
      </c>
      <c r="V2436" t="s">
        <v>29</v>
      </c>
    </row>
    <row r="2437" spans="1:22">
      <c r="A2437" s="3">
        <v>45759</v>
      </c>
      <c r="B2437" t="str">
        <f t="shared" ref="B2437:B2500" si="266">TEXT(A2437,"yyyy-mm")</f>
        <v>yyyy-04</v>
      </c>
      <c r="C2437">
        <f t="shared" ref="C2437:C2500" si="267">WEEKNUM(A2437,2)</f>
        <v>15</v>
      </c>
      <c r="D2437" t="s">
        <v>42</v>
      </c>
      <c r="E2437" t="s">
        <v>43</v>
      </c>
      <c r="F2437" t="s">
        <v>47</v>
      </c>
      <c r="G2437" t="s">
        <v>27</v>
      </c>
      <c r="H2437" t="s">
        <v>28</v>
      </c>
      <c r="I2437" s="5">
        <v>457</v>
      </c>
      <c r="J2437" s="5">
        <v>301</v>
      </c>
      <c r="K2437" s="5">
        <v>22</v>
      </c>
      <c r="L2437" s="5">
        <v>6</v>
      </c>
      <c r="M2437" s="5">
        <v>6</v>
      </c>
      <c r="N2437" s="7">
        <v>586.91999999999996</v>
      </c>
      <c r="O2437" s="7">
        <f t="shared" ref="O2437:O2500" si="268">M2437*N2437</f>
        <v>3521.5199999999995</v>
      </c>
      <c r="P2437" s="4">
        <v>0</v>
      </c>
      <c r="Q2437" s="7">
        <f t="shared" ref="Q2437:Q2500" si="269">O2437*P2437</f>
        <v>0</v>
      </c>
      <c r="R2437" s="7">
        <f t="shared" ref="R2437:R2500" si="270">O2437-Q2437</f>
        <v>3521.5199999999995</v>
      </c>
      <c r="S2437" s="7">
        <f t="shared" ref="S2437:S2500" si="271">IFERROR(R2437/L2437,0)</f>
        <v>586.91999999999996</v>
      </c>
      <c r="T2437" s="6">
        <f t="shared" ref="T2437:T2500" si="272">IFERROR(L2437/I2437,0)</f>
        <v>1.3129102844638949E-2</v>
      </c>
      <c r="V2437" t="s">
        <v>29</v>
      </c>
    </row>
    <row r="2438" spans="1:22">
      <c r="A2438" s="3">
        <v>45759</v>
      </c>
      <c r="B2438" t="str">
        <f t="shared" si="266"/>
        <v>yyyy-04</v>
      </c>
      <c r="C2438">
        <f t="shared" si="267"/>
        <v>15</v>
      </c>
      <c r="D2438" t="s">
        <v>42</v>
      </c>
      <c r="E2438" t="s">
        <v>49</v>
      </c>
      <c r="F2438" t="s">
        <v>50</v>
      </c>
      <c r="G2438" t="s">
        <v>27</v>
      </c>
      <c r="H2438" t="s">
        <v>45</v>
      </c>
      <c r="I2438" s="5">
        <v>165</v>
      </c>
      <c r="J2438" s="5">
        <v>106</v>
      </c>
      <c r="K2438" s="5">
        <v>9</v>
      </c>
      <c r="L2438" s="5">
        <v>2</v>
      </c>
      <c r="M2438" s="5">
        <v>2</v>
      </c>
      <c r="N2438" s="7">
        <v>966.79</v>
      </c>
      <c r="O2438" s="7">
        <f t="shared" si="268"/>
        <v>1933.58</v>
      </c>
      <c r="P2438" s="4">
        <v>0</v>
      </c>
      <c r="Q2438" s="7">
        <f t="shared" si="269"/>
        <v>0</v>
      </c>
      <c r="R2438" s="7">
        <f t="shared" si="270"/>
        <v>1933.58</v>
      </c>
      <c r="S2438" s="7">
        <f t="shared" si="271"/>
        <v>966.79</v>
      </c>
      <c r="T2438" s="6">
        <f t="shared" si="272"/>
        <v>1.2121212121212121E-2</v>
      </c>
      <c r="V2438" t="s">
        <v>29</v>
      </c>
    </row>
    <row r="2439" spans="1:22">
      <c r="A2439" s="3">
        <v>45759</v>
      </c>
      <c r="B2439" t="str">
        <f t="shared" si="266"/>
        <v>yyyy-04</v>
      </c>
      <c r="C2439">
        <f t="shared" si="267"/>
        <v>15</v>
      </c>
      <c r="D2439" t="s">
        <v>42</v>
      </c>
      <c r="E2439" t="s">
        <v>51</v>
      </c>
      <c r="F2439" t="s">
        <v>52</v>
      </c>
      <c r="G2439" t="s">
        <v>27</v>
      </c>
      <c r="H2439" t="s">
        <v>28</v>
      </c>
      <c r="I2439" s="5">
        <v>283</v>
      </c>
      <c r="J2439" s="5">
        <v>147</v>
      </c>
      <c r="K2439" s="5">
        <v>16</v>
      </c>
      <c r="L2439" s="5">
        <v>4</v>
      </c>
      <c r="M2439" s="5">
        <v>4</v>
      </c>
      <c r="N2439" s="7">
        <v>596.12</v>
      </c>
      <c r="O2439" s="7">
        <f t="shared" si="268"/>
        <v>2384.48</v>
      </c>
      <c r="P2439" s="4">
        <v>0.05</v>
      </c>
      <c r="Q2439" s="7">
        <f t="shared" si="269"/>
        <v>119.224</v>
      </c>
      <c r="R2439" s="7">
        <f t="shared" si="270"/>
        <v>2265.2559999999999</v>
      </c>
      <c r="S2439" s="7">
        <f t="shared" si="271"/>
        <v>566.31399999999996</v>
      </c>
      <c r="T2439" s="6">
        <f t="shared" si="272"/>
        <v>1.4134275618374558E-2</v>
      </c>
      <c r="V2439" t="s">
        <v>29</v>
      </c>
    </row>
    <row r="2440" spans="1:22">
      <c r="A2440" s="3">
        <v>45759</v>
      </c>
      <c r="B2440" t="str">
        <f t="shared" si="266"/>
        <v>yyyy-04</v>
      </c>
      <c r="C2440">
        <f t="shared" si="267"/>
        <v>15</v>
      </c>
      <c r="D2440" t="s">
        <v>53</v>
      </c>
      <c r="E2440" t="s">
        <v>54</v>
      </c>
      <c r="F2440" t="s">
        <v>55</v>
      </c>
      <c r="G2440" t="s">
        <v>27</v>
      </c>
      <c r="H2440" t="s">
        <v>28</v>
      </c>
      <c r="I2440" s="5">
        <v>188</v>
      </c>
      <c r="J2440" s="5">
        <v>140</v>
      </c>
      <c r="K2440" s="5">
        <v>7</v>
      </c>
      <c r="L2440" s="5">
        <v>2</v>
      </c>
      <c r="M2440" s="5">
        <v>2</v>
      </c>
      <c r="N2440" s="7">
        <v>1294.45</v>
      </c>
      <c r="O2440" s="7">
        <f t="shared" si="268"/>
        <v>2588.9</v>
      </c>
      <c r="P2440" s="4">
        <v>0</v>
      </c>
      <c r="Q2440" s="7">
        <f t="shared" si="269"/>
        <v>0</v>
      </c>
      <c r="R2440" s="7">
        <f t="shared" si="270"/>
        <v>2588.9</v>
      </c>
      <c r="S2440" s="7">
        <f t="shared" si="271"/>
        <v>1294.45</v>
      </c>
      <c r="T2440" s="6">
        <f t="shared" si="272"/>
        <v>1.0638297872340425E-2</v>
      </c>
      <c r="V2440" t="s">
        <v>78</v>
      </c>
    </row>
    <row r="2441" spans="1:22">
      <c r="A2441" s="3">
        <v>45759</v>
      </c>
      <c r="B2441" t="str">
        <f t="shared" si="266"/>
        <v>yyyy-04</v>
      </c>
      <c r="C2441">
        <f t="shared" si="267"/>
        <v>15</v>
      </c>
      <c r="D2441" t="s">
        <v>53</v>
      </c>
      <c r="E2441" t="s">
        <v>56</v>
      </c>
      <c r="F2441" t="s">
        <v>57</v>
      </c>
      <c r="G2441" t="s">
        <v>36</v>
      </c>
      <c r="H2441" t="s">
        <v>37</v>
      </c>
      <c r="I2441" s="5">
        <v>322</v>
      </c>
      <c r="J2441" s="5">
        <v>224</v>
      </c>
      <c r="K2441" s="5">
        <v>24</v>
      </c>
      <c r="L2441" s="5">
        <v>4</v>
      </c>
      <c r="M2441" s="5">
        <v>4</v>
      </c>
      <c r="N2441" s="7">
        <v>744.86</v>
      </c>
      <c r="O2441" s="7">
        <f t="shared" si="268"/>
        <v>2979.44</v>
      </c>
      <c r="P2441" s="4">
        <v>0.05</v>
      </c>
      <c r="Q2441" s="7">
        <f t="shared" si="269"/>
        <v>148.97200000000001</v>
      </c>
      <c r="R2441" s="7">
        <f t="shared" si="270"/>
        <v>2830.4679999999998</v>
      </c>
      <c r="S2441" s="7">
        <f t="shared" si="271"/>
        <v>707.61699999999996</v>
      </c>
      <c r="T2441" s="6">
        <f t="shared" si="272"/>
        <v>1.2422360248447204E-2</v>
      </c>
      <c r="V2441" t="s">
        <v>29</v>
      </c>
    </row>
    <row r="2442" spans="1:22">
      <c r="A2442" s="3">
        <v>45759</v>
      </c>
      <c r="B2442" t="str">
        <f t="shared" si="266"/>
        <v>yyyy-04</v>
      </c>
      <c r="C2442">
        <f t="shared" si="267"/>
        <v>15</v>
      </c>
      <c r="D2442" t="s">
        <v>53</v>
      </c>
      <c r="E2442" t="s">
        <v>56</v>
      </c>
      <c r="F2442" t="s">
        <v>58</v>
      </c>
      <c r="G2442" t="s">
        <v>27</v>
      </c>
      <c r="H2442" t="s">
        <v>48</v>
      </c>
      <c r="I2442" s="5">
        <v>169</v>
      </c>
      <c r="J2442" s="5">
        <v>120</v>
      </c>
      <c r="K2442" s="5">
        <v>13</v>
      </c>
      <c r="L2442" s="5">
        <v>1</v>
      </c>
      <c r="M2442" s="5">
        <v>1</v>
      </c>
      <c r="N2442" s="7">
        <v>888.04</v>
      </c>
      <c r="O2442" s="7">
        <f t="shared" si="268"/>
        <v>888.04</v>
      </c>
      <c r="P2442" s="4">
        <v>0</v>
      </c>
      <c r="Q2442" s="7">
        <f t="shared" si="269"/>
        <v>0</v>
      </c>
      <c r="R2442" s="7">
        <f t="shared" si="270"/>
        <v>888.04</v>
      </c>
      <c r="S2442" s="7">
        <f t="shared" si="271"/>
        <v>888.04</v>
      </c>
      <c r="T2442" s="6">
        <f t="shared" si="272"/>
        <v>5.9171597633136093E-3</v>
      </c>
      <c r="V2442" t="s">
        <v>78</v>
      </c>
    </row>
    <row r="2443" spans="1:22">
      <c r="A2443" s="3">
        <v>45759</v>
      </c>
      <c r="B2443" t="str">
        <f t="shared" si="266"/>
        <v>yyyy-04</v>
      </c>
      <c r="C2443">
        <f t="shared" si="267"/>
        <v>15</v>
      </c>
      <c r="D2443" t="s">
        <v>53</v>
      </c>
      <c r="E2443" t="s">
        <v>59</v>
      </c>
      <c r="F2443" t="s">
        <v>60</v>
      </c>
      <c r="G2443" t="s">
        <v>27</v>
      </c>
      <c r="H2443" t="s">
        <v>48</v>
      </c>
      <c r="I2443" s="5">
        <v>164</v>
      </c>
      <c r="J2443" s="5">
        <v>98</v>
      </c>
      <c r="K2443" s="5">
        <v>11</v>
      </c>
      <c r="L2443" s="5">
        <v>2</v>
      </c>
      <c r="M2443" s="5">
        <v>2</v>
      </c>
      <c r="N2443" s="7">
        <v>672.88</v>
      </c>
      <c r="O2443" s="7">
        <f t="shared" si="268"/>
        <v>1345.76</v>
      </c>
      <c r="P2443" s="4">
        <v>0.09</v>
      </c>
      <c r="Q2443" s="7">
        <f t="shared" si="269"/>
        <v>121.11839999999999</v>
      </c>
      <c r="R2443" s="7">
        <f t="shared" si="270"/>
        <v>1224.6415999999999</v>
      </c>
      <c r="S2443" s="7">
        <f t="shared" si="271"/>
        <v>612.32079999999996</v>
      </c>
      <c r="T2443" s="6">
        <f t="shared" si="272"/>
        <v>1.2195121951219513E-2</v>
      </c>
      <c r="U2443" t="s">
        <v>93</v>
      </c>
      <c r="V2443" t="s">
        <v>29</v>
      </c>
    </row>
    <row r="2444" spans="1:22">
      <c r="A2444" s="3">
        <v>45759</v>
      </c>
      <c r="B2444" t="str">
        <f t="shared" si="266"/>
        <v>yyyy-04</v>
      </c>
      <c r="C2444">
        <f t="shared" si="267"/>
        <v>15</v>
      </c>
      <c r="D2444" t="s">
        <v>53</v>
      </c>
      <c r="E2444" t="s">
        <v>61</v>
      </c>
      <c r="F2444" t="s">
        <v>62</v>
      </c>
      <c r="G2444" t="s">
        <v>36</v>
      </c>
      <c r="H2444" t="s">
        <v>37</v>
      </c>
      <c r="I2444" s="5">
        <v>190</v>
      </c>
      <c r="J2444" s="5">
        <v>115</v>
      </c>
      <c r="K2444" s="5">
        <v>9</v>
      </c>
      <c r="L2444" s="5">
        <v>2</v>
      </c>
      <c r="M2444" s="5">
        <v>2</v>
      </c>
      <c r="N2444" s="7">
        <v>482.76</v>
      </c>
      <c r="O2444" s="7">
        <f t="shared" si="268"/>
        <v>965.52</v>
      </c>
      <c r="P2444" s="4">
        <v>0.03</v>
      </c>
      <c r="Q2444" s="7">
        <f t="shared" si="269"/>
        <v>28.965599999999998</v>
      </c>
      <c r="R2444" s="7">
        <f t="shared" si="270"/>
        <v>936.55439999999999</v>
      </c>
      <c r="S2444" s="7">
        <f t="shared" si="271"/>
        <v>468.27719999999999</v>
      </c>
      <c r="T2444" s="6">
        <f t="shared" si="272"/>
        <v>1.0526315789473684E-2</v>
      </c>
      <c r="V2444" t="s">
        <v>29</v>
      </c>
    </row>
    <row r="2445" spans="1:22">
      <c r="A2445" s="3">
        <v>45759</v>
      </c>
      <c r="B2445" t="str">
        <f t="shared" si="266"/>
        <v>yyyy-04</v>
      </c>
      <c r="C2445">
        <f t="shared" si="267"/>
        <v>15</v>
      </c>
      <c r="D2445" t="s">
        <v>53</v>
      </c>
      <c r="E2445" t="s">
        <v>64</v>
      </c>
      <c r="F2445" t="s">
        <v>65</v>
      </c>
      <c r="G2445" t="s">
        <v>31</v>
      </c>
      <c r="H2445" t="s">
        <v>32</v>
      </c>
      <c r="I2445" s="5">
        <v>243</v>
      </c>
      <c r="J2445" s="5">
        <v>173</v>
      </c>
      <c r="K2445" s="5">
        <v>19</v>
      </c>
      <c r="L2445" s="5">
        <v>3</v>
      </c>
      <c r="M2445" s="5">
        <v>3</v>
      </c>
      <c r="N2445" s="7">
        <v>780.61</v>
      </c>
      <c r="O2445" s="7">
        <f t="shared" si="268"/>
        <v>2341.83</v>
      </c>
      <c r="P2445" s="4">
        <v>0.03</v>
      </c>
      <c r="Q2445" s="7">
        <f t="shared" si="269"/>
        <v>70.254899999999992</v>
      </c>
      <c r="R2445" s="7">
        <f t="shared" si="270"/>
        <v>2271.5751</v>
      </c>
      <c r="S2445" s="7">
        <f t="shared" si="271"/>
        <v>757.19169999999997</v>
      </c>
      <c r="T2445" s="6">
        <f t="shared" si="272"/>
        <v>1.2345679012345678E-2</v>
      </c>
      <c r="V2445" t="s">
        <v>29</v>
      </c>
    </row>
    <row r="2446" spans="1:22">
      <c r="A2446" s="3">
        <v>45759</v>
      </c>
      <c r="B2446" t="str">
        <f t="shared" si="266"/>
        <v>yyyy-04</v>
      </c>
      <c r="C2446">
        <f t="shared" si="267"/>
        <v>15</v>
      </c>
      <c r="D2446" t="s">
        <v>66</v>
      </c>
      <c r="E2446" t="s">
        <v>67</v>
      </c>
      <c r="F2446" t="s">
        <v>68</v>
      </c>
      <c r="G2446" t="s">
        <v>36</v>
      </c>
      <c r="H2446" t="s">
        <v>37</v>
      </c>
      <c r="I2446" s="5">
        <v>437</v>
      </c>
      <c r="J2446" s="5">
        <v>249</v>
      </c>
      <c r="K2446" s="5">
        <v>28</v>
      </c>
      <c r="L2446" s="5">
        <v>9</v>
      </c>
      <c r="M2446" s="5">
        <v>9</v>
      </c>
      <c r="N2446" s="7">
        <v>696.9</v>
      </c>
      <c r="O2446" s="7">
        <f t="shared" si="268"/>
        <v>6272.0999999999995</v>
      </c>
      <c r="P2446" s="4">
        <v>0</v>
      </c>
      <c r="Q2446" s="7">
        <f t="shared" si="269"/>
        <v>0</v>
      </c>
      <c r="R2446" s="7">
        <f t="shared" si="270"/>
        <v>6272.0999999999995</v>
      </c>
      <c r="S2446" s="7">
        <f t="shared" si="271"/>
        <v>696.9</v>
      </c>
      <c r="T2446" s="6">
        <f t="shared" si="272"/>
        <v>2.0594965675057208E-2</v>
      </c>
      <c r="V2446" t="s">
        <v>29</v>
      </c>
    </row>
    <row r="2447" spans="1:22">
      <c r="A2447" s="3">
        <v>45759</v>
      </c>
      <c r="B2447" t="str">
        <f t="shared" si="266"/>
        <v>yyyy-04</v>
      </c>
      <c r="C2447">
        <f t="shared" si="267"/>
        <v>15</v>
      </c>
      <c r="D2447" t="s">
        <v>66</v>
      </c>
      <c r="E2447" t="s">
        <v>67</v>
      </c>
      <c r="F2447" t="s">
        <v>69</v>
      </c>
      <c r="G2447" t="s">
        <v>31</v>
      </c>
      <c r="H2447" t="s">
        <v>32</v>
      </c>
      <c r="I2447" s="5">
        <v>694</v>
      </c>
      <c r="J2447" s="5">
        <v>448</v>
      </c>
      <c r="K2447" s="5">
        <v>68</v>
      </c>
      <c r="L2447" s="5">
        <v>15</v>
      </c>
      <c r="M2447" s="5">
        <v>15</v>
      </c>
      <c r="N2447" s="7">
        <v>393.17</v>
      </c>
      <c r="O2447" s="7">
        <f t="shared" si="268"/>
        <v>5897.55</v>
      </c>
      <c r="P2447" s="4">
        <v>0.05</v>
      </c>
      <c r="Q2447" s="7">
        <f t="shared" si="269"/>
        <v>294.8775</v>
      </c>
      <c r="R2447" s="7">
        <f t="shared" si="270"/>
        <v>5602.6725000000006</v>
      </c>
      <c r="S2447" s="7">
        <f t="shared" si="271"/>
        <v>373.51150000000001</v>
      </c>
      <c r="T2447" s="6">
        <f t="shared" si="272"/>
        <v>2.1613832853025938E-2</v>
      </c>
      <c r="V2447" t="s">
        <v>29</v>
      </c>
    </row>
    <row r="2448" spans="1:22">
      <c r="A2448" s="3">
        <v>45759</v>
      </c>
      <c r="B2448" t="str">
        <f t="shared" si="266"/>
        <v>yyyy-04</v>
      </c>
      <c r="C2448">
        <f t="shared" si="267"/>
        <v>15</v>
      </c>
      <c r="D2448" t="s">
        <v>66</v>
      </c>
      <c r="E2448" t="s">
        <v>67</v>
      </c>
      <c r="F2448" t="s">
        <v>70</v>
      </c>
      <c r="G2448" t="s">
        <v>36</v>
      </c>
      <c r="H2448" t="s">
        <v>37</v>
      </c>
      <c r="I2448" s="5">
        <v>471</v>
      </c>
      <c r="J2448" s="5">
        <v>338</v>
      </c>
      <c r="K2448" s="5">
        <v>47</v>
      </c>
      <c r="L2448" s="5">
        <v>10</v>
      </c>
      <c r="M2448" s="5">
        <v>10</v>
      </c>
      <c r="N2448" s="7">
        <v>337.78</v>
      </c>
      <c r="O2448" s="7">
        <f t="shared" si="268"/>
        <v>3377.7999999999997</v>
      </c>
      <c r="P2448" s="4">
        <v>0</v>
      </c>
      <c r="Q2448" s="7">
        <f t="shared" si="269"/>
        <v>0</v>
      </c>
      <c r="R2448" s="7">
        <f t="shared" si="270"/>
        <v>3377.7999999999997</v>
      </c>
      <c r="S2448" s="7">
        <f t="shared" si="271"/>
        <v>337.78</v>
      </c>
      <c r="T2448" s="6">
        <f t="shared" si="272"/>
        <v>2.1231422505307854E-2</v>
      </c>
      <c r="V2448" t="s">
        <v>29</v>
      </c>
    </row>
    <row r="2449" spans="1:22">
      <c r="A2449" s="3">
        <v>45759</v>
      </c>
      <c r="B2449" t="str">
        <f t="shared" si="266"/>
        <v>yyyy-04</v>
      </c>
      <c r="C2449">
        <f t="shared" si="267"/>
        <v>15</v>
      </c>
      <c r="D2449" t="s">
        <v>66</v>
      </c>
      <c r="E2449" t="s">
        <v>71</v>
      </c>
      <c r="F2449" t="s">
        <v>72</v>
      </c>
      <c r="G2449" t="s">
        <v>36</v>
      </c>
      <c r="H2449" t="s">
        <v>37</v>
      </c>
      <c r="I2449" s="5">
        <v>394</v>
      </c>
      <c r="J2449" s="5">
        <v>321</v>
      </c>
      <c r="K2449" s="5">
        <v>19</v>
      </c>
      <c r="L2449" s="5">
        <v>8</v>
      </c>
      <c r="M2449" s="5">
        <v>10</v>
      </c>
      <c r="N2449" s="7">
        <v>131.19999999999999</v>
      </c>
      <c r="O2449" s="7">
        <f t="shared" si="268"/>
        <v>1312</v>
      </c>
      <c r="P2449" s="4">
        <v>0</v>
      </c>
      <c r="Q2449" s="7">
        <f t="shared" si="269"/>
        <v>0</v>
      </c>
      <c r="R2449" s="7">
        <f t="shared" si="270"/>
        <v>1312</v>
      </c>
      <c r="S2449" s="7">
        <f t="shared" si="271"/>
        <v>164</v>
      </c>
      <c r="T2449" s="6">
        <f t="shared" si="272"/>
        <v>2.030456852791878E-2</v>
      </c>
      <c r="V2449" t="s">
        <v>29</v>
      </c>
    </row>
    <row r="2450" spans="1:22">
      <c r="A2450" s="3">
        <v>45759</v>
      </c>
      <c r="B2450" t="str">
        <f t="shared" si="266"/>
        <v>yyyy-04</v>
      </c>
      <c r="C2450">
        <f t="shared" si="267"/>
        <v>15</v>
      </c>
      <c r="D2450" t="s">
        <v>66</v>
      </c>
      <c r="E2450" t="s">
        <v>73</v>
      </c>
      <c r="F2450" t="s">
        <v>74</v>
      </c>
      <c r="G2450" t="s">
        <v>36</v>
      </c>
      <c r="H2450" t="s">
        <v>37</v>
      </c>
      <c r="I2450" s="5">
        <v>276</v>
      </c>
      <c r="J2450" s="5">
        <v>148</v>
      </c>
      <c r="K2450" s="5">
        <v>19</v>
      </c>
      <c r="L2450" s="5">
        <v>5</v>
      </c>
      <c r="M2450" s="5">
        <v>5</v>
      </c>
      <c r="N2450" s="7">
        <v>1163.93</v>
      </c>
      <c r="O2450" s="7">
        <f t="shared" si="268"/>
        <v>5819.6500000000005</v>
      </c>
      <c r="P2450" s="4">
        <v>0</v>
      </c>
      <c r="Q2450" s="7">
        <f t="shared" si="269"/>
        <v>0</v>
      </c>
      <c r="R2450" s="7">
        <f t="shared" si="270"/>
        <v>5819.6500000000005</v>
      </c>
      <c r="S2450" s="7">
        <f t="shared" si="271"/>
        <v>1163.93</v>
      </c>
      <c r="T2450" s="6">
        <f t="shared" si="272"/>
        <v>1.8115942028985508E-2</v>
      </c>
      <c r="V2450" t="s">
        <v>29</v>
      </c>
    </row>
    <row r="2451" spans="1:22">
      <c r="A2451" s="3">
        <v>45759</v>
      </c>
      <c r="B2451" t="str">
        <f t="shared" si="266"/>
        <v>yyyy-04</v>
      </c>
      <c r="C2451">
        <f t="shared" si="267"/>
        <v>15</v>
      </c>
      <c r="D2451" t="s">
        <v>66</v>
      </c>
      <c r="E2451" t="s">
        <v>71</v>
      </c>
      <c r="F2451" t="s">
        <v>75</v>
      </c>
      <c r="G2451" t="s">
        <v>36</v>
      </c>
      <c r="H2451" t="s">
        <v>37</v>
      </c>
      <c r="I2451" s="5">
        <v>379</v>
      </c>
      <c r="J2451" s="5">
        <v>228</v>
      </c>
      <c r="K2451" s="5">
        <v>39</v>
      </c>
      <c r="L2451" s="5">
        <v>8</v>
      </c>
      <c r="M2451" s="5">
        <v>9</v>
      </c>
      <c r="N2451" s="7">
        <v>37.67</v>
      </c>
      <c r="O2451" s="7">
        <f t="shared" si="268"/>
        <v>339.03000000000003</v>
      </c>
      <c r="P2451" s="4">
        <v>0</v>
      </c>
      <c r="Q2451" s="7">
        <f t="shared" si="269"/>
        <v>0</v>
      </c>
      <c r="R2451" s="7">
        <f t="shared" si="270"/>
        <v>339.03000000000003</v>
      </c>
      <c r="S2451" s="7">
        <f t="shared" si="271"/>
        <v>42.378750000000004</v>
      </c>
      <c r="T2451" s="6">
        <f t="shared" si="272"/>
        <v>2.1108179419525065E-2</v>
      </c>
      <c r="V2451" t="s">
        <v>29</v>
      </c>
    </row>
    <row r="2452" spans="1:22">
      <c r="A2452" s="3">
        <v>45759</v>
      </c>
      <c r="B2452" t="str">
        <f t="shared" si="266"/>
        <v>yyyy-04</v>
      </c>
      <c r="C2452">
        <f t="shared" si="267"/>
        <v>15</v>
      </c>
      <c r="D2452" t="s">
        <v>24</v>
      </c>
      <c r="E2452" t="s">
        <v>76</v>
      </c>
      <c r="F2452" t="s">
        <v>77</v>
      </c>
      <c r="G2452" t="s">
        <v>27</v>
      </c>
      <c r="H2452" t="s">
        <v>45</v>
      </c>
      <c r="I2452" s="5">
        <v>661</v>
      </c>
      <c r="J2452" s="5">
        <v>531</v>
      </c>
      <c r="K2452" s="5">
        <v>41</v>
      </c>
      <c r="L2452" s="5">
        <v>14</v>
      </c>
      <c r="M2452" s="5">
        <v>17</v>
      </c>
      <c r="N2452" s="7">
        <v>199.82</v>
      </c>
      <c r="O2452" s="7">
        <f t="shared" si="268"/>
        <v>3396.94</v>
      </c>
      <c r="P2452" s="4">
        <v>0.05</v>
      </c>
      <c r="Q2452" s="7">
        <f t="shared" si="269"/>
        <v>169.84700000000001</v>
      </c>
      <c r="R2452" s="7">
        <f t="shared" si="270"/>
        <v>3227.0929999999998</v>
      </c>
      <c r="S2452" s="7">
        <f t="shared" si="271"/>
        <v>230.50664285714285</v>
      </c>
      <c r="T2452" s="6">
        <f t="shared" si="272"/>
        <v>2.118003025718608E-2</v>
      </c>
      <c r="V2452" t="s">
        <v>29</v>
      </c>
    </row>
    <row r="2453" spans="1:22">
      <c r="A2453" s="3">
        <v>45760</v>
      </c>
      <c r="B2453" t="str">
        <f t="shared" si="266"/>
        <v>yyyy-04</v>
      </c>
      <c r="C2453">
        <f t="shared" si="267"/>
        <v>15</v>
      </c>
      <c r="D2453" t="s">
        <v>24</v>
      </c>
      <c r="E2453" t="s">
        <v>25</v>
      </c>
      <c r="F2453" t="s">
        <v>26</v>
      </c>
      <c r="G2453" t="s">
        <v>27</v>
      </c>
      <c r="H2453" t="s">
        <v>45</v>
      </c>
      <c r="I2453" s="5">
        <v>1329</v>
      </c>
      <c r="J2453" s="5">
        <v>997</v>
      </c>
      <c r="K2453" s="5">
        <v>100</v>
      </c>
      <c r="L2453" s="5">
        <v>24</v>
      </c>
      <c r="M2453" s="5">
        <v>24</v>
      </c>
      <c r="N2453" s="7">
        <v>984.8</v>
      </c>
      <c r="O2453" s="7">
        <f t="shared" si="268"/>
        <v>23635.199999999997</v>
      </c>
      <c r="P2453" s="4">
        <v>0.03</v>
      </c>
      <c r="Q2453" s="7">
        <f t="shared" si="269"/>
        <v>709.05599999999993</v>
      </c>
      <c r="R2453" s="7">
        <f t="shared" si="270"/>
        <v>22926.143999999997</v>
      </c>
      <c r="S2453" s="7">
        <f t="shared" si="271"/>
        <v>955.25599999999986</v>
      </c>
      <c r="T2453" s="6">
        <f t="shared" si="272"/>
        <v>1.8058690744920992E-2</v>
      </c>
      <c r="V2453" t="s">
        <v>29</v>
      </c>
    </row>
    <row r="2454" spans="1:22">
      <c r="A2454" s="3">
        <v>45760</v>
      </c>
      <c r="B2454" t="str">
        <f t="shared" si="266"/>
        <v>yyyy-04</v>
      </c>
      <c r="C2454">
        <f t="shared" si="267"/>
        <v>15</v>
      </c>
      <c r="D2454" t="s">
        <v>24</v>
      </c>
      <c r="E2454" t="s">
        <v>25</v>
      </c>
      <c r="F2454" t="s">
        <v>30</v>
      </c>
      <c r="G2454" t="s">
        <v>36</v>
      </c>
      <c r="H2454" t="s">
        <v>37</v>
      </c>
      <c r="I2454" s="5">
        <v>1848</v>
      </c>
      <c r="J2454" s="5">
        <v>1072</v>
      </c>
      <c r="K2454" s="5">
        <v>130</v>
      </c>
      <c r="L2454" s="5">
        <v>34</v>
      </c>
      <c r="M2454" s="5">
        <v>34</v>
      </c>
      <c r="N2454" s="7">
        <v>399.09</v>
      </c>
      <c r="O2454" s="7">
        <f t="shared" si="268"/>
        <v>13569.06</v>
      </c>
      <c r="P2454" s="4">
        <v>0</v>
      </c>
      <c r="Q2454" s="7">
        <f t="shared" si="269"/>
        <v>0</v>
      </c>
      <c r="R2454" s="7">
        <f t="shared" si="270"/>
        <v>13569.06</v>
      </c>
      <c r="S2454" s="7">
        <f t="shared" si="271"/>
        <v>399.09</v>
      </c>
      <c r="T2454" s="6">
        <f t="shared" si="272"/>
        <v>1.83982683982684E-2</v>
      </c>
      <c r="V2454" t="s">
        <v>29</v>
      </c>
    </row>
    <row r="2455" spans="1:22">
      <c r="A2455" s="3">
        <v>45760</v>
      </c>
      <c r="B2455" t="str">
        <f t="shared" si="266"/>
        <v>yyyy-04</v>
      </c>
      <c r="C2455">
        <f t="shared" si="267"/>
        <v>15</v>
      </c>
      <c r="D2455" t="s">
        <v>24</v>
      </c>
      <c r="E2455" t="s">
        <v>25</v>
      </c>
      <c r="F2455" t="s">
        <v>33</v>
      </c>
      <c r="G2455" t="s">
        <v>36</v>
      </c>
      <c r="H2455" t="s">
        <v>37</v>
      </c>
      <c r="I2455" s="5">
        <v>1682</v>
      </c>
      <c r="J2455" s="5">
        <v>1277</v>
      </c>
      <c r="K2455" s="5">
        <v>214</v>
      </c>
      <c r="L2455" s="5">
        <v>43</v>
      </c>
      <c r="M2455" s="5">
        <v>43</v>
      </c>
      <c r="N2455" s="7">
        <v>1818.53</v>
      </c>
      <c r="O2455" s="7">
        <f t="shared" si="268"/>
        <v>78196.789999999994</v>
      </c>
      <c r="P2455" s="4">
        <v>0.03</v>
      </c>
      <c r="Q2455" s="7">
        <f t="shared" si="269"/>
        <v>2345.9036999999998</v>
      </c>
      <c r="R2455" s="7">
        <f t="shared" si="270"/>
        <v>75850.886299999998</v>
      </c>
      <c r="S2455" s="7">
        <f t="shared" si="271"/>
        <v>1763.9740999999999</v>
      </c>
      <c r="T2455" s="6">
        <f t="shared" si="272"/>
        <v>2.5564803804994055E-2</v>
      </c>
      <c r="V2455" t="s">
        <v>29</v>
      </c>
    </row>
    <row r="2456" spans="1:22">
      <c r="A2456" s="3">
        <v>45760</v>
      </c>
      <c r="B2456" t="str">
        <f t="shared" si="266"/>
        <v>yyyy-04</v>
      </c>
      <c r="C2456">
        <f t="shared" si="267"/>
        <v>15</v>
      </c>
      <c r="D2456" t="s">
        <v>24</v>
      </c>
      <c r="E2456" t="s">
        <v>34</v>
      </c>
      <c r="F2456" t="s">
        <v>35</v>
      </c>
      <c r="G2456" t="s">
        <v>27</v>
      </c>
      <c r="H2456" t="s">
        <v>45</v>
      </c>
      <c r="I2456" s="5">
        <v>1118</v>
      </c>
      <c r="J2456" s="5">
        <v>673</v>
      </c>
      <c r="K2456" s="5">
        <v>146</v>
      </c>
      <c r="L2456" s="5">
        <v>33</v>
      </c>
      <c r="M2456" s="5">
        <v>33</v>
      </c>
      <c r="N2456" s="7">
        <v>873.05</v>
      </c>
      <c r="O2456" s="7">
        <f t="shared" si="268"/>
        <v>28810.649999999998</v>
      </c>
      <c r="P2456" s="4">
        <v>0.08</v>
      </c>
      <c r="Q2456" s="7">
        <f t="shared" si="269"/>
        <v>2304.8519999999999</v>
      </c>
      <c r="R2456" s="7">
        <f t="shared" si="270"/>
        <v>26505.797999999999</v>
      </c>
      <c r="S2456" s="7">
        <f t="shared" si="271"/>
        <v>803.20600000000002</v>
      </c>
      <c r="T2456" s="6">
        <f t="shared" si="272"/>
        <v>2.9516994633273702E-2</v>
      </c>
      <c r="U2456" t="s">
        <v>92</v>
      </c>
      <c r="V2456" t="s">
        <v>29</v>
      </c>
    </row>
    <row r="2457" spans="1:22">
      <c r="A2457" s="3">
        <v>45760</v>
      </c>
      <c r="B2457" t="str">
        <f t="shared" si="266"/>
        <v>yyyy-04</v>
      </c>
      <c r="C2457">
        <f t="shared" si="267"/>
        <v>15</v>
      </c>
      <c r="D2457" t="s">
        <v>24</v>
      </c>
      <c r="E2457" t="s">
        <v>38</v>
      </c>
      <c r="F2457" t="s">
        <v>39</v>
      </c>
      <c r="G2457" t="s">
        <v>31</v>
      </c>
      <c r="H2457" t="s">
        <v>32</v>
      </c>
      <c r="I2457" s="5">
        <v>1112</v>
      </c>
      <c r="J2457" s="5">
        <v>860</v>
      </c>
      <c r="K2457" s="5">
        <v>95</v>
      </c>
      <c r="L2457" s="5">
        <v>25</v>
      </c>
      <c r="M2457" s="5">
        <v>25</v>
      </c>
      <c r="N2457" s="7">
        <v>331.36</v>
      </c>
      <c r="O2457" s="7">
        <f t="shared" si="268"/>
        <v>8284</v>
      </c>
      <c r="P2457" s="4">
        <v>0</v>
      </c>
      <c r="Q2457" s="7">
        <f t="shared" si="269"/>
        <v>0</v>
      </c>
      <c r="R2457" s="7">
        <f t="shared" si="270"/>
        <v>8284</v>
      </c>
      <c r="S2457" s="7">
        <f t="shared" si="271"/>
        <v>331.36</v>
      </c>
      <c r="T2457" s="6">
        <f t="shared" si="272"/>
        <v>2.2482014388489208E-2</v>
      </c>
      <c r="V2457" t="s">
        <v>29</v>
      </c>
    </row>
    <row r="2458" spans="1:22">
      <c r="A2458" s="3">
        <v>45760</v>
      </c>
      <c r="B2458" t="str">
        <f t="shared" si="266"/>
        <v>yyyy-04</v>
      </c>
      <c r="C2458">
        <f t="shared" si="267"/>
        <v>15</v>
      </c>
      <c r="D2458" t="s">
        <v>24</v>
      </c>
      <c r="E2458" t="s">
        <v>40</v>
      </c>
      <c r="F2458" t="s">
        <v>41</v>
      </c>
      <c r="G2458" t="s">
        <v>31</v>
      </c>
      <c r="H2458" t="s">
        <v>32</v>
      </c>
      <c r="I2458" s="5">
        <v>1062</v>
      </c>
      <c r="J2458" s="5">
        <v>685</v>
      </c>
      <c r="K2458" s="5">
        <v>58</v>
      </c>
      <c r="L2458" s="5">
        <v>19</v>
      </c>
      <c r="M2458" s="5">
        <v>21</v>
      </c>
      <c r="N2458" s="7">
        <v>174.42</v>
      </c>
      <c r="O2458" s="7">
        <f t="shared" si="268"/>
        <v>3662.8199999999997</v>
      </c>
      <c r="P2458" s="4">
        <v>0.03</v>
      </c>
      <c r="Q2458" s="7">
        <f t="shared" si="269"/>
        <v>109.88459999999999</v>
      </c>
      <c r="R2458" s="7">
        <f t="shared" si="270"/>
        <v>3552.9353999999998</v>
      </c>
      <c r="S2458" s="7">
        <f t="shared" si="271"/>
        <v>186.9966</v>
      </c>
      <c r="T2458" s="6">
        <f t="shared" si="272"/>
        <v>1.7890772128060263E-2</v>
      </c>
      <c r="V2458" t="s">
        <v>29</v>
      </c>
    </row>
    <row r="2459" spans="1:22">
      <c r="A2459" s="3">
        <v>45760</v>
      </c>
      <c r="B2459" t="str">
        <f t="shared" si="266"/>
        <v>yyyy-04</v>
      </c>
      <c r="C2459">
        <f t="shared" si="267"/>
        <v>15</v>
      </c>
      <c r="D2459" t="s">
        <v>42</v>
      </c>
      <c r="E2459" t="s">
        <v>43</v>
      </c>
      <c r="F2459" t="s">
        <v>44</v>
      </c>
      <c r="G2459" t="s">
        <v>31</v>
      </c>
      <c r="H2459" t="s">
        <v>32</v>
      </c>
      <c r="I2459" s="5">
        <v>761</v>
      </c>
      <c r="J2459" s="5">
        <v>541</v>
      </c>
      <c r="K2459" s="5">
        <v>29</v>
      </c>
      <c r="L2459" s="5">
        <v>11</v>
      </c>
      <c r="M2459" s="5">
        <v>11</v>
      </c>
      <c r="N2459" s="7">
        <v>1283.94</v>
      </c>
      <c r="O2459" s="7">
        <f t="shared" si="268"/>
        <v>14123.34</v>
      </c>
      <c r="P2459" s="4">
        <v>0</v>
      </c>
      <c r="Q2459" s="7">
        <f t="shared" si="269"/>
        <v>0</v>
      </c>
      <c r="R2459" s="7">
        <f t="shared" si="270"/>
        <v>14123.34</v>
      </c>
      <c r="S2459" s="7">
        <f t="shared" si="271"/>
        <v>1283.94</v>
      </c>
      <c r="T2459" s="6">
        <f t="shared" si="272"/>
        <v>1.4454664914586071E-2</v>
      </c>
      <c r="V2459" t="s">
        <v>29</v>
      </c>
    </row>
    <row r="2460" spans="1:22">
      <c r="A2460" s="3">
        <v>45760</v>
      </c>
      <c r="B2460" t="str">
        <f t="shared" si="266"/>
        <v>yyyy-04</v>
      </c>
      <c r="C2460">
        <f t="shared" si="267"/>
        <v>15</v>
      </c>
      <c r="D2460" t="s">
        <v>42</v>
      </c>
      <c r="E2460" t="s">
        <v>43</v>
      </c>
      <c r="F2460" t="s">
        <v>46</v>
      </c>
      <c r="G2460" t="s">
        <v>31</v>
      </c>
      <c r="H2460" t="s">
        <v>32</v>
      </c>
      <c r="I2460" s="5">
        <v>604</v>
      </c>
      <c r="J2460" s="5">
        <v>449</v>
      </c>
      <c r="K2460" s="5">
        <v>40</v>
      </c>
      <c r="L2460" s="5">
        <v>10</v>
      </c>
      <c r="M2460" s="5">
        <v>10</v>
      </c>
      <c r="N2460" s="7">
        <v>2142.48</v>
      </c>
      <c r="O2460" s="7">
        <f t="shared" si="268"/>
        <v>21424.799999999999</v>
      </c>
      <c r="P2460" s="4">
        <v>0.05</v>
      </c>
      <c r="Q2460" s="7">
        <f t="shared" si="269"/>
        <v>1071.24</v>
      </c>
      <c r="R2460" s="7">
        <f t="shared" si="270"/>
        <v>20353.559999999998</v>
      </c>
      <c r="S2460" s="7">
        <f t="shared" si="271"/>
        <v>2035.3559999999998</v>
      </c>
      <c r="T2460" s="6">
        <f t="shared" si="272"/>
        <v>1.6556291390728478E-2</v>
      </c>
      <c r="V2460" t="s">
        <v>29</v>
      </c>
    </row>
    <row r="2461" spans="1:22">
      <c r="A2461" s="3">
        <v>45760</v>
      </c>
      <c r="B2461" t="str">
        <f t="shared" si="266"/>
        <v>yyyy-04</v>
      </c>
      <c r="C2461">
        <f t="shared" si="267"/>
        <v>15</v>
      </c>
      <c r="D2461" t="s">
        <v>42</v>
      </c>
      <c r="E2461" t="s">
        <v>43</v>
      </c>
      <c r="F2461" t="s">
        <v>47</v>
      </c>
      <c r="G2461" t="s">
        <v>31</v>
      </c>
      <c r="H2461" t="s">
        <v>32</v>
      </c>
      <c r="I2461" s="5">
        <v>672</v>
      </c>
      <c r="J2461" s="5">
        <v>437</v>
      </c>
      <c r="K2461" s="5">
        <v>34</v>
      </c>
      <c r="L2461" s="5">
        <v>8</v>
      </c>
      <c r="M2461" s="5">
        <v>8</v>
      </c>
      <c r="N2461" s="7">
        <v>585.05999999999995</v>
      </c>
      <c r="O2461" s="7">
        <f t="shared" si="268"/>
        <v>4680.4799999999996</v>
      </c>
      <c r="P2461" s="4">
        <v>0.03</v>
      </c>
      <c r="Q2461" s="7">
        <f t="shared" si="269"/>
        <v>140.41439999999997</v>
      </c>
      <c r="R2461" s="7">
        <f t="shared" si="270"/>
        <v>4540.0655999999999</v>
      </c>
      <c r="S2461" s="7">
        <f t="shared" si="271"/>
        <v>567.50819999999999</v>
      </c>
      <c r="T2461" s="6">
        <f t="shared" si="272"/>
        <v>1.1904761904761904E-2</v>
      </c>
      <c r="V2461" t="s">
        <v>29</v>
      </c>
    </row>
    <row r="2462" spans="1:22">
      <c r="A2462" s="3">
        <v>45760</v>
      </c>
      <c r="B2462" t="str">
        <f t="shared" si="266"/>
        <v>yyyy-04</v>
      </c>
      <c r="C2462">
        <f t="shared" si="267"/>
        <v>15</v>
      </c>
      <c r="D2462" t="s">
        <v>42</v>
      </c>
      <c r="E2462" t="s">
        <v>49</v>
      </c>
      <c r="F2462" t="s">
        <v>50</v>
      </c>
      <c r="G2462" t="s">
        <v>31</v>
      </c>
      <c r="H2462" t="s">
        <v>32</v>
      </c>
      <c r="I2462" s="5">
        <v>213</v>
      </c>
      <c r="J2462" s="5">
        <v>115</v>
      </c>
      <c r="K2462" s="5">
        <v>10</v>
      </c>
      <c r="L2462" s="5">
        <v>3</v>
      </c>
      <c r="M2462" s="5">
        <v>3</v>
      </c>
      <c r="N2462" s="7">
        <v>1006.97</v>
      </c>
      <c r="O2462" s="7">
        <f t="shared" si="268"/>
        <v>3020.91</v>
      </c>
      <c r="P2462" s="4">
        <v>0</v>
      </c>
      <c r="Q2462" s="7">
        <f t="shared" si="269"/>
        <v>0</v>
      </c>
      <c r="R2462" s="7">
        <f t="shared" si="270"/>
        <v>3020.91</v>
      </c>
      <c r="S2462" s="7">
        <f t="shared" si="271"/>
        <v>1006.9699999999999</v>
      </c>
      <c r="T2462" s="6">
        <f t="shared" si="272"/>
        <v>1.4084507042253521E-2</v>
      </c>
      <c r="V2462" t="s">
        <v>29</v>
      </c>
    </row>
    <row r="2463" spans="1:22">
      <c r="A2463" s="3">
        <v>45760</v>
      </c>
      <c r="B2463" t="str">
        <f t="shared" si="266"/>
        <v>yyyy-04</v>
      </c>
      <c r="C2463">
        <f t="shared" si="267"/>
        <v>15</v>
      </c>
      <c r="D2463" t="s">
        <v>42</v>
      </c>
      <c r="E2463" t="s">
        <v>51</v>
      </c>
      <c r="F2463" t="s">
        <v>52</v>
      </c>
      <c r="G2463" t="s">
        <v>27</v>
      </c>
      <c r="H2463" t="s">
        <v>28</v>
      </c>
      <c r="I2463" s="5">
        <v>290</v>
      </c>
      <c r="J2463" s="5">
        <v>181</v>
      </c>
      <c r="K2463" s="5">
        <v>21</v>
      </c>
      <c r="L2463" s="5">
        <v>5</v>
      </c>
      <c r="M2463" s="5">
        <v>5</v>
      </c>
      <c r="N2463" s="7">
        <v>586.66999999999996</v>
      </c>
      <c r="O2463" s="7">
        <f t="shared" si="268"/>
        <v>2933.35</v>
      </c>
      <c r="P2463" s="4">
        <v>0</v>
      </c>
      <c r="Q2463" s="7">
        <f t="shared" si="269"/>
        <v>0</v>
      </c>
      <c r="R2463" s="7">
        <f t="shared" si="270"/>
        <v>2933.35</v>
      </c>
      <c r="S2463" s="7">
        <f t="shared" si="271"/>
        <v>586.66999999999996</v>
      </c>
      <c r="T2463" s="6">
        <f t="shared" si="272"/>
        <v>1.7241379310344827E-2</v>
      </c>
      <c r="V2463" t="s">
        <v>29</v>
      </c>
    </row>
    <row r="2464" spans="1:22">
      <c r="A2464" s="3">
        <v>45760</v>
      </c>
      <c r="B2464" t="str">
        <f t="shared" si="266"/>
        <v>yyyy-04</v>
      </c>
      <c r="C2464">
        <f t="shared" si="267"/>
        <v>15</v>
      </c>
      <c r="D2464" t="s">
        <v>53</v>
      </c>
      <c r="E2464" t="s">
        <v>54</v>
      </c>
      <c r="F2464" t="s">
        <v>55</v>
      </c>
      <c r="G2464" t="s">
        <v>27</v>
      </c>
      <c r="H2464" t="s">
        <v>28</v>
      </c>
      <c r="I2464" s="5">
        <v>228</v>
      </c>
      <c r="J2464" s="5">
        <v>132</v>
      </c>
      <c r="K2464" s="5">
        <v>7</v>
      </c>
      <c r="L2464" s="5">
        <v>3</v>
      </c>
      <c r="M2464" s="5">
        <v>3</v>
      </c>
      <c r="N2464" s="7">
        <v>1311.91</v>
      </c>
      <c r="O2464" s="7">
        <f t="shared" si="268"/>
        <v>3935.7300000000005</v>
      </c>
      <c r="P2464" s="4">
        <v>0.03</v>
      </c>
      <c r="Q2464" s="7">
        <f t="shared" si="269"/>
        <v>118.07190000000001</v>
      </c>
      <c r="R2464" s="7">
        <f t="shared" si="270"/>
        <v>3817.6581000000006</v>
      </c>
      <c r="S2464" s="7">
        <f t="shared" si="271"/>
        <v>1272.5527000000002</v>
      </c>
      <c r="T2464" s="6">
        <f t="shared" si="272"/>
        <v>1.3157894736842105E-2</v>
      </c>
      <c r="V2464" t="s">
        <v>29</v>
      </c>
    </row>
    <row r="2465" spans="1:22">
      <c r="A2465" s="3">
        <v>45760</v>
      </c>
      <c r="B2465" t="str">
        <f t="shared" si="266"/>
        <v>yyyy-04</v>
      </c>
      <c r="C2465">
        <f t="shared" si="267"/>
        <v>15</v>
      </c>
      <c r="D2465" t="s">
        <v>53</v>
      </c>
      <c r="E2465" t="s">
        <v>56</v>
      </c>
      <c r="F2465" t="s">
        <v>57</v>
      </c>
      <c r="G2465" t="s">
        <v>27</v>
      </c>
      <c r="H2465" t="s">
        <v>45</v>
      </c>
      <c r="I2465" s="5">
        <v>247</v>
      </c>
      <c r="J2465" s="5">
        <v>161</v>
      </c>
      <c r="K2465" s="5">
        <v>18</v>
      </c>
      <c r="L2465" s="5">
        <v>3</v>
      </c>
      <c r="M2465" s="5">
        <v>3</v>
      </c>
      <c r="N2465" s="7">
        <v>741.18</v>
      </c>
      <c r="O2465" s="7">
        <f t="shared" si="268"/>
        <v>2223.54</v>
      </c>
      <c r="P2465" s="4">
        <v>0</v>
      </c>
      <c r="Q2465" s="7">
        <f t="shared" si="269"/>
        <v>0</v>
      </c>
      <c r="R2465" s="7">
        <f t="shared" si="270"/>
        <v>2223.54</v>
      </c>
      <c r="S2465" s="7">
        <f t="shared" si="271"/>
        <v>741.18</v>
      </c>
      <c r="T2465" s="6">
        <f t="shared" si="272"/>
        <v>1.2145748987854251E-2</v>
      </c>
      <c r="V2465" t="s">
        <v>29</v>
      </c>
    </row>
    <row r="2466" spans="1:22">
      <c r="A2466" s="3">
        <v>45760</v>
      </c>
      <c r="B2466" t="str">
        <f t="shared" si="266"/>
        <v>yyyy-04</v>
      </c>
      <c r="C2466">
        <f t="shared" si="267"/>
        <v>15</v>
      </c>
      <c r="D2466" t="s">
        <v>53</v>
      </c>
      <c r="E2466" t="s">
        <v>56</v>
      </c>
      <c r="F2466" t="s">
        <v>58</v>
      </c>
      <c r="G2466" t="s">
        <v>36</v>
      </c>
      <c r="H2466" t="s">
        <v>37</v>
      </c>
      <c r="I2466" s="5">
        <v>316</v>
      </c>
      <c r="J2466" s="5">
        <v>171</v>
      </c>
      <c r="K2466" s="5">
        <v>20</v>
      </c>
      <c r="L2466" s="5">
        <v>4</v>
      </c>
      <c r="M2466" s="5">
        <v>4</v>
      </c>
      <c r="N2466" s="7">
        <v>914.55</v>
      </c>
      <c r="O2466" s="7">
        <f t="shared" si="268"/>
        <v>3658.2</v>
      </c>
      <c r="P2466" s="4">
        <v>0</v>
      </c>
      <c r="Q2466" s="7">
        <f t="shared" si="269"/>
        <v>0</v>
      </c>
      <c r="R2466" s="7">
        <f t="shared" si="270"/>
        <v>3658.2</v>
      </c>
      <c r="S2466" s="7">
        <f t="shared" si="271"/>
        <v>914.55</v>
      </c>
      <c r="T2466" s="6">
        <f t="shared" si="272"/>
        <v>1.2658227848101266E-2</v>
      </c>
      <c r="V2466" t="s">
        <v>29</v>
      </c>
    </row>
    <row r="2467" spans="1:22">
      <c r="A2467" s="3">
        <v>45760</v>
      </c>
      <c r="B2467" t="str">
        <f t="shared" si="266"/>
        <v>yyyy-04</v>
      </c>
      <c r="C2467">
        <f t="shared" si="267"/>
        <v>15</v>
      </c>
      <c r="D2467" t="s">
        <v>53</v>
      </c>
      <c r="E2467" t="s">
        <v>59</v>
      </c>
      <c r="F2467" t="s">
        <v>60</v>
      </c>
      <c r="G2467" t="s">
        <v>36</v>
      </c>
      <c r="H2467" t="s">
        <v>37</v>
      </c>
      <c r="I2467" s="5">
        <v>126</v>
      </c>
      <c r="J2467" s="5">
        <v>82</v>
      </c>
      <c r="K2467" s="5">
        <v>5</v>
      </c>
      <c r="L2467" s="5">
        <v>1</v>
      </c>
      <c r="M2467" s="5">
        <v>1</v>
      </c>
      <c r="N2467" s="7">
        <v>704.49</v>
      </c>
      <c r="O2467" s="7">
        <f t="shared" si="268"/>
        <v>704.49</v>
      </c>
      <c r="P2467" s="4">
        <v>0.09</v>
      </c>
      <c r="Q2467" s="7">
        <f t="shared" si="269"/>
        <v>63.4041</v>
      </c>
      <c r="R2467" s="7">
        <f t="shared" si="270"/>
        <v>641.08590000000004</v>
      </c>
      <c r="S2467" s="7">
        <f t="shared" si="271"/>
        <v>641.08590000000004</v>
      </c>
      <c r="T2467" s="6">
        <f t="shared" si="272"/>
        <v>7.9365079365079361E-3</v>
      </c>
      <c r="U2467" t="s">
        <v>93</v>
      </c>
      <c r="V2467" t="s">
        <v>29</v>
      </c>
    </row>
    <row r="2468" spans="1:22">
      <c r="A2468" s="3">
        <v>45760</v>
      </c>
      <c r="B2468" t="str">
        <f t="shared" si="266"/>
        <v>yyyy-04</v>
      </c>
      <c r="C2468">
        <f t="shared" si="267"/>
        <v>15</v>
      </c>
      <c r="D2468" t="s">
        <v>53</v>
      </c>
      <c r="E2468" t="s">
        <v>61</v>
      </c>
      <c r="F2468" t="s">
        <v>62</v>
      </c>
      <c r="G2468" t="s">
        <v>36</v>
      </c>
      <c r="H2468" t="s">
        <v>37</v>
      </c>
      <c r="I2468" s="5">
        <v>218</v>
      </c>
      <c r="J2468" s="5">
        <v>147</v>
      </c>
      <c r="K2468" s="5">
        <v>8</v>
      </c>
      <c r="L2468" s="5">
        <v>2</v>
      </c>
      <c r="M2468" s="5">
        <v>2</v>
      </c>
      <c r="N2468" s="7">
        <v>503.71</v>
      </c>
      <c r="O2468" s="7">
        <f t="shared" si="268"/>
        <v>1007.42</v>
      </c>
      <c r="P2468" s="4">
        <v>0</v>
      </c>
      <c r="Q2468" s="7">
        <f t="shared" si="269"/>
        <v>0</v>
      </c>
      <c r="R2468" s="7">
        <f t="shared" si="270"/>
        <v>1007.42</v>
      </c>
      <c r="S2468" s="7">
        <f t="shared" si="271"/>
        <v>503.71</v>
      </c>
      <c r="T2468" s="6">
        <f t="shared" si="272"/>
        <v>9.1743119266055051E-3</v>
      </c>
      <c r="V2468" t="s">
        <v>29</v>
      </c>
    </row>
    <row r="2469" spans="1:22">
      <c r="A2469" s="3">
        <v>45760</v>
      </c>
      <c r="B2469" t="str">
        <f t="shared" si="266"/>
        <v>yyyy-04</v>
      </c>
      <c r="C2469">
        <f t="shared" si="267"/>
        <v>15</v>
      </c>
      <c r="D2469" t="s">
        <v>53</v>
      </c>
      <c r="E2469" t="s">
        <v>64</v>
      </c>
      <c r="F2469" t="s">
        <v>65</v>
      </c>
      <c r="G2469" t="s">
        <v>27</v>
      </c>
      <c r="H2469" t="s">
        <v>28</v>
      </c>
      <c r="I2469" s="5">
        <v>310</v>
      </c>
      <c r="J2469" s="5">
        <v>187</v>
      </c>
      <c r="K2469" s="5">
        <v>18</v>
      </c>
      <c r="L2469" s="5">
        <v>4</v>
      </c>
      <c r="M2469" s="5">
        <v>4</v>
      </c>
      <c r="N2469" s="7">
        <v>803.41</v>
      </c>
      <c r="O2469" s="7">
        <f t="shared" si="268"/>
        <v>3213.64</v>
      </c>
      <c r="P2469" s="4">
        <v>0.05</v>
      </c>
      <c r="Q2469" s="7">
        <f t="shared" si="269"/>
        <v>160.68200000000002</v>
      </c>
      <c r="R2469" s="7">
        <f t="shared" si="270"/>
        <v>3052.9579999999996</v>
      </c>
      <c r="S2469" s="7">
        <f t="shared" si="271"/>
        <v>763.23949999999991</v>
      </c>
      <c r="T2469" s="6">
        <f t="shared" si="272"/>
        <v>1.2903225806451613E-2</v>
      </c>
      <c r="V2469" t="s">
        <v>29</v>
      </c>
    </row>
    <row r="2470" spans="1:22">
      <c r="A2470" s="3">
        <v>45760</v>
      </c>
      <c r="B2470" t="str">
        <f t="shared" si="266"/>
        <v>yyyy-04</v>
      </c>
      <c r="C2470">
        <f t="shared" si="267"/>
        <v>15</v>
      </c>
      <c r="D2470" t="s">
        <v>66</v>
      </c>
      <c r="E2470" t="s">
        <v>67</v>
      </c>
      <c r="F2470" t="s">
        <v>68</v>
      </c>
      <c r="G2470" t="s">
        <v>27</v>
      </c>
      <c r="H2470" t="s">
        <v>28</v>
      </c>
      <c r="I2470" s="5">
        <v>462</v>
      </c>
      <c r="J2470" s="5">
        <v>259</v>
      </c>
      <c r="K2470" s="5">
        <v>30</v>
      </c>
      <c r="L2470" s="5">
        <v>9</v>
      </c>
      <c r="M2470" s="5">
        <v>9</v>
      </c>
      <c r="N2470" s="7">
        <v>705.87</v>
      </c>
      <c r="O2470" s="7">
        <f t="shared" si="268"/>
        <v>6352.83</v>
      </c>
      <c r="P2470" s="4">
        <v>0</v>
      </c>
      <c r="Q2470" s="7">
        <f t="shared" si="269"/>
        <v>0</v>
      </c>
      <c r="R2470" s="7">
        <f t="shared" si="270"/>
        <v>6352.83</v>
      </c>
      <c r="S2470" s="7">
        <f t="shared" si="271"/>
        <v>705.87</v>
      </c>
      <c r="T2470" s="6">
        <f t="shared" si="272"/>
        <v>1.948051948051948E-2</v>
      </c>
      <c r="V2470" t="s">
        <v>29</v>
      </c>
    </row>
    <row r="2471" spans="1:22">
      <c r="A2471" s="3">
        <v>45760</v>
      </c>
      <c r="B2471" t="str">
        <f t="shared" si="266"/>
        <v>yyyy-04</v>
      </c>
      <c r="C2471">
        <f t="shared" si="267"/>
        <v>15</v>
      </c>
      <c r="D2471" t="s">
        <v>66</v>
      </c>
      <c r="E2471" t="s">
        <v>67</v>
      </c>
      <c r="F2471" t="s">
        <v>69</v>
      </c>
      <c r="G2471" t="s">
        <v>31</v>
      </c>
      <c r="H2471" t="s">
        <v>32</v>
      </c>
      <c r="I2471" s="5">
        <v>386</v>
      </c>
      <c r="J2471" s="5">
        <v>279</v>
      </c>
      <c r="K2471" s="5">
        <v>32</v>
      </c>
      <c r="L2471" s="5">
        <v>7</v>
      </c>
      <c r="M2471" s="5">
        <v>7</v>
      </c>
      <c r="N2471" s="7">
        <v>392.7</v>
      </c>
      <c r="O2471" s="7">
        <f t="shared" si="268"/>
        <v>2748.9</v>
      </c>
      <c r="P2471" s="4">
        <v>0</v>
      </c>
      <c r="Q2471" s="7">
        <f t="shared" si="269"/>
        <v>0</v>
      </c>
      <c r="R2471" s="7">
        <f t="shared" si="270"/>
        <v>2748.9</v>
      </c>
      <c r="S2471" s="7">
        <f t="shared" si="271"/>
        <v>392.7</v>
      </c>
      <c r="T2471" s="6">
        <f t="shared" si="272"/>
        <v>1.8134715025906734E-2</v>
      </c>
      <c r="V2471" t="s">
        <v>29</v>
      </c>
    </row>
    <row r="2472" spans="1:22">
      <c r="A2472" s="3">
        <v>45760</v>
      </c>
      <c r="B2472" t="str">
        <f t="shared" si="266"/>
        <v>yyyy-04</v>
      </c>
      <c r="C2472">
        <f t="shared" si="267"/>
        <v>15</v>
      </c>
      <c r="D2472" t="s">
        <v>66</v>
      </c>
      <c r="E2472" t="s">
        <v>67</v>
      </c>
      <c r="F2472" t="s">
        <v>70</v>
      </c>
      <c r="G2472" t="s">
        <v>27</v>
      </c>
      <c r="H2472" t="s">
        <v>63</v>
      </c>
      <c r="I2472" s="5">
        <v>344</v>
      </c>
      <c r="J2472" s="5">
        <v>256</v>
      </c>
      <c r="K2472" s="5">
        <v>20</v>
      </c>
      <c r="L2472" s="5">
        <v>6</v>
      </c>
      <c r="M2472" s="5">
        <v>6</v>
      </c>
      <c r="N2472" s="7">
        <v>345.21</v>
      </c>
      <c r="O2472" s="7">
        <f t="shared" si="268"/>
        <v>2071.2599999999998</v>
      </c>
      <c r="P2472" s="4">
        <v>0</v>
      </c>
      <c r="Q2472" s="7">
        <f t="shared" si="269"/>
        <v>0</v>
      </c>
      <c r="R2472" s="7">
        <f t="shared" si="270"/>
        <v>2071.2599999999998</v>
      </c>
      <c r="S2472" s="7">
        <f t="shared" si="271"/>
        <v>345.21</v>
      </c>
      <c r="T2472" s="6">
        <f t="shared" si="272"/>
        <v>1.7441860465116279E-2</v>
      </c>
      <c r="V2472" t="s">
        <v>29</v>
      </c>
    </row>
    <row r="2473" spans="1:22">
      <c r="A2473" s="3">
        <v>45760</v>
      </c>
      <c r="B2473" t="str">
        <f t="shared" si="266"/>
        <v>yyyy-04</v>
      </c>
      <c r="C2473">
        <f t="shared" si="267"/>
        <v>15</v>
      </c>
      <c r="D2473" t="s">
        <v>66</v>
      </c>
      <c r="E2473" t="s">
        <v>71</v>
      </c>
      <c r="F2473" t="s">
        <v>72</v>
      </c>
      <c r="G2473" t="s">
        <v>27</v>
      </c>
      <c r="H2473" t="s">
        <v>28</v>
      </c>
      <c r="I2473" s="5">
        <v>389</v>
      </c>
      <c r="J2473" s="5">
        <v>295</v>
      </c>
      <c r="K2473" s="5">
        <v>34</v>
      </c>
      <c r="L2473" s="5">
        <v>8</v>
      </c>
      <c r="M2473" s="5">
        <v>10</v>
      </c>
      <c r="N2473" s="7">
        <v>130.36000000000001</v>
      </c>
      <c r="O2473" s="7">
        <f t="shared" si="268"/>
        <v>1303.6000000000001</v>
      </c>
      <c r="P2473" s="4">
        <v>0</v>
      </c>
      <c r="Q2473" s="7">
        <f t="shared" si="269"/>
        <v>0</v>
      </c>
      <c r="R2473" s="7">
        <f t="shared" si="270"/>
        <v>1303.6000000000001</v>
      </c>
      <c r="S2473" s="7">
        <f t="shared" si="271"/>
        <v>162.95000000000002</v>
      </c>
      <c r="T2473" s="6">
        <f t="shared" si="272"/>
        <v>2.056555269922879E-2</v>
      </c>
      <c r="V2473" t="s">
        <v>29</v>
      </c>
    </row>
    <row r="2474" spans="1:22">
      <c r="A2474" s="3">
        <v>45760</v>
      </c>
      <c r="B2474" t="str">
        <f t="shared" si="266"/>
        <v>yyyy-04</v>
      </c>
      <c r="C2474">
        <f t="shared" si="267"/>
        <v>15</v>
      </c>
      <c r="D2474" t="s">
        <v>66</v>
      </c>
      <c r="E2474" t="s">
        <v>73</v>
      </c>
      <c r="F2474" t="s">
        <v>74</v>
      </c>
      <c r="G2474" t="s">
        <v>27</v>
      </c>
      <c r="H2474" t="s">
        <v>28</v>
      </c>
      <c r="I2474" s="5">
        <v>289</v>
      </c>
      <c r="J2474" s="5">
        <v>232</v>
      </c>
      <c r="K2474" s="5">
        <v>23</v>
      </c>
      <c r="L2474" s="5">
        <v>5</v>
      </c>
      <c r="M2474" s="5">
        <v>5</v>
      </c>
      <c r="N2474" s="7">
        <v>1214.98</v>
      </c>
      <c r="O2474" s="7">
        <f t="shared" si="268"/>
        <v>6074.9</v>
      </c>
      <c r="P2474" s="4">
        <v>0</v>
      </c>
      <c r="Q2474" s="7">
        <f t="shared" si="269"/>
        <v>0</v>
      </c>
      <c r="R2474" s="7">
        <f t="shared" si="270"/>
        <v>6074.9</v>
      </c>
      <c r="S2474" s="7">
        <f t="shared" si="271"/>
        <v>1214.98</v>
      </c>
      <c r="T2474" s="6">
        <f t="shared" si="272"/>
        <v>1.7301038062283738E-2</v>
      </c>
      <c r="V2474" t="s">
        <v>29</v>
      </c>
    </row>
    <row r="2475" spans="1:22">
      <c r="A2475" s="3">
        <v>45760</v>
      </c>
      <c r="B2475" t="str">
        <f t="shared" si="266"/>
        <v>yyyy-04</v>
      </c>
      <c r="C2475">
        <f t="shared" si="267"/>
        <v>15</v>
      </c>
      <c r="D2475" t="s">
        <v>66</v>
      </c>
      <c r="E2475" t="s">
        <v>71</v>
      </c>
      <c r="F2475" t="s">
        <v>75</v>
      </c>
      <c r="G2475" t="s">
        <v>27</v>
      </c>
      <c r="H2475" t="s">
        <v>45</v>
      </c>
      <c r="I2475" s="5">
        <v>263</v>
      </c>
      <c r="J2475" s="5">
        <v>153</v>
      </c>
      <c r="K2475" s="5">
        <v>26</v>
      </c>
      <c r="L2475" s="5">
        <v>6</v>
      </c>
      <c r="M2475" s="5">
        <v>7</v>
      </c>
      <c r="N2475" s="7">
        <v>37.75</v>
      </c>
      <c r="O2475" s="7">
        <f t="shared" si="268"/>
        <v>264.25</v>
      </c>
      <c r="P2475" s="4">
        <v>0</v>
      </c>
      <c r="Q2475" s="7">
        <f t="shared" si="269"/>
        <v>0</v>
      </c>
      <c r="R2475" s="7">
        <f t="shared" si="270"/>
        <v>264.25</v>
      </c>
      <c r="S2475" s="7">
        <f t="shared" si="271"/>
        <v>44.041666666666664</v>
      </c>
      <c r="T2475" s="6">
        <f t="shared" si="272"/>
        <v>2.2813688212927757E-2</v>
      </c>
      <c r="V2475" t="s">
        <v>29</v>
      </c>
    </row>
    <row r="2476" spans="1:22">
      <c r="A2476" s="3">
        <v>45760</v>
      </c>
      <c r="B2476" t="str">
        <f t="shared" si="266"/>
        <v>yyyy-04</v>
      </c>
      <c r="C2476">
        <f t="shared" si="267"/>
        <v>15</v>
      </c>
      <c r="D2476" t="s">
        <v>24</v>
      </c>
      <c r="E2476" t="s">
        <v>76</v>
      </c>
      <c r="F2476" t="s">
        <v>77</v>
      </c>
      <c r="G2476" t="s">
        <v>31</v>
      </c>
      <c r="H2476" t="s">
        <v>32</v>
      </c>
      <c r="I2476" s="5">
        <v>643</v>
      </c>
      <c r="J2476" s="5">
        <v>410</v>
      </c>
      <c r="K2476" s="5">
        <v>34</v>
      </c>
      <c r="L2476" s="5">
        <v>11</v>
      </c>
      <c r="M2476" s="5">
        <v>14</v>
      </c>
      <c r="N2476" s="7">
        <v>201.55</v>
      </c>
      <c r="O2476" s="7">
        <f t="shared" si="268"/>
        <v>2821.7000000000003</v>
      </c>
      <c r="P2476" s="4">
        <v>0.03</v>
      </c>
      <c r="Q2476" s="7">
        <f t="shared" si="269"/>
        <v>84.65100000000001</v>
      </c>
      <c r="R2476" s="7">
        <f t="shared" si="270"/>
        <v>2737.0490000000004</v>
      </c>
      <c r="S2476" s="7">
        <f t="shared" si="271"/>
        <v>248.82263636363641</v>
      </c>
      <c r="T2476" s="6">
        <f t="shared" si="272"/>
        <v>1.7107309486780714E-2</v>
      </c>
      <c r="V2476" t="s">
        <v>29</v>
      </c>
    </row>
    <row r="2477" spans="1:22">
      <c r="A2477" s="3">
        <v>45761</v>
      </c>
      <c r="B2477" t="str">
        <f t="shared" si="266"/>
        <v>yyyy-04</v>
      </c>
      <c r="C2477">
        <f t="shared" si="267"/>
        <v>16</v>
      </c>
      <c r="D2477" t="s">
        <v>24</v>
      </c>
      <c r="E2477" t="s">
        <v>25</v>
      </c>
      <c r="F2477" t="s">
        <v>26</v>
      </c>
      <c r="G2477" t="s">
        <v>27</v>
      </c>
      <c r="H2477" t="s">
        <v>45</v>
      </c>
      <c r="I2477" s="5">
        <v>1567</v>
      </c>
      <c r="J2477" s="5">
        <v>954</v>
      </c>
      <c r="K2477" s="5">
        <v>107</v>
      </c>
      <c r="L2477" s="5">
        <v>40</v>
      </c>
      <c r="M2477" s="5">
        <v>40</v>
      </c>
      <c r="N2477" s="7">
        <v>1000.99</v>
      </c>
      <c r="O2477" s="7">
        <f t="shared" si="268"/>
        <v>40039.599999999999</v>
      </c>
      <c r="P2477" s="4">
        <v>0</v>
      </c>
      <c r="Q2477" s="7">
        <f t="shared" si="269"/>
        <v>0</v>
      </c>
      <c r="R2477" s="7">
        <f t="shared" si="270"/>
        <v>40039.599999999999</v>
      </c>
      <c r="S2477" s="7">
        <f t="shared" si="271"/>
        <v>1000.99</v>
      </c>
      <c r="T2477" s="6">
        <f t="shared" si="272"/>
        <v>2.5526483726866625E-2</v>
      </c>
      <c r="V2477" t="s">
        <v>29</v>
      </c>
    </row>
    <row r="2478" spans="1:22">
      <c r="A2478" s="3">
        <v>45761</v>
      </c>
      <c r="B2478" t="str">
        <f t="shared" si="266"/>
        <v>yyyy-04</v>
      </c>
      <c r="C2478">
        <f t="shared" si="267"/>
        <v>16</v>
      </c>
      <c r="D2478" t="s">
        <v>24</v>
      </c>
      <c r="E2478" t="s">
        <v>25</v>
      </c>
      <c r="F2478" t="s">
        <v>30</v>
      </c>
      <c r="G2478" t="s">
        <v>31</v>
      </c>
      <c r="H2478" t="s">
        <v>32</v>
      </c>
      <c r="I2478" s="5">
        <v>1719</v>
      </c>
      <c r="J2478" s="5">
        <v>1266</v>
      </c>
      <c r="K2478" s="5">
        <v>143</v>
      </c>
      <c r="L2478" s="5">
        <v>43</v>
      </c>
      <c r="M2478" s="5">
        <v>43</v>
      </c>
      <c r="N2478" s="7">
        <v>402.59</v>
      </c>
      <c r="O2478" s="7">
        <f t="shared" si="268"/>
        <v>17311.37</v>
      </c>
      <c r="P2478" s="4">
        <v>0</v>
      </c>
      <c r="Q2478" s="7">
        <f t="shared" si="269"/>
        <v>0</v>
      </c>
      <c r="R2478" s="7">
        <f t="shared" si="270"/>
        <v>17311.37</v>
      </c>
      <c r="S2478" s="7">
        <f t="shared" si="271"/>
        <v>402.59</v>
      </c>
      <c r="T2478" s="6">
        <f t="shared" si="272"/>
        <v>2.501454333915067E-2</v>
      </c>
      <c r="V2478" t="s">
        <v>29</v>
      </c>
    </row>
    <row r="2479" spans="1:22">
      <c r="A2479" s="3">
        <v>45761</v>
      </c>
      <c r="B2479" t="str">
        <f t="shared" si="266"/>
        <v>yyyy-04</v>
      </c>
      <c r="C2479">
        <f t="shared" si="267"/>
        <v>16</v>
      </c>
      <c r="D2479" t="s">
        <v>24</v>
      </c>
      <c r="E2479" t="s">
        <v>25</v>
      </c>
      <c r="F2479" t="s">
        <v>33</v>
      </c>
      <c r="G2479" t="s">
        <v>27</v>
      </c>
      <c r="H2479" t="s">
        <v>63</v>
      </c>
      <c r="I2479" s="5">
        <v>1242</v>
      </c>
      <c r="J2479" s="5">
        <v>964</v>
      </c>
      <c r="K2479" s="5">
        <v>77</v>
      </c>
      <c r="L2479" s="5">
        <v>31</v>
      </c>
      <c r="M2479" s="5">
        <v>31</v>
      </c>
      <c r="N2479" s="7">
        <v>1776.81</v>
      </c>
      <c r="O2479" s="7">
        <f t="shared" si="268"/>
        <v>55081.11</v>
      </c>
      <c r="P2479" s="4">
        <v>0.05</v>
      </c>
      <c r="Q2479" s="7">
        <f t="shared" si="269"/>
        <v>2754.0555000000004</v>
      </c>
      <c r="R2479" s="7">
        <f t="shared" si="270"/>
        <v>52327.054499999998</v>
      </c>
      <c r="S2479" s="7">
        <f t="shared" si="271"/>
        <v>1687.9694999999999</v>
      </c>
      <c r="T2479" s="6">
        <f t="shared" si="272"/>
        <v>2.4959742351046699E-2</v>
      </c>
      <c r="V2479" t="s">
        <v>29</v>
      </c>
    </row>
    <row r="2480" spans="1:22">
      <c r="A2480" s="3">
        <v>45761</v>
      </c>
      <c r="B2480" t="str">
        <f t="shared" si="266"/>
        <v>yyyy-04</v>
      </c>
      <c r="C2480">
        <f t="shared" si="267"/>
        <v>16</v>
      </c>
      <c r="D2480" t="s">
        <v>24</v>
      </c>
      <c r="E2480" t="s">
        <v>34</v>
      </c>
      <c r="F2480" t="s">
        <v>35</v>
      </c>
      <c r="G2480" t="s">
        <v>27</v>
      </c>
      <c r="H2480" t="s">
        <v>28</v>
      </c>
      <c r="I2480" s="5">
        <v>938</v>
      </c>
      <c r="J2480" s="5">
        <v>734</v>
      </c>
      <c r="K2480" s="5">
        <v>97</v>
      </c>
      <c r="L2480" s="5">
        <v>27</v>
      </c>
      <c r="M2480" s="5">
        <v>27</v>
      </c>
      <c r="N2480" s="7">
        <v>869.99</v>
      </c>
      <c r="O2480" s="7">
        <f t="shared" si="268"/>
        <v>23489.73</v>
      </c>
      <c r="P2480" s="4">
        <v>0.08</v>
      </c>
      <c r="Q2480" s="7">
        <f t="shared" si="269"/>
        <v>1879.1784</v>
      </c>
      <c r="R2480" s="7">
        <f t="shared" si="270"/>
        <v>21610.551599999999</v>
      </c>
      <c r="S2480" s="7">
        <f t="shared" si="271"/>
        <v>800.39080000000001</v>
      </c>
      <c r="T2480" s="6">
        <f t="shared" si="272"/>
        <v>2.8784648187633263E-2</v>
      </c>
      <c r="U2480" t="s">
        <v>92</v>
      </c>
      <c r="V2480" t="s">
        <v>29</v>
      </c>
    </row>
    <row r="2481" spans="1:22">
      <c r="A2481" s="3">
        <v>45761</v>
      </c>
      <c r="B2481" t="str">
        <f t="shared" si="266"/>
        <v>yyyy-04</v>
      </c>
      <c r="C2481">
        <f t="shared" si="267"/>
        <v>16</v>
      </c>
      <c r="D2481" t="s">
        <v>24</v>
      </c>
      <c r="E2481" t="s">
        <v>38</v>
      </c>
      <c r="F2481" t="s">
        <v>39</v>
      </c>
      <c r="G2481" t="s">
        <v>36</v>
      </c>
      <c r="H2481" t="s">
        <v>37</v>
      </c>
      <c r="I2481" s="5">
        <v>787</v>
      </c>
      <c r="J2481" s="5">
        <v>542</v>
      </c>
      <c r="K2481" s="5">
        <v>44</v>
      </c>
      <c r="L2481" s="5">
        <v>19</v>
      </c>
      <c r="M2481" s="5">
        <v>19</v>
      </c>
      <c r="N2481" s="7">
        <v>323.43</v>
      </c>
      <c r="O2481" s="7">
        <f t="shared" si="268"/>
        <v>6145.17</v>
      </c>
      <c r="P2481" s="4">
        <v>0.05</v>
      </c>
      <c r="Q2481" s="7">
        <f t="shared" si="269"/>
        <v>307.25850000000003</v>
      </c>
      <c r="R2481" s="7">
        <f t="shared" si="270"/>
        <v>5837.9115000000002</v>
      </c>
      <c r="S2481" s="7">
        <f t="shared" si="271"/>
        <v>307.25850000000003</v>
      </c>
      <c r="T2481" s="6">
        <f t="shared" si="272"/>
        <v>2.4142312579415501E-2</v>
      </c>
      <c r="V2481" t="s">
        <v>29</v>
      </c>
    </row>
    <row r="2482" spans="1:22">
      <c r="A2482" s="3">
        <v>45761</v>
      </c>
      <c r="B2482" t="str">
        <f t="shared" si="266"/>
        <v>yyyy-04</v>
      </c>
      <c r="C2482">
        <f t="shared" si="267"/>
        <v>16</v>
      </c>
      <c r="D2482" t="s">
        <v>24</v>
      </c>
      <c r="E2482" t="s">
        <v>40</v>
      </c>
      <c r="F2482" t="s">
        <v>41</v>
      </c>
      <c r="G2482" t="s">
        <v>31</v>
      </c>
      <c r="H2482" t="s">
        <v>32</v>
      </c>
      <c r="I2482" s="5">
        <v>876</v>
      </c>
      <c r="J2482" s="5">
        <v>651</v>
      </c>
      <c r="K2482" s="5">
        <v>59</v>
      </c>
      <c r="L2482" s="5">
        <v>19</v>
      </c>
      <c r="M2482" s="5">
        <v>24</v>
      </c>
      <c r="N2482" s="7">
        <v>178.02</v>
      </c>
      <c r="O2482" s="7">
        <f t="shared" si="268"/>
        <v>4272.4800000000005</v>
      </c>
      <c r="P2482" s="4">
        <v>0.05</v>
      </c>
      <c r="Q2482" s="7">
        <f t="shared" si="269"/>
        <v>213.62400000000002</v>
      </c>
      <c r="R2482" s="7">
        <f t="shared" si="270"/>
        <v>4058.8560000000007</v>
      </c>
      <c r="S2482" s="7">
        <f t="shared" si="271"/>
        <v>213.62400000000002</v>
      </c>
      <c r="T2482" s="6">
        <f t="shared" si="272"/>
        <v>2.1689497716894976E-2</v>
      </c>
      <c r="V2482" t="s">
        <v>29</v>
      </c>
    </row>
    <row r="2483" spans="1:22">
      <c r="A2483" s="3">
        <v>45761</v>
      </c>
      <c r="B2483" t="str">
        <f t="shared" si="266"/>
        <v>yyyy-04</v>
      </c>
      <c r="C2483">
        <f t="shared" si="267"/>
        <v>16</v>
      </c>
      <c r="D2483" t="s">
        <v>42</v>
      </c>
      <c r="E2483" t="s">
        <v>43</v>
      </c>
      <c r="F2483" t="s">
        <v>44</v>
      </c>
      <c r="G2483" t="s">
        <v>27</v>
      </c>
      <c r="H2483" t="s">
        <v>28</v>
      </c>
      <c r="I2483" s="5">
        <v>505</v>
      </c>
      <c r="J2483" s="5">
        <v>329</v>
      </c>
      <c r="K2483" s="5">
        <v>34</v>
      </c>
      <c r="L2483" s="5">
        <v>7</v>
      </c>
      <c r="M2483" s="5">
        <v>7</v>
      </c>
      <c r="N2483" s="7">
        <v>1277.19</v>
      </c>
      <c r="O2483" s="7">
        <f t="shared" si="268"/>
        <v>8940.33</v>
      </c>
      <c r="P2483" s="4">
        <v>0</v>
      </c>
      <c r="Q2483" s="7">
        <f t="shared" si="269"/>
        <v>0</v>
      </c>
      <c r="R2483" s="7">
        <f t="shared" si="270"/>
        <v>8940.33</v>
      </c>
      <c r="S2483" s="7">
        <f t="shared" si="271"/>
        <v>1277.19</v>
      </c>
      <c r="T2483" s="6">
        <f t="shared" si="272"/>
        <v>1.3861386138613862E-2</v>
      </c>
      <c r="V2483" t="s">
        <v>29</v>
      </c>
    </row>
    <row r="2484" spans="1:22">
      <c r="A2484" s="3">
        <v>45761</v>
      </c>
      <c r="B2484" t="str">
        <f t="shared" si="266"/>
        <v>yyyy-04</v>
      </c>
      <c r="C2484">
        <f t="shared" si="267"/>
        <v>16</v>
      </c>
      <c r="D2484" t="s">
        <v>42</v>
      </c>
      <c r="E2484" t="s">
        <v>43</v>
      </c>
      <c r="F2484" t="s">
        <v>46</v>
      </c>
      <c r="G2484" t="s">
        <v>27</v>
      </c>
      <c r="H2484" t="s">
        <v>48</v>
      </c>
      <c r="I2484" s="5">
        <v>341</v>
      </c>
      <c r="J2484" s="5">
        <v>177</v>
      </c>
      <c r="K2484" s="5">
        <v>24</v>
      </c>
      <c r="L2484" s="5">
        <v>5</v>
      </c>
      <c r="M2484" s="5">
        <v>5</v>
      </c>
      <c r="N2484" s="7">
        <v>2163.15</v>
      </c>
      <c r="O2484" s="7">
        <f t="shared" si="268"/>
        <v>10815.75</v>
      </c>
      <c r="P2484" s="4">
        <v>0.03</v>
      </c>
      <c r="Q2484" s="7">
        <f t="shared" si="269"/>
        <v>324.47249999999997</v>
      </c>
      <c r="R2484" s="7">
        <f t="shared" si="270"/>
        <v>10491.2775</v>
      </c>
      <c r="S2484" s="7">
        <f t="shared" si="271"/>
        <v>2098.2555000000002</v>
      </c>
      <c r="T2484" s="6">
        <f t="shared" si="272"/>
        <v>1.466275659824047E-2</v>
      </c>
      <c r="V2484" t="s">
        <v>29</v>
      </c>
    </row>
    <row r="2485" spans="1:22">
      <c r="A2485" s="3">
        <v>45761</v>
      </c>
      <c r="B2485" t="str">
        <f t="shared" si="266"/>
        <v>yyyy-04</v>
      </c>
      <c r="C2485">
        <f t="shared" si="267"/>
        <v>16</v>
      </c>
      <c r="D2485" t="s">
        <v>42</v>
      </c>
      <c r="E2485" t="s">
        <v>43</v>
      </c>
      <c r="F2485" t="s">
        <v>47</v>
      </c>
      <c r="G2485" t="s">
        <v>31</v>
      </c>
      <c r="H2485" t="s">
        <v>32</v>
      </c>
      <c r="I2485" s="5">
        <v>668</v>
      </c>
      <c r="J2485" s="5">
        <v>426</v>
      </c>
      <c r="K2485" s="5">
        <v>28</v>
      </c>
      <c r="L2485" s="5">
        <v>6</v>
      </c>
      <c r="M2485" s="5">
        <v>6</v>
      </c>
      <c r="N2485" s="7">
        <v>607.41999999999996</v>
      </c>
      <c r="O2485" s="7">
        <f t="shared" si="268"/>
        <v>3644.5199999999995</v>
      </c>
      <c r="P2485" s="4">
        <v>0.03</v>
      </c>
      <c r="Q2485" s="7">
        <f t="shared" si="269"/>
        <v>109.33559999999999</v>
      </c>
      <c r="R2485" s="7">
        <f t="shared" si="270"/>
        <v>3535.1843999999996</v>
      </c>
      <c r="S2485" s="7">
        <f t="shared" si="271"/>
        <v>589.1973999999999</v>
      </c>
      <c r="T2485" s="6">
        <f t="shared" si="272"/>
        <v>8.9820359281437123E-3</v>
      </c>
      <c r="V2485" t="s">
        <v>78</v>
      </c>
    </row>
    <row r="2486" spans="1:22">
      <c r="A2486" s="3">
        <v>45761</v>
      </c>
      <c r="B2486" t="str">
        <f t="shared" si="266"/>
        <v>yyyy-04</v>
      </c>
      <c r="C2486">
        <f t="shared" si="267"/>
        <v>16</v>
      </c>
      <c r="D2486" t="s">
        <v>42</v>
      </c>
      <c r="E2486" t="s">
        <v>49</v>
      </c>
      <c r="F2486" t="s">
        <v>50</v>
      </c>
      <c r="G2486" t="s">
        <v>27</v>
      </c>
      <c r="H2486" t="s">
        <v>45</v>
      </c>
      <c r="I2486" s="5">
        <v>129</v>
      </c>
      <c r="J2486" s="5">
        <v>83</v>
      </c>
      <c r="K2486" s="5">
        <v>9</v>
      </c>
      <c r="L2486" s="5">
        <v>2</v>
      </c>
      <c r="M2486" s="5">
        <v>2</v>
      </c>
      <c r="N2486" s="7">
        <v>1015.8</v>
      </c>
      <c r="O2486" s="7">
        <f t="shared" si="268"/>
        <v>2031.6</v>
      </c>
      <c r="P2486" s="4">
        <v>0.1</v>
      </c>
      <c r="Q2486" s="7">
        <f t="shared" si="269"/>
        <v>203.16</v>
      </c>
      <c r="R2486" s="7">
        <f t="shared" si="270"/>
        <v>1828.4399999999998</v>
      </c>
      <c r="S2486" s="7">
        <f t="shared" si="271"/>
        <v>914.21999999999991</v>
      </c>
      <c r="T2486" s="6">
        <f t="shared" si="272"/>
        <v>1.5503875968992248E-2</v>
      </c>
      <c r="U2486" t="s">
        <v>94</v>
      </c>
      <c r="V2486" t="s">
        <v>29</v>
      </c>
    </row>
    <row r="2487" spans="1:22">
      <c r="A2487" s="3">
        <v>45761</v>
      </c>
      <c r="B2487" t="str">
        <f t="shared" si="266"/>
        <v>yyyy-04</v>
      </c>
      <c r="C2487">
        <f t="shared" si="267"/>
        <v>16</v>
      </c>
      <c r="D2487" t="s">
        <v>42</v>
      </c>
      <c r="E2487" t="s">
        <v>51</v>
      </c>
      <c r="F2487" t="s">
        <v>52</v>
      </c>
      <c r="G2487" t="s">
        <v>36</v>
      </c>
      <c r="H2487" t="s">
        <v>37</v>
      </c>
      <c r="I2487" s="5">
        <v>218</v>
      </c>
      <c r="J2487" s="5">
        <v>124</v>
      </c>
      <c r="K2487" s="5">
        <v>8</v>
      </c>
      <c r="L2487" s="5">
        <v>3</v>
      </c>
      <c r="M2487" s="5">
        <v>3</v>
      </c>
      <c r="N2487" s="7">
        <v>588.92999999999995</v>
      </c>
      <c r="O2487" s="7">
        <f t="shared" si="268"/>
        <v>1766.79</v>
      </c>
      <c r="P2487" s="4">
        <v>0</v>
      </c>
      <c r="Q2487" s="7">
        <f t="shared" si="269"/>
        <v>0</v>
      </c>
      <c r="R2487" s="7">
        <f t="shared" si="270"/>
        <v>1766.79</v>
      </c>
      <c r="S2487" s="7">
        <f t="shared" si="271"/>
        <v>588.92999999999995</v>
      </c>
      <c r="T2487" s="6">
        <f t="shared" si="272"/>
        <v>1.3761467889908258E-2</v>
      </c>
      <c r="V2487" t="s">
        <v>29</v>
      </c>
    </row>
    <row r="2488" spans="1:22">
      <c r="A2488" s="3">
        <v>45761</v>
      </c>
      <c r="B2488" t="str">
        <f t="shared" si="266"/>
        <v>yyyy-04</v>
      </c>
      <c r="C2488">
        <f t="shared" si="267"/>
        <v>16</v>
      </c>
      <c r="D2488" t="s">
        <v>53</v>
      </c>
      <c r="E2488" t="s">
        <v>54</v>
      </c>
      <c r="F2488" t="s">
        <v>55</v>
      </c>
      <c r="G2488" t="s">
        <v>36</v>
      </c>
      <c r="H2488" t="s">
        <v>37</v>
      </c>
      <c r="I2488" s="5">
        <v>276</v>
      </c>
      <c r="J2488" s="5">
        <v>179</v>
      </c>
      <c r="K2488" s="5">
        <v>17</v>
      </c>
      <c r="L2488" s="5">
        <v>3</v>
      </c>
      <c r="M2488" s="5">
        <v>3</v>
      </c>
      <c r="N2488" s="7">
        <v>1274.9000000000001</v>
      </c>
      <c r="O2488" s="7">
        <f t="shared" si="268"/>
        <v>3824.7000000000003</v>
      </c>
      <c r="P2488" s="4">
        <v>0.03</v>
      </c>
      <c r="Q2488" s="7">
        <f t="shared" si="269"/>
        <v>114.741</v>
      </c>
      <c r="R2488" s="7">
        <f t="shared" si="270"/>
        <v>3709.9590000000003</v>
      </c>
      <c r="S2488" s="7">
        <f t="shared" si="271"/>
        <v>1236.653</v>
      </c>
      <c r="T2488" s="6">
        <f t="shared" si="272"/>
        <v>1.0869565217391304E-2</v>
      </c>
      <c r="V2488" t="s">
        <v>29</v>
      </c>
    </row>
    <row r="2489" spans="1:22">
      <c r="A2489" s="3">
        <v>45761</v>
      </c>
      <c r="B2489" t="str">
        <f t="shared" si="266"/>
        <v>yyyy-04</v>
      </c>
      <c r="C2489">
        <f t="shared" si="267"/>
        <v>16</v>
      </c>
      <c r="D2489" t="s">
        <v>53</v>
      </c>
      <c r="E2489" t="s">
        <v>56</v>
      </c>
      <c r="F2489" t="s">
        <v>57</v>
      </c>
      <c r="G2489" t="s">
        <v>36</v>
      </c>
      <c r="H2489" t="s">
        <v>37</v>
      </c>
      <c r="I2489" s="5">
        <v>250</v>
      </c>
      <c r="J2489" s="5">
        <v>149</v>
      </c>
      <c r="K2489" s="5">
        <v>12</v>
      </c>
      <c r="L2489" s="5">
        <v>3</v>
      </c>
      <c r="M2489" s="5">
        <v>3</v>
      </c>
      <c r="N2489" s="7">
        <v>746.53</v>
      </c>
      <c r="O2489" s="7">
        <f t="shared" si="268"/>
        <v>2239.59</v>
      </c>
      <c r="P2489" s="4">
        <v>0</v>
      </c>
      <c r="Q2489" s="7">
        <f t="shared" si="269"/>
        <v>0</v>
      </c>
      <c r="R2489" s="7">
        <f t="shared" si="270"/>
        <v>2239.59</v>
      </c>
      <c r="S2489" s="7">
        <f t="shared" si="271"/>
        <v>746.53000000000009</v>
      </c>
      <c r="T2489" s="6">
        <f t="shared" si="272"/>
        <v>1.2E-2</v>
      </c>
      <c r="V2489" t="s">
        <v>29</v>
      </c>
    </row>
    <row r="2490" spans="1:22">
      <c r="A2490" s="3">
        <v>45761</v>
      </c>
      <c r="B2490" t="str">
        <f t="shared" si="266"/>
        <v>yyyy-04</v>
      </c>
      <c r="C2490">
        <f t="shared" si="267"/>
        <v>16</v>
      </c>
      <c r="D2490" t="s">
        <v>53</v>
      </c>
      <c r="E2490" t="s">
        <v>56</v>
      </c>
      <c r="F2490" t="s">
        <v>58</v>
      </c>
      <c r="G2490" t="s">
        <v>27</v>
      </c>
      <c r="H2490" t="s">
        <v>63</v>
      </c>
      <c r="I2490" s="5">
        <v>160</v>
      </c>
      <c r="J2490" s="5">
        <v>125</v>
      </c>
      <c r="K2490" s="5">
        <v>14</v>
      </c>
      <c r="L2490" s="5">
        <v>2</v>
      </c>
      <c r="M2490" s="5">
        <v>2</v>
      </c>
      <c r="N2490" s="7">
        <v>916.88</v>
      </c>
      <c r="O2490" s="7">
        <f t="shared" si="268"/>
        <v>1833.76</v>
      </c>
      <c r="P2490" s="4">
        <v>0</v>
      </c>
      <c r="Q2490" s="7">
        <f t="shared" si="269"/>
        <v>0</v>
      </c>
      <c r="R2490" s="7">
        <f t="shared" si="270"/>
        <v>1833.76</v>
      </c>
      <c r="S2490" s="7">
        <f t="shared" si="271"/>
        <v>916.88</v>
      </c>
      <c r="T2490" s="6">
        <f t="shared" si="272"/>
        <v>1.2500000000000001E-2</v>
      </c>
      <c r="V2490" t="s">
        <v>29</v>
      </c>
    </row>
    <row r="2491" spans="1:22">
      <c r="A2491" s="3">
        <v>45761</v>
      </c>
      <c r="B2491" t="str">
        <f t="shared" si="266"/>
        <v>yyyy-04</v>
      </c>
      <c r="C2491">
        <f t="shared" si="267"/>
        <v>16</v>
      </c>
      <c r="D2491" t="s">
        <v>53</v>
      </c>
      <c r="E2491" t="s">
        <v>59</v>
      </c>
      <c r="F2491" t="s">
        <v>60</v>
      </c>
      <c r="G2491" t="s">
        <v>31</v>
      </c>
      <c r="H2491" t="s">
        <v>32</v>
      </c>
      <c r="I2491" s="5">
        <v>212</v>
      </c>
      <c r="J2491" s="5">
        <v>167</v>
      </c>
      <c r="K2491" s="5">
        <v>19</v>
      </c>
      <c r="L2491" s="5">
        <v>3</v>
      </c>
      <c r="M2491" s="5">
        <v>3</v>
      </c>
      <c r="N2491" s="7">
        <v>688.16</v>
      </c>
      <c r="O2491" s="7">
        <f t="shared" si="268"/>
        <v>2064.48</v>
      </c>
      <c r="P2491" s="4">
        <v>0.09</v>
      </c>
      <c r="Q2491" s="7">
        <f t="shared" si="269"/>
        <v>185.8032</v>
      </c>
      <c r="R2491" s="7">
        <f t="shared" si="270"/>
        <v>1878.6768</v>
      </c>
      <c r="S2491" s="7">
        <f t="shared" si="271"/>
        <v>626.22559999999999</v>
      </c>
      <c r="T2491" s="6">
        <f t="shared" si="272"/>
        <v>1.4150943396226415E-2</v>
      </c>
      <c r="U2491" t="s">
        <v>93</v>
      </c>
      <c r="V2491" t="s">
        <v>29</v>
      </c>
    </row>
    <row r="2492" spans="1:22">
      <c r="A2492" s="3">
        <v>45761</v>
      </c>
      <c r="B2492" t="str">
        <f t="shared" si="266"/>
        <v>yyyy-04</v>
      </c>
      <c r="C2492">
        <f t="shared" si="267"/>
        <v>16</v>
      </c>
      <c r="D2492" t="s">
        <v>53</v>
      </c>
      <c r="E2492" t="s">
        <v>61</v>
      </c>
      <c r="F2492" t="s">
        <v>62</v>
      </c>
      <c r="G2492" t="s">
        <v>31</v>
      </c>
      <c r="H2492" t="s">
        <v>32</v>
      </c>
      <c r="I2492" s="5">
        <v>154</v>
      </c>
      <c r="J2492" s="5">
        <v>124</v>
      </c>
      <c r="K2492" s="5">
        <v>11</v>
      </c>
      <c r="L2492" s="5">
        <v>1</v>
      </c>
      <c r="M2492" s="5">
        <v>1</v>
      </c>
      <c r="N2492" s="7">
        <v>480.86</v>
      </c>
      <c r="O2492" s="7">
        <f t="shared" si="268"/>
        <v>480.86</v>
      </c>
      <c r="P2492" s="4">
        <v>0.03</v>
      </c>
      <c r="Q2492" s="7">
        <f t="shared" si="269"/>
        <v>14.425800000000001</v>
      </c>
      <c r="R2492" s="7">
        <f t="shared" si="270"/>
        <v>466.43420000000003</v>
      </c>
      <c r="S2492" s="7">
        <f t="shared" si="271"/>
        <v>466.43420000000003</v>
      </c>
      <c r="T2492" s="6">
        <f t="shared" si="272"/>
        <v>6.4935064935064939E-3</v>
      </c>
      <c r="V2492" t="s">
        <v>29</v>
      </c>
    </row>
    <row r="2493" spans="1:22">
      <c r="A2493" s="3">
        <v>45761</v>
      </c>
      <c r="B2493" t="str">
        <f t="shared" si="266"/>
        <v>yyyy-04</v>
      </c>
      <c r="C2493">
        <f t="shared" si="267"/>
        <v>16</v>
      </c>
      <c r="D2493" t="s">
        <v>53</v>
      </c>
      <c r="E2493" t="s">
        <v>64</v>
      </c>
      <c r="F2493" t="s">
        <v>65</v>
      </c>
      <c r="G2493" t="s">
        <v>31</v>
      </c>
      <c r="H2493" t="s">
        <v>32</v>
      </c>
      <c r="I2493" s="5">
        <v>303</v>
      </c>
      <c r="J2493" s="5">
        <v>207</v>
      </c>
      <c r="K2493" s="5">
        <v>23</v>
      </c>
      <c r="L2493" s="5">
        <v>3</v>
      </c>
      <c r="M2493" s="5">
        <v>3</v>
      </c>
      <c r="N2493" s="7">
        <v>802.84</v>
      </c>
      <c r="O2493" s="7">
        <f t="shared" si="268"/>
        <v>2408.52</v>
      </c>
      <c r="P2493" s="4">
        <v>0.05</v>
      </c>
      <c r="Q2493" s="7">
        <f t="shared" si="269"/>
        <v>120.426</v>
      </c>
      <c r="R2493" s="7">
        <f t="shared" si="270"/>
        <v>2288.0940000000001</v>
      </c>
      <c r="S2493" s="7">
        <f t="shared" si="271"/>
        <v>762.69799999999998</v>
      </c>
      <c r="T2493" s="6">
        <f t="shared" si="272"/>
        <v>9.9009900990099011E-3</v>
      </c>
      <c r="V2493" t="s">
        <v>29</v>
      </c>
    </row>
    <row r="2494" spans="1:22">
      <c r="A2494" s="3">
        <v>45761</v>
      </c>
      <c r="B2494" t="str">
        <f t="shared" si="266"/>
        <v>yyyy-04</v>
      </c>
      <c r="C2494">
        <f t="shared" si="267"/>
        <v>16</v>
      </c>
      <c r="D2494" t="s">
        <v>66</v>
      </c>
      <c r="E2494" t="s">
        <v>67</v>
      </c>
      <c r="F2494" t="s">
        <v>68</v>
      </c>
      <c r="G2494" t="s">
        <v>31</v>
      </c>
      <c r="H2494" t="s">
        <v>32</v>
      </c>
      <c r="I2494" s="5">
        <v>472</v>
      </c>
      <c r="J2494" s="5">
        <v>330</v>
      </c>
      <c r="K2494" s="5">
        <v>29</v>
      </c>
      <c r="L2494" s="5">
        <v>8</v>
      </c>
      <c r="M2494" s="5">
        <v>8</v>
      </c>
      <c r="N2494" s="7">
        <v>696.05</v>
      </c>
      <c r="O2494" s="7">
        <f t="shared" si="268"/>
        <v>5568.4</v>
      </c>
      <c r="P2494" s="4">
        <v>0.05</v>
      </c>
      <c r="Q2494" s="7">
        <f t="shared" si="269"/>
        <v>278.42</v>
      </c>
      <c r="R2494" s="7">
        <f t="shared" si="270"/>
        <v>5289.98</v>
      </c>
      <c r="S2494" s="7">
        <f t="shared" si="271"/>
        <v>661.24749999999995</v>
      </c>
      <c r="T2494" s="6">
        <f t="shared" si="272"/>
        <v>1.6949152542372881E-2</v>
      </c>
      <c r="V2494" t="s">
        <v>29</v>
      </c>
    </row>
    <row r="2495" spans="1:22">
      <c r="A2495" s="3">
        <v>45761</v>
      </c>
      <c r="B2495" t="str">
        <f t="shared" si="266"/>
        <v>yyyy-04</v>
      </c>
      <c r="C2495">
        <f t="shared" si="267"/>
        <v>16</v>
      </c>
      <c r="D2495" t="s">
        <v>66</v>
      </c>
      <c r="E2495" t="s">
        <v>67</v>
      </c>
      <c r="F2495" t="s">
        <v>69</v>
      </c>
      <c r="G2495" t="s">
        <v>27</v>
      </c>
      <c r="H2495" t="s">
        <v>48</v>
      </c>
      <c r="I2495" s="5">
        <v>314</v>
      </c>
      <c r="J2495" s="5">
        <v>259</v>
      </c>
      <c r="K2495" s="5">
        <v>18</v>
      </c>
      <c r="L2495" s="5">
        <v>6</v>
      </c>
      <c r="M2495" s="5">
        <v>6</v>
      </c>
      <c r="N2495" s="7">
        <v>397.63</v>
      </c>
      <c r="O2495" s="7">
        <f t="shared" si="268"/>
        <v>2385.7799999999997</v>
      </c>
      <c r="P2495" s="4">
        <v>0.03</v>
      </c>
      <c r="Q2495" s="7">
        <f t="shared" si="269"/>
        <v>71.573399999999992</v>
      </c>
      <c r="R2495" s="7">
        <f t="shared" si="270"/>
        <v>2314.2065999999995</v>
      </c>
      <c r="S2495" s="7">
        <f t="shared" si="271"/>
        <v>385.70109999999994</v>
      </c>
      <c r="T2495" s="6">
        <f t="shared" si="272"/>
        <v>1.9108280254777069E-2</v>
      </c>
      <c r="V2495" t="s">
        <v>29</v>
      </c>
    </row>
    <row r="2496" spans="1:22">
      <c r="A2496" s="3">
        <v>45761</v>
      </c>
      <c r="B2496" t="str">
        <f t="shared" si="266"/>
        <v>yyyy-04</v>
      </c>
      <c r="C2496">
        <f t="shared" si="267"/>
        <v>16</v>
      </c>
      <c r="D2496" t="s">
        <v>66</v>
      </c>
      <c r="E2496" t="s">
        <v>67</v>
      </c>
      <c r="F2496" t="s">
        <v>70</v>
      </c>
      <c r="G2496" t="s">
        <v>27</v>
      </c>
      <c r="H2496" t="s">
        <v>28</v>
      </c>
      <c r="I2496" s="5">
        <v>406</v>
      </c>
      <c r="J2496" s="5">
        <v>216</v>
      </c>
      <c r="K2496" s="5">
        <v>26</v>
      </c>
      <c r="L2496" s="5">
        <v>6</v>
      </c>
      <c r="M2496" s="5">
        <v>6</v>
      </c>
      <c r="N2496" s="7">
        <v>349.52</v>
      </c>
      <c r="O2496" s="7">
        <f t="shared" si="268"/>
        <v>2097.12</v>
      </c>
      <c r="P2496" s="4">
        <v>0</v>
      </c>
      <c r="Q2496" s="7">
        <f t="shared" si="269"/>
        <v>0</v>
      </c>
      <c r="R2496" s="7">
        <f t="shared" si="270"/>
        <v>2097.12</v>
      </c>
      <c r="S2496" s="7">
        <f t="shared" si="271"/>
        <v>349.52</v>
      </c>
      <c r="T2496" s="6">
        <f t="shared" si="272"/>
        <v>1.4778325123152709E-2</v>
      </c>
      <c r="V2496" t="s">
        <v>29</v>
      </c>
    </row>
    <row r="2497" spans="1:22">
      <c r="A2497" s="3">
        <v>45761</v>
      </c>
      <c r="B2497" t="str">
        <f t="shared" si="266"/>
        <v>yyyy-04</v>
      </c>
      <c r="C2497">
        <f t="shared" si="267"/>
        <v>16</v>
      </c>
      <c r="D2497" t="s">
        <v>66</v>
      </c>
      <c r="E2497" t="s">
        <v>71</v>
      </c>
      <c r="F2497" t="s">
        <v>72</v>
      </c>
      <c r="G2497" t="s">
        <v>36</v>
      </c>
      <c r="H2497" t="s">
        <v>37</v>
      </c>
      <c r="I2497" s="5">
        <v>414</v>
      </c>
      <c r="J2497" s="5">
        <v>297</v>
      </c>
      <c r="K2497" s="5">
        <v>33</v>
      </c>
      <c r="L2497" s="5">
        <v>9</v>
      </c>
      <c r="M2497" s="5">
        <v>12</v>
      </c>
      <c r="N2497" s="7">
        <v>128.36000000000001</v>
      </c>
      <c r="O2497" s="7">
        <f t="shared" si="268"/>
        <v>1540.3200000000002</v>
      </c>
      <c r="P2497" s="4">
        <v>0.03</v>
      </c>
      <c r="Q2497" s="7">
        <f t="shared" si="269"/>
        <v>46.209600000000002</v>
      </c>
      <c r="R2497" s="7">
        <f t="shared" si="270"/>
        <v>1494.1104000000003</v>
      </c>
      <c r="S2497" s="7">
        <f t="shared" si="271"/>
        <v>166.0122666666667</v>
      </c>
      <c r="T2497" s="6">
        <f t="shared" si="272"/>
        <v>2.1739130434782608E-2</v>
      </c>
      <c r="V2497" t="s">
        <v>29</v>
      </c>
    </row>
    <row r="2498" spans="1:22">
      <c r="A2498" s="3">
        <v>45761</v>
      </c>
      <c r="B2498" t="str">
        <f t="shared" si="266"/>
        <v>yyyy-04</v>
      </c>
      <c r="C2498">
        <f t="shared" si="267"/>
        <v>16</v>
      </c>
      <c r="D2498" t="s">
        <v>66</v>
      </c>
      <c r="E2498" t="s">
        <v>73</v>
      </c>
      <c r="F2498" t="s">
        <v>74</v>
      </c>
      <c r="G2498" t="s">
        <v>27</v>
      </c>
      <c r="H2498" t="s">
        <v>28</v>
      </c>
      <c r="I2498" s="5">
        <v>218</v>
      </c>
      <c r="J2498" s="5">
        <v>157</v>
      </c>
      <c r="K2498" s="5">
        <v>14</v>
      </c>
      <c r="L2498" s="5">
        <v>3</v>
      </c>
      <c r="M2498" s="5">
        <v>3</v>
      </c>
      <c r="N2498" s="7">
        <v>1170.48</v>
      </c>
      <c r="O2498" s="7">
        <f t="shared" si="268"/>
        <v>3511.44</v>
      </c>
      <c r="P2498" s="4">
        <v>0.03</v>
      </c>
      <c r="Q2498" s="7">
        <f t="shared" si="269"/>
        <v>105.3432</v>
      </c>
      <c r="R2498" s="7">
        <f t="shared" si="270"/>
        <v>3406.0968000000003</v>
      </c>
      <c r="S2498" s="7">
        <f t="shared" si="271"/>
        <v>1135.3656000000001</v>
      </c>
      <c r="T2498" s="6">
        <f t="shared" si="272"/>
        <v>1.3761467889908258E-2</v>
      </c>
      <c r="V2498" t="s">
        <v>78</v>
      </c>
    </row>
    <row r="2499" spans="1:22">
      <c r="A2499" s="3">
        <v>45761</v>
      </c>
      <c r="B2499" t="str">
        <f t="shared" si="266"/>
        <v>yyyy-04</v>
      </c>
      <c r="C2499">
        <f t="shared" si="267"/>
        <v>16</v>
      </c>
      <c r="D2499" t="s">
        <v>66</v>
      </c>
      <c r="E2499" t="s">
        <v>71</v>
      </c>
      <c r="F2499" t="s">
        <v>75</v>
      </c>
      <c r="G2499" t="s">
        <v>27</v>
      </c>
      <c r="H2499" t="s">
        <v>28</v>
      </c>
      <c r="I2499" s="5">
        <v>380</v>
      </c>
      <c r="J2499" s="5">
        <v>260</v>
      </c>
      <c r="K2499" s="5">
        <v>22</v>
      </c>
      <c r="L2499" s="5">
        <v>9</v>
      </c>
      <c r="M2499" s="5">
        <v>11</v>
      </c>
      <c r="N2499" s="7">
        <v>39.479999999999997</v>
      </c>
      <c r="O2499" s="7">
        <f t="shared" si="268"/>
        <v>434.28</v>
      </c>
      <c r="P2499" s="4">
        <v>0</v>
      </c>
      <c r="Q2499" s="7">
        <f t="shared" si="269"/>
        <v>0</v>
      </c>
      <c r="R2499" s="7">
        <f t="shared" si="270"/>
        <v>434.28</v>
      </c>
      <c r="S2499" s="7">
        <f t="shared" si="271"/>
        <v>48.25333333333333</v>
      </c>
      <c r="T2499" s="6">
        <f t="shared" si="272"/>
        <v>2.368421052631579E-2</v>
      </c>
      <c r="V2499" t="s">
        <v>29</v>
      </c>
    </row>
    <row r="2500" spans="1:22">
      <c r="A2500" s="3">
        <v>45761</v>
      </c>
      <c r="B2500" t="str">
        <f t="shared" si="266"/>
        <v>yyyy-04</v>
      </c>
      <c r="C2500">
        <f t="shared" si="267"/>
        <v>16</v>
      </c>
      <c r="D2500" t="s">
        <v>24</v>
      </c>
      <c r="E2500" t="s">
        <v>76</v>
      </c>
      <c r="F2500" t="s">
        <v>77</v>
      </c>
      <c r="G2500" t="s">
        <v>36</v>
      </c>
      <c r="H2500" t="s">
        <v>37</v>
      </c>
      <c r="I2500" s="5">
        <v>608</v>
      </c>
      <c r="J2500" s="5">
        <v>359</v>
      </c>
      <c r="K2500" s="5">
        <v>43</v>
      </c>
      <c r="L2500" s="5">
        <v>13</v>
      </c>
      <c r="M2500" s="5">
        <v>15</v>
      </c>
      <c r="N2500" s="7">
        <v>196.26</v>
      </c>
      <c r="O2500" s="7">
        <f t="shared" si="268"/>
        <v>2943.8999999999996</v>
      </c>
      <c r="P2500" s="4">
        <v>0</v>
      </c>
      <c r="Q2500" s="7">
        <f t="shared" si="269"/>
        <v>0</v>
      </c>
      <c r="R2500" s="7">
        <f t="shared" si="270"/>
        <v>2943.8999999999996</v>
      </c>
      <c r="S2500" s="7">
        <f t="shared" si="271"/>
        <v>226.45384615384611</v>
      </c>
      <c r="T2500" s="6">
        <f t="shared" si="272"/>
        <v>2.1381578947368422E-2</v>
      </c>
      <c r="V2500" t="s">
        <v>29</v>
      </c>
    </row>
    <row r="2501" spans="1:22">
      <c r="A2501" s="3">
        <v>45762</v>
      </c>
      <c r="B2501" t="str">
        <f t="shared" ref="B2501:B2564" si="273">TEXT(A2501,"yyyy-mm")</f>
        <v>yyyy-04</v>
      </c>
      <c r="C2501">
        <f t="shared" ref="C2501:C2564" si="274">WEEKNUM(A2501,2)</f>
        <v>16</v>
      </c>
      <c r="D2501" t="s">
        <v>24</v>
      </c>
      <c r="E2501" t="s">
        <v>25</v>
      </c>
      <c r="F2501" t="s">
        <v>26</v>
      </c>
      <c r="G2501" t="s">
        <v>36</v>
      </c>
      <c r="H2501" t="s">
        <v>37</v>
      </c>
      <c r="I2501" s="5">
        <v>1870</v>
      </c>
      <c r="J2501" s="5">
        <v>1270</v>
      </c>
      <c r="K2501" s="5">
        <v>143</v>
      </c>
      <c r="L2501" s="5">
        <v>37</v>
      </c>
      <c r="M2501" s="5">
        <v>37</v>
      </c>
      <c r="N2501" s="7">
        <v>990.37</v>
      </c>
      <c r="O2501" s="7">
        <f t="shared" ref="O2501:O2564" si="275">M2501*N2501</f>
        <v>36643.69</v>
      </c>
      <c r="P2501" s="4">
        <v>0</v>
      </c>
      <c r="Q2501" s="7">
        <f t="shared" ref="Q2501:Q2564" si="276">O2501*P2501</f>
        <v>0</v>
      </c>
      <c r="R2501" s="7">
        <f t="shared" ref="R2501:R2564" si="277">O2501-Q2501</f>
        <v>36643.69</v>
      </c>
      <c r="S2501" s="7">
        <f t="shared" ref="S2501:S2564" si="278">IFERROR(R2501/L2501,0)</f>
        <v>990.37000000000012</v>
      </c>
      <c r="T2501" s="6">
        <f t="shared" ref="T2501:T2564" si="279">IFERROR(L2501/I2501,0)</f>
        <v>1.9786096256684493E-2</v>
      </c>
      <c r="V2501" t="s">
        <v>29</v>
      </c>
    </row>
    <row r="2502" spans="1:22">
      <c r="A2502" s="3">
        <v>45762</v>
      </c>
      <c r="B2502" t="str">
        <f t="shared" si="273"/>
        <v>yyyy-04</v>
      </c>
      <c r="C2502">
        <f t="shared" si="274"/>
        <v>16</v>
      </c>
      <c r="D2502" t="s">
        <v>24</v>
      </c>
      <c r="E2502" t="s">
        <v>25</v>
      </c>
      <c r="F2502" t="s">
        <v>30</v>
      </c>
      <c r="G2502" t="s">
        <v>31</v>
      </c>
      <c r="H2502" t="s">
        <v>32</v>
      </c>
      <c r="I2502" s="5">
        <v>2008</v>
      </c>
      <c r="J2502" s="5">
        <v>1513</v>
      </c>
      <c r="K2502" s="5">
        <v>156</v>
      </c>
      <c r="L2502" s="5">
        <v>33</v>
      </c>
      <c r="M2502" s="5">
        <v>33</v>
      </c>
      <c r="N2502" s="7">
        <v>395.49</v>
      </c>
      <c r="O2502" s="7">
        <f t="shared" si="275"/>
        <v>13051.17</v>
      </c>
      <c r="P2502" s="4">
        <v>0</v>
      </c>
      <c r="Q2502" s="7">
        <f t="shared" si="276"/>
        <v>0</v>
      </c>
      <c r="R2502" s="7">
        <f t="shared" si="277"/>
        <v>13051.17</v>
      </c>
      <c r="S2502" s="7">
        <f t="shared" si="278"/>
        <v>395.49</v>
      </c>
      <c r="T2502" s="6">
        <f t="shared" si="279"/>
        <v>1.6434262948207171E-2</v>
      </c>
      <c r="V2502" t="s">
        <v>29</v>
      </c>
    </row>
    <row r="2503" spans="1:22">
      <c r="A2503" s="3">
        <v>45762</v>
      </c>
      <c r="B2503" t="str">
        <f t="shared" si="273"/>
        <v>yyyy-04</v>
      </c>
      <c r="C2503">
        <f t="shared" si="274"/>
        <v>16</v>
      </c>
      <c r="D2503" t="s">
        <v>24</v>
      </c>
      <c r="E2503" t="s">
        <v>25</v>
      </c>
      <c r="F2503" t="s">
        <v>33</v>
      </c>
      <c r="G2503" t="s">
        <v>36</v>
      </c>
      <c r="H2503" t="s">
        <v>37</v>
      </c>
      <c r="I2503" s="5">
        <v>1649</v>
      </c>
      <c r="J2503" s="5">
        <v>938</v>
      </c>
      <c r="K2503" s="5">
        <v>110</v>
      </c>
      <c r="L2503" s="5">
        <v>36</v>
      </c>
      <c r="M2503" s="5">
        <v>36</v>
      </c>
      <c r="N2503" s="7">
        <v>1773.39</v>
      </c>
      <c r="O2503" s="7">
        <f t="shared" si="275"/>
        <v>63842.04</v>
      </c>
      <c r="P2503" s="4">
        <v>0.03</v>
      </c>
      <c r="Q2503" s="7">
        <f t="shared" si="276"/>
        <v>1915.2611999999999</v>
      </c>
      <c r="R2503" s="7">
        <f t="shared" si="277"/>
        <v>61926.7788</v>
      </c>
      <c r="S2503" s="7">
        <f t="shared" si="278"/>
        <v>1720.1883</v>
      </c>
      <c r="T2503" s="6">
        <f t="shared" si="279"/>
        <v>2.1831412977562158E-2</v>
      </c>
      <c r="V2503" t="s">
        <v>29</v>
      </c>
    </row>
    <row r="2504" spans="1:22">
      <c r="A2504" s="3">
        <v>45762</v>
      </c>
      <c r="B2504" t="str">
        <f t="shared" si="273"/>
        <v>yyyy-04</v>
      </c>
      <c r="C2504">
        <f t="shared" si="274"/>
        <v>16</v>
      </c>
      <c r="D2504" t="s">
        <v>24</v>
      </c>
      <c r="E2504" t="s">
        <v>34</v>
      </c>
      <c r="F2504" t="s">
        <v>35</v>
      </c>
      <c r="G2504" t="s">
        <v>27</v>
      </c>
      <c r="H2504" t="s">
        <v>45</v>
      </c>
      <c r="I2504" s="5">
        <v>1063</v>
      </c>
      <c r="J2504" s="5">
        <v>676</v>
      </c>
      <c r="K2504" s="5">
        <v>65</v>
      </c>
      <c r="L2504" s="5">
        <v>23</v>
      </c>
      <c r="M2504" s="5">
        <v>23</v>
      </c>
      <c r="N2504" s="7">
        <v>908.28</v>
      </c>
      <c r="O2504" s="7">
        <f t="shared" si="275"/>
        <v>20890.439999999999</v>
      </c>
      <c r="P2504" s="4">
        <v>0</v>
      </c>
      <c r="Q2504" s="7">
        <f t="shared" si="276"/>
        <v>0</v>
      </c>
      <c r="R2504" s="7">
        <f t="shared" si="277"/>
        <v>20890.439999999999</v>
      </c>
      <c r="S2504" s="7">
        <f t="shared" si="278"/>
        <v>908.28</v>
      </c>
      <c r="T2504" s="6">
        <f t="shared" si="279"/>
        <v>2.1636876763875823E-2</v>
      </c>
      <c r="V2504" t="s">
        <v>29</v>
      </c>
    </row>
    <row r="2505" spans="1:22">
      <c r="A2505" s="3">
        <v>45762</v>
      </c>
      <c r="B2505" t="str">
        <f t="shared" si="273"/>
        <v>yyyy-04</v>
      </c>
      <c r="C2505">
        <f t="shared" si="274"/>
        <v>16</v>
      </c>
      <c r="D2505" t="s">
        <v>24</v>
      </c>
      <c r="E2505" t="s">
        <v>38</v>
      </c>
      <c r="F2505" t="s">
        <v>39</v>
      </c>
      <c r="G2505" t="s">
        <v>36</v>
      </c>
      <c r="H2505" t="s">
        <v>37</v>
      </c>
      <c r="I2505" s="5">
        <v>995</v>
      </c>
      <c r="J2505" s="5">
        <v>733</v>
      </c>
      <c r="K2505" s="5">
        <v>64</v>
      </c>
      <c r="L2505" s="5">
        <v>19</v>
      </c>
      <c r="M2505" s="5">
        <v>19</v>
      </c>
      <c r="N2505" s="7">
        <v>328.81</v>
      </c>
      <c r="O2505" s="7">
        <f t="shared" si="275"/>
        <v>6247.39</v>
      </c>
      <c r="P2505" s="4">
        <v>0.03</v>
      </c>
      <c r="Q2505" s="7">
        <f t="shared" si="276"/>
        <v>187.42170000000002</v>
      </c>
      <c r="R2505" s="7">
        <f t="shared" si="277"/>
        <v>6059.9683000000005</v>
      </c>
      <c r="S2505" s="7">
        <f t="shared" si="278"/>
        <v>318.94570000000004</v>
      </c>
      <c r="T2505" s="6">
        <f t="shared" si="279"/>
        <v>1.9095477386934675E-2</v>
      </c>
      <c r="V2505" t="s">
        <v>29</v>
      </c>
    </row>
    <row r="2506" spans="1:22">
      <c r="A2506" s="3">
        <v>45762</v>
      </c>
      <c r="B2506" t="str">
        <f t="shared" si="273"/>
        <v>yyyy-04</v>
      </c>
      <c r="C2506">
        <f t="shared" si="274"/>
        <v>16</v>
      </c>
      <c r="D2506" t="s">
        <v>24</v>
      </c>
      <c r="E2506" t="s">
        <v>40</v>
      </c>
      <c r="F2506" t="s">
        <v>41</v>
      </c>
      <c r="G2506" t="s">
        <v>27</v>
      </c>
      <c r="H2506" t="s">
        <v>28</v>
      </c>
      <c r="I2506" s="5">
        <v>630</v>
      </c>
      <c r="J2506" s="5">
        <v>345</v>
      </c>
      <c r="K2506" s="5">
        <v>72</v>
      </c>
      <c r="L2506" s="5">
        <v>15</v>
      </c>
      <c r="M2506" s="5">
        <v>16</v>
      </c>
      <c r="N2506" s="7">
        <v>177.65</v>
      </c>
      <c r="O2506" s="7">
        <f t="shared" si="275"/>
        <v>2842.4</v>
      </c>
      <c r="P2506" s="4">
        <v>0.05</v>
      </c>
      <c r="Q2506" s="7">
        <f t="shared" si="276"/>
        <v>142.12</v>
      </c>
      <c r="R2506" s="7">
        <f t="shared" si="277"/>
        <v>2700.28</v>
      </c>
      <c r="S2506" s="7">
        <f t="shared" si="278"/>
        <v>180.01866666666669</v>
      </c>
      <c r="T2506" s="6">
        <f t="shared" si="279"/>
        <v>2.3809523809523808E-2</v>
      </c>
      <c r="V2506" t="s">
        <v>29</v>
      </c>
    </row>
    <row r="2507" spans="1:22">
      <c r="A2507" s="3">
        <v>45762</v>
      </c>
      <c r="B2507" t="str">
        <f t="shared" si="273"/>
        <v>yyyy-04</v>
      </c>
      <c r="C2507">
        <f t="shared" si="274"/>
        <v>16</v>
      </c>
      <c r="D2507" t="s">
        <v>42</v>
      </c>
      <c r="E2507" t="s">
        <v>43</v>
      </c>
      <c r="F2507" t="s">
        <v>44</v>
      </c>
      <c r="G2507" t="s">
        <v>31</v>
      </c>
      <c r="H2507" t="s">
        <v>32</v>
      </c>
      <c r="I2507" s="5">
        <v>674</v>
      </c>
      <c r="J2507" s="5">
        <v>468</v>
      </c>
      <c r="K2507" s="5">
        <v>50</v>
      </c>
      <c r="L2507" s="5">
        <v>9</v>
      </c>
      <c r="M2507" s="5">
        <v>9</v>
      </c>
      <c r="N2507" s="7">
        <v>1319.8</v>
      </c>
      <c r="O2507" s="7">
        <f t="shared" si="275"/>
        <v>11878.199999999999</v>
      </c>
      <c r="P2507" s="4">
        <v>0</v>
      </c>
      <c r="Q2507" s="7">
        <f t="shared" si="276"/>
        <v>0</v>
      </c>
      <c r="R2507" s="7">
        <f t="shared" si="277"/>
        <v>11878.199999999999</v>
      </c>
      <c r="S2507" s="7">
        <f t="shared" si="278"/>
        <v>1319.8</v>
      </c>
      <c r="T2507" s="6">
        <f t="shared" si="279"/>
        <v>1.3353115727002967E-2</v>
      </c>
      <c r="V2507" t="s">
        <v>29</v>
      </c>
    </row>
    <row r="2508" spans="1:22">
      <c r="A2508" s="3">
        <v>45762</v>
      </c>
      <c r="B2508" t="str">
        <f t="shared" si="273"/>
        <v>yyyy-04</v>
      </c>
      <c r="C2508">
        <f t="shared" si="274"/>
        <v>16</v>
      </c>
      <c r="D2508" t="s">
        <v>42</v>
      </c>
      <c r="E2508" t="s">
        <v>43</v>
      </c>
      <c r="F2508" t="s">
        <v>46</v>
      </c>
      <c r="G2508" t="s">
        <v>27</v>
      </c>
      <c r="H2508" t="s">
        <v>63</v>
      </c>
      <c r="I2508" s="5">
        <v>270</v>
      </c>
      <c r="J2508" s="5">
        <v>201</v>
      </c>
      <c r="K2508" s="5">
        <v>15</v>
      </c>
      <c r="L2508" s="5">
        <v>3</v>
      </c>
      <c r="M2508" s="5">
        <v>3</v>
      </c>
      <c r="N2508" s="7">
        <v>2177.35</v>
      </c>
      <c r="O2508" s="7">
        <f t="shared" si="275"/>
        <v>6532.0499999999993</v>
      </c>
      <c r="P2508" s="4">
        <v>0</v>
      </c>
      <c r="Q2508" s="7">
        <f t="shared" si="276"/>
        <v>0</v>
      </c>
      <c r="R2508" s="7">
        <f t="shared" si="277"/>
        <v>6532.0499999999993</v>
      </c>
      <c r="S2508" s="7">
        <f t="shared" si="278"/>
        <v>2177.35</v>
      </c>
      <c r="T2508" s="6">
        <f t="shared" si="279"/>
        <v>1.1111111111111112E-2</v>
      </c>
      <c r="V2508" t="s">
        <v>29</v>
      </c>
    </row>
    <row r="2509" spans="1:22">
      <c r="A2509" s="3">
        <v>45762</v>
      </c>
      <c r="B2509" t="str">
        <f t="shared" si="273"/>
        <v>yyyy-04</v>
      </c>
      <c r="C2509">
        <f t="shared" si="274"/>
        <v>16</v>
      </c>
      <c r="D2509" t="s">
        <v>42</v>
      </c>
      <c r="E2509" t="s">
        <v>43</v>
      </c>
      <c r="F2509" t="s">
        <v>47</v>
      </c>
      <c r="G2509" t="s">
        <v>27</v>
      </c>
      <c r="H2509" t="s">
        <v>28</v>
      </c>
      <c r="I2509" s="5">
        <v>520</v>
      </c>
      <c r="J2509" s="5">
        <v>362</v>
      </c>
      <c r="K2509" s="5">
        <v>37</v>
      </c>
      <c r="L2509" s="5">
        <v>6</v>
      </c>
      <c r="M2509" s="5">
        <v>6</v>
      </c>
      <c r="N2509" s="7">
        <v>590.44000000000005</v>
      </c>
      <c r="O2509" s="7">
        <f t="shared" si="275"/>
        <v>3542.6400000000003</v>
      </c>
      <c r="P2509" s="4">
        <v>0</v>
      </c>
      <c r="Q2509" s="7">
        <f t="shared" si="276"/>
        <v>0</v>
      </c>
      <c r="R2509" s="7">
        <f t="shared" si="277"/>
        <v>3542.6400000000003</v>
      </c>
      <c r="S2509" s="7">
        <f t="shared" si="278"/>
        <v>590.44000000000005</v>
      </c>
      <c r="T2509" s="6">
        <f t="shared" si="279"/>
        <v>1.1538461538461539E-2</v>
      </c>
      <c r="V2509" t="s">
        <v>29</v>
      </c>
    </row>
    <row r="2510" spans="1:22">
      <c r="A2510" s="3">
        <v>45762</v>
      </c>
      <c r="B2510" t="str">
        <f t="shared" si="273"/>
        <v>yyyy-04</v>
      </c>
      <c r="C2510">
        <f t="shared" si="274"/>
        <v>16</v>
      </c>
      <c r="D2510" t="s">
        <v>42</v>
      </c>
      <c r="E2510" t="s">
        <v>49</v>
      </c>
      <c r="F2510" t="s">
        <v>50</v>
      </c>
      <c r="G2510" t="s">
        <v>27</v>
      </c>
      <c r="H2510" t="s">
        <v>48</v>
      </c>
      <c r="I2510" s="5">
        <v>153</v>
      </c>
      <c r="J2510" s="5">
        <v>113</v>
      </c>
      <c r="K2510" s="5">
        <v>11</v>
      </c>
      <c r="L2510" s="5">
        <v>3</v>
      </c>
      <c r="M2510" s="5">
        <v>3</v>
      </c>
      <c r="N2510" s="7">
        <v>992.14</v>
      </c>
      <c r="O2510" s="7">
        <f t="shared" si="275"/>
        <v>2976.42</v>
      </c>
      <c r="P2510" s="4">
        <v>0.1</v>
      </c>
      <c r="Q2510" s="7">
        <f t="shared" si="276"/>
        <v>297.642</v>
      </c>
      <c r="R2510" s="7">
        <f t="shared" si="277"/>
        <v>2678.7780000000002</v>
      </c>
      <c r="S2510" s="7">
        <f t="shared" si="278"/>
        <v>892.92600000000004</v>
      </c>
      <c r="T2510" s="6">
        <f t="shared" si="279"/>
        <v>1.9607843137254902E-2</v>
      </c>
      <c r="U2510" t="s">
        <v>94</v>
      </c>
      <c r="V2510" t="s">
        <v>29</v>
      </c>
    </row>
    <row r="2511" spans="1:22">
      <c r="A2511" s="3">
        <v>45762</v>
      </c>
      <c r="B2511" t="str">
        <f t="shared" si="273"/>
        <v>yyyy-04</v>
      </c>
      <c r="C2511">
        <f t="shared" si="274"/>
        <v>16</v>
      </c>
      <c r="D2511" t="s">
        <v>42</v>
      </c>
      <c r="E2511" t="s">
        <v>51</v>
      </c>
      <c r="F2511" t="s">
        <v>52</v>
      </c>
      <c r="G2511" t="s">
        <v>27</v>
      </c>
      <c r="H2511" t="s">
        <v>45</v>
      </c>
      <c r="I2511" s="5">
        <v>244</v>
      </c>
      <c r="J2511" s="5">
        <v>186</v>
      </c>
      <c r="K2511" s="5">
        <v>10</v>
      </c>
      <c r="L2511" s="5">
        <v>3</v>
      </c>
      <c r="M2511" s="5">
        <v>3</v>
      </c>
      <c r="N2511" s="7">
        <v>593.9</v>
      </c>
      <c r="O2511" s="7">
        <f t="shared" si="275"/>
        <v>1781.6999999999998</v>
      </c>
      <c r="P2511" s="4">
        <v>0</v>
      </c>
      <c r="Q2511" s="7">
        <f t="shared" si="276"/>
        <v>0</v>
      </c>
      <c r="R2511" s="7">
        <f t="shared" si="277"/>
        <v>1781.6999999999998</v>
      </c>
      <c r="S2511" s="7">
        <f t="shared" si="278"/>
        <v>593.9</v>
      </c>
      <c r="T2511" s="6">
        <f t="shared" si="279"/>
        <v>1.2295081967213115E-2</v>
      </c>
      <c r="V2511" t="s">
        <v>29</v>
      </c>
    </row>
    <row r="2512" spans="1:22">
      <c r="A2512" s="3">
        <v>45762</v>
      </c>
      <c r="B2512" t="str">
        <f t="shared" si="273"/>
        <v>yyyy-04</v>
      </c>
      <c r="C2512">
        <f t="shared" si="274"/>
        <v>16</v>
      </c>
      <c r="D2512" t="s">
        <v>53</v>
      </c>
      <c r="E2512" t="s">
        <v>54</v>
      </c>
      <c r="F2512" t="s">
        <v>55</v>
      </c>
      <c r="G2512" t="s">
        <v>27</v>
      </c>
      <c r="H2512" t="s">
        <v>63</v>
      </c>
      <c r="I2512" s="5">
        <v>124</v>
      </c>
      <c r="J2512" s="5">
        <v>90</v>
      </c>
      <c r="K2512" s="5">
        <v>8</v>
      </c>
      <c r="L2512" s="5">
        <v>2</v>
      </c>
      <c r="M2512" s="5">
        <v>2</v>
      </c>
      <c r="N2512" s="7">
        <v>1252.21</v>
      </c>
      <c r="O2512" s="7">
        <f t="shared" si="275"/>
        <v>2504.42</v>
      </c>
      <c r="P2512" s="4">
        <v>0.03</v>
      </c>
      <c r="Q2512" s="7">
        <f t="shared" si="276"/>
        <v>75.132599999999996</v>
      </c>
      <c r="R2512" s="7">
        <f t="shared" si="277"/>
        <v>2429.2874000000002</v>
      </c>
      <c r="S2512" s="7">
        <f t="shared" si="278"/>
        <v>1214.6437000000001</v>
      </c>
      <c r="T2512" s="6">
        <f t="shared" si="279"/>
        <v>1.6129032258064516E-2</v>
      </c>
      <c r="V2512" t="s">
        <v>29</v>
      </c>
    </row>
    <row r="2513" spans="1:22">
      <c r="A2513" s="3">
        <v>45762</v>
      </c>
      <c r="B2513" t="str">
        <f t="shared" si="273"/>
        <v>yyyy-04</v>
      </c>
      <c r="C2513">
        <f t="shared" si="274"/>
        <v>16</v>
      </c>
      <c r="D2513" t="s">
        <v>53</v>
      </c>
      <c r="E2513" t="s">
        <v>56</v>
      </c>
      <c r="F2513" t="s">
        <v>57</v>
      </c>
      <c r="G2513" t="s">
        <v>27</v>
      </c>
      <c r="H2513" t="s">
        <v>28</v>
      </c>
      <c r="I2513" s="5">
        <v>252</v>
      </c>
      <c r="J2513" s="5">
        <v>159</v>
      </c>
      <c r="K2513" s="5">
        <v>17</v>
      </c>
      <c r="L2513" s="5">
        <v>4</v>
      </c>
      <c r="M2513" s="5">
        <v>4</v>
      </c>
      <c r="N2513" s="7">
        <v>726.57</v>
      </c>
      <c r="O2513" s="7">
        <f t="shared" si="275"/>
        <v>2906.28</v>
      </c>
      <c r="P2513" s="4">
        <v>0</v>
      </c>
      <c r="Q2513" s="7">
        <f t="shared" si="276"/>
        <v>0</v>
      </c>
      <c r="R2513" s="7">
        <f t="shared" si="277"/>
        <v>2906.28</v>
      </c>
      <c r="S2513" s="7">
        <f t="shared" si="278"/>
        <v>726.57</v>
      </c>
      <c r="T2513" s="6">
        <f t="shared" si="279"/>
        <v>1.5873015873015872E-2</v>
      </c>
      <c r="V2513" t="s">
        <v>29</v>
      </c>
    </row>
    <row r="2514" spans="1:22">
      <c r="A2514" s="3">
        <v>45762</v>
      </c>
      <c r="B2514" t="str">
        <f t="shared" si="273"/>
        <v>yyyy-04</v>
      </c>
      <c r="C2514">
        <f t="shared" si="274"/>
        <v>16</v>
      </c>
      <c r="D2514" t="s">
        <v>53</v>
      </c>
      <c r="E2514" t="s">
        <v>56</v>
      </c>
      <c r="F2514" t="s">
        <v>58</v>
      </c>
      <c r="G2514" t="s">
        <v>27</v>
      </c>
      <c r="H2514" t="s">
        <v>48</v>
      </c>
      <c r="I2514" s="5">
        <v>178</v>
      </c>
      <c r="J2514" s="5">
        <v>122</v>
      </c>
      <c r="K2514" s="5">
        <v>5</v>
      </c>
      <c r="L2514" s="5">
        <v>2</v>
      </c>
      <c r="M2514" s="5">
        <v>2</v>
      </c>
      <c r="N2514" s="7">
        <v>871.43</v>
      </c>
      <c r="O2514" s="7">
        <f t="shared" si="275"/>
        <v>1742.86</v>
      </c>
      <c r="P2514" s="4">
        <v>0</v>
      </c>
      <c r="Q2514" s="7">
        <f t="shared" si="276"/>
        <v>0</v>
      </c>
      <c r="R2514" s="7">
        <f t="shared" si="277"/>
        <v>1742.86</v>
      </c>
      <c r="S2514" s="7">
        <f t="shared" si="278"/>
        <v>871.43</v>
      </c>
      <c r="T2514" s="6">
        <f t="shared" si="279"/>
        <v>1.1235955056179775E-2</v>
      </c>
      <c r="V2514" t="s">
        <v>29</v>
      </c>
    </row>
    <row r="2515" spans="1:22">
      <c r="A2515" s="3">
        <v>45762</v>
      </c>
      <c r="B2515" t="str">
        <f t="shared" si="273"/>
        <v>yyyy-04</v>
      </c>
      <c r="C2515">
        <f t="shared" si="274"/>
        <v>16</v>
      </c>
      <c r="D2515" t="s">
        <v>53</v>
      </c>
      <c r="E2515" t="s">
        <v>59</v>
      </c>
      <c r="F2515" t="s">
        <v>60</v>
      </c>
      <c r="G2515" t="s">
        <v>31</v>
      </c>
      <c r="H2515" t="s">
        <v>32</v>
      </c>
      <c r="I2515" s="5">
        <v>203</v>
      </c>
      <c r="J2515" s="5">
        <v>130</v>
      </c>
      <c r="K2515" s="5">
        <v>12</v>
      </c>
      <c r="L2515" s="5">
        <v>2</v>
      </c>
      <c r="M2515" s="5">
        <v>2</v>
      </c>
      <c r="N2515" s="7">
        <v>699.05</v>
      </c>
      <c r="O2515" s="7">
        <f t="shared" si="275"/>
        <v>1398.1</v>
      </c>
      <c r="P2515" s="4">
        <v>0.09</v>
      </c>
      <c r="Q2515" s="7">
        <f t="shared" si="276"/>
        <v>125.82899999999999</v>
      </c>
      <c r="R2515" s="7">
        <f t="shared" si="277"/>
        <v>1272.271</v>
      </c>
      <c r="S2515" s="7">
        <f t="shared" si="278"/>
        <v>636.13549999999998</v>
      </c>
      <c r="T2515" s="6">
        <f t="shared" si="279"/>
        <v>9.852216748768473E-3</v>
      </c>
      <c r="U2515" t="s">
        <v>93</v>
      </c>
      <c r="V2515" t="s">
        <v>29</v>
      </c>
    </row>
    <row r="2516" spans="1:22">
      <c r="A2516" s="3">
        <v>45762</v>
      </c>
      <c r="B2516" t="str">
        <f t="shared" si="273"/>
        <v>yyyy-04</v>
      </c>
      <c r="C2516">
        <f t="shared" si="274"/>
        <v>16</v>
      </c>
      <c r="D2516" t="s">
        <v>53</v>
      </c>
      <c r="E2516" t="s">
        <v>61</v>
      </c>
      <c r="F2516" t="s">
        <v>62</v>
      </c>
      <c r="G2516" t="s">
        <v>31</v>
      </c>
      <c r="H2516" t="s">
        <v>32</v>
      </c>
      <c r="I2516" s="5">
        <v>213</v>
      </c>
      <c r="J2516" s="5">
        <v>146</v>
      </c>
      <c r="K2516" s="5">
        <v>17</v>
      </c>
      <c r="L2516" s="5">
        <v>3</v>
      </c>
      <c r="M2516" s="5">
        <v>3</v>
      </c>
      <c r="N2516" s="7">
        <v>498.41</v>
      </c>
      <c r="O2516" s="7">
        <f t="shared" si="275"/>
        <v>1495.23</v>
      </c>
      <c r="P2516" s="4">
        <v>0</v>
      </c>
      <c r="Q2516" s="7">
        <f t="shared" si="276"/>
        <v>0</v>
      </c>
      <c r="R2516" s="7">
        <f t="shared" si="277"/>
        <v>1495.23</v>
      </c>
      <c r="S2516" s="7">
        <f t="shared" si="278"/>
        <v>498.41</v>
      </c>
      <c r="T2516" s="6">
        <f t="shared" si="279"/>
        <v>1.4084507042253521E-2</v>
      </c>
      <c r="V2516" t="s">
        <v>29</v>
      </c>
    </row>
    <row r="2517" spans="1:22">
      <c r="A2517" s="3">
        <v>45762</v>
      </c>
      <c r="B2517" t="str">
        <f t="shared" si="273"/>
        <v>yyyy-04</v>
      </c>
      <c r="C2517">
        <f t="shared" si="274"/>
        <v>16</v>
      </c>
      <c r="D2517" t="s">
        <v>53</v>
      </c>
      <c r="E2517" t="s">
        <v>64</v>
      </c>
      <c r="F2517" t="s">
        <v>65</v>
      </c>
      <c r="G2517" t="s">
        <v>27</v>
      </c>
      <c r="H2517" t="s">
        <v>28</v>
      </c>
      <c r="I2517" s="5">
        <v>182</v>
      </c>
      <c r="J2517" s="5">
        <v>123</v>
      </c>
      <c r="K2517" s="5">
        <v>11</v>
      </c>
      <c r="L2517" s="5">
        <v>2</v>
      </c>
      <c r="M2517" s="5">
        <v>2</v>
      </c>
      <c r="N2517" s="7">
        <v>790.46</v>
      </c>
      <c r="O2517" s="7">
        <f t="shared" si="275"/>
        <v>1580.92</v>
      </c>
      <c r="P2517" s="4">
        <v>0.05</v>
      </c>
      <c r="Q2517" s="7">
        <f t="shared" si="276"/>
        <v>79.046000000000006</v>
      </c>
      <c r="R2517" s="7">
        <f t="shared" si="277"/>
        <v>1501.874</v>
      </c>
      <c r="S2517" s="7">
        <f t="shared" si="278"/>
        <v>750.93700000000001</v>
      </c>
      <c r="T2517" s="6">
        <f t="shared" si="279"/>
        <v>1.098901098901099E-2</v>
      </c>
      <c r="V2517" t="s">
        <v>29</v>
      </c>
    </row>
    <row r="2518" spans="1:22">
      <c r="A2518" s="3">
        <v>45762</v>
      </c>
      <c r="B2518" t="str">
        <f t="shared" si="273"/>
        <v>yyyy-04</v>
      </c>
      <c r="C2518">
        <f t="shared" si="274"/>
        <v>16</v>
      </c>
      <c r="D2518" t="s">
        <v>66</v>
      </c>
      <c r="E2518" t="s">
        <v>67</v>
      </c>
      <c r="F2518" t="s">
        <v>68</v>
      </c>
      <c r="G2518" t="s">
        <v>27</v>
      </c>
      <c r="H2518" t="s">
        <v>48</v>
      </c>
      <c r="I2518" s="5">
        <v>230</v>
      </c>
      <c r="J2518" s="5">
        <v>180</v>
      </c>
      <c r="K2518" s="5">
        <v>18</v>
      </c>
      <c r="L2518" s="5">
        <v>4</v>
      </c>
      <c r="M2518" s="5">
        <v>4</v>
      </c>
      <c r="N2518" s="7">
        <v>695.62</v>
      </c>
      <c r="O2518" s="7">
        <f t="shared" si="275"/>
        <v>2782.48</v>
      </c>
      <c r="P2518" s="4">
        <v>0</v>
      </c>
      <c r="Q2518" s="7">
        <f t="shared" si="276"/>
        <v>0</v>
      </c>
      <c r="R2518" s="7">
        <f t="shared" si="277"/>
        <v>2782.48</v>
      </c>
      <c r="S2518" s="7">
        <f t="shared" si="278"/>
        <v>695.62</v>
      </c>
      <c r="T2518" s="6">
        <f t="shared" si="279"/>
        <v>1.7391304347826087E-2</v>
      </c>
      <c r="V2518" t="s">
        <v>29</v>
      </c>
    </row>
    <row r="2519" spans="1:22">
      <c r="A2519" s="3">
        <v>45762</v>
      </c>
      <c r="B2519" t="str">
        <f t="shared" si="273"/>
        <v>yyyy-04</v>
      </c>
      <c r="C2519">
        <f t="shared" si="274"/>
        <v>16</v>
      </c>
      <c r="D2519" t="s">
        <v>66</v>
      </c>
      <c r="E2519" t="s">
        <v>67</v>
      </c>
      <c r="F2519" t="s">
        <v>69</v>
      </c>
      <c r="G2519" t="s">
        <v>31</v>
      </c>
      <c r="H2519" t="s">
        <v>32</v>
      </c>
      <c r="I2519" s="5">
        <v>496</v>
      </c>
      <c r="J2519" s="5">
        <v>395</v>
      </c>
      <c r="K2519" s="5">
        <v>38</v>
      </c>
      <c r="L2519" s="5">
        <v>8</v>
      </c>
      <c r="M2519" s="5">
        <v>8</v>
      </c>
      <c r="N2519" s="7">
        <v>405.3</v>
      </c>
      <c r="O2519" s="7">
        <f t="shared" si="275"/>
        <v>3242.4</v>
      </c>
      <c r="P2519" s="4">
        <v>0</v>
      </c>
      <c r="Q2519" s="7">
        <f t="shared" si="276"/>
        <v>0</v>
      </c>
      <c r="R2519" s="7">
        <f t="shared" si="277"/>
        <v>3242.4</v>
      </c>
      <c r="S2519" s="7">
        <f t="shared" si="278"/>
        <v>405.3</v>
      </c>
      <c r="T2519" s="6">
        <f t="shared" si="279"/>
        <v>1.6129032258064516E-2</v>
      </c>
      <c r="V2519" t="s">
        <v>29</v>
      </c>
    </row>
    <row r="2520" spans="1:22">
      <c r="A2520" s="3">
        <v>45762</v>
      </c>
      <c r="B2520" t="str">
        <f t="shared" si="273"/>
        <v>yyyy-04</v>
      </c>
      <c r="C2520">
        <f t="shared" si="274"/>
        <v>16</v>
      </c>
      <c r="D2520" t="s">
        <v>66</v>
      </c>
      <c r="E2520" t="s">
        <v>67</v>
      </c>
      <c r="F2520" t="s">
        <v>70</v>
      </c>
      <c r="G2520" t="s">
        <v>36</v>
      </c>
      <c r="H2520" t="s">
        <v>37</v>
      </c>
      <c r="I2520" s="5">
        <v>470</v>
      </c>
      <c r="J2520" s="5">
        <v>310</v>
      </c>
      <c r="K2520" s="5">
        <v>29</v>
      </c>
      <c r="L2520" s="5">
        <v>7</v>
      </c>
      <c r="M2520" s="5">
        <v>7</v>
      </c>
      <c r="N2520" s="7">
        <v>345.32</v>
      </c>
      <c r="O2520" s="7">
        <f t="shared" si="275"/>
        <v>2417.2399999999998</v>
      </c>
      <c r="P2520" s="4">
        <v>0</v>
      </c>
      <c r="Q2520" s="7">
        <f t="shared" si="276"/>
        <v>0</v>
      </c>
      <c r="R2520" s="7">
        <f t="shared" si="277"/>
        <v>2417.2399999999998</v>
      </c>
      <c r="S2520" s="7">
        <f t="shared" si="278"/>
        <v>345.32</v>
      </c>
      <c r="T2520" s="6">
        <f t="shared" si="279"/>
        <v>1.4893617021276596E-2</v>
      </c>
      <c r="V2520" t="s">
        <v>29</v>
      </c>
    </row>
    <row r="2521" spans="1:22">
      <c r="A2521" s="3">
        <v>45762</v>
      </c>
      <c r="B2521" t="str">
        <f t="shared" si="273"/>
        <v>yyyy-04</v>
      </c>
      <c r="C2521">
        <f t="shared" si="274"/>
        <v>16</v>
      </c>
      <c r="D2521" t="s">
        <v>66</v>
      </c>
      <c r="E2521" t="s">
        <v>71</v>
      </c>
      <c r="F2521" t="s">
        <v>72</v>
      </c>
      <c r="G2521" t="s">
        <v>36</v>
      </c>
      <c r="H2521" t="s">
        <v>37</v>
      </c>
      <c r="I2521" s="5">
        <v>277</v>
      </c>
      <c r="J2521" s="5">
        <v>163</v>
      </c>
      <c r="K2521" s="5">
        <v>18</v>
      </c>
      <c r="L2521" s="5">
        <v>6</v>
      </c>
      <c r="M2521" s="5">
        <v>6</v>
      </c>
      <c r="N2521" s="7">
        <v>127.61</v>
      </c>
      <c r="O2521" s="7">
        <f t="shared" si="275"/>
        <v>765.66</v>
      </c>
      <c r="P2521" s="4">
        <v>0.03</v>
      </c>
      <c r="Q2521" s="7">
        <f t="shared" si="276"/>
        <v>22.969799999999999</v>
      </c>
      <c r="R2521" s="7">
        <f t="shared" si="277"/>
        <v>742.6902</v>
      </c>
      <c r="S2521" s="7">
        <f t="shared" si="278"/>
        <v>123.7817</v>
      </c>
      <c r="T2521" s="6">
        <f t="shared" si="279"/>
        <v>2.1660649819494584E-2</v>
      </c>
      <c r="V2521" t="s">
        <v>29</v>
      </c>
    </row>
    <row r="2522" spans="1:22">
      <c r="A2522" s="3">
        <v>45762</v>
      </c>
      <c r="B2522" t="str">
        <f t="shared" si="273"/>
        <v>yyyy-04</v>
      </c>
      <c r="C2522">
        <f t="shared" si="274"/>
        <v>16</v>
      </c>
      <c r="D2522" t="s">
        <v>66</v>
      </c>
      <c r="E2522" t="s">
        <v>73</v>
      </c>
      <c r="F2522" t="s">
        <v>74</v>
      </c>
      <c r="G2522" t="s">
        <v>31</v>
      </c>
      <c r="H2522" t="s">
        <v>32</v>
      </c>
      <c r="I2522" s="5">
        <v>250</v>
      </c>
      <c r="J2522" s="5">
        <v>195</v>
      </c>
      <c r="K2522" s="5">
        <v>23</v>
      </c>
      <c r="L2522" s="5">
        <v>5</v>
      </c>
      <c r="M2522" s="5">
        <v>5</v>
      </c>
      <c r="N2522" s="7">
        <v>1174.73</v>
      </c>
      <c r="O2522" s="7">
        <f t="shared" si="275"/>
        <v>5873.65</v>
      </c>
      <c r="P2522" s="4">
        <v>0</v>
      </c>
      <c r="Q2522" s="7">
        <f t="shared" si="276"/>
        <v>0</v>
      </c>
      <c r="R2522" s="7">
        <f t="shared" si="277"/>
        <v>5873.65</v>
      </c>
      <c r="S2522" s="7">
        <f t="shared" si="278"/>
        <v>1174.73</v>
      </c>
      <c r="T2522" s="6">
        <f t="shared" si="279"/>
        <v>0.02</v>
      </c>
      <c r="V2522" t="s">
        <v>29</v>
      </c>
    </row>
    <row r="2523" spans="1:22">
      <c r="A2523" s="3">
        <v>45762</v>
      </c>
      <c r="B2523" t="str">
        <f t="shared" si="273"/>
        <v>yyyy-04</v>
      </c>
      <c r="C2523">
        <f t="shared" si="274"/>
        <v>16</v>
      </c>
      <c r="D2523" t="s">
        <v>66</v>
      </c>
      <c r="E2523" t="s">
        <v>71</v>
      </c>
      <c r="F2523" t="s">
        <v>75</v>
      </c>
      <c r="G2523" t="s">
        <v>27</v>
      </c>
      <c r="H2523" t="s">
        <v>28</v>
      </c>
      <c r="I2523" s="5">
        <v>302</v>
      </c>
      <c r="J2523" s="5">
        <v>160</v>
      </c>
      <c r="K2523" s="5">
        <v>13</v>
      </c>
      <c r="L2523" s="5">
        <v>4</v>
      </c>
      <c r="M2523" s="5">
        <v>5</v>
      </c>
      <c r="N2523" s="7">
        <v>39.49</v>
      </c>
      <c r="O2523" s="7">
        <f t="shared" si="275"/>
        <v>197.45000000000002</v>
      </c>
      <c r="P2523" s="4">
        <v>0.05</v>
      </c>
      <c r="Q2523" s="7">
        <f t="shared" si="276"/>
        <v>9.8725000000000023</v>
      </c>
      <c r="R2523" s="7">
        <f t="shared" si="277"/>
        <v>187.57750000000001</v>
      </c>
      <c r="S2523" s="7">
        <f t="shared" si="278"/>
        <v>46.894375000000004</v>
      </c>
      <c r="T2523" s="6">
        <f t="shared" si="279"/>
        <v>1.3245033112582781E-2</v>
      </c>
      <c r="V2523" t="s">
        <v>29</v>
      </c>
    </row>
    <row r="2524" spans="1:22">
      <c r="A2524" s="3">
        <v>45762</v>
      </c>
      <c r="B2524" t="str">
        <f t="shared" si="273"/>
        <v>yyyy-04</v>
      </c>
      <c r="C2524">
        <f t="shared" si="274"/>
        <v>16</v>
      </c>
      <c r="D2524" t="s">
        <v>24</v>
      </c>
      <c r="E2524" t="s">
        <v>76</v>
      </c>
      <c r="F2524" t="s">
        <v>77</v>
      </c>
      <c r="G2524" t="s">
        <v>31</v>
      </c>
      <c r="H2524" t="s">
        <v>32</v>
      </c>
      <c r="I2524" s="5">
        <v>818</v>
      </c>
      <c r="J2524" s="5">
        <v>496</v>
      </c>
      <c r="K2524" s="5">
        <v>40</v>
      </c>
      <c r="L2524" s="5">
        <v>13</v>
      </c>
      <c r="M2524" s="5">
        <v>14</v>
      </c>
      <c r="N2524" s="7">
        <v>202.64</v>
      </c>
      <c r="O2524" s="7">
        <f t="shared" si="275"/>
        <v>2836.96</v>
      </c>
      <c r="P2524" s="4">
        <v>0</v>
      </c>
      <c r="Q2524" s="7">
        <f t="shared" si="276"/>
        <v>0</v>
      </c>
      <c r="R2524" s="7">
        <f t="shared" si="277"/>
        <v>2836.96</v>
      </c>
      <c r="S2524" s="7">
        <f t="shared" si="278"/>
        <v>218.22769230769231</v>
      </c>
      <c r="T2524" s="6">
        <f t="shared" si="279"/>
        <v>1.5892420537897311E-2</v>
      </c>
      <c r="V2524" t="s">
        <v>29</v>
      </c>
    </row>
    <row r="2525" spans="1:22">
      <c r="A2525" s="3">
        <v>45763</v>
      </c>
      <c r="B2525" t="str">
        <f t="shared" si="273"/>
        <v>yyyy-04</v>
      </c>
      <c r="C2525">
        <f t="shared" si="274"/>
        <v>16</v>
      </c>
      <c r="D2525" t="s">
        <v>24</v>
      </c>
      <c r="E2525" t="s">
        <v>25</v>
      </c>
      <c r="F2525" t="s">
        <v>26</v>
      </c>
      <c r="G2525" t="s">
        <v>36</v>
      </c>
      <c r="H2525" t="s">
        <v>37</v>
      </c>
      <c r="I2525" s="5">
        <v>2057</v>
      </c>
      <c r="J2525" s="5">
        <v>1517</v>
      </c>
      <c r="K2525" s="5">
        <v>231</v>
      </c>
      <c r="L2525" s="5">
        <v>48</v>
      </c>
      <c r="M2525" s="5">
        <v>48</v>
      </c>
      <c r="N2525" s="7">
        <v>1006.59</v>
      </c>
      <c r="O2525" s="7">
        <f t="shared" si="275"/>
        <v>48316.32</v>
      </c>
      <c r="P2525" s="4">
        <v>0</v>
      </c>
      <c r="Q2525" s="7">
        <f t="shared" si="276"/>
        <v>0</v>
      </c>
      <c r="R2525" s="7">
        <f t="shared" si="277"/>
        <v>48316.32</v>
      </c>
      <c r="S2525" s="7">
        <f t="shared" si="278"/>
        <v>1006.59</v>
      </c>
      <c r="T2525" s="6">
        <f t="shared" si="279"/>
        <v>2.333495381623724E-2</v>
      </c>
      <c r="V2525" t="s">
        <v>29</v>
      </c>
    </row>
    <row r="2526" spans="1:22">
      <c r="A2526" s="3">
        <v>45763</v>
      </c>
      <c r="B2526" t="str">
        <f t="shared" si="273"/>
        <v>yyyy-04</v>
      </c>
      <c r="C2526">
        <f t="shared" si="274"/>
        <v>16</v>
      </c>
      <c r="D2526" t="s">
        <v>24</v>
      </c>
      <c r="E2526" t="s">
        <v>25</v>
      </c>
      <c r="F2526" t="s">
        <v>30</v>
      </c>
      <c r="G2526" t="s">
        <v>27</v>
      </c>
      <c r="H2526" t="s">
        <v>48</v>
      </c>
      <c r="I2526" s="5">
        <v>1135</v>
      </c>
      <c r="J2526" s="5">
        <v>938</v>
      </c>
      <c r="K2526" s="5">
        <v>70</v>
      </c>
      <c r="L2526" s="5">
        <v>18</v>
      </c>
      <c r="M2526" s="5">
        <v>18</v>
      </c>
      <c r="N2526" s="7">
        <v>405.41</v>
      </c>
      <c r="O2526" s="7">
        <f t="shared" si="275"/>
        <v>7297.38</v>
      </c>
      <c r="P2526" s="4">
        <v>0</v>
      </c>
      <c r="Q2526" s="7">
        <f t="shared" si="276"/>
        <v>0</v>
      </c>
      <c r="R2526" s="7">
        <f t="shared" si="277"/>
        <v>7297.38</v>
      </c>
      <c r="S2526" s="7">
        <f t="shared" si="278"/>
        <v>405.41</v>
      </c>
      <c r="T2526" s="6">
        <f t="shared" si="279"/>
        <v>1.5859030837004406E-2</v>
      </c>
      <c r="V2526" t="s">
        <v>29</v>
      </c>
    </row>
    <row r="2527" spans="1:22">
      <c r="A2527" s="3">
        <v>45763</v>
      </c>
      <c r="B2527" t="str">
        <f t="shared" si="273"/>
        <v>yyyy-04</v>
      </c>
      <c r="C2527">
        <f t="shared" si="274"/>
        <v>16</v>
      </c>
      <c r="D2527" t="s">
        <v>24</v>
      </c>
      <c r="E2527" t="s">
        <v>25</v>
      </c>
      <c r="F2527" t="s">
        <v>33</v>
      </c>
      <c r="G2527" t="s">
        <v>27</v>
      </c>
      <c r="H2527" t="s">
        <v>28</v>
      </c>
      <c r="I2527" s="5">
        <v>1338</v>
      </c>
      <c r="J2527" s="5">
        <v>1057</v>
      </c>
      <c r="K2527" s="5">
        <v>116</v>
      </c>
      <c r="L2527" s="5">
        <v>29</v>
      </c>
      <c r="M2527" s="5">
        <v>29</v>
      </c>
      <c r="N2527" s="7">
        <v>1742.38</v>
      </c>
      <c r="O2527" s="7">
        <f t="shared" si="275"/>
        <v>50529.020000000004</v>
      </c>
      <c r="P2527" s="4">
        <v>0</v>
      </c>
      <c r="Q2527" s="7">
        <f t="shared" si="276"/>
        <v>0</v>
      </c>
      <c r="R2527" s="7">
        <f t="shared" si="277"/>
        <v>50529.020000000004</v>
      </c>
      <c r="S2527" s="7">
        <f t="shared" si="278"/>
        <v>1742.38</v>
      </c>
      <c r="T2527" s="6">
        <f t="shared" si="279"/>
        <v>2.1674140508221227E-2</v>
      </c>
      <c r="V2527" t="s">
        <v>29</v>
      </c>
    </row>
    <row r="2528" spans="1:22">
      <c r="A2528" s="3">
        <v>45763</v>
      </c>
      <c r="B2528" t="str">
        <f t="shared" si="273"/>
        <v>yyyy-04</v>
      </c>
      <c r="C2528">
        <f t="shared" si="274"/>
        <v>16</v>
      </c>
      <c r="D2528" t="s">
        <v>24</v>
      </c>
      <c r="E2528" t="s">
        <v>34</v>
      </c>
      <c r="F2528" t="s">
        <v>35</v>
      </c>
      <c r="G2528" t="s">
        <v>27</v>
      </c>
      <c r="H2528" t="s">
        <v>28</v>
      </c>
      <c r="I2528" s="5">
        <v>906</v>
      </c>
      <c r="J2528" s="5">
        <v>647</v>
      </c>
      <c r="K2528" s="5">
        <v>60</v>
      </c>
      <c r="L2528" s="5">
        <v>17</v>
      </c>
      <c r="M2528" s="5">
        <v>17</v>
      </c>
      <c r="N2528" s="7">
        <v>915.7</v>
      </c>
      <c r="O2528" s="7">
        <f t="shared" si="275"/>
        <v>15566.900000000001</v>
      </c>
      <c r="P2528" s="4">
        <v>0</v>
      </c>
      <c r="Q2528" s="7">
        <f t="shared" si="276"/>
        <v>0</v>
      </c>
      <c r="R2528" s="7">
        <f t="shared" si="277"/>
        <v>15566.900000000001</v>
      </c>
      <c r="S2528" s="7">
        <f t="shared" si="278"/>
        <v>915.7</v>
      </c>
      <c r="T2528" s="6">
        <f t="shared" si="279"/>
        <v>1.8763796909492272E-2</v>
      </c>
      <c r="V2528" t="s">
        <v>29</v>
      </c>
    </row>
    <row r="2529" spans="1:22">
      <c r="A2529" s="3">
        <v>45763</v>
      </c>
      <c r="B2529" t="str">
        <f t="shared" si="273"/>
        <v>yyyy-04</v>
      </c>
      <c r="C2529">
        <f t="shared" si="274"/>
        <v>16</v>
      </c>
      <c r="D2529" t="s">
        <v>24</v>
      </c>
      <c r="E2529" t="s">
        <v>38</v>
      </c>
      <c r="F2529" t="s">
        <v>39</v>
      </c>
      <c r="G2529" t="s">
        <v>27</v>
      </c>
      <c r="H2529" t="s">
        <v>28</v>
      </c>
      <c r="I2529" s="5">
        <v>836</v>
      </c>
      <c r="J2529" s="5">
        <v>634</v>
      </c>
      <c r="K2529" s="5">
        <v>46</v>
      </c>
      <c r="L2529" s="5">
        <v>14</v>
      </c>
      <c r="M2529" s="5">
        <v>14</v>
      </c>
      <c r="N2529" s="7">
        <v>316.27</v>
      </c>
      <c r="O2529" s="7">
        <f t="shared" si="275"/>
        <v>4427.78</v>
      </c>
      <c r="P2529" s="4">
        <v>0</v>
      </c>
      <c r="Q2529" s="7">
        <f t="shared" si="276"/>
        <v>0</v>
      </c>
      <c r="R2529" s="7">
        <f t="shared" si="277"/>
        <v>4427.78</v>
      </c>
      <c r="S2529" s="7">
        <f t="shared" si="278"/>
        <v>316.27</v>
      </c>
      <c r="T2529" s="6">
        <f t="shared" si="279"/>
        <v>1.6746411483253589E-2</v>
      </c>
      <c r="V2529" t="s">
        <v>78</v>
      </c>
    </row>
    <row r="2530" spans="1:22">
      <c r="A2530" s="3">
        <v>45763</v>
      </c>
      <c r="B2530" t="str">
        <f t="shared" si="273"/>
        <v>yyyy-04</v>
      </c>
      <c r="C2530">
        <f t="shared" si="274"/>
        <v>16</v>
      </c>
      <c r="D2530" t="s">
        <v>24</v>
      </c>
      <c r="E2530" t="s">
        <v>40</v>
      </c>
      <c r="F2530" t="s">
        <v>41</v>
      </c>
      <c r="G2530" t="s">
        <v>36</v>
      </c>
      <c r="H2530" t="s">
        <v>37</v>
      </c>
      <c r="I2530" s="5">
        <v>708</v>
      </c>
      <c r="J2530" s="5">
        <v>473</v>
      </c>
      <c r="K2530" s="5">
        <v>60</v>
      </c>
      <c r="L2530" s="5">
        <v>17</v>
      </c>
      <c r="M2530" s="5">
        <v>18</v>
      </c>
      <c r="N2530" s="7">
        <v>178.09</v>
      </c>
      <c r="O2530" s="7">
        <f t="shared" si="275"/>
        <v>3205.62</v>
      </c>
      <c r="P2530" s="4">
        <v>0</v>
      </c>
      <c r="Q2530" s="7">
        <f t="shared" si="276"/>
        <v>0</v>
      </c>
      <c r="R2530" s="7">
        <f t="shared" si="277"/>
        <v>3205.62</v>
      </c>
      <c r="S2530" s="7">
        <f t="shared" si="278"/>
        <v>188.56588235294117</v>
      </c>
      <c r="T2530" s="6">
        <f t="shared" si="279"/>
        <v>2.4011299435028249E-2</v>
      </c>
      <c r="V2530" t="s">
        <v>29</v>
      </c>
    </row>
    <row r="2531" spans="1:22">
      <c r="A2531" s="3">
        <v>45763</v>
      </c>
      <c r="B2531" t="str">
        <f t="shared" si="273"/>
        <v>yyyy-04</v>
      </c>
      <c r="C2531">
        <f t="shared" si="274"/>
        <v>16</v>
      </c>
      <c r="D2531" t="s">
        <v>42</v>
      </c>
      <c r="E2531" t="s">
        <v>43</v>
      </c>
      <c r="F2531" t="s">
        <v>44</v>
      </c>
      <c r="G2531" t="s">
        <v>27</v>
      </c>
      <c r="H2531" t="s">
        <v>28</v>
      </c>
      <c r="I2531" s="5">
        <v>593</v>
      </c>
      <c r="J2531" s="5">
        <v>431</v>
      </c>
      <c r="K2531" s="5">
        <v>35</v>
      </c>
      <c r="L2531" s="5">
        <v>9</v>
      </c>
      <c r="M2531" s="5">
        <v>9</v>
      </c>
      <c r="N2531" s="7">
        <v>1322</v>
      </c>
      <c r="O2531" s="7">
        <f t="shared" si="275"/>
        <v>11898</v>
      </c>
      <c r="P2531" s="4">
        <v>0</v>
      </c>
      <c r="Q2531" s="7">
        <f t="shared" si="276"/>
        <v>0</v>
      </c>
      <c r="R2531" s="7">
        <f t="shared" si="277"/>
        <v>11898</v>
      </c>
      <c r="S2531" s="7">
        <f t="shared" si="278"/>
        <v>1322</v>
      </c>
      <c r="T2531" s="6">
        <f t="shared" si="279"/>
        <v>1.5177065767284991E-2</v>
      </c>
      <c r="V2531" t="s">
        <v>29</v>
      </c>
    </row>
    <row r="2532" spans="1:22">
      <c r="A2532" s="3">
        <v>45763</v>
      </c>
      <c r="B2532" t="str">
        <f t="shared" si="273"/>
        <v>yyyy-04</v>
      </c>
      <c r="C2532">
        <f t="shared" si="274"/>
        <v>16</v>
      </c>
      <c r="D2532" t="s">
        <v>42</v>
      </c>
      <c r="E2532" t="s">
        <v>43</v>
      </c>
      <c r="F2532" t="s">
        <v>46</v>
      </c>
      <c r="G2532" t="s">
        <v>27</v>
      </c>
      <c r="H2532" t="s">
        <v>45</v>
      </c>
      <c r="I2532" s="5">
        <v>583</v>
      </c>
      <c r="J2532" s="5">
        <v>327</v>
      </c>
      <c r="K2532" s="5">
        <v>30</v>
      </c>
      <c r="L2532" s="5">
        <v>10</v>
      </c>
      <c r="M2532" s="5">
        <v>10</v>
      </c>
      <c r="N2532" s="7">
        <v>2204.09</v>
      </c>
      <c r="O2532" s="7">
        <f t="shared" si="275"/>
        <v>22040.9</v>
      </c>
      <c r="P2532" s="4">
        <v>0</v>
      </c>
      <c r="Q2532" s="7">
        <f t="shared" si="276"/>
        <v>0</v>
      </c>
      <c r="R2532" s="7">
        <f t="shared" si="277"/>
        <v>22040.9</v>
      </c>
      <c r="S2532" s="7">
        <f t="shared" si="278"/>
        <v>2204.09</v>
      </c>
      <c r="T2532" s="6">
        <f t="shared" si="279"/>
        <v>1.7152658662092625E-2</v>
      </c>
      <c r="V2532" t="s">
        <v>29</v>
      </c>
    </row>
    <row r="2533" spans="1:22">
      <c r="A2533" s="3">
        <v>45763</v>
      </c>
      <c r="B2533" t="str">
        <f t="shared" si="273"/>
        <v>yyyy-04</v>
      </c>
      <c r="C2533">
        <f t="shared" si="274"/>
        <v>16</v>
      </c>
      <c r="D2533" t="s">
        <v>42</v>
      </c>
      <c r="E2533" t="s">
        <v>43</v>
      </c>
      <c r="F2533" t="s">
        <v>47</v>
      </c>
      <c r="G2533" t="s">
        <v>36</v>
      </c>
      <c r="H2533" t="s">
        <v>37</v>
      </c>
      <c r="I2533" s="5">
        <v>560</v>
      </c>
      <c r="J2533" s="5">
        <v>306</v>
      </c>
      <c r="K2533" s="5">
        <v>42</v>
      </c>
      <c r="L2533" s="5">
        <v>10</v>
      </c>
      <c r="M2533" s="5">
        <v>10</v>
      </c>
      <c r="N2533" s="7">
        <v>587.51</v>
      </c>
      <c r="O2533" s="7">
        <f t="shared" si="275"/>
        <v>5875.1</v>
      </c>
      <c r="P2533" s="4">
        <v>0</v>
      </c>
      <c r="Q2533" s="7">
        <f t="shared" si="276"/>
        <v>0</v>
      </c>
      <c r="R2533" s="7">
        <f t="shared" si="277"/>
        <v>5875.1</v>
      </c>
      <c r="S2533" s="7">
        <f t="shared" si="278"/>
        <v>587.51</v>
      </c>
      <c r="T2533" s="6">
        <f t="shared" si="279"/>
        <v>1.7857142857142856E-2</v>
      </c>
      <c r="V2533" t="s">
        <v>29</v>
      </c>
    </row>
    <row r="2534" spans="1:22">
      <c r="A2534" s="3">
        <v>45763</v>
      </c>
      <c r="B2534" t="str">
        <f t="shared" si="273"/>
        <v>yyyy-04</v>
      </c>
      <c r="C2534">
        <f t="shared" si="274"/>
        <v>16</v>
      </c>
      <c r="D2534" t="s">
        <v>42</v>
      </c>
      <c r="E2534" t="s">
        <v>49</v>
      </c>
      <c r="F2534" t="s">
        <v>50</v>
      </c>
      <c r="G2534" t="s">
        <v>27</v>
      </c>
      <c r="H2534" t="s">
        <v>45</v>
      </c>
      <c r="I2534" s="5">
        <v>158</v>
      </c>
      <c r="J2534" s="5">
        <v>110</v>
      </c>
      <c r="K2534" s="5">
        <v>9</v>
      </c>
      <c r="L2534" s="5">
        <v>3</v>
      </c>
      <c r="M2534" s="5">
        <v>3</v>
      </c>
      <c r="N2534" s="7">
        <v>971.47</v>
      </c>
      <c r="O2534" s="7">
        <f t="shared" si="275"/>
        <v>2914.41</v>
      </c>
      <c r="P2534" s="4">
        <v>0.1</v>
      </c>
      <c r="Q2534" s="7">
        <f t="shared" si="276"/>
        <v>291.44099999999997</v>
      </c>
      <c r="R2534" s="7">
        <f t="shared" si="277"/>
        <v>2622.9690000000001</v>
      </c>
      <c r="S2534" s="7">
        <f t="shared" si="278"/>
        <v>874.32299999999998</v>
      </c>
      <c r="T2534" s="6">
        <f t="shared" si="279"/>
        <v>1.8987341772151899E-2</v>
      </c>
      <c r="U2534" t="s">
        <v>94</v>
      </c>
      <c r="V2534" t="s">
        <v>29</v>
      </c>
    </row>
    <row r="2535" spans="1:22">
      <c r="A2535" s="3">
        <v>45763</v>
      </c>
      <c r="B2535" t="str">
        <f t="shared" si="273"/>
        <v>yyyy-04</v>
      </c>
      <c r="C2535">
        <f t="shared" si="274"/>
        <v>16</v>
      </c>
      <c r="D2535" t="s">
        <v>42</v>
      </c>
      <c r="E2535" t="s">
        <v>51</v>
      </c>
      <c r="F2535" t="s">
        <v>52</v>
      </c>
      <c r="G2535" t="s">
        <v>36</v>
      </c>
      <c r="H2535" t="s">
        <v>37</v>
      </c>
      <c r="I2535" s="5">
        <v>289</v>
      </c>
      <c r="J2535" s="5">
        <v>215</v>
      </c>
      <c r="K2535" s="5">
        <v>16</v>
      </c>
      <c r="L2535" s="5">
        <v>4</v>
      </c>
      <c r="M2535" s="5">
        <v>4</v>
      </c>
      <c r="N2535" s="7">
        <v>585.23</v>
      </c>
      <c r="O2535" s="7">
        <f t="shared" si="275"/>
        <v>2340.92</v>
      </c>
      <c r="P2535" s="4">
        <v>0</v>
      </c>
      <c r="Q2535" s="7">
        <f t="shared" si="276"/>
        <v>0</v>
      </c>
      <c r="R2535" s="7">
        <f t="shared" si="277"/>
        <v>2340.92</v>
      </c>
      <c r="S2535" s="7">
        <f t="shared" si="278"/>
        <v>585.23</v>
      </c>
      <c r="T2535" s="6">
        <f t="shared" si="279"/>
        <v>1.384083044982699E-2</v>
      </c>
      <c r="V2535" t="s">
        <v>29</v>
      </c>
    </row>
    <row r="2536" spans="1:22">
      <c r="A2536" s="3">
        <v>45763</v>
      </c>
      <c r="B2536" t="str">
        <f t="shared" si="273"/>
        <v>yyyy-04</v>
      </c>
      <c r="C2536">
        <f t="shared" si="274"/>
        <v>16</v>
      </c>
      <c r="D2536" t="s">
        <v>53</v>
      </c>
      <c r="E2536" t="s">
        <v>54</v>
      </c>
      <c r="F2536" t="s">
        <v>55</v>
      </c>
      <c r="G2536" t="s">
        <v>31</v>
      </c>
      <c r="H2536" t="s">
        <v>32</v>
      </c>
      <c r="I2536" s="5">
        <v>188</v>
      </c>
      <c r="J2536" s="5">
        <v>140</v>
      </c>
      <c r="K2536" s="5">
        <v>11</v>
      </c>
      <c r="L2536" s="5">
        <v>3</v>
      </c>
      <c r="M2536" s="5">
        <v>3</v>
      </c>
      <c r="N2536" s="7">
        <v>1281.49</v>
      </c>
      <c r="O2536" s="7">
        <f t="shared" si="275"/>
        <v>3844.4700000000003</v>
      </c>
      <c r="P2536" s="4">
        <v>0.05</v>
      </c>
      <c r="Q2536" s="7">
        <f t="shared" si="276"/>
        <v>192.22350000000003</v>
      </c>
      <c r="R2536" s="7">
        <f t="shared" si="277"/>
        <v>3652.2465000000002</v>
      </c>
      <c r="S2536" s="7">
        <f t="shared" si="278"/>
        <v>1217.4155000000001</v>
      </c>
      <c r="T2536" s="6">
        <f t="shared" si="279"/>
        <v>1.5957446808510637E-2</v>
      </c>
      <c r="V2536" t="s">
        <v>29</v>
      </c>
    </row>
    <row r="2537" spans="1:22">
      <c r="A2537" s="3">
        <v>45763</v>
      </c>
      <c r="B2537" t="str">
        <f t="shared" si="273"/>
        <v>yyyy-04</v>
      </c>
      <c r="C2537">
        <f t="shared" si="274"/>
        <v>16</v>
      </c>
      <c r="D2537" t="s">
        <v>53</v>
      </c>
      <c r="E2537" t="s">
        <v>56</v>
      </c>
      <c r="F2537" t="s">
        <v>57</v>
      </c>
      <c r="G2537" t="s">
        <v>36</v>
      </c>
      <c r="H2537" t="s">
        <v>37</v>
      </c>
      <c r="I2537" s="5">
        <v>278</v>
      </c>
      <c r="J2537" s="5">
        <v>179</v>
      </c>
      <c r="K2537" s="5">
        <v>21</v>
      </c>
      <c r="L2537" s="5">
        <v>3</v>
      </c>
      <c r="M2537" s="5">
        <v>3</v>
      </c>
      <c r="N2537" s="7">
        <v>759.09</v>
      </c>
      <c r="O2537" s="7">
        <f t="shared" si="275"/>
        <v>2277.27</v>
      </c>
      <c r="P2537" s="4">
        <v>0</v>
      </c>
      <c r="Q2537" s="7">
        <f t="shared" si="276"/>
        <v>0</v>
      </c>
      <c r="R2537" s="7">
        <f t="shared" si="277"/>
        <v>2277.27</v>
      </c>
      <c r="S2537" s="7">
        <f t="shared" si="278"/>
        <v>759.09</v>
      </c>
      <c r="T2537" s="6">
        <f t="shared" si="279"/>
        <v>1.0791366906474821E-2</v>
      </c>
      <c r="V2537" t="s">
        <v>29</v>
      </c>
    </row>
    <row r="2538" spans="1:22">
      <c r="A2538" s="3">
        <v>45763</v>
      </c>
      <c r="B2538" t="str">
        <f t="shared" si="273"/>
        <v>yyyy-04</v>
      </c>
      <c r="C2538">
        <f t="shared" si="274"/>
        <v>16</v>
      </c>
      <c r="D2538" t="s">
        <v>53</v>
      </c>
      <c r="E2538" t="s">
        <v>56</v>
      </c>
      <c r="F2538" t="s">
        <v>58</v>
      </c>
      <c r="G2538" t="s">
        <v>31</v>
      </c>
      <c r="H2538" t="s">
        <v>32</v>
      </c>
      <c r="I2538" s="5">
        <v>279</v>
      </c>
      <c r="J2538" s="5">
        <v>202</v>
      </c>
      <c r="K2538" s="5">
        <v>19</v>
      </c>
      <c r="L2538" s="5">
        <v>3</v>
      </c>
      <c r="M2538" s="5">
        <v>3</v>
      </c>
      <c r="N2538" s="7">
        <v>876.8</v>
      </c>
      <c r="O2538" s="7">
        <f t="shared" si="275"/>
        <v>2630.3999999999996</v>
      </c>
      <c r="P2538" s="4">
        <v>0</v>
      </c>
      <c r="Q2538" s="7">
        <f t="shared" si="276"/>
        <v>0</v>
      </c>
      <c r="R2538" s="7">
        <f t="shared" si="277"/>
        <v>2630.3999999999996</v>
      </c>
      <c r="S2538" s="7">
        <f t="shared" si="278"/>
        <v>876.79999999999984</v>
      </c>
      <c r="T2538" s="6">
        <f t="shared" si="279"/>
        <v>1.0752688172043012E-2</v>
      </c>
      <c r="V2538" t="s">
        <v>29</v>
      </c>
    </row>
    <row r="2539" spans="1:22">
      <c r="A2539" s="3">
        <v>45763</v>
      </c>
      <c r="B2539" t="str">
        <f t="shared" si="273"/>
        <v>yyyy-04</v>
      </c>
      <c r="C2539">
        <f t="shared" si="274"/>
        <v>16</v>
      </c>
      <c r="D2539" t="s">
        <v>53</v>
      </c>
      <c r="E2539" t="s">
        <v>59</v>
      </c>
      <c r="F2539" t="s">
        <v>60</v>
      </c>
      <c r="G2539" t="s">
        <v>27</v>
      </c>
      <c r="H2539" t="s">
        <v>28</v>
      </c>
      <c r="I2539" s="5">
        <v>163</v>
      </c>
      <c r="J2539" s="5">
        <v>121</v>
      </c>
      <c r="K2539" s="5">
        <v>13</v>
      </c>
      <c r="L2539" s="5">
        <v>2</v>
      </c>
      <c r="M2539" s="5">
        <v>2</v>
      </c>
      <c r="N2539" s="7">
        <v>693.52</v>
      </c>
      <c r="O2539" s="7">
        <f t="shared" si="275"/>
        <v>1387.04</v>
      </c>
      <c r="P2539" s="4">
        <v>0.09</v>
      </c>
      <c r="Q2539" s="7">
        <f t="shared" si="276"/>
        <v>124.83359999999999</v>
      </c>
      <c r="R2539" s="7">
        <f t="shared" si="277"/>
        <v>1262.2064</v>
      </c>
      <c r="S2539" s="7">
        <f t="shared" si="278"/>
        <v>631.10320000000002</v>
      </c>
      <c r="T2539" s="6">
        <f t="shared" si="279"/>
        <v>1.2269938650306749E-2</v>
      </c>
      <c r="U2539" t="s">
        <v>93</v>
      </c>
      <c r="V2539" t="s">
        <v>29</v>
      </c>
    </row>
    <row r="2540" spans="1:22">
      <c r="A2540" s="3">
        <v>45763</v>
      </c>
      <c r="B2540" t="str">
        <f t="shared" si="273"/>
        <v>yyyy-04</v>
      </c>
      <c r="C2540">
        <f t="shared" si="274"/>
        <v>16</v>
      </c>
      <c r="D2540" t="s">
        <v>53</v>
      </c>
      <c r="E2540" t="s">
        <v>61</v>
      </c>
      <c r="F2540" t="s">
        <v>62</v>
      </c>
      <c r="G2540" t="s">
        <v>36</v>
      </c>
      <c r="H2540" t="s">
        <v>37</v>
      </c>
      <c r="I2540" s="5">
        <v>165</v>
      </c>
      <c r="J2540" s="5">
        <v>135</v>
      </c>
      <c r="K2540" s="5">
        <v>7</v>
      </c>
      <c r="L2540" s="5">
        <v>2</v>
      </c>
      <c r="M2540" s="5">
        <v>2</v>
      </c>
      <c r="N2540" s="7">
        <v>507.83</v>
      </c>
      <c r="O2540" s="7">
        <f t="shared" si="275"/>
        <v>1015.66</v>
      </c>
      <c r="P2540" s="4">
        <v>0.05</v>
      </c>
      <c r="Q2540" s="7">
        <f t="shared" si="276"/>
        <v>50.783000000000001</v>
      </c>
      <c r="R2540" s="7">
        <f t="shared" si="277"/>
        <v>964.87699999999995</v>
      </c>
      <c r="S2540" s="7">
        <f t="shared" si="278"/>
        <v>482.43849999999998</v>
      </c>
      <c r="T2540" s="6">
        <f t="shared" si="279"/>
        <v>1.2121212121212121E-2</v>
      </c>
      <c r="V2540" t="s">
        <v>29</v>
      </c>
    </row>
    <row r="2541" spans="1:22">
      <c r="A2541" s="3">
        <v>45763</v>
      </c>
      <c r="B2541" t="str">
        <f t="shared" si="273"/>
        <v>yyyy-04</v>
      </c>
      <c r="C2541">
        <f t="shared" si="274"/>
        <v>16</v>
      </c>
      <c r="D2541" t="s">
        <v>53</v>
      </c>
      <c r="E2541" t="s">
        <v>64</v>
      </c>
      <c r="F2541" t="s">
        <v>65</v>
      </c>
      <c r="G2541" t="s">
        <v>27</v>
      </c>
      <c r="H2541" t="s">
        <v>28</v>
      </c>
      <c r="I2541" s="5">
        <v>206</v>
      </c>
      <c r="J2541" s="5">
        <v>152</v>
      </c>
      <c r="K2541" s="5">
        <v>8</v>
      </c>
      <c r="L2541" s="5">
        <v>1</v>
      </c>
      <c r="M2541" s="5">
        <v>1</v>
      </c>
      <c r="N2541" s="7">
        <v>785.12</v>
      </c>
      <c r="O2541" s="7">
        <f t="shared" si="275"/>
        <v>785.12</v>
      </c>
      <c r="P2541" s="4">
        <v>0.05</v>
      </c>
      <c r="Q2541" s="7">
        <f t="shared" si="276"/>
        <v>39.256</v>
      </c>
      <c r="R2541" s="7">
        <f t="shared" si="277"/>
        <v>745.86400000000003</v>
      </c>
      <c r="S2541" s="7">
        <f t="shared" si="278"/>
        <v>745.86400000000003</v>
      </c>
      <c r="T2541" s="6">
        <f t="shared" si="279"/>
        <v>4.8543689320388345E-3</v>
      </c>
      <c r="V2541" t="s">
        <v>78</v>
      </c>
    </row>
    <row r="2542" spans="1:22">
      <c r="A2542" s="3">
        <v>45763</v>
      </c>
      <c r="B2542" t="str">
        <f t="shared" si="273"/>
        <v>yyyy-04</v>
      </c>
      <c r="C2542">
        <f t="shared" si="274"/>
        <v>16</v>
      </c>
      <c r="D2542" t="s">
        <v>66</v>
      </c>
      <c r="E2542" t="s">
        <v>67</v>
      </c>
      <c r="F2542" t="s">
        <v>68</v>
      </c>
      <c r="G2542" t="s">
        <v>36</v>
      </c>
      <c r="H2542" t="s">
        <v>37</v>
      </c>
      <c r="I2542" s="5">
        <v>328</v>
      </c>
      <c r="J2542" s="5">
        <v>271</v>
      </c>
      <c r="K2542" s="5">
        <v>29</v>
      </c>
      <c r="L2542" s="5">
        <v>6</v>
      </c>
      <c r="M2542" s="5">
        <v>6</v>
      </c>
      <c r="N2542" s="7">
        <v>712.87</v>
      </c>
      <c r="O2542" s="7">
        <f t="shared" si="275"/>
        <v>4277.22</v>
      </c>
      <c r="P2542" s="4">
        <v>0.03</v>
      </c>
      <c r="Q2542" s="7">
        <f t="shared" si="276"/>
        <v>128.31659999999999</v>
      </c>
      <c r="R2542" s="7">
        <f t="shared" si="277"/>
        <v>4148.9034000000001</v>
      </c>
      <c r="S2542" s="7">
        <f t="shared" si="278"/>
        <v>691.48390000000006</v>
      </c>
      <c r="T2542" s="6">
        <f t="shared" si="279"/>
        <v>1.8292682926829267E-2</v>
      </c>
      <c r="V2542" t="s">
        <v>29</v>
      </c>
    </row>
    <row r="2543" spans="1:22">
      <c r="A2543" s="3">
        <v>45763</v>
      </c>
      <c r="B2543" t="str">
        <f t="shared" si="273"/>
        <v>yyyy-04</v>
      </c>
      <c r="C2543">
        <f t="shared" si="274"/>
        <v>16</v>
      </c>
      <c r="D2543" t="s">
        <v>66</v>
      </c>
      <c r="E2543" t="s">
        <v>67</v>
      </c>
      <c r="F2543" t="s">
        <v>69</v>
      </c>
      <c r="G2543" t="s">
        <v>27</v>
      </c>
      <c r="H2543" t="s">
        <v>45</v>
      </c>
      <c r="I2543" s="5">
        <v>380</v>
      </c>
      <c r="J2543" s="5">
        <v>213</v>
      </c>
      <c r="K2543" s="5">
        <v>20</v>
      </c>
      <c r="L2543" s="5">
        <v>8</v>
      </c>
      <c r="M2543" s="5">
        <v>8</v>
      </c>
      <c r="N2543" s="7">
        <v>406.47</v>
      </c>
      <c r="O2543" s="7">
        <f t="shared" si="275"/>
        <v>3251.76</v>
      </c>
      <c r="P2543" s="4">
        <v>0</v>
      </c>
      <c r="Q2543" s="7">
        <f t="shared" si="276"/>
        <v>0</v>
      </c>
      <c r="R2543" s="7">
        <f t="shared" si="277"/>
        <v>3251.76</v>
      </c>
      <c r="S2543" s="7">
        <f t="shared" si="278"/>
        <v>406.47</v>
      </c>
      <c r="T2543" s="6">
        <f t="shared" si="279"/>
        <v>2.1052631578947368E-2</v>
      </c>
      <c r="V2543" t="s">
        <v>29</v>
      </c>
    </row>
    <row r="2544" spans="1:22">
      <c r="A2544" s="3">
        <v>45763</v>
      </c>
      <c r="B2544" t="str">
        <f t="shared" si="273"/>
        <v>yyyy-04</v>
      </c>
      <c r="C2544">
        <f t="shared" si="274"/>
        <v>16</v>
      </c>
      <c r="D2544" t="s">
        <v>66</v>
      </c>
      <c r="E2544" t="s">
        <v>67</v>
      </c>
      <c r="F2544" t="s">
        <v>70</v>
      </c>
      <c r="G2544" t="s">
        <v>36</v>
      </c>
      <c r="H2544" t="s">
        <v>37</v>
      </c>
      <c r="I2544" s="5">
        <v>280</v>
      </c>
      <c r="J2544" s="5">
        <v>151</v>
      </c>
      <c r="K2544" s="5">
        <v>29</v>
      </c>
      <c r="L2544" s="5">
        <v>7</v>
      </c>
      <c r="M2544" s="5">
        <v>7</v>
      </c>
      <c r="N2544" s="7">
        <v>346.64</v>
      </c>
      <c r="O2544" s="7">
        <f t="shared" si="275"/>
        <v>2426.48</v>
      </c>
      <c r="P2544" s="4">
        <v>0.03</v>
      </c>
      <c r="Q2544" s="7">
        <f t="shared" si="276"/>
        <v>72.794399999999996</v>
      </c>
      <c r="R2544" s="7">
        <f t="shared" si="277"/>
        <v>2353.6855999999998</v>
      </c>
      <c r="S2544" s="7">
        <f t="shared" si="278"/>
        <v>336.24079999999998</v>
      </c>
      <c r="T2544" s="6">
        <f t="shared" si="279"/>
        <v>2.5000000000000001E-2</v>
      </c>
      <c r="V2544" t="s">
        <v>29</v>
      </c>
    </row>
    <row r="2545" spans="1:22">
      <c r="A2545" s="3">
        <v>45763</v>
      </c>
      <c r="B2545" t="str">
        <f t="shared" si="273"/>
        <v>yyyy-04</v>
      </c>
      <c r="C2545">
        <f t="shared" si="274"/>
        <v>16</v>
      </c>
      <c r="D2545" t="s">
        <v>66</v>
      </c>
      <c r="E2545" t="s">
        <v>71</v>
      </c>
      <c r="F2545" t="s">
        <v>72</v>
      </c>
      <c r="G2545" t="s">
        <v>27</v>
      </c>
      <c r="H2545" t="s">
        <v>48</v>
      </c>
      <c r="I2545" s="5">
        <v>259</v>
      </c>
      <c r="J2545" s="5">
        <v>204</v>
      </c>
      <c r="K2545" s="5">
        <v>19</v>
      </c>
      <c r="L2545" s="5">
        <v>5</v>
      </c>
      <c r="M2545" s="5">
        <v>6</v>
      </c>
      <c r="N2545" s="7">
        <v>126.96</v>
      </c>
      <c r="O2545" s="7">
        <f t="shared" si="275"/>
        <v>761.76</v>
      </c>
      <c r="P2545" s="4">
        <v>0</v>
      </c>
      <c r="Q2545" s="7">
        <f t="shared" si="276"/>
        <v>0</v>
      </c>
      <c r="R2545" s="7">
        <f t="shared" si="277"/>
        <v>761.76</v>
      </c>
      <c r="S2545" s="7">
        <f t="shared" si="278"/>
        <v>152.352</v>
      </c>
      <c r="T2545" s="6">
        <f t="shared" si="279"/>
        <v>1.9305019305019305E-2</v>
      </c>
      <c r="V2545" t="s">
        <v>29</v>
      </c>
    </row>
    <row r="2546" spans="1:22">
      <c r="A2546" s="3">
        <v>45763</v>
      </c>
      <c r="B2546" t="str">
        <f t="shared" si="273"/>
        <v>yyyy-04</v>
      </c>
      <c r="C2546">
        <f t="shared" si="274"/>
        <v>16</v>
      </c>
      <c r="D2546" t="s">
        <v>66</v>
      </c>
      <c r="E2546" t="s">
        <v>73</v>
      </c>
      <c r="F2546" t="s">
        <v>74</v>
      </c>
      <c r="G2546" t="s">
        <v>36</v>
      </c>
      <c r="H2546" t="s">
        <v>37</v>
      </c>
      <c r="I2546" s="5">
        <v>221</v>
      </c>
      <c r="J2546" s="5">
        <v>129</v>
      </c>
      <c r="K2546" s="5">
        <v>15</v>
      </c>
      <c r="L2546" s="5">
        <v>5</v>
      </c>
      <c r="M2546" s="5">
        <v>5</v>
      </c>
      <c r="N2546" s="7">
        <v>1212.29</v>
      </c>
      <c r="O2546" s="7">
        <f t="shared" si="275"/>
        <v>6061.45</v>
      </c>
      <c r="P2546" s="4">
        <v>0</v>
      </c>
      <c r="Q2546" s="7">
        <f t="shared" si="276"/>
        <v>0</v>
      </c>
      <c r="R2546" s="7">
        <f t="shared" si="277"/>
        <v>6061.45</v>
      </c>
      <c r="S2546" s="7">
        <f t="shared" si="278"/>
        <v>1212.29</v>
      </c>
      <c r="T2546" s="6">
        <f t="shared" si="279"/>
        <v>2.2624434389140271E-2</v>
      </c>
      <c r="V2546" t="s">
        <v>29</v>
      </c>
    </row>
    <row r="2547" spans="1:22">
      <c r="A2547" s="3">
        <v>45763</v>
      </c>
      <c r="B2547" t="str">
        <f t="shared" si="273"/>
        <v>yyyy-04</v>
      </c>
      <c r="C2547">
        <f t="shared" si="274"/>
        <v>16</v>
      </c>
      <c r="D2547" t="s">
        <v>66</v>
      </c>
      <c r="E2547" t="s">
        <v>71</v>
      </c>
      <c r="F2547" t="s">
        <v>75</v>
      </c>
      <c r="G2547" t="s">
        <v>27</v>
      </c>
      <c r="H2547" t="s">
        <v>48</v>
      </c>
      <c r="I2547" s="5">
        <v>306</v>
      </c>
      <c r="J2547" s="5">
        <v>236</v>
      </c>
      <c r="K2547" s="5">
        <v>19</v>
      </c>
      <c r="L2547" s="5">
        <v>4</v>
      </c>
      <c r="M2547" s="5">
        <v>4</v>
      </c>
      <c r="N2547" s="7">
        <v>37.950000000000003</v>
      </c>
      <c r="O2547" s="7">
        <f t="shared" si="275"/>
        <v>151.80000000000001</v>
      </c>
      <c r="P2547" s="4">
        <v>0</v>
      </c>
      <c r="Q2547" s="7">
        <f t="shared" si="276"/>
        <v>0</v>
      </c>
      <c r="R2547" s="7">
        <f t="shared" si="277"/>
        <v>151.80000000000001</v>
      </c>
      <c r="S2547" s="7">
        <f t="shared" si="278"/>
        <v>37.950000000000003</v>
      </c>
      <c r="T2547" s="6">
        <f t="shared" si="279"/>
        <v>1.3071895424836602E-2</v>
      </c>
      <c r="V2547" t="s">
        <v>29</v>
      </c>
    </row>
    <row r="2548" spans="1:22">
      <c r="A2548" s="3">
        <v>45763</v>
      </c>
      <c r="B2548" t="str">
        <f t="shared" si="273"/>
        <v>yyyy-04</v>
      </c>
      <c r="C2548">
        <f t="shared" si="274"/>
        <v>16</v>
      </c>
      <c r="D2548" t="s">
        <v>24</v>
      </c>
      <c r="E2548" t="s">
        <v>76</v>
      </c>
      <c r="F2548" t="s">
        <v>77</v>
      </c>
      <c r="G2548" t="s">
        <v>27</v>
      </c>
      <c r="H2548" t="s">
        <v>28</v>
      </c>
      <c r="I2548" s="5">
        <v>690</v>
      </c>
      <c r="J2548" s="5">
        <v>496</v>
      </c>
      <c r="K2548" s="5">
        <v>66</v>
      </c>
      <c r="L2548" s="5">
        <v>17</v>
      </c>
      <c r="M2548" s="5">
        <v>22</v>
      </c>
      <c r="N2548" s="7">
        <v>198.67</v>
      </c>
      <c r="O2548" s="7">
        <f t="shared" si="275"/>
        <v>4370.74</v>
      </c>
      <c r="P2548" s="4">
        <v>0</v>
      </c>
      <c r="Q2548" s="7">
        <f t="shared" si="276"/>
        <v>0</v>
      </c>
      <c r="R2548" s="7">
        <f t="shared" si="277"/>
        <v>4370.74</v>
      </c>
      <c r="S2548" s="7">
        <f t="shared" si="278"/>
        <v>257.10235294117643</v>
      </c>
      <c r="T2548" s="6">
        <f t="shared" si="279"/>
        <v>2.4637681159420291E-2</v>
      </c>
      <c r="V2548" t="s">
        <v>29</v>
      </c>
    </row>
    <row r="2549" spans="1:22">
      <c r="A2549" s="3">
        <v>45764</v>
      </c>
      <c r="B2549" t="str">
        <f t="shared" si="273"/>
        <v>yyyy-04</v>
      </c>
      <c r="C2549">
        <f t="shared" si="274"/>
        <v>16</v>
      </c>
      <c r="D2549" t="s">
        <v>24</v>
      </c>
      <c r="E2549" t="s">
        <v>25</v>
      </c>
      <c r="F2549" t="s">
        <v>26</v>
      </c>
      <c r="G2549" t="s">
        <v>27</v>
      </c>
      <c r="H2549" t="s">
        <v>28</v>
      </c>
      <c r="I2549" s="5">
        <v>1868</v>
      </c>
      <c r="J2549" s="5">
        <v>1144</v>
      </c>
      <c r="K2549" s="5">
        <v>124</v>
      </c>
      <c r="L2549" s="5">
        <v>29</v>
      </c>
      <c r="M2549" s="5">
        <v>29</v>
      </c>
      <c r="N2549" s="7">
        <v>1006.56</v>
      </c>
      <c r="O2549" s="7">
        <f t="shared" si="275"/>
        <v>29190.239999999998</v>
      </c>
      <c r="P2549" s="4">
        <v>0</v>
      </c>
      <c r="Q2549" s="7">
        <f t="shared" si="276"/>
        <v>0</v>
      </c>
      <c r="R2549" s="7">
        <f t="shared" si="277"/>
        <v>29190.239999999998</v>
      </c>
      <c r="S2549" s="7">
        <f t="shared" si="278"/>
        <v>1006.56</v>
      </c>
      <c r="T2549" s="6">
        <f t="shared" si="279"/>
        <v>1.5524625267665952E-2</v>
      </c>
      <c r="V2549" t="s">
        <v>29</v>
      </c>
    </row>
    <row r="2550" spans="1:22">
      <c r="A2550" s="3">
        <v>45764</v>
      </c>
      <c r="B2550" t="str">
        <f t="shared" si="273"/>
        <v>yyyy-04</v>
      </c>
      <c r="C2550">
        <f t="shared" si="274"/>
        <v>16</v>
      </c>
      <c r="D2550" t="s">
        <v>24</v>
      </c>
      <c r="E2550" t="s">
        <v>25</v>
      </c>
      <c r="F2550" t="s">
        <v>30</v>
      </c>
      <c r="G2550" t="s">
        <v>27</v>
      </c>
      <c r="H2550" t="s">
        <v>45</v>
      </c>
      <c r="I2550" s="5">
        <v>472</v>
      </c>
      <c r="J2550" s="5">
        <v>362</v>
      </c>
      <c r="K2550" s="5">
        <v>10</v>
      </c>
      <c r="L2550" s="5">
        <v>0</v>
      </c>
      <c r="M2550" s="5">
        <v>0</v>
      </c>
      <c r="N2550" s="7">
        <v>402.95</v>
      </c>
      <c r="O2550" s="7">
        <f t="shared" si="275"/>
        <v>0</v>
      </c>
      <c r="P2550" s="4">
        <v>0</v>
      </c>
      <c r="Q2550" s="7">
        <f t="shared" si="276"/>
        <v>0</v>
      </c>
      <c r="R2550" s="7">
        <f t="shared" si="277"/>
        <v>0</v>
      </c>
      <c r="S2550" s="7">
        <f t="shared" si="278"/>
        <v>0</v>
      </c>
      <c r="T2550" s="6">
        <f t="shared" si="279"/>
        <v>0</v>
      </c>
      <c r="V2550" t="s">
        <v>81</v>
      </c>
    </row>
    <row r="2551" spans="1:22">
      <c r="A2551" s="3">
        <v>45764</v>
      </c>
      <c r="B2551" t="str">
        <f t="shared" si="273"/>
        <v>yyyy-04</v>
      </c>
      <c r="C2551">
        <f t="shared" si="274"/>
        <v>16</v>
      </c>
      <c r="D2551" t="s">
        <v>24</v>
      </c>
      <c r="E2551" t="s">
        <v>25</v>
      </c>
      <c r="F2551" t="s">
        <v>33</v>
      </c>
      <c r="G2551" t="s">
        <v>27</v>
      </c>
      <c r="H2551" t="s">
        <v>45</v>
      </c>
      <c r="I2551" s="5">
        <v>1552</v>
      </c>
      <c r="J2551" s="5">
        <v>1071</v>
      </c>
      <c r="K2551" s="5">
        <v>121</v>
      </c>
      <c r="L2551" s="5">
        <v>31</v>
      </c>
      <c r="M2551" s="5">
        <v>31</v>
      </c>
      <c r="N2551" s="7">
        <v>1751.73</v>
      </c>
      <c r="O2551" s="7">
        <f t="shared" si="275"/>
        <v>54303.63</v>
      </c>
      <c r="P2551" s="4">
        <v>0</v>
      </c>
      <c r="Q2551" s="7">
        <f t="shared" si="276"/>
        <v>0</v>
      </c>
      <c r="R2551" s="7">
        <f t="shared" si="277"/>
        <v>54303.63</v>
      </c>
      <c r="S2551" s="7">
        <f t="shared" si="278"/>
        <v>1751.73</v>
      </c>
      <c r="T2551" s="6">
        <f t="shared" si="279"/>
        <v>1.997422680412371E-2</v>
      </c>
      <c r="V2551" t="s">
        <v>29</v>
      </c>
    </row>
    <row r="2552" spans="1:22">
      <c r="A2552" s="3">
        <v>45764</v>
      </c>
      <c r="B2552" t="str">
        <f t="shared" si="273"/>
        <v>yyyy-04</v>
      </c>
      <c r="C2552">
        <f t="shared" si="274"/>
        <v>16</v>
      </c>
      <c r="D2552" t="s">
        <v>24</v>
      </c>
      <c r="E2552" t="s">
        <v>34</v>
      </c>
      <c r="F2552" t="s">
        <v>35</v>
      </c>
      <c r="G2552" t="s">
        <v>31</v>
      </c>
      <c r="H2552" t="s">
        <v>32</v>
      </c>
      <c r="I2552" s="5">
        <v>1112</v>
      </c>
      <c r="J2552" s="5">
        <v>908</v>
      </c>
      <c r="K2552" s="5">
        <v>81</v>
      </c>
      <c r="L2552" s="5">
        <v>17</v>
      </c>
      <c r="M2552" s="5">
        <v>17</v>
      </c>
      <c r="N2552" s="7">
        <v>902.48</v>
      </c>
      <c r="O2552" s="7">
        <f t="shared" si="275"/>
        <v>15342.16</v>
      </c>
      <c r="P2552" s="4">
        <v>0</v>
      </c>
      <c r="Q2552" s="7">
        <f t="shared" si="276"/>
        <v>0</v>
      </c>
      <c r="R2552" s="7">
        <f t="shared" si="277"/>
        <v>15342.16</v>
      </c>
      <c r="S2552" s="7">
        <f t="shared" si="278"/>
        <v>902.48</v>
      </c>
      <c r="T2552" s="6">
        <f t="shared" si="279"/>
        <v>1.5287769784172662E-2</v>
      </c>
      <c r="V2552" t="s">
        <v>29</v>
      </c>
    </row>
    <row r="2553" spans="1:22">
      <c r="A2553" s="3">
        <v>45764</v>
      </c>
      <c r="B2553" t="str">
        <f t="shared" si="273"/>
        <v>yyyy-04</v>
      </c>
      <c r="C2553">
        <f t="shared" si="274"/>
        <v>16</v>
      </c>
      <c r="D2553" t="s">
        <v>24</v>
      </c>
      <c r="E2553" t="s">
        <v>38</v>
      </c>
      <c r="F2553" t="s">
        <v>39</v>
      </c>
      <c r="G2553" t="s">
        <v>27</v>
      </c>
      <c r="H2553" t="s">
        <v>45</v>
      </c>
      <c r="I2553" s="5">
        <v>695</v>
      </c>
      <c r="J2553" s="5">
        <v>393</v>
      </c>
      <c r="K2553" s="5">
        <v>40</v>
      </c>
      <c r="L2553" s="5">
        <v>11</v>
      </c>
      <c r="M2553" s="5">
        <v>11</v>
      </c>
      <c r="N2553" s="7">
        <v>324.88</v>
      </c>
      <c r="O2553" s="7">
        <f t="shared" si="275"/>
        <v>3573.68</v>
      </c>
      <c r="P2553" s="4">
        <v>0</v>
      </c>
      <c r="Q2553" s="7">
        <f t="shared" si="276"/>
        <v>0</v>
      </c>
      <c r="R2553" s="7">
        <f t="shared" si="277"/>
        <v>3573.68</v>
      </c>
      <c r="S2553" s="7">
        <f t="shared" si="278"/>
        <v>324.88</v>
      </c>
      <c r="T2553" s="6">
        <f t="shared" si="279"/>
        <v>1.5827338129496403E-2</v>
      </c>
      <c r="V2553" t="s">
        <v>29</v>
      </c>
    </row>
    <row r="2554" spans="1:22">
      <c r="A2554" s="3">
        <v>45764</v>
      </c>
      <c r="B2554" t="str">
        <f t="shared" si="273"/>
        <v>yyyy-04</v>
      </c>
      <c r="C2554">
        <f t="shared" si="274"/>
        <v>16</v>
      </c>
      <c r="D2554" t="s">
        <v>24</v>
      </c>
      <c r="E2554" t="s">
        <v>40</v>
      </c>
      <c r="F2554" t="s">
        <v>41</v>
      </c>
      <c r="G2554" t="s">
        <v>27</v>
      </c>
      <c r="H2554" t="s">
        <v>28</v>
      </c>
      <c r="I2554" s="5">
        <v>923</v>
      </c>
      <c r="J2554" s="5">
        <v>541</v>
      </c>
      <c r="K2554" s="5">
        <v>61</v>
      </c>
      <c r="L2554" s="5">
        <v>15</v>
      </c>
      <c r="M2554" s="5">
        <v>18</v>
      </c>
      <c r="N2554" s="7">
        <v>174.91</v>
      </c>
      <c r="O2554" s="7">
        <f t="shared" si="275"/>
        <v>3148.38</v>
      </c>
      <c r="P2554" s="4">
        <v>0.03</v>
      </c>
      <c r="Q2554" s="7">
        <f t="shared" si="276"/>
        <v>94.451400000000007</v>
      </c>
      <c r="R2554" s="7">
        <f t="shared" si="277"/>
        <v>3053.9286000000002</v>
      </c>
      <c r="S2554" s="7">
        <f t="shared" si="278"/>
        <v>203.59524000000002</v>
      </c>
      <c r="T2554" s="6">
        <f t="shared" si="279"/>
        <v>1.6251354279523293E-2</v>
      </c>
      <c r="V2554" t="s">
        <v>29</v>
      </c>
    </row>
    <row r="2555" spans="1:22">
      <c r="A2555" s="3">
        <v>45764</v>
      </c>
      <c r="B2555" t="str">
        <f t="shared" si="273"/>
        <v>yyyy-04</v>
      </c>
      <c r="C2555">
        <f t="shared" si="274"/>
        <v>16</v>
      </c>
      <c r="D2555" t="s">
        <v>42</v>
      </c>
      <c r="E2555" t="s">
        <v>43</v>
      </c>
      <c r="F2555" t="s">
        <v>44</v>
      </c>
      <c r="G2555" t="s">
        <v>36</v>
      </c>
      <c r="H2555" t="s">
        <v>37</v>
      </c>
      <c r="I2555" s="5">
        <v>597</v>
      </c>
      <c r="J2555" s="5">
        <v>439</v>
      </c>
      <c r="K2555" s="5">
        <v>35</v>
      </c>
      <c r="L2555" s="5">
        <v>10</v>
      </c>
      <c r="M2555" s="5">
        <v>10</v>
      </c>
      <c r="N2555" s="7">
        <v>1303.4000000000001</v>
      </c>
      <c r="O2555" s="7">
        <f t="shared" si="275"/>
        <v>13034</v>
      </c>
      <c r="P2555" s="4">
        <v>0.05</v>
      </c>
      <c r="Q2555" s="7">
        <f t="shared" si="276"/>
        <v>651.70000000000005</v>
      </c>
      <c r="R2555" s="7">
        <f t="shared" si="277"/>
        <v>12382.3</v>
      </c>
      <c r="S2555" s="7">
        <f t="shared" si="278"/>
        <v>1238.23</v>
      </c>
      <c r="T2555" s="6">
        <f t="shared" si="279"/>
        <v>1.675041876046901E-2</v>
      </c>
      <c r="V2555" t="s">
        <v>29</v>
      </c>
    </row>
    <row r="2556" spans="1:22">
      <c r="A2556" s="3">
        <v>45764</v>
      </c>
      <c r="B2556" t="str">
        <f t="shared" si="273"/>
        <v>yyyy-04</v>
      </c>
      <c r="C2556">
        <f t="shared" si="274"/>
        <v>16</v>
      </c>
      <c r="D2556" t="s">
        <v>42</v>
      </c>
      <c r="E2556" t="s">
        <v>43</v>
      </c>
      <c r="F2556" t="s">
        <v>46</v>
      </c>
      <c r="G2556" t="s">
        <v>27</v>
      </c>
      <c r="H2556" t="s">
        <v>28</v>
      </c>
      <c r="I2556" s="5">
        <v>532</v>
      </c>
      <c r="J2556" s="5">
        <v>310</v>
      </c>
      <c r="K2556" s="5">
        <v>14</v>
      </c>
      <c r="L2556" s="5">
        <v>6</v>
      </c>
      <c r="M2556" s="5">
        <v>6</v>
      </c>
      <c r="N2556" s="7">
        <v>2141.23</v>
      </c>
      <c r="O2556" s="7">
        <f t="shared" si="275"/>
        <v>12847.380000000001</v>
      </c>
      <c r="P2556" s="4">
        <v>0</v>
      </c>
      <c r="Q2556" s="7">
        <f t="shared" si="276"/>
        <v>0</v>
      </c>
      <c r="R2556" s="7">
        <f t="shared" si="277"/>
        <v>12847.380000000001</v>
      </c>
      <c r="S2556" s="7">
        <f t="shared" si="278"/>
        <v>2141.23</v>
      </c>
      <c r="T2556" s="6">
        <f t="shared" si="279"/>
        <v>1.1278195488721804E-2</v>
      </c>
      <c r="V2556" t="s">
        <v>29</v>
      </c>
    </row>
    <row r="2557" spans="1:22">
      <c r="A2557" s="3">
        <v>45764</v>
      </c>
      <c r="B2557" t="str">
        <f t="shared" si="273"/>
        <v>yyyy-04</v>
      </c>
      <c r="C2557">
        <f t="shared" si="274"/>
        <v>16</v>
      </c>
      <c r="D2557" t="s">
        <v>42</v>
      </c>
      <c r="E2557" t="s">
        <v>43</v>
      </c>
      <c r="F2557" t="s">
        <v>47</v>
      </c>
      <c r="G2557" t="s">
        <v>27</v>
      </c>
      <c r="H2557" t="s">
        <v>28</v>
      </c>
      <c r="I2557" s="5">
        <v>612</v>
      </c>
      <c r="J2557" s="5">
        <v>410</v>
      </c>
      <c r="K2557" s="5">
        <v>33</v>
      </c>
      <c r="L2557" s="5">
        <v>9</v>
      </c>
      <c r="M2557" s="5">
        <v>9</v>
      </c>
      <c r="N2557" s="7">
        <v>597.15</v>
      </c>
      <c r="O2557" s="7">
        <f t="shared" si="275"/>
        <v>5374.3499999999995</v>
      </c>
      <c r="P2557" s="4">
        <v>0</v>
      </c>
      <c r="Q2557" s="7">
        <f t="shared" si="276"/>
        <v>0</v>
      </c>
      <c r="R2557" s="7">
        <f t="shared" si="277"/>
        <v>5374.3499999999995</v>
      </c>
      <c r="S2557" s="7">
        <f t="shared" si="278"/>
        <v>597.15</v>
      </c>
      <c r="T2557" s="6">
        <f t="shared" si="279"/>
        <v>1.4705882352941176E-2</v>
      </c>
      <c r="V2557" t="s">
        <v>29</v>
      </c>
    </row>
    <row r="2558" spans="1:22">
      <c r="A2558" s="3">
        <v>45764</v>
      </c>
      <c r="B2558" t="str">
        <f t="shared" si="273"/>
        <v>yyyy-04</v>
      </c>
      <c r="C2558">
        <f t="shared" si="274"/>
        <v>16</v>
      </c>
      <c r="D2558" t="s">
        <v>42</v>
      </c>
      <c r="E2558" t="s">
        <v>49</v>
      </c>
      <c r="F2558" t="s">
        <v>50</v>
      </c>
      <c r="G2558" t="s">
        <v>36</v>
      </c>
      <c r="H2558" t="s">
        <v>37</v>
      </c>
      <c r="I2558" s="5">
        <v>204</v>
      </c>
      <c r="J2558" s="5">
        <v>132</v>
      </c>
      <c r="K2558" s="5">
        <v>14</v>
      </c>
      <c r="L2558" s="5">
        <v>3</v>
      </c>
      <c r="M2558" s="5">
        <v>3</v>
      </c>
      <c r="N2558" s="7">
        <v>983.41</v>
      </c>
      <c r="O2558" s="7">
        <f t="shared" si="275"/>
        <v>2950.23</v>
      </c>
      <c r="P2558" s="4">
        <v>0.1</v>
      </c>
      <c r="Q2558" s="7">
        <f t="shared" si="276"/>
        <v>295.02300000000002</v>
      </c>
      <c r="R2558" s="7">
        <f t="shared" si="277"/>
        <v>2655.2069999999999</v>
      </c>
      <c r="S2558" s="7">
        <f t="shared" si="278"/>
        <v>885.06899999999996</v>
      </c>
      <c r="T2558" s="6">
        <f t="shared" si="279"/>
        <v>1.4705882352941176E-2</v>
      </c>
      <c r="U2558" t="s">
        <v>94</v>
      </c>
      <c r="V2558" t="s">
        <v>29</v>
      </c>
    </row>
    <row r="2559" spans="1:22">
      <c r="A2559" s="3">
        <v>45764</v>
      </c>
      <c r="B2559" t="str">
        <f t="shared" si="273"/>
        <v>yyyy-04</v>
      </c>
      <c r="C2559">
        <f t="shared" si="274"/>
        <v>16</v>
      </c>
      <c r="D2559" t="s">
        <v>42</v>
      </c>
      <c r="E2559" t="s">
        <v>51</v>
      </c>
      <c r="F2559" t="s">
        <v>52</v>
      </c>
      <c r="G2559" t="s">
        <v>27</v>
      </c>
      <c r="H2559" t="s">
        <v>28</v>
      </c>
      <c r="I2559" s="5">
        <v>226</v>
      </c>
      <c r="J2559" s="5">
        <v>131</v>
      </c>
      <c r="K2559" s="5">
        <v>17</v>
      </c>
      <c r="L2559" s="5">
        <v>4</v>
      </c>
      <c r="M2559" s="5">
        <v>4</v>
      </c>
      <c r="N2559" s="7">
        <v>584.5</v>
      </c>
      <c r="O2559" s="7">
        <f t="shared" si="275"/>
        <v>2338</v>
      </c>
      <c r="P2559" s="4">
        <v>0</v>
      </c>
      <c r="Q2559" s="7">
        <f t="shared" si="276"/>
        <v>0</v>
      </c>
      <c r="R2559" s="7">
        <f t="shared" si="277"/>
        <v>2338</v>
      </c>
      <c r="S2559" s="7">
        <f t="shared" si="278"/>
        <v>584.5</v>
      </c>
      <c r="T2559" s="6">
        <f t="shared" si="279"/>
        <v>1.7699115044247787E-2</v>
      </c>
      <c r="V2559" t="s">
        <v>29</v>
      </c>
    </row>
    <row r="2560" spans="1:22">
      <c r="A2560" s="3">
        <v>45764</v>
      </c>
      <c r="B2560" t="str">
        <f t="shared" si="273"/>
        <v>yyyy-04</v>
      </c>
      <c r="C2560">
        <f t="shared" si="274"/>
        <v>16</v>
      </c>
      <c r="D2560" t="s">
        <v>53</v>
      </c>
      <c r="E2560" t="s">
        <v>54</v>
      </c>
      <c r="F2560" t="s">
        <v>55</v>
      </c>
      <c r="G2560" t="s">
        <v>27</v>
      </c>
      <c r="H2560" t="s">
        <v>45</v>
      </c>
      <c r="I2560" s="5">
        <v>65</v>
      </c>
      <c r="J2560" s="5">
        <v>37</v>
      </c>
      <c r="K2560" s="5">
        <v>1</v>
      </c>
      <c r="L2560" s="5">
        <v>0</v>
      </c>
      <c r="M2560" s="5">
        <v>0</v>
      </c>
      <c r="N2560" s="7">
        <v>1273.17</v>
      </c>
      <c r="O2560" s="7">
        <f t="shared" si="275"/>
        <v>0</v>
      </c>
      <c r="P2560" s="4">
        <v>0</v>
      </c>
      <c r="Q2560" s="7">
        <f t="shared" si="276"/>
        <v>0</v>
      </c>
      <c r="R2560" s="7">
        <f t="shared" si="277"/>
        <v>0</v>
      </c>
      <c r="S2560" s="7">
        <f t="shared" si="278"/>
        <v>0</v>
      </c>
      <c r="T2560" s="6">
        <f t="shared" si="279"/>
        <v>0</v>
      </c>
      <c r="V2560" t="s">
        <v>81</v>
      </c>
    </row>
    <row r="2561" spans="1:22">
      <c r="A2561" s="3">
        <v>45764</v>
      </c>
      <c r="B2561" t="str">
        <f t="shared" si="273"/>
        <v>yyyy-04</v>
      </c>
      <c r="C2561">
        <f t="shared" si="274"/>
        <v>16</v>
      </c>
      <c r="D2561" t="s">
        <v>53</v>
      </c>
      <c r="E2561" t="s">
        <v>56</v>
      </c>
      <c r="F2561" t="s">
        <v>57</v>
      </c>
      <c r="G2561" t="s">
        <v>27</v>
      </c>
      <c r="H2561" t="s">
        <v>28</v>
      </c>
      <c r="I2561" s="5">
        <v>241</v>
      </c>
      <c r="J2561" s="5">
        <v>187</v>
      </c>
      <c r="K2561" s="5">
        <v>9</v>
      </c>
      <c r="L2561" s="5">
        <v>2</v>
      </c>
      <c r="M2561" s="5">
        <v>2</v>
      </c>
      <c r="N2561" s="7">
        <v>754.46</v>
      </c>
      <c r="O2561" s="7">
        <f t="shared" si="275"/>
        <v>1508.92</v>
      </c>
      <c r="P2561" s="4">
        <v>0</v>
      </c>
      <c r="Q2561" s="7">
        <f t="shared" si="276"/>
        <v>0</v>
      </c>
      <c r="R2561" s="7">
        <f t="shared" si="277"/>
        <v>1508.92</v>
      </c>
      <c r="S2561" s="7">
        <f t="shared" si="278"/>
        <v>754.46</v>
      </c>
      <c r="T2561" s="6">
        <f t="shared" si="279"/>
        <v>8.2987551867219917E-3</v>
      </c>
      <c r="V2561" t="s">
        <v>29</v>
      </c>
    </row>
    <row r="2562" spans="1:22">
      <c r="A2562" s="3">
        <v>45764</v>
      </c>
      <c r="B2562" t="str">
        <f t="shared" si="273"/>
        <v>yyyy-04</v>
      </c>
      <c r="C2562">
        <f t="shared" si="274"/>
        <v>16</v>
      </c>
      <c r="D2562" t="s">
        <v>53</v>
      </c>
      <c r="E2562" t="s">
        <v>56</v>
      </c>
      <c r="F2562" t="s">
        <v>58</v>
      </c>
      <c r="G2562" t="s">
        <v>31</v>
      </c>
      <c r="H2562" t="s">
        <v>32</v>
      </c>
      <c r="I2562" s="5">
        <v>257</v>
      </c>
      <c r="J2562" s="5">
        <v>141</v>
      </c>
      <c r="K2562" s="5">
        <v>12</v>
      </c>
      <c r="L2562" s="5">
        <v>2</v>
      </c>
      <c r="M2562" s="5">
        <v>2</v>
      </c>
      <c r="N2562" s="7">
        <v>870.68</v>
      </c>
      <c r="O2562" s="7">
        <f t="shared" si="275"/>
        <v>1741.36</v>
      </c>
      <c r="P2562" s="4">
        <v>0</v>
      </c>
      <c r="Q2562" s="7">
        <f t="shared" si="276"/>
        <v>0</v>
      </c>
      <c r="R2562" s="7">
        <f t="shared" si="277"/>
        <v>1741.36</v>
      </c>
      <c r="S2562" s="7">
        <f t="shared" si="278"/>
        <v>870.68</v>
      </c>
      <c r="T2562" s="6">
        <f t="shared" si="279"/>
        <v>7.7821011673151752E-3</v>
      </c>
      <c r="V2562" t="s">
        <v>29</v>
      </c>
    </row>
    <row r="2563" spans="1:22">
      <c r="A2563" s="3">
        <v>45764</v>
      </c>
      <c r="B2563" t="str">
        <f t="shared" si="273"/>
        <v>yyyy-04</v>
      </c>
      <c r="C2563">
        <f t="shared" si="274"/>
        <v>16</v>
      </c>
      <c r="D2563" t="s">
        <v>53</v>
      </c>
      <c r="E2563" t="s">
        <v>59</v>
      </c>
      <c r="F2563" t="s">
        <v>60</v>
      </c>
      <c r="G2563" t="s">
        <v>31</v>
      </c>
      <c r="H2563" t="s">
        <v>32</v>
      </c>
      <c r="I2563" s="5">
        <v>167</v>
      </c>
      <c r="J2563" s="5">
        <v>130</v>
      </c>
      <c r="K2563" s="5">
        <v>14</v>
      </c>
      <c r="L2563" s="5">
        <v>2</v>
      </c>
      <c r="M2563" s="5">
        <v>2</v>
      </c>
      <c r="N2563" s="7">
        <v>682.69</v>
      </c>
      <c r="O2563" s="7">
        <f t="shared" si="275"/>
        <v>1365.38</v>
      </c>
      <c r="P2563" s="4">
        <v>0.09</v>
      </c>
      <c r="Q2563" s="7">
        <f t="shared" si="276"/>
        <v>122.88420000000001</v>
      </c>
      <c r="R2563" s="7">
        <f t="shared" si="277"/>
        <v>1242.4958000000001</v>
      </c>
      <c r="S2563" s="7">
        <f t="shared" si="278"/>
        <v>621.24790000000007</v>
      </c>
      <c r="T2563" s="6">
        <f t="shared" si="279"/>
        <v>1.1976047904191617E-2</v>
      </c>
      <c r="U2563" t="s">
        <v>93</v>
      </c>
      <c r="V2563" t="s">
        <v>29</v>
      </c>
    </row>
    <row r="2564" spans="1:22">
      <c r="A2564" s="3">
        <v>45764</v>
      </c>
      <c r="B2564" t="str">
        <f t="shared" si="273"/>
        <v>yyyy-04</v>
      </c>
      <c r="C2564">
        <f t="shared" si="274"/>
        <v>16</v>
      </c>
      <c r="D2564" t="s">
        <v>53</v>
      </c>
      <c r="E2564" t="s">
        <v>61</v>
      </c>
      <c r="F2564" t="s">
        <v>62</v>
      </c>
      <c r="G2564" t="s">
        <v>31</v>
      </c>
      <c r="H2564" t="s">
        <v>32</v>
      </c>
      <c r="I2564" s="5">
        <v>213</v>
      </c>
      <c r="J2564" s="5">
        <v>175</v>
      </c>
      <c r="K2564" s="5">
        <v>8</v>
      </c>
      <c r="L2564" s="5">
        <v>2</v>
      </c>
      <c r="M2564" s="5">
        <v>2</v>
      </c>
      <c r="N2564" s="7">
        <v>490.35</v>
      </c>
      <c r="O2564" s="7">
        <f t="shared" si="275"/>
        <v>980.7</v>
      </c>
      <c r="P2564" s="4">
        <v>0</v>
      </c>
      <c r="Q2564" s="7">
        <f t="shared" si="276"/>
        <v>0</v>
      </c>
      <c r="R2564" s="7">
        <f t="shared" si="277"/>
        <v>980.7</v>
      </c>
      <c r="S2564" s="7">
        <f t="shared" si="278"/>
        <v>490.35</v>
      </c>
      <c r="T2564" s="6">
        <f t="shared" si="279"/>
        <v>9.3896713615023476E-3</v>
      </c>
      <c r="V2564" t="s">
        <v>29</v>
      </c>
    </row>
    <row r="2565" spans="1:22">
      <c r="A2565" s="3">
        <v>45764</v>
      </c>
      <c r="B2565" t="str">
        <f t="shared" ref="B2565:B2628" si="280">TEXT(A2565,"yyyy-mm")</f>
        <v>yyyy-04</v>
      </c>
      <c r="C2565">
        <f t="shared" ref="C2565:C2628" si="281">WEEKNUM(A2565,2)</f>
        <v>16</v>
      </c>
      <c r="D2565" t="s">
        <v>53</v>
      </c>
      <c r="E2565" t="s">
        <v>64</v>
      </c>
      <c r="F2565" t="s">
        <v>65</v>
      </c>
      <c r="G2565" t="s">
        <v>27</v>
      </c>
      <c r="H2565" t="s">
        <v>28</v>
      </c>
      <c r="I2565" s="5">
        <v>209</v>
      </c>
      <c r="J2565" s="5">
        <v>163</v>
      </c>
      <c r="K2565" s="5">
        <v>13</v>
      </c>
      <c r="L2565" s="5">
        <v>2</v>
      </c>
      <c r="M2565" s="5">
        <v>2</v>
      </c>
      <c r="N2565" s="7">
        <v>777.06</v>
      </c>
      <c r="O2565" s="7">
        <f t="shared" ref="O2565:O2628" si="282">M2565*N2565</f>
        <v>1554.12</v>
      </c>
      <c r="P2565" s="4">
        <v>0</v>
      </c>
      <c r="Q2565" s="7">
        <f t="shared" ref="Q2565:Q2628" si="283">O2565*P2565</f>
        <v>0</v>
      </c>
      <c r="R2565" s="7">
        <f t="shared" ref="R2565:R2628" si="284">O2565-Q2565</f>
        <v>1554.12</v>
      </c>
      <c r="S2565" s="7">
        <f t="shared" ref="S2565:S2628" si="285">IFERROR(R2565/L2565,0)</f>
        <v>777.06</v>
      </c>
      <c r="T2565" s="6">
        <f t="shared" ref="T2565:T2628" si="286">IFERROR(L2565/I2565,0)</f>
        <v>9.5693779904306216E-3</v>
      </c>
      <c r="V2565" t="s">
        <v>29</v>
      </c>
    </row>
    <row r="2566" spans="1:22">
      <c r="A2566" s="3">
        <v>45764</v>
      </c>
      <c r="B2566" t="str">
        <f t="shared" si="280"/>
        <v>yyyy-04</v>
      </c>
      <c r="C2566">
        <f t="shared" si="281"/>
        <v>16</v>
      </c>
      <c r="D2566" t="s">
        <v>66</v>
      </c>
      <c r="E2566" t="s">
        <v>67</v>
      </c>
      <c r="F2566" t="s">
        <v>68</v>
      </c>
      <c r="G2566" t="s">
        <v>27</v>
      </c>
      <c r="H2566" t="s">
        <v>28</v>
      </c>
      <c r="I2566" s="5">
        <v>279</v>
      </c>
      <c r="J2566" s="5">
        <v>160</v>
      </c>
      <c r="K2566" s="5">
        <v>19</v>
      </c>
      <c r="L2566" s="5">
        <v>4</v>
      </c>
      <c r="M2566" s="5">
        <v>4</v>
      </c>
      <c r="N2566" s="7">
        <v>704.45</v>
      </c>
      <c r="O2566" s="7">
        <f t="shared" si="282"/>
        <v>2817.8</v>
      </c>
      <c r="P2566" s="4">
        <v>0</v>
      </c>
      <c r="Q2566" s="7">
        <f t="shared" si="283"/>
        <v>0</v>
      </c>
      <c r="R2566" s="7">
        <f t="shared" si="284"/>
        <v>2817.8</v>
      </c>
      <c r="S2566" s="7">
        <f t="shared" si="285"/>
        <v>704.45</v>
      </c>
      <c r="T2566" s="6">
        <f t="shared" si="286"/>
        <v>1.4336917562724014E-2</v>
      </c>
      <c r="V2566" t="s">
        <v>29</v>
      </c>
    </row>
    <row r="2567" spans="1:22">
      <c r="A2567" s="3">
        <v>45764</v>
      </c>
      <c r="B2567" t="str">
        <f t="shared" si="280"/>
        <v>yyyy-04</v>
      </c>
      <c r="C2567">
        <f t="shared" si="281"/>
        <v>16</v>
      </c>
      <c r="D2567" t="s">
        <v>66</v>
      </c>
      <c r="E2567" t="s">
        <v>67</v>
      </c>
      <c r="F2567" t="s">
        <v>69</v>
      </c>
      <c r="G2567" t="s">
        <v>31</v>
      </c>
      <c r="H2567" t="s">
        <v>32</v>
      </c>
      <c r="I2567" s="5">
        <v>376</v>
      </c>
      <c r="J2567" s="5">
        <v>274</v>
      </c>
      <c r="K2567" s="5">
        <v>16</v>
      </c>
      <c r="L2567" s="5">
        <v>6</v>
      </c>
      <c r="M2567" s="5">
        <v>6</v>
      </c>
      <c r="N2567" s="7">
        <v>392.61</v>
      </c>
      <c r="O2567" s="7">
        <f t="shared" si="282"/>
        <v>2355.66</v>
      </c>
      <c r="P2567" s="4">
        <v>0.05</v>
      </c>
      <c r="Q2567" s="7">
        <f t="shared" si="283"/>
        <v>117.783</v>
      </c>
      <c r="R2567" s="7">
        <f t="shared" si="284"/>
        <v>2237.877</v>
      </c>
      <c r="S2567" s="7">
        <f t="shared" si="285"/>
        <v>372.97949999999997</v>
      </c>
      <c r="T2567" s="6">
        <f t="shared" si="286"/>
        <v>1.5957446808510637E-2</v>
      </c>
      <c r="V2567" t="s">
        <v>29</v>
      </c>
    </row>
    <row r="2568" spans="1:22">
      <c r="A2568" s="3">
        <v>45764</v>
      </c>
      <c r="B2568" t="str">
        <f t="shared" si="280"/>
        <v>yyyy-04</v>
      </c>
      <c r="C2568">
        <f t="shared" si="281"/>
        <v>16</v>
      </c>
      <c r="D2568" t="s">
        <v>66</v>
      </c>
      <c r="E2568" t="s">
        <v>67</v>
      </c>
      <c r="F2568" t="s">
        <v>70</v>
      </c>
      <c r="G2568" t="s">
        <v>27</v>
      </c>
      <c r="H2568" t="s">
        <v>45</v>
      </c>
      <c r="I2568" s="5">
        <v>424</v>
      </c>
      <c r="J2568" s="5">
        <v>276</v>
      </c>
      <c r="K2568" s="5">
        <v>22</v>
      </c>
      <c r="L2568" s="5">
        <v>6</v>
      </c>
      <c r="M2568" s="5">
        <v>6</v>
      </c>
      <c r="N2568" s="7">
        <v>344.03</v>
      </c>
      <c r="O2568" s="7">
        <f t="shared" si="282"/>
        <v>2064.1799999999998</v>
      </c>
      <c r="P2568" s="4">
        <v>0</v>
      </c>
      <c r="Q2568" s="7">
        <f t="shared" si="283"/>
        <v>0</v>
      </c>
      <c r="R2568" s="7">
        <f t="shared" si="284"/>
        <v>2064.1799999999998</v>
      </c>
      <c r="S2568" s="7">
        <f t="shared" si="285"/>
        <v>344.03</v>
      </c>
      <c r="T2568" s="6">
        <f t="shared" si="286"/>
        <v>1.4150943396226415E-2</v>
      </c>
      <c r="V2568" t="s">
        <v>29</v>
      </c>
    </row>
    <row r="2569" spans="1:22">
      <c r="A2569" s="3">
        <v>45764</v>
      </c>
      <c r="B2569" t="str">
        <f t="shared" si="280"/>
        <v>yyyy-04</v>
      </c>
      <c r="C2569">
        <f t="shared" si="281"/>
        <v>16</v>
      </c>
      <c r="D2569" t="s">
        <v>66</v>
      </c>
      <c r="E2569" t="s">
        <v>71</v>
      </c>
      <c r="F2569" t="s">
        <v>72</v>
      </c>
      <c r="G2569" t="s">
        <v>36</v>
      </c>
      <c r="H2569" t="s">
        <v>37</v>
      </c>
      <c r="I2569" s="5">
        <v>415</v>
      </c>
      <c r="J2569" s="5">
        <v>247</v>
      </c>
      <c r="K2569" s="5">
        <v>27</v>
      </c>
      <c r="L2569" s="5">
        <v>7</v>
      </c>
      <c r="M2569" s="5">
        <v>9</v>
      </c>
      <c r="N2569" s="7">
        <v>130.19</v>
      </c>
      <c r="O2569" s="7">
        <f t="shared" si="282"/>
        <v>1171.71</v>
      </c>
      <c r="P2569" s="4">
        <v>0.05</v>
      </c>
      <c r="Q2569" s="7">
        <f t="shared" si="283"/>
        <v>58.585500000000003</v>
      </c>
      <c r="R2569" s="7">
        <f t="shared" si="284"/>
        <v>1113.1245000000001</v>
      </c>
      <c r="S2569" s="7">
        <f t="shared" si="285"/>
        <v>159.01778571428574</v>
      </c>
      <c r="T2569" s="6">
        <f t="shared" si="286"/>
        <v>1.6867469879518072E-2</v>
      </c>
      <c r="V2569" t="s">
        <v>78</v>
      </c>
    </row>
    <row r="2570" spans="1:22">
      <c r="A2570" s="3">
        <v>45764</v>
      </c>
      <c r="B2570" t="str">
        <f t="shared" si="280"/>
        <v>yyyy-04</v>
      </c>
      <c r="C2570">
        <f t="shared" si="281"/>
        <v>16</v>
      </c>
      <c r="D2570" t="s">
        <v>66</v>
      </c>
      <c r="E2570" t="s">
        <v>73</v>
      </c>
      <c r="F2570" t="s">
        <v>74</v>
      </c>
      <c r="G2570" t="s">
        <v>36</v>
      </c>
      <c r="H2570" t="s">
        <v>37</v>
      </c>
      <c r="I2570" s="5">
        <v>155</v>
      </c>
      <c r="J2570" s="5">
        <v>110</v>
      </c>
      <c r="K2570" s="5">
        <v>7</v>
      </c>
      <c r="L2570" s="5">
        <v>2</v>
      </c>
      <c r="M2570" s="5">
        <v>2</v>
      </c>
      <c r="N2570" s="7">
        <v>1180.1600000000001</v>
      </c>
      <c r="O2570" s="7">
        <f t="shared" si="282"/>
        <v>2360.3200000000002</v>
      </c>
      <c r="P2570" s="4">
        <v>0.03</v>
      </c>
      <c r="Q2570" s="7">
        <f t="shared" si="283"/>
        <v>70.809600000000003</v>
      </c>
      <c r="R2570" s="7">
        <f t="shared" si="284"/>
        <v>2289.5104000000001</v>
      </c>
      <c r="S2570" s="7">
        <f t="shared" si="285"/>
        <v>1144.7552000000001</v>
      </c>
      <c r="T2570" s="6">
        <f t="shared" si="286"/>
        <v>1.2903225806451613E-2</v>
      </c>
      <c r="V2570" t="s">
        <v>29</v>
      </c>
    </row>
    <row r="2571" spans="1:22">
      <c r="A2571" s="3">
        <v>45764</v>
      </c>
      <c r="B2571" t="str">
        <f t="shared" si="280"/>
        <v>yyyy-04</v>
      </c>
      <c r="C2571">
        <f t="shared" si="281"/>
        <v>16</v>
      </c>
      <c r="D2571" t="s">
        <v>66</v>
      </c>
      <c r="E2571" t="s">
        <v>71</v>
      </c>
      <c r="F2571" t="s">
        <v>75</v>
      </c>
      <c r="G2571" t="s">
        <v>27</v>
      </c>
      <c r="H2571" t="s">
        <v>45</v>
      </c>
      <c r="I2571" s="5">
        <v>430</v>
      </c>
      <c r="J2571" s="5">
        <v>277</v>
      </c>
      <c r="K2571" s="5">
        <v>33</v>
      </c>
      <c r="L2571" s="5">
        <v>9</v>
      </c>
      <c r="M2571" s="5">
        <v>11</v>
      </c>
      <c r="N2571" s="7">
        <v>39.54</v>
      </c>
      <c r="O2571" s="7">
        <f t="shared" si="282"/>
        <v>434.94</v>
      </c>
      <c r="P2571" s="4">
        <v>0</v>
      </c>
      <c r="Q2571" s="7">
        <f t="shared" si="283"/>
        <v>0</v>
      </c>
      <c r="R2571" s="7">
        <f t="shared" si="284"/>
        <v>434.94</v>
      </c>
      <c r="S2571" s="7">
        <f t="shared" si="285"/>
        <v>48.326666666666668</v>
      </c>
      <c r="T2571" s="6">
        <f t="shared" si="286"/>
        <v>2.0930232558139535E-2</v>
      </c>
      <c r="V2571" t="s">
        <v>29</v>
      </c>
    </row>
    <row r="2572" spans="1:22">
      <c r="A2572" s="3">
        <v>45764</v>
      </c>
      <c r="B2572" t="str">
        <f t="shared" si="280"/>
        <v>yyyy-04</v>
      </c>
      <c r="C2572">
        <f t="shared" si="281"/>
        <v>16</v>
      </c>
      <c r="D2572" t="s">
        <v>24</v>
      </c>
      <c r="E2572" t="s">
        <v>76</v>
      </c>
      <c r="F2572" t="s">
        <v>77</v>
      </c>
      <c r="G2572" t="s">
        <v>27</v>
      </c>
      <c r="H2572" t="s">
        <v>63</v>
      </c>
      <c r="I2572" s="5">
        <v>404</v>
      </c>
      <c r="J2572" s="5">
        <v>319</v>
      </c>
      <c r="K2572" s="5">
        <v>31</v>
      </c>
      <c r="L2572" s="5">
        <v>8</v>
      </c>
      <c r="M2572" s="5">
        <v>9</v>
      </c>
      <c r="N2572" s="7">
        <v>194.22</v>
      </c>
      <c r="O2572" s="7">
        <f t="shared" si="282"/>
        <v>1747.98</v>
      </c>
      <c r="P2572" s="4">
        <v>0</v>
      </c>
      <c r="Q2572" s="7">
        <f t="shared" si="283"/>
        <v>0</v>
      </c>
      <c r="R2572" s="7">
        <f t="shared" si="284"/>
        <v>1747.98</v>
      </c>
      <c r="S2572" s="7">
        <f t="shared" si="285"/>
        <v>218.4975</v>
      </c>
      <c r="T2572" s="6">
        <f t="shared" si="286"/>
        <v>1.9801980198019802E-2</v>
      </c>
      <c r="V2572" t="s">
        <v>29</v>
      </c>
    </row>
    <row r="2573" spans="1:22">
      <c r="A2573" s="3">
        <v>45765</v>
      </c>
      <c r="B2573" t="str">
        <f t="shared" si="280"/>
        <v>yyyy-04</v>
      </c>
      <c r="C2573">
        <f t="shared" si="281"/>
        <v>16</v>
      </c>
      <c r="D2573" t="s">
        <v>24</v>
      </c>
      <c r="E2573" t="s">
        <v>25</v>
      </c>
      <c r="F2573" t="s">
        <v>26</v>
      </c>
      <c r="G2573" t="s">
        <v>27</v>
      </c>
      <c r="H2573" t="s">
        <v>45</v>
      </c>
      <c r="I2573" s="5">
        <v>1177</v>
      </c>
      <c r="J2573" s="5">
        <v>747</v>
      </c>
      <c r="K2573" s="5">
        <v>89</v>
      </c>
      <c r="L2573" s="5">
        <v>21</v>
      </c>
      <c r="M2573" s="5">
        <v>21</v>
      </c>
      <c r="N2573" s="7">
        <v>975.27</v>
      </c>
      <c r="O2573" s="7">
        <f t="shared" si="282"/>
        <v>20480.669999999998</v>
      </c>
      <c r="P2573" s="4">
        <v>0</v>
      </c>
      <c r="Q2573" s="7">
        <f t="shared" si="283"/>
        <v>0</v>
      </c>
      <c r="R2573" s="7">
        <f t="shared" si="284"/>
        <v>20480.669999999998</v>
      </c>
      <c r="S2573" s="7">
        <f t="shared" si="285"/>
        <v>975.26999999999987</v>
      </c>
      <c r="T2573" s="6">
        <f t="shared" si="286"/>
        <v>1.784197111299915E-2</v>
      </c>
      <c r="V2573" t="s">
        <v>29</v>
      </c>
    </row>
    <row r="2574" spans="1:22">
      <c r="A2574" s="3">
        <v>45765</v>
      </c>
      <c r="B2574" t="str">
        <f t="shared" si="280"/>
        <v>yyyy-04</v>
      </c>
      <c r="C2574">
        <f t="shared" si="281"/>
        <v>16</v>
      </c>
      <c r="D2574" t="s">
        <v>24</v>
      </c>
      <c r="E2574" t="s">
        <v>25</v>
      </c>
      <c r="F2574" t="s">
        <v>30</v>
      </c>
      <c r="G2574" t="s">
        <v>27</v>
      </c>
      <c r="H2574" t="s">
        <v>45</v>
      </c>
      <c r="I2574" s="5">
        <v>1565</v>
      </c>
      <c r="J2574" s="5">
        <v>1137</v>
      </c>
      <c r="K2574" s="5">
        <v>109</v>
      </c>
      <c r="L2574" s="5">
        <v>29</v>
      </c>
      <c r="M2574" s="5">
        <v>29</v>
      </c>
      <c r="N2574" s="7">
        <v>399.79</v>
      </c>
      <c r="O2574" s="7">
        <f t="shared" si="282"/>
        <v>11593.91</v>
      </c>
      <c r="P2574" s="4">
        <v>0</v>
      </c>
      <c r="Q2574" s="7">
        <f t="shared" si="283"/>
        <v>0</v>
      </c>
      <c r="R2574" s="7">
        <f t="shared" si="284"/>
        <v>11593.91</v>
      </c>
      <c r="S2574" s="7">
        <f t="shared" si="285"/>
        <v>399.79</v>
      </c>
      <c r="T2574" s="6">
        <f t="shared" si="286"/>
        <v>1.8530351437699679E-2</v>
      </c>
      <c r="V2574" t="s">
        <v>29</v>
      </c>
    </row>
    <row r="2575" spans="1:22">
      <c r="A2575" s="3">
        <v>45765</v>
      </c>
      <c r="B2575" t="str">
        <f t="shared" si="280"/>
        <v>yyyy-04</v>
      </c>
      <c r="C2575">
        <f t="shared" si="281"/>
        <v>16</v>
      </c>
      <c r="D2575" t="s">
        <v>24</v>
      </c>
      <c r="E2575" t="s">
        <v>25</v>
      </c>
      <c r="F2575" t="s">
        <v>33</v>
      </c>
      <c r="G2575" t="s">
        <v>36</v>
      </c>
      <c r="H2575" t="s">
        <v>37</v>
      </c>
      <c r="I2575" s="5">
        <v>1229</v>
      </c>
      <c r="J2575" s="5">
        <v>924</v>
      </c>
      <c r="K2575" s="5">
        <v>104</v>
      </c>
      <c r="L2575" s="5">
        <v>21</v>
      </c>
      <c r="M2575" s="5">
        <v>21</v>
      </c>
      <c r="N2575" s="7">
        <v>1808.53</v>
      </c>
      <c r="O2575" s="7">
        <f t="shared" si="282"/>
        <v>37979.129999999997</v>
      </c>
      <c r="P2575" s="4">
        <v>0.05</v>
      </c>
      <c r="Q2575" s="7">
        <f t="shared" si="283"/>
        <v>1898.9565</v>
      </c>
      <c r="R2575" s="7">
        <f t="shared" si="284"/>
        <v>36080.173499999997</v>
      </c>
      <c r="S2575" s="7">
        <f t="shared" si="285"/>
        <v>1718.1034999999999</v>
      </c>
      <c r="T2575" s="6">
        <f t="shared" si="286"/>
        <v>1.7087062652563059E-2</v>
      </c>
      <c r="V2575" t="s">
        <v>29</v>
      </c>
    </row>
    <row r="2576" spans="1:22">
      <c r="A2576" s="3">
        <v>45765</v>
      </c>
      <c r="B2576" t="str">
        <f t="shared" si="280"/>
        <v>yyyy-04</v>
      </c>
      <c r="C2576">
        <f t="shared" si="281"/>
        <v>16</v>
      </c>
      <c r="D2576" t="s">
        <v>24</v>
      </c>
      <c r="E2576" t="s">
        <v>34</v>
      </c>
      <c r="F2576" t="s">
        <v>35</v>
      </c>
      <c r="G2576" t="s">
        <v>36</v>
      </c>
      <c r="H2576" t="s">
        <v>37</v>
      </c>
      <c r="I2576" s="5">
        <v>922</v>
      </c>
      <c r="J2576" s="5">
        <v>508</v>
      </c>
      <c r="K2576" s="5">
        <v>47</v>
      </c>
      <c r="L2576" s="5">
        <v>19</v>
      </c>
      <c r="M2576" s="5">
        <v>19</v>
      </c>
      <c r="N2576" s="7">
        <v>897.82</v>
      </c>
      <c r="O2576" s="7">
        <f t="shared" si="282"/>
        <v>17058.580000000002</v>
      </c>
      <c r="P2576" s="4">
        <v>0.03</v>
      </c>
      <c r="Q2576" s="7">
        <f t="shared" si="283"/>
        <v>511.75740000000002</v>
      </c>
      <c r="R2576" s="7">
        <f t="shared" si="284"/>
        <v>16546.822600000003</v>
      </c>
      <c r="S2576" s="7">
        <f t="shared" si="285"/>
        <v>870.88540000000012</v>
      </c>
      <c r="T2576" s="6">
        <f t="shared" si="286"/>
        <v>2.0607375271149676E-2</v>
      </c>
      <c r="V2576" t="s">
        <v>29</v>
      </c>
    </row>
    <row r="2577" spans="1:22">
      <c r="A2577" s="3">
        <v>45765</v>
      </c>
      <c r="B2577" t="str">
        <f t="shared" si="280"/>
        <v>yyyy-04</v>
      </c>
      <c r="C2577">
        <f t="shared" si="281"/>
        <v>16</v>
      </c>
      <c r="D2577" t="s">
        <v>24</v>
      </c>
      <c r="E2577" t="s">
        <v>38</v>
      </c>
      <c r="F2577" t="s">
        <v>39</v>
      </c>
      <c r="G2577" t="s">
        <v>27</v>
      </c>
      <c r="H2577" t="s">
        <v>63</v>
      </c>
      <c r="I2577" s="5">
        <v>532</v>
      </c>
      <c r="J2577" s="5">
        <v>321</v>
      </c>
      <c r="K2577" s="5">
        <v>37</v>
      </c>
      <c r="L2577" s="5">
        <v>13</v>
      </c>
      <c r="M2577" s="5">
        <v>13</v>
      </c>
      <c r="N2577" s="7">
        <v>325.70999999999998</v>
      </c>
      <c r="O2577" s="7">
        <f t="shared" si="282"/>
        <v>4234.2299999999996</v>
      </c>
      <c r="P2577" s="4">
        <v>0</v>
      </c>
      <c r="Q2577" s="7">
        <f t="shared" si="283"/>
        <v>0</v>
      </c>
      <c r="R2577" s="7">
        <f t="shared" si="284"/>
        <v>4234.2299999999996</v>
      </c>
      <c r="S2577" s="7">
        <f t="shared" si="285"/>
        <v>325.70999999999998</v>
      </c>
      <c r="T2577" s="6">
        <f t="shared" si="286"/>
        <v>2.4436090225563908E-2</v>
      </c>
      <c r="V2577" t="s">
        <v>29</v>
      </c>
    </row>
    <row r="2578" spans="1:22">
      <c r="A2578" s="3">
        <v>45765</v>
      </c>
      <c r="B2578" t="str">
        <f t="shared" si="280"/>
        <v>yyyy-04</v>
      </c>
      <c r="C2578">
        <f t="shared" si="281"/>
        <v>16</v>
      </c>
      <c r="D2578" t="s">
        <v>24</v>
      </c>
      <c r="E2578" t="s">
        <v>40</v>
      </c>
      <c r="F2578" t="s">
        <v>41</v>
      </c>
      <c r="G2578" t="s">
        <v>36</v>
      </c>
      <c r="H2578" t="s">
        <v>37</v>
      </c>
      <c r="I2578" s="5">
        <v>770</v>
      </c>
      <c r="J2578" s="5">
        <v>498</v>
      </c>
      <c r="K2578" s="5">
        <v>50</v>
      </c>
      <c r="L2578" s="5">
        <v>12</v>
      </c>
      <c r="M2578" s="5">
        <v>15</v>
      </c>
      <c r="N2578" s="7">
        <v>178.18</v>
      </c>
      <c r="O2578" s="7">
        <f t="shared" si="282"/>
        <v>2672.7000000000003</v>
      </c>
      <c r="P2578" s="4">
        <v>0.05</v>
      </c>
      <c r="Q2578" s="7">
        <f t="shared" si="283"/>
        <v>133.63500000000002</v>
      </c>
      <c r="R2578" s="7">
        <f t="shared" si="284"/>
        <v>2539.0650000000001</v>
      </c>
      <c r="S2578" s="7">
        <f t="shared" si="285"/>
        <v>211.58875</v>
      </c>
      <c r="T2578" s="6">
        <f t="shared" si="286"/>
        <v>1.5584415584415584E-2</v>
      </c>
      <c r="V2578" t="s">
        <v>29</v>
      </c>
    </row>
    <row r="2579" spans="1:22">
      <c r="A2579" s="3">
        <v>45765</v>
      </c>
      <c r="B2579" t="str">
        <f t="shared" si="280"/>
        <v>yyyy-04</v>
      </c>
      <c r="C2579">
        <f t="shared" si="281"/>
        <v>16</v>
      </c>
      <c r="D2579" t="s">
        <v>42</v>
      </c>
      <c r="E2579" t="s">
        <v>43</v>
      </c>
      <c r="F2579" t="s">
        <v>44</v>
      </c>
      <c r="G2579" t="s">
        <v>31</v>
      </c>
      <c r="H2579" t="s">
        <v>32</v>
      </c>
      <c r="I2579" s="5">
        <v>609</v>
      </c>
      <c r="J2579" s="5">
        <v>331</v>
      </c>
      <c r="K2579" s="5">
        <v>32</v>
      </c>
      <c r="L2579" s="5">
        <v>7</v>
      </c>
      <c r="M2579" s="5">
        <v>7</v>
      </c>
      <c r="N2579" s="7">
        <v>1286.02</v>
      </c>
      <c r="O2579" s="7">
        <f t="shared" si="282"/>
        <v>9002.14</v>
      </c>
      <c r="P2579" s="4">
        <v>0.03</v>
      </c>
      <c r="Q2579" s="7">
        <f t="shared" si="283"/>
        <v>270.06419999999997</v>
      </c>
      <c r="R2579" s="7">
        <f t="shared" si="284"/>
        <v>8732.0757999999987</v>
      </c>
      <c r="S2579" s="7">
        <f t="shared" si="285"/>
        <v>1247.4393999999998</v>
      </c>
      <c r="T2579" s="6">
        <f t="shared" si="286"/>
        <v>1.1494252873563218E-2</v>
      </c>
      <c r="V2579" t="s">
        <v>29</v>
      </c>
    </row>
    <row r="2580" spans="1:22">
      <c r="A2580" s="3">
        <v>45765</v>
      </c>
      <c r="B2580" t="str">
        <f t="shared" si="280"/>
        <v>yyyy-04</v>
      </c>
      <c r="C2580">
        <f t="shared" si="281"/>
        <v>16</v>
      </c>
      <c r="D2580" t="s">
        <v>42</v>
      </c>
      <c r="E2580" t="s">
        <v>43</v>
      </c>
      <c r="F2580" t="s">
        <v>46</v>
      </c>
      <c r="G2580" t="s">
        <v>31</v>
      </c>
      <c r="H2580" t="s">
        <v>32</v>
      </c>
      <c r="I2580" s="5">
        <v>442</v>
      </c>
      <c r="J2580" s="5">
        <v>325</v>
      </c>
      <c r="K2580" s="5">
        <v>26</v>
      </c>
      <c r="L2580" s="5">
        <v>5</v>
      </c>
      <c r="M2580" s="5">
        <v>5</v>
      </c>
      <c r="N2580" s="7">
        <v>2138.5100000000002</v>
      </c>
      <c r="O2580" s="7">
        <f t="shared" si="282"/>
        <v>10692.550000000001</v>
      </c>
      <c r="P2580" s="4">
        <v>0.03</v>
      </c>
      <c r="Q2580" s="7">
        <f t="shared" si="283"/>
        <v>320.7765</v>
      </c>
      <c r="R2580" s="7">
        <f t="shared" si="284"/>
        <v>10371.773500000001</v>
      </c>
      <c r="S2580" s="7">
        <f t="shared" si="285"/>
        <v>2074.3547000000003</v>
      </c>
      <c r="T2580" s="6">
        <f t="shared" si="286"/>
        <v>1.1312217194570135E-2</v>
      </c>
      <c r="V2580" t="s">
        <v>29</v>
      </c>
    </row>
    <row r="2581" spans="1:22">
      <c r="A2581" s="3">
        <v>45765</v>
      </c>
      <c r="B2581" t="str">
        <f t="shared" si="280"/>
        <v>yyyy-04</v>
      </c>
      <c r="C2581">
        <f t="shared" si="281"/>
        <v>16</v>
      </c>
      <c r="D2581" t="s">
        <v>42</v>
      </c>
      <c r="E2581" t="s">
        <v>43</v>
      </c>
      <c r="F2581" t="s">
        <v>47</v>
      </c>
      <c r="G2581" t="s">
        <v>31</v>
      </c>
      <c r="H2581" t="s">
        <v>32</v>
      </c>
      <c r="I2581" s="5">
        <v>685</v>
      </c>
      <c r="J2581" s="5">
        <v>357</v>
      </c>
      <c r="K2581" s="5">
        <v>29</v>
      </c>
      <c r="L2581" s="5">
        <v>8</v>
      </c>
      <c r="M2581" s="5">
        <v>8</v>
      </c>
      <c r="N2581" s="7">
        <v>592.36</v>
      </c>
      <c r="O2581" s="7">
        <f t="shared" si="282"/>
        <v>4738.88</v>
      </c>
      <c r="P2581" s="4">
        <v>0</v>
      </c>
      <c r="Q2581" s="7">
        <f t="shared" si="283"/>
        <v>0</v>
      </c>
      <c r="R2581" s="7">
        <f t="shared" si="284"/>
        <v>4738.88</v>
      </c>
      <c r="S2581" s="7">
        <f t="shared" si="285"/>
        <v>592.36</v>
      </c>
      <c r="T2581" s="6">
        <f t="shared" si="286"/>
        <v>1.167883211678832E-2</v>
      </c>
      <c r="V2581" t="s">
        <v>29</v>
      </c>
    </row>
    <row r="2582" spans="1:22">
      <c r="A2582" s="3">
        <v>45765</v>
      </c>
      <c r="B2582" t="str">
        <f t="shared" si="280"/>
        <v>yyyy-04</v>
      </c>
      <c r="C2582">
        <f t="shared" si="281"/>
        <v>16</v>
      </c>
      <c r="D2582" t="s">
        <v>42</v>
      </c>
      <c r="E2582" t="s">
        <v>49</v>
      </c>
      <c r="F2582" t="s">
        <v>50</v>
      </c>
      <c r="G2582" t="s">
        <v>27</v>
      </c>
      <c r="H2582" t="s">
        <v>28</v>
      </c>
      <c r="I2582" s="5">
        <v>199</v>
      </c>
      <c r="J2582" s="5">
        <v>137</v>
      </c>
      <c r="K2582" s="5">
        <v>13</v>
      </c>
      <c r="L2582" s="5">
        <v>3</v>
      </c>
      <c r="M2582" s="5">
        <v>3</v>
      </c>
      <c r="N2582" s="7">
        <v>966.1</v>
      </c>
      <c r="O2582" s="7">
        <f t="shared" si="282"/>
        <v>2898.3</v>
      </c>
      <c r="P2582" s="4">
        <v>0.1</v>
      </c>
      <c r="Q2582" s="7">
        <f t="shared" si="283"/>
        <v>289.83000000000004</v>
      </c>
      <c r="R2582" s="7">
        <f t="shared" si="284"/>
        <v>2608.4700000000003</v>
      </c>
      <c r="S2582" s="7">
        <f t="shared" si="285"/>
        <v>869.49000000000012</v>
      </c>
      <c r="T2582" s="6">
        <f t="shared" si="286"/>
        <v>1.507537688442211E-2</v>
      </c>
      <c r="U2582" t="s">
        <v>94</v>
      </c>
      <c r="V2582" t="s">
        <v>29</v>
      </c>
    </row>
    <row r="2583" spans="1:22">
      <c r="A2583" s="3">
        <v>45765</v>
      </c>
      <c r="B2583" t="str">
        <f t="shared" si="280"/>
        <v>yyyy-04</v>
      </c>
      <c r="C2583">
        <f t="shared" si="281"/>
        <v>16</v>
      </c>
      <c r="D2583" t="s">
        <v>42</v>
      </c>
      <c r="E2583" t="s">
        <v>51</v>
      </c>
      <c r="F2583" t="s">
        <v>52</v>
      </c>
      <c r="G2583" t="s">
        <v>27</v>
      </c>
      <c r="H2583" t="s">
        <v>63</v>
      </c>
      <c r="I2583" s="5">
        <v>213</v>
      </c>
      <c r="J2583" s="5">
        <v>162</v>
      </c>
      <c r="K2583" s="5">
        <v>15</v>
      </c>
      <c r="L2583" s="5">
        <v>3</v>
      </c>
      <c r="M2583" s="5">
        <v>3</v>
      </c>
      <c r="N2583" s="7">
        <v>605.16999999999996</v>
      </c>
      <c r="O2583" s="7">
        <f t="shared" si="282"/>
        <v>1815.5099999999998</v>
      </c>
      <c r="P2583" s="4">
        <v>0</v>
      </c>
      <c r="Q2583" s="7">
        <f t="shared" si="283"/>
        <v>0</v>
      </c>
      <c r="R2583" s="7">
        <f t="shared" si="284"/>
        <v>1815.5099999999998</v>
      </c>
      <c r="S2583" s="7">
        <f t="shared" si="285"/>
        <v>605.16999999999996</v>
      </c>
      <c r="T2583" s="6">
        <f t="shared" si="286"/>
        <v>1.4084507042253521E-2</v>
      </c>
      <c r="V2583" t="s">
        <v>29</v>
      </c>
    </row>
    <row r="2584" spans="1:22">
      <c r="A2584" s="3">
        <v>45765</v>
      </c>
      <c r="B2584" t="str">
        <f t="shared" si="280"/>
        <v>yyyy-04</v>
      </c>
      <c r="C2584">
        <f t="shared" si="281"/>
        <v>16</v>
      </c>
      <c r="D2584" t="s">
        <v>53</v>
      </c>
      <c r="E2584" t="s">
        <v>54</v>
      </c>
      <c r="F2584" t="s">
        <v>55</v>
      </c>
      <c r="G2584" t="s">
        <v>27</v>
      </c>
      <c r="H2584" t="s">
        <v>45</v>
      </c>
      <c r="I2584" s="5">
        <v>207</v>
      </c>
      <c r="J2584" s="5">
        <v>161</v>
      </c>
      <c r="K2584" s="5">
        <v>9</v>
      </c>
      <c r="L2584" s="5">
        <v>2</v>
      </c>
      <c r="M2584" s="5">
        <v>2</v>
      </c>
      <c r="N2584" s="7">
        <v>1310.6300000000001</v>
      </c>
      <c r="O2584" s="7">
        <f t="shared" si="282"/>
        <v>2621.2600000000002</v>
      </c>
      <c r="P2584" s="4">
        <v>0.05</v>
      </c>
      <c r="Q2584" s="7">
        <f t="shared" si="283"/>
        <v>131.06300000000002</v>
      </c>
      <c r="R2584" s="7">
        <f t="shared" si="284"/>
        <v>2490.1970000000001</v>
      </c>
      <c r="S2584" s="7">
        <f t="shared" si="285"/>
        <v>1245.0985000000001</v>
      </c>
      <c r="T2584" s="6">
        <f t="shared" si="286"/>
        <v>9.6618357487922701E-3</v>
      </c>
      <c r="V2584" t="s">
        <v>29</v>
      </c>
    </row>
    <row r="2585" spans="1:22">
      <c r="A2585" s="3">
        <v>45765</v>
      </c>
      <c r="B2585" t="str">
        <f t="shared" si="280"/>
        <v>yyyy-04</v>
      </c>
      <c r="C2585">
        <f t="shared" si="281"/>
        <v>16</v>
      </c>
      <c r="D2585" t="s">
        <v>53</v>
      </c>
      <c r="E2585" t="s">
        <v>56</v>
      </c>
      <c r="F2585" t="s">
        <v>57</v>
      </c>
      <c r="G2585" t="s">
        <v>27</v>
      </c>
      <c r="H2585" t="s">
        <v>28</v>
      </c>
      <c r="I2585" s="5">
        <v>270</v>
      </c>
      <c r="J2585" s="5">
        <v>189</v>
      </c>
      <c r="K2585" s="5">
        <v>14</v>
      </c>
      <c r="L2585" s="5">
        <v>4</v>
      </c>
      <c r="M2585" s="5">
        <v>4</v>
      </c>
      <c r="N2585" s="7">
        <v>744.78</v>
      </c>
      <c r="O2585" s="7">
        <f t="shared" si="282"/>
        <v>2979.12</v>
      </c>
      <c r="P2585" s="4">
        <v>0</v>
      </c>
      <c r="Q2585" s="7">
        <f t="shared" si="283"/>
        <v>0</v>
      </c>
      <c r="R2585" s="7">
        <f t="shared" si="284"/>
        <v>2979.12</v>
      </c>
      <c r="S2585" s="7">
        <f t="shared" si="285"/>
        <v>744.78</v>
      </c>
      <c r="T2585" s="6">
        <f t="shared" si="286"/>
        <v>1.4814814814814815E-2</v>
      </c>
      <c r="V2585" t="s">
        <v>29</v>
      </c>
    </row>
    <row r="2586" spans="1:22">
      <c r="A2586" s="3">
        <v>45765</v>
      </c>
      <c r="B2586" t="str">
        <f t="shared" si="280"/>
        <v>yyyy-04</v>
      </c>
      <c r="C2586">
        <f t="shared" si="281"/>
        <v>16</v>
      </c>
      <c r="D2586" t="s">
        <v>53</v>
      </c>
      <c r="E2586" t="s">
        <v>56</v>
      </c>
      <c r="F2586" t="s">
        <v>58</v>
      </c>
      <c r="G2586" t="s">
        <v>27</v>
      </c>
      <c r="H2586" t="s">
        <v>28</v>
      </c>
      <c r="I2586" s="5">
        <v>186</v>
      </c>
      <c r="J2586" s="5">
        <v>135</v>
      </c>
      <c r="K2586" s="5">
        <v>15</v>
      </c>
      <c r="L2586" s="5">
        <v>1</v>
      </c>
      <c r="M2586" s="5">
        <v>1</v>
      </c>
      <c r="N2586" s="7">
        <v>901.8</v>
      </c>
      <c r="O2586" s="7">
        <f t="shared" si="282"/>
        <v>901.8</v>
      </c>
      <c r="P2586" s="4">
        <v>0.05</v>
      </c>
      <c r="Q2586" s="7">
        <f t="shared" si="283"/>
        <v>45.09</v>
      </c>
      <c r="R2586" s="7">
        <f t="shared" si="284"/>
        <v>856.70999999999992</v>
      </c>
      <c r="S2586" s="7">
        <f t="shared" si="285"/>
        <v>856.70999999999992</v>
      </c>
      <c r="T2586" s="6">
        <f t="shared" si="286"/>
        <v>5.3763440860215058E-3</v>
      </c>
      <c r="V2586" t="s">
        <v>78</v>
      </c>
    </row>
    <row r="2587" spans="1:22">
      <c r="A2587" s="3">
        <v>45765</v>
      </c>
      <c r="B2587" t="str">
        <f t="shared" si="280"/>
        <v>yyyy-04</v>
      </c>
      <c r="C2587">
        <f t="shared" si="281"/>
        <v>16</v>
      </c>
      <c r="D2587" t="s">
        <v>53</v>
      </c>
      <c r="E2587" t="s">
        <v>59</v>
      </c>
      <c r="F2587" t="s">
        <v>60</v>
      </c>
      <c r="G2587" t="s">
        <v>27</v>
      </c>
      <c r="H2587" t="s">
        <v>28</v>
      </c>
      <c r="I2587" s="5">
        <v>96</v>
      </c>
      <c r="J2587" s="5">
        <v>50</v>
      </c>
      <c r="K2587" s="5">
        <v>4</v>
      </c>
      <c r="L2587" s="5">
        <v>1</v>
      </c>
      <c r="M2587" s="5">
        <v>1</v>
      </c>
      <c r="N2587" s="7">
        <v>680.3</v>
      </c>
      <c r="O2587" s="7">
        <f t="shared" si="282"/>
        <v>680.3</v>
      </c>
      <c r="P2587" s="4">
        <v>0.09</v>
      </c>
      <c r="Q2587" s="7">
        <f t="shared" si="283"/>
        <v>61.226999999999997</v>
      </c>
      <c r="R2587" s="7">
        <f t="shared" si="284"/>
        <v>619.07299999999998</v>
      </c>
      <c r="S2587" s="7">
        <f t="shared" si="285"/>
        <v>619.07299999999998</v>
      </c>
      <c r="T2587" s="6">
        <f t="shared" si="286"/>
        <v>1.0416666666666666E-2</v>
      </c>
      <c r="U2587" t="s">
        <v>93</v>
      </c>
      <c r="V2587" t="s">
        <v>29</v>
      </c>
    </row>
    <row r="2588" spans="1:22">
      <c r="A2588" s="3">
        <v>45765</v>
      </c>
      <c r="B2588" t="str">
        <f t="shared" si="280"/>
        <v>yyyy-04</v>
      </c>
      <c r="C2588">
        <f t="shared" si="281"/>
        <v>16</v>
      </c>
      <c r="D2588" t="s">
        <v>53</v>
      </c>
      <c r="E2588" t="s">
        <v>61</v>
      </c>
      <c r="F2588" t="s">
        <v>62</v>
      </c>
      <c r="G2588" t="s">
        <v>31</v>
      </c>
      <c r="H2588" t="s">
        <v>32</v>
      </c>
      <c r="I2588" s="5">
        <v>252</v>
      </c>
      <c r="J2588" s="5">
        <v>139</v>
      </c>
      <c r="K2588" s="5">
        <v>13</v>
      </c>
      <c r="L2588" s="5">
        <v>3</v>
      </c>
      <c r="M2588" s="5">
        <v>3</v>
      </c>
      <c r="N2588" s="7">
        <v>491.06</v>
      </c>
      <c r="O2588" s="7">
        <f t="shared" si="282"/>
        <v>1473.18</v>
      </c>
      <c r="P2588" s="4">
        <v>0</v>
      </c>
      <c r="Q2588" s="7">
        <f t="shared" si="283"/>
        <v>0</v>
      </c>
      <c r="R2588" s="7">
        <f t="shared" si="284"/>
        <v>1473.18</v>
      </c>
      <c r="S2588" s="7">
        <f t="shared" si="285"/>
        <v>491.06</v>
      </c>
      <c r="T2588" s="6">
        <f t="shared" si="286"/>
        <v>1.1904761904761904E-2</v>
      </c>
      <c r="V2588" t="s">
        <v>29</v>
      </c>
    </row>
    <row r="2589" spans="1:22">
      <c r="A2589" s="3">
        <v>45765</v>
      </c>
      <c r="B2589" t="str">
        <f t="shared" si="280"/>
        <v>yyyy-04</v>
      </c>
      <c r="C2589">
        <f t="shared" si="281"/>
        <v>16</v>
      </c>
      <c r="D2589" t="s">
        <v>53</v>
      </c>
      <c r="E2589" t="s">
        <v>64</v>
      </c>
      <c r="F2589" t="s">
        <v>65</v>
      </c>
      <c r="G2589" t="s">
        <v>27</v>
      </c>
      <c r="H2589" t="s">
        <v>45</v>
      </c>
      <c r="I2589" s="5">
        <v>191</v>
      </c>
      <c r="J2589" s="5">
        <v>143</v>
      </c>
      <c r="K2589" s="5">
        <v>17</v>
      </c>
      <c r="L2589" s="5">
        <v>2</v>
      </c>
      <c r="M2589" s="5">
        <v>2</v>
      </c>
      <c r="N2589" s="7">
        <v>777.37</v>
      </c>
      <c r="O2589" s="7">
        <f t="shared" si="282"/>
        <v>1554.74</v>
      </c>
      <c r="P2589" s="4">
        <v>0.03</v>
      </c>
      <c r="Q2589" s="7">
        <f t="shared" si="283"/>
        <v>46.642199999999995</v>
      </c>
      <c r="R2589" s="7">
        <f t="shared" si="284"/>
        <v>1508.0978</v>
      </c>
      <c r="S2589" s="7">
        <f t="shared" si="285"/>
        <v>754.0489</v>
      </c>
      <c r="T2589" s="6">
        <f t="shared" si="286"/>
        <v>1.0471204188481676E-2</v>
      </c>
      <c r="V2589" t="s">
        <v>29</v>
      </c>
    </row>
    <row r="2590" spans="1:22">
      <c r="A2590" s="3">
        <v>45765</v>
      </c>
      <c r="B2590" t="str">
        <f t="shared" si="280"/>
        <v>yyyy-04</v>
      </c>
      <c r="C2590">
        <f t="shared" si="281"/>
        <v>16</v>
      </c>
      <c r="D2590" t="s">
        <v>66</v>
      </c>
      <c r="E2590" t="s">
        <v>67</v>
      </c>
      <c r="F2590" t="s">
        <v>68</v>
      </c>
      <c r="G2590" t="s">
        <v>27</v>
      </c>
      <c r="H2590" t="s">
        <v>48</v>
      </c>
      <c r="I2590" s="5">
        <v>280</v>
      </c>
      <c r="J2590" s="5">
        <v>202</v>
      </c>
      <c r="K2590" s="5">
        <v>17</v>
      </c>
      <c r="L2590" s="5">
        <v>4</v>
      </c>
      <c r="M2590" s="5">
        <v>4</v>
      </c>
      <c r="N2590" s="7">
        <v>675.25</v>
      </c>
      <c r="O2590" s="7">
        <f t="shared" si="282"/>
        <v>2701</v>
      </c>
      <c r="P2590" s="4">
        <v>0</v>
      </c>
      <c r="Q2590" s="7">
        <f t="shared" si="283"/>
        <v>0</v>
      </c>
      <c r="R2590" s="7">
        <f t="shared" si="284"/>
        <v>2701</v>
      </c>
      <c r="S2590" s="7">
        <f t="shared" si="285"/>
        <v>675.25</v>
      </c>
      <c r="T2590" s="6">
        <f t="shared" si="286"/>
        <v>1.4285714285714285E-2</v>
      </c>
      <c r="V2590" t="s">
        <v>29</v>
      </c>
    </row>
    <row r="2591" spans="1:22">
      <c r="A2591" s="3">
        <v>45765</v>
      </c>
      <c r="B2591" t="str">
        <f t="shared" si="280"/>
        <v>yyyy-04</v>
      </c>
      <c r="C2591">
        <f t="shared" si="281"/>
        <v>16</v>
      </c>
      <c r="D2591" t="s">
        <v>66</v>
      </c>
      <c r="E2591" t="s">
        <v>67</v>
      </c>
      <c r="F2591" t="s">
        <v>69</v>
      </c>
      <c r="G2591" t="s">
        <v>31</v>
      </c>
      <c r="H2591" t="s">
        <v>32</v>
      </c>
      <c r="I2591" s="5">
        <v>434</v>
      </c>
      <c r="J2591" s="5">
        <v>234</v>
      </c>
      <c r="K2591" s="5">
        <v>21</v>
      </c>
      <c r="L2591" s="5">
        <v>6</v>
      </c>
      <c r="M2591" s="5">
        <v>6</v>
      </c>
      <c r="N2591" s="7">
        <v>383.94</v>
      </c>
      <c r="O2591" s="7">
        <f t="shared" si="282"/>
        <v>2303.64</v>
      </c>
      <c r="P2591" s="4">
        <v>0.03</v>
      </c>
      <c r="Q2591" s="7">
        <f t="shared" si="283"/>
        <v>69.109199999999987</v>
      </c>
      <c r="R2591" s="7">
        <f t="shared" si="284"/>
        <v>2234.5308</v>
      </c>
      <c r="S2591" s="7">
        <f t="shared" si="285"/>
        <v>372.42180000000002</v>
      </c>
      <c r="T2591" s="6">
        <f t="shared" si="286"/>
        <v>1.3824884792626729E-2</v>
      </c>
      <c r="V2591" t="s">
        <v>29</v>
      </c>
    </row>
    <row r="2592" spans="1:22">
      <c r="A2592" s="3">
        <v>45765</v>
      </c>
      <c r="B2592" t="str">
        <f t="shared" si="280"/>
        <v>yyyy-04</v>
      </c>
      <c r="C2592">
        <f t="shared" si="281"/>
        <v>16</v>
      </c>
      <c r="D2592" t="s">
        <v>66</v>
      </c>
      <c r="E2592" t="s">
        <v>67</v>
      </c>
      <c r="F2592" t="s">
        <v>70</v>
      </c>
      <c r="G2592" t="s">
        <v>27</v>
      </c>
      <c r="H2592" t="s">
        <v>63</v>
      </c>
      <c r="I2592" s="5">
        <v>250</v>
      </c>
      <c r="J2592" s="5">
        <v>161</v>
      </c>
      <c r="K2592" s="5">
        <v>22</v>
      </c>
      <c r="L2592" s="5">
        <v>6</v>
      </c>
      <c r="M2592" s="5">
        <v>6</v>
      </c>
      <c r="N2592" s="7">
        <v>348.92</v>
      </c>
      <c r="O2592" s="7">
        <f t="shared" si="282"/>
        <v>2093.52</v>
      </c>
      <c r="P2592" s="4">
        <v>0.03</v>
      </c>
      <c r="Q2592" s="7">
        <f t="shared" si="283"/>
        <v>62.805599999999998</v>
      </c>
      <c r="R2592" s="7">
        <f t="shared" si="284"/>
        <v>2030.7144000000001</v>
      </c>
      <c r="S2592" s="7">
        <f t="shared" si="285"/>
        <v>338.45240000000001</v>
      </c>
      <c r="T2592" s="6">
        <f t="shared" si="286"/>
        <v>2.4E-2</v>
      </c>
      <c r="V2592" t="s">
        <v>29</v>
      </c>
    </row>
    <row r="2593" spans="1:22">
      <c r="A2593" s="3">
        <v>45765</v>
      </c>
      <c r="B2593" t="str">
        <f t="shared" si="280"/>
        <v>yyyy-04</v>
      </c>
      <c r="C2593">
        <f t="shared" si="281"/>
        <v>16</v>
      </c>
      <c r="D2593" t="s">
        <v>66</v>
      </c>
      <c r="E2593" t="s">
        <v>71</v>
      </c>
      <c r="F2593" t="s">
        <v>72</v>
      </c>
      <c r="G2593" t="s">
        <v>31</v>
      </c>
      <c r="H2593" t="s">
        <v>32</v>
      </c>
      <c r="I2593" s="5">
        <v>349</v>
      </c>
      <c r="J2593" s="5">
        <v>198</v>
      </c>
      <c r="K2593" s="5">
        <v>17</v>
      </c>
      <c r="L2593" s="5">
        <v>6</v>
      </c>
      <c r="M2593" s="5">
        <v>8</v>
      </c>
      <c r="N2593" s="7">
        <v>130.44</v>
      </c>
      <c r="O2593" s="7">
        <f t="shared" si="282"/>
        <v>1043.52</v>
      </c>
      <c r="P2593" s="4">
        <v>0</v>
      </c>
      <c r="Q2593" s="7">
        <f t="shared" si="283"/>
        <v>0</v>
      </c>
      <c r="R2593" s="7">
        <f t="shared" si="284"/>
        <v>1043.52</v>
      </c>
      <c r="S2593" s="7">
        <f t="shared" si="285"/>
        <v>173.92</v>
      </c>
      <c r="T2593" s="6">
        <f t="shared" si="286"/>
        <v>1.7191977077363897E-2</v>
      </c>
      <c r="V2593" t="s">
        <v>78</v>
      </c>
    </row>
    <row r="2594" spans="1:22">
      <c r="A2594" s="3">
        <v>45765</v>
      </c>
      <c r="B2594" t="str">
        <f t="shared" si="280"/>
        <v>yyyy-04</v>
      </c>
      <c r="C2594">
        <f t="shared" si="281"/>
        <v>16</v>
      </c>
      <c r="D2594" t="s">
        <v>66</v>
      </c>
      <c r="E2594" t="s">
        <v>73</v>
      </c>
      <c r="F2594" t="s">
        <v>74</v>
      </c>
      <c r="G2594" t="s">
        <v>27</v>
      </c>
      <c r="H2594" t="s">
        <v>63</v>
      </c>
      <c r="I2594" s="5">
        <v>200</v>
      </c>
      <c r="J2594" s="5">
        <v>165</v>
      </c>
      <c r="K2594" s="5">
        <v>15</v>
      </c>
      <c r="L2594" s="5">
        <v>4</v>
      </c>
      <c r="M2594" s="5">
        <v>4</v>
      </c>
      <c r="N2594" s="7">
        <v>1153.8900000000001</v>
      </c>
      <c r="O2594" s="7">
        <f t="shared" si="282"/>
        <v>4615.5600000000004</v>
      </c>
      <c r="P2594" s="4">
        <v>0</v>
      </c>
      <c r="Q2594" s="7">
        <f t="shared" si="283"/>
        <v>0</v>
      </c>
      <c r="R2594" s="7">
        <f t="shared" si="284"/>
        <v>4615.5600000000004</v>
      </c>
      <c r="S2594" s="7">
        <f t="shared" si="285"/>
        <v>1153.8900000000001</v>
      </c>
      <c r="T2594" s="6">
        <f t="shared" si="286"/>
        <v>0.02</v>
      </c>
      <c r="V2594" t="s">
        <v>29</v>
      </c>
    </row>
    <row r="2595" spans="1:22">
      <c r="A2595" s="3">
        <v>45765</v>
      </c>
      <c r="B2595" t="str">
        <f t="shared" si="280"/>
        <v>yyyy-04</v>
      </c>
      <c r="C2595">
        <f t="shared" si="281"/>
        <v>16</v>
      </c>
      <c r="D2595" t="s">
        <v>66</v>
      </c>
      <c r="E2595" t="s">
        <v>71</v>
      </c>
      <c r="F2595" t="s">
        <v>75</v>
      </c>
      <c r="G2595" t="s">
        <v>36</v>
      </c>
      <c r="H2595" t="s">
        <v>37</v>
      </c>
      <c r="I2595" s="5">
        <v>371</v>
      </c>
      <c r="J2595" s="5">
        <v>295</v>
      </c>
      <c r="K2595" s="5">
        <v>23</v>
      </c>
      <c r="L2595" s="5">
        <v>8</v>
      </c>
      <c r="M2595" s="5">
        <v>9</v>
      </c>
      <c r="N2595" s="7">
        <v>37.58</v>
      </c>
      <c r="O2595" s="7">
        <f t="shared" si="282"/>
        <v>338.21999999999997</v>
      </c>
      <c r="P2595" s="4">
        <v>0</v>
      </c>
      <c r="Q2595" s="7">
        <f t="shared" si="283"/>
        <v>0</v>
      </c>
      <c r="R2595" s="7">
        <f t="shared" si="284"/>
        <v>338.21999999999997</v>
      </c>
      <c r="S2595" s="7">
        <f t="shared" si="285"/>
        <v>42.277499999999996</v>
      </c>
      <c r="T2595" s="6">
        <f t="shared" si="286"/>
        <v>2.15633423180593E-2</v>
      </c>
      <c r="V2595" t="s">
        <v>29</v>
      </c>
    </row>
    <row r="2596" spans="1:22">
      <c r="A2596" s="3">
        <v>45765</v>
      </c>
      <c r="B2596" t="str">
        <f t="shared" si="280"/>
        <v>yyyy-04</v>
      </c>
      <c r="C2596">
        <f t="shared" si="281"/>
        <v>16</v>
      </c>
      <c r="D2596" t="s">
        <v>24</v>
      </c>
      <c r="E2596" t="s">
        <v>76</v>
      </c>
      <c r="F2596" t="s">
        <v>77</v>
      </c>
      <c r="G2596" t="s">
        <v>36</v>
      </c>
      <c r="H2596" t="s">
        <v>37</v>
      </c>
      <c r="I2596" s="5">
        <v>553</v>
      </c>
      <c r="J2596" s="5">
        <v>406</v>
      </c>
      <c r="K2596" s="5">
        <v>48</v>
      </c>
      <c r="L2596" s="5">
        <v>12</v>
      </c>
      <c r="M2596" s="5">
        <v>16</v>
      </c>
      <c r="N2596" s="7">
        <v>198.1</v>
      </c>
      <c r="O2596" s="7">
        <f t="shared" si="282"/>
        <v>3169.6</v>
      </c>
      <c r="P2596" s="4">
        <v>0</v>
      </c>
      <c r="Q2596" s="7">
        <f t="shared" si="283"/>
        <v>0</v>
      </c>
      <c r="R2596" s="7">
        <f t="shared" si="284"/>
        <v>3169.6</v>
      </c>
      <c r="S2596" s="7">
        <f t="shared" si="285"/>
        <v>264.13333333333333</v>
      </c>
      <c r="T2596" s="6">
        <f t="shared" si="286"/>
        <v>2.1699819168173599E-2</v>
      </c>
      <c r="V2596" t="s">
        <v>29</v>
      </c>
    </row>
    <row r="2597" spans="1:22">
      <c r="A2597" s="3">
        <v>45766</v>
      </c>
      <c r="B2597" t="str">
        <f t="shared" si="280"/>
        <v>yyyy-04</v>
      </c>
      <c r="C2597">
        <f t="shared" si="281"/>
        <v>16</v>
      </c>
      <c r="D2597" t="s">
        <v>24</v>
      </c>
      <c r="E2597" t="s">
        <v>25</v>
      </c>
      <c r="F2597" t="s">
        <v>26</v>
      </c>
      <c r="G2597" t="s">
        <v>31</v>
      </c>
      <c r="H2597" t="s">
        <v>32</v>
      </c>
      <c r="I2597" s="5">
        <v>2554</v>
      </c>
      <c r="J2597" s="5">
        <v>1406</v>
      </c>
      <c r="K2597" s="5">
        <v>131</v>
      </c>
      <c r="L2597" s="5">
        <v>58</v>
      </c>
      <c r="M2597" s="5">
        <v>58</v>
      </c>
      <c r="N2597" s="7">
        <v>971.22</v>
      </c>
      <c r="O2597" s="7">
        <f t="shared" si="282"/>
        <v>56330.76</v>
      </c>
      <c r="P2597" s="4">
        <v>0.03</v>
      </c>
      <c r="Q2597" s="7">
        <f t="shared" si="283"/>
        <v>1689.9228000000001</v>
      </c>
      <c r="R2597" s="7">
        <f t="shared" si="284"/>
        <v>54640.837200000002</v>
      </c>
      <c r="S2597" s="7">
        <f t="shared" si="285"/>
        <v>942.08339999999998</v>
      </c>
      <c r="T2597" s="6">
        <f t="shared" si="286"/>
        <v>2.2709475332811275E-2</v>
      </c>
      <c r="V2597" t="s">
        <v>29</v>
      </c>
    </row>
    <row r="2598" spans="1:22">
      <c r="A2598" s="3">
        <v>45766</v>
      </c>
      <c r="B2598" t="str">
        <f t="shared" si="280"/>
        <v>yyyy-04</v>
      </c>
      <c r="C2598">
        <f t="shared" si="281"/>
        <v>16</v>
      </c>
      <c r="D2598" t="s">
        <v>24</v>
      </c>
      <c r="E2598" t="s">
        <v>25</v>
      </c>
      <c r="F2598" t="s">
        <v>30</v>
      </c>
      <c r="G2598" t="s">
        <v>31</v>
      </c>
      <c r="H2598" t="s">
        <v>32</v>
      </c>
      <c r="I2598" s="5">
        <v>2338</v>
      </c>
      <c r="J2598" s="5">
        <v>1709</v>
      </c>
      <c r="K2598" s="5">
        <v>263</v>
      </c>
      <c r="L2598" s="5">
        <v>59</v>
      </c>
      <c r="M2598" s="5">
        <v>59</v>
      </c>
      <c r="N2598" s="7">
        <v>390.3</v>
      </c>
      <c r="O2598" s="7">
        <f t="shared" si="282"/>
        <v>23027.7</v>
      </c>
      <c r="P2598" s="4">
        <v>0.05</v>
      </c>
      <c r="Q2598" s="7">
        <f t="shared" si="283"/>
        <v>1151.385</v>
      </c>
      <c r="R2598" s="7">
        <f t="shared" si="284"/>
        <v>21876.315000000002</v>
      </c>
      <c r="S2598" s="7">
        <f t="shared" si="285"/>
        <v>370.78500000000003</v>
      </c>
      <c r="T2598" s="6">
        <f t="shared" si="286"/>
        <v>2.5235243798118048E-2</v>
      </c>
      <c r="V2598" t="s">
        <v>29</v>
      </c>
    </row>
    <row r="2599" spans="1:22">
      <c r="A2599" s="3">
        <v>45766</v>
      </c>
      <c r="B2599" t="str">
        <f t="shared" si="280"/>
        <v>yyyy-04</v>
      </c>
      <c r="C2599">
        <f t="shared" si="281"/>
        <v>16</v>
      </c>
      <c r="D2599" t="s">
        <v>24</v>
      </c>
      <c r="E2599" t="s">
        <v>25</v>
      </c>
      <c r="F2599" t="s">
        <v>33</v>
      </c>
      <c r="G2599" t="s">
        <v>36</v>
      </c>
      <c r="H2599" t="s">
        <v>37</v>
      </c>
      <c r="I2599" s="5">
        <v>2241</v>
      </c>
      <c r="J2599" s="5">
        <v>1620</v>
      </c>
      <c r="K2599" s="5">
        <v>174</v>
      </c>
      <c r="L2599" s="5">
        <v>41</v>
      </c>
      <c r="M2599" s="5">
        <v>41</v>
      </c>
      <c r="N2599" s="7">
        <v>1776.63</v>
      </c>
      <c r="O2599" s="7">
        <f t="shared" si="282"/>
        <v>72841.83</v>
      </c>
      <c r="P2599" s="4">
        <v>0</v>
      </c>
      <c r="Q2599" s="7">
        <f t="shared" si="283"/>
        <v>0</v>
      </c>
      <c r="R2599" s="7">
        <f t="shared" si="284"/>
        <v>72841.83</v>
      </c>
      <c r="S2599" s="7">
        <f t="shared" si="285"/>
        <v>1776.63</v>
      </c>
      <c r="T2599" s="6">
        <f t="shared" si="286"/>
        <v>1.8295403837572513E-2</v>
      </c>
      <c r="V2599" t="s">
        <v>29</v>
      </c>
    </row>
    <row r="2600" spans="1:22">
      <c r="A2600" s="3">
        <v>45766</v>
      </c>
      <c r="B2600" t="str">
        <f t="shared" si="280"/>
        <v>yyyy-04</v>
      </c>
      <c r="C2600">
        <f t="shared" si="281"/>
        <v>16</v>
      </c>
      <c r="D2600" t="s">
        <v>24</v>
      </c>
      <c r="E2600" t="s">
        <v>34</v>
      </c>
      <c r="F2600" t="s">
        <v>35</v>
      </c>
      <c r="G2600" t="s">
        <v>27</v>
      </c>
      <c r="H2600" t="s">
        <v>28</v>
      </c>
      <c r="I2600" s="5">
        <v>1017</v>
      </c>
      <c r="J2600" s="5">
        <v>681</v>
      </c>
      <c r="K2600" s="5">
        <v>99</v>
      </c>
      <c r="L2600" s="5">
        <v>23</v>
      </c>
      <c r="M2600" s="5">
        <v>23</v>
      </c>
      <c r="N2600" s="7">
        <v>915.35</v>
      </c>
      <c r="O2600" s="7">
        <f t="shared" si="282"/>
        <v>21053.05</v>
      </c>
      <c r="P2600" s="4">
        <v>0</v>
      </c>
      <c r="Q2600" s="7">
        <f t="shared" si="283"/>
        <v>0</v>
      </c>
      <c r="R2600" s="7">
        <f t="shared" si="284"/>
        <v>21053.05</v>
      </c>
      <c r="S2600" s="7">
        <f t="shared" si="285"/>
        <v>915.35</v>
      </c>
      <c r="T2600" s="6">
        <f t="shared" si="286"/>
        <v>2.2615535889872172E-2</v>
      </c>
      <c r="V2600" t="s">
        <v>29</v>
      </c>
    </row>
    <row r="2601" spans="1:22">
      <c r="A2601" s="3">
        <v>45766</v>
      </c>
      <c r="B2601" t="str">
        <f t="shared" si="280"/>
        <v>yyyy-04</v>
      </c>
      <c r="C2601">
        <f t="shared" si="281"/>
        <v>16</v>
      </c>
      <c r="D2601" t="s">
        <v>24</v>
      </c>
      <c r="E2601" t="s">
        <v>38</v>
      </c>
      <c r="F2601" t="s">
        <v>39</v>
      </c>
      <c r="G2601" t="s">
        <v>36</v>
      </c>
      <c r="H2601" t="s">
        <v>37</v>
      </c>
      <c r="I2601" s="5">
        <v>796</v>
      </c>
      <c r="J2601" s="5">
        <v>460</v>
      </c>
      <c r="K2601" s="5">
        <v>54</v>
      </c>
      <c r="L2601" s="5">
        <v>13</v>
      </c>
      <c r="M2601" s="5">
        <v>13</v>
      </c>
      <c r="N2601" s="7">
        <v>316.58</v>
      </c>
      <c r="O2601" s="7">
        <f t="shared" si="282"/>
        <v>4115.54</v>
      </c>
      <c r="P2601" s="4">
        <v>0.03</v>
      </c>
      <c r="Q2601" s="7">
        <f t="shared" si="283"/>
        <v>123.4662</v>
      </c>
      <c r="R2601" s="7">
        <f t="shared" si="284"/>
        <v>3992.0738000000001</v>
      </c>
      <c r="S2601" s="7">
        <f t="shared" si="285"/>
        <v>307.08260000000001</v>
      </c>
      <c r="T2601" s="6">
        <f t="shared" si="286"/>
        <v>1.6331658291457288E-2</v>
      </c>
      <c r="V2601" t="s">
        <v>29</v>
      </c>
    </row>
    <row r="2602" spans="1:22">
      <c r="A2602" s="3">
        <v>45766</v>
      </c>
      <c r="B2602" t="str">
        <f t="shared" si="280"/>
        <v>yyyy-04</v>
      </c>
      <c r="C2602">
        <f t="shared" si="281"/>
        <v>16</v>
      </c>
      <c r="D2602" t="s">
        <v>24</v>
      </c>
      <c r="E2602" t="s">
        <v>40</v>
      </c>
      <c r="F2602" t="s">
        <v>41</v>
      </c>
      <c r="G2602" t="s">
        <v>27</v>
      </c>
      <c r="H2602" t="s">
        <v>28</v>
      </c>
      <c r="I2602" s="5">
        <v>978</v>
      </c>
      <c r="J2602" s="5">
        <v>542</v>
      </c>
      <c r="K2602" s="5">
        <v>59</v>
      </c>
      <c r="L2602" s="5">
        <v>25</v>
      </c>
      <c r="M2602" s="5">
        <v>28</v>
      </c>
      <c r="N2602" s="7">
        <v>174.52</v>
      </c>
      <c r="O2602" s="7">
        <f t="shared" si="282"/>
        <v>4886.5600000000004</v>
      </c>
      <c r="P2602" s="4">
        <v>0</v>
      </c>
      <c r="Q2602" s="7">
        <f t="shared" si="283"/>
        <v>0</v>
      </c>
      <c r="R2602" s="7">
        <f t="shared" si="284"/>
        <v>4886.5600000000004</v>
      </c>
      <c r="S2602" s="7">
        <f t="shared" si="285"/>
        <v>195.4624</v>
      </c>
      <c r="T2602" s="6">
        <f t="shared" si="286"/>
        <v>2.556237218813906E-2</v>
      </c>
      <c r="V2602" t="s">
        <v>29</v>
      </c>
    </row>
    <row r="2603" spans="1:22">
      <c r="A2603" s="3">
        <v>45766</v>
      </c>
      <c r="B2603" t="str">
        <f t="shared" si="280"/>
        <v>yyyy-04</v>
      </c>
      <c r="C2603">
        <f t="shared" si="281"/>
        <v>16</v>
      </c>
      <c r="D2603" t="s">
        <v>42</v>
      </c>
      <c r="E2603" t="s">
        <v>43</v>
      </c>
      <c r="F2603" t="s">
        <v>44</v>
      </c>
      <c r="G2603" t="s">
        <v>31</v>
      </c>
      <c r="H2603" t="s">
        <v>32</v>
      </c>
      <c r="I2603" s="5">
        <v>824</v>
      </c>
      <c r="J2603" s="5">
        <v>449</v>
      </c>
      <c r="K2603" s="5">
        <v>33</v>
      </c>
      <c r="L2603" s="5">
        <v>11</v>
      </c>
      <c r="M2603" s="5">
        <v>11</v>
      </c>
      <c r="N2603" s="7">
        <v>1298.75</v>
      </c>
      <c r="O2603" s="7">
        <f t="shared" si="282"/>
        <v>14286.25</v>
      </c>
      <c r="P2603" s="4">
        <v>0</v>
      </c>
      <c r="Q2603" s="7">
        <f t="shared" si="283"/>
        <v>0</v>
      </c>
      <c r="R2603" s="7">
        <f t="shared" si="284"/>
        <v>14286.25</v>
      </c>
      <c r="S2603" s="7">
        <f t="shared" si="285"/>
        <v>1298.75</v>
      </c>
      <c r="T2603" s="6">
        <f t="shared" si="286"/>
        <v>1.3349514563106795E-2</v>
      </c>
      <c r="V2603" t="s">
        <v>29</v>
      </c>
    </row>
    <row r="2604" spans="1:22">
      <c r="A2604" s="3">
        <v>45766</v>
      </c>
      <c r="B2604" t="str">
        <f t="shared" si="280"/>
        <v>yyyy-04</v>
      </c>
      <c r="C2604">
        <f t="shared" si="281"/>
        <v>16</v>
      </c>
      <c r="D2604" t="s">
        <v>42</v>
      </c>
      <c r="E2604" t="s">
        <v>43</v>
      </c>
      <c r="F2604" t="s">
        <v>46</v>
      </c>
      <c r="G2604" t="s">
        <v>27</v>
      </c>
      <c r="H2604" t="s">
        <v>63</v>
      </c>
      <c r="I2604" s="5">
        <v>431</v>
      </c>
      <c r="J2604" s="5">
        <v>278</v>
      </c>
      <c r="K2604" s="5">
        <v>15</v>
      </c>
      <c r="L2604" s="5">
        <v>5</v>
      </c>
      <c r="M2604" s="5">
        <v>5</v>
      </c>
      <c r="N2604" s="7">
        <v>2153.6799999999998</v>
      </c>
      <c r="O2604" s="7">
        <f t="shared" si="282"/>
        <v>10768.4</v>
      </c>
      <c r="P2604" s="4">
        <v>0</v>
      </c>
      <c r="Q2604" s="7">
        <f t="shared" si="283"/>
        <v>0</v>
      </c>
      <c r="R2604" s="7">
        <f t="shared" si="284"/>
        <v>10768.4</v>
      </c>
      <c r="S2604" s="7">
        <f t="shared" si="285"/>
        <v>2153.6799999999998</v>
      </c>
      <c r="T2604" s="6">
        <f t="shared" si="286"/>
        <v>1.1600928074245939E-2</v>
      </c>
      <c r="V2604" t="s">
        <v>29</v>
      </c>
    </row>
    <row r="2605" spans="1:22">
      <c r="A2605" s="3">
        <v>45766</v>
      </c>
      <c r="B2605" t="str">
        <f t="shared" si="280"/>
        <v>yyyy-04</v>
      </c>
      <c r="C2605">
        <f t="shared" si="281"/>
        <v>16</v>
      </c>
      <c r="D2605" t="s">
        <v>42</v>
      </c>
      <c r="E2605" t="s">
        <v>43</v>
      </c>
      <c r="F2605" t="s">
        <v>47</v>
      </c>
      <c r="G2605" t="s">
        <v>27</v>
      </c>
      <c r="H2605" t="s">
        <v>45</v>
      </c>
      <c r="I2605" s="5">
        <v>515</v>
      </c>
      <c r="J2605" s="5">
        <v>368</v>
      </c>
      <c r="K2605" s="5">
        <v>29</v>
      </c>
      <c r="L2605" s="5">
        <v>7</v>
      </c>
      <c r="M2605" s="5">
        <v>7</v>
      </c>
      <c r="N2605" s="7">
        <v>600.47</v>
      </c>
      <c r="O2605" s="7">
        <f t="shared" si="282"/>
        <v>4203.29</v>
      </c>
      <c r="P2605" s="4">
        <v>0</v>
      </c>
      <c r="Q2605" s="7">
        <f t="shared" si="283"/>
        <v>0</v>
      </c>
      <c r="R2605" s="7">
        <f t="shared" si="284"/>
        <v>4203.29</v>
      </c>
      <c r="S2605" s="7">
        <f t="shared" si="285"/>
        <v>600.47</v>
      </c>
      <c r="T2605" s="6">
        <f t="shared" si="286"/>
        <v>1.3592233009708738E-2</v>
      </c>
      <c r="V2605" t="s">
        <v>29</v>
      </c>
    </row>
    <row r="2606" spans="1:22">
      <c r="A2606" s="3">
        <v>45766</v>
      </c>
      <c r="B2606" t="str">
        <f t="shared" si="280"/>
        <v>yyyy-04</v>
      </c>
      <c r="C2606">
        <f t="shared" si="281"/>
        <v>16</v>
      </c>
      <c r="D2606" t="s">
        <v>42</v>
      </c>
      <c r="E2606" t="s">
        <v>49</v>
      </c>
      <c r="F2606" t="s">
        <v>50</v>
      </c>
      <c r="G2606" t="s">
        <v>27</v>
      </c>
      <c r="H2606" t="s">
        <v>28</v>
      </c>
      <c r="I2606" s="5">
        <v>178</v>
      </c>
      <c r="J2606" s="5">
        <v>126</v>
      </c>
      <c r="K2606" s="5">
        <v>14</v>
      </c>
      <c r="L2606" s="5">
        <v>3</v>
      </c>
      <c r="M2606" s="5">
        <v>3</v>
      </c>
      <c r="N2606" s="7">
        <v>982.44</v>
      </c>
      <c r="O2606" s="7">
        <f t="shared" si="282"/>
        <v>2947.32</v>
      </c>
      <c r="P2606" s="4">
        <v>0.1</v>
      </c>
      <c r="Q2606" s="7">
        <f t="shared" si="283"/>
        <v>294.73200000000003</v>
      </c>
      <c r="R2606" s="7">
        <f t="shared" si="284"/>
        <v>2652.5880000000002</v>
      </c>
      <c r="S2606" s="7">
        <f t="shared" si="285"/>
        <v>884.19600000000003</v>
      </c>
      <c r="T2606" s="6">
        <f t="shared" si="286"/>
        <v>1.6853932584269662E-2</v>
      </c>
      <c r="U2606" t="s">
        <v>94</v>
      </c>
      <c r="V2606" t="s">
        <v>29</v>
      </c>
    </row>
    <row r="2607" spans="1:22">
      <c r="A2607" s="3">
        <v>45766</v>
      </c>
      <c r="B2607" t="str">
        <f t="shared" si="280"/>
        <v>yyyy-04</v>
      </c>
      <c r="C2607">
        <f t="shared" si="281"/>
        <v>16</v>
      </c>
      <c r="D2607" t="s">
        <v>42</v>
      </c>
      <c r="E2607" t="s">
        <v>51</v>
      </c>
      <c r="F2607" t="s">
        <v>52</v>
      </c>
      <c r="G2607" t="s">
        <v>36</v>
      </c>
      <c r="H2607" t="s">
        <v>37</v>
      </c>
      <c r="I2607" s="5">
        <v>220</v>
      </c>
      <c r="J2607" s="5">
        <v>116</v>
      </c>
      <c r="K2607" s="5">
        <v>11</v>
      </c>
      <c r="L2607" s="5">
        <v>2</v>
      </c>
      <c r="M2607" s="5">
        <v>2</v>
      </c>
      <c r="N2607" s="7">
        <v>587.29</v>
      </c>
      <c r="O2607" s="7">
        <f t="shared" si="282"/>
        <v>1174.58</v>
      </c>
      <c r="P2607" s="4">
        <v>0.03</v>
      </c>
      <c r="Q2607" s="7">
        <f t="shared" si="283"/>
        <v>35.237399999999994</v>
      </c>
      <c r="R2607" s="7">
        <f t="shared" si="284"/>
        <v>1139.3425999999999</v>
      </c>
      <c r="S2607" s="7">
        <f t="shared" si="285"/>
        <v>569.67129999999997</v>
      </c>
      <c r="T2607" s="6">
        <f t="shared" si="286"/>
        <v>9.0909090909090905E-3</v>
      </c>
      <c r="V2607" t="s">
        <v>29</v>
      </c>
    </row>
    <row r="2608" spans="1:22">
      <c r="A2608" s="3">
        <v>45766</v>
      </c>
      <c r="B2608" t="str">
        <f t="shared" si="280"/>
        <v>yyyy-04</v>
      </c>
      <c r="C2608">
        <f t="shared" si="281"/>
        <v>16</v>
      </c>
      <c r="D2608" t="s">
        <v>53</v>
      </c>
      <c r="E2608" t="s">
        <v>54</v>
      </c>
      <c r="F2608" t="s">
        <v>55</v>
      </c>
      <c r="G2608" t="s">
        <v>36</v>
      </c>
      <c r="H2608" t="s">
        <v>37</v>
      </c>
      <c r="I2608" s="5">
        <v>171</v>
      </c>
      <c r="J2608" s="5">
        <v>99</v>
      </c>
      <c r="K2608" s="5">
        <v>11</v>
      </c>
      <c r="L2608" s="5">
        <v>2</v>
      </c>
      <c r="M2608" s="5">
        <v>2</v>
      </c>
      <c r="N2608" s="7">
        <v>1313.42</v>
      </c>
      <c r="O2608" s="7">
        <f t="shared" si="282"/>
        <v>2626.84</v>
      </c>
      <c r="P2608" s="4">
        <v>0.05</v>
      </c>
      <c r="Q2608" s="7">
        <f t="shared" si="283"/>
        <v>131.34200000000001</v>
      </c>
      <c r="R2608" s="7">
        <f t="shared" si="284"/>
        <v>2495.498</v>
      </c>
      <c r="S2608" s="7">
        <f t="shared" si="285"/>
        <v>1247.749</v>
      </c>
      <c r="T2608" s="6">
        <f t="shared" si="286"/>
        <v>1.1695906432748537E-2</v>
      </c>
      <c r="V2608" t="s">
        <v>29</v>
      </c>
    </row>
    <row r="2609" spans="1:22">
      <c r="A2609" s="3">
        <v>45766</v>
      </c>
      <c r="B2609" t="str">
        <f t="shared" si="280"/>
        <v>yyyy-04</v>
      </c>
      <c r="C2609">
        <f t="shared" si="281"/>
        <v>16</v>
      </c>
      <c r="D2609" t="s">
        <v>53</v>
      </c>
      <c r="E2609" t="s">
        <v>56</v>
      </c>
      <c r="F2609" t="s">
        <v>57</v>
      </c>
      <c r="G2609" t="s">
        <v>31</v>
      </c>
      <c r="H2609" t="s">
        <v>32</v>
      </c>
      <c r="I2609" s="5">
        <v>243</v>
      </c>
      <c r="J2609" s="5">
        <v>136</v>
      </c>
      <c r="K2609" s="5">
        <v>10</v>
      </c>
      <c r="L2609" s="5">
        <v>3</v>
      </c>
      <c r="M2609" s="5">
        <v>3</v>
      </c>
      <c r="N2609" s="7">
        <v>736.24</v>
      </c>
      <c r="O2609" s="7">
        <f t="shared" si="282"/>
        <v>2208.7200000000003</v>
      </c>
      <c r="P2609" s="4">
        <v>0.05</v>
      </c>
      <c r="Q2609" s="7">
        <f t="shared" si="283"/>
        <v>110.43600000000002</v>
      </c>
      <c r="R2609" s="7">
        <f t="shared" si="284"/>
        <v>2098.2840000000001</v>
      </c>
      <c r="S2609" s="7">
        <f t="shared" si="285"/>
        <v>699.428</v>
      </c>
      <c r="T2609" s="6">
        <f t="shared" si="286"/>
        <v>1.2345679012345678E-2</v>
      </c>
      <c r="V2609" t="s">
        <v>29</v>
      </c>
    </row>
    <row r="2610" spans="1:22">
      <c r="A2610" s="3">
        <v>45766</v>
      </c>
      <c r="B2610" t="str">
        <f t="shared" si="280"/>
        <v>yyyy-04</v>
      </c>
      <c r="C2610">
        <f t="shared" si="281"/>
        <v>16</v>
      </c>
      <c r="D2610" t="s">
        <v>53</v>
      </c>
      <c r="E2610" t="s">
        <v>56</v>
      </c>
      <c r="F2610" t="s">
        <v>58</v>
      </c>
      <c r="G2610" t="s">
        <v>31</v>
      </c>
      <c r="H2610" t="s">
        <v>32</v>
      </c>
      <c r="I2610" s="5">
        <v>295</v>
      </c>
      <c r="J2610" s="5">
        <v>160</v>
      </c>
      <c r="K2610" s="5">
        <v>16</v>
      </c>
      <c r="L2610" s="5">
        <v>4</v>
      </c>
      <c r="M2610" s="5">
        <v>4</v>
      </c>
      <c r="N2610" s="7">
        <v>908.29</v>
      </c>
      <c r="O2610" s="7">
        <f t="shared" si="282"/>
        <v>3633.16</v>
      </c>
      <c r="P2610" s="4">
        <v>0</v>
      </c>
      <c r="Q2610" s="7">
        <f t="shared" si="283"/>
        <v>0</v>
      </c>
      <c r="R2610" s="7">
        <f t="shared" si="284"/>
        <v>3633.16</v>
      </c>
      <c r="S2610" s="7">
        <f t="shared" si="285"/>
        <v>908.29</v>
      </c>
      <c r="T2610" s="6">
        <f t="shared" si="286"/>
        <v>1.3559322033898305E-2</v>
      </c>
      <c r="V2610" t="s">
        <v>29</v>
      </c>
    </row>
    <row r="2611" spans="1:22">
      <c r="A2611" s="3">
        <v>45766</v>
      </c>
      <c r="B2611" t="str">
        <f t="shared" si="280"/>
        <v>yyyy-04</v>
      </c>
      <c r="C2611">
        <f t="shared" si="281"/>
        <v>16</v>
      </c>
      <c r="D2611" t="s">
        <v>53</v>
      </c>
      <c r="E2611" t="s">
        <v>59</v>
      </c>
      <c r="F2611" t="s">
        <v>60</v>
      </c>
      <c r="G2611" t="s">
        <v>31</v>
      </c>
      <c r="H2611" t="s">
        <v>32</v>
      </c>
      <c r="I2611" s="5">
        <v>130</v>
      </c>
      <c r="J2611" s="5">
        <v>84</v>
      </c>
      <c r="K2611" s="5">
        <v>8</v>
      </c>
      <c r="L2611" s="5">
        <v>1</v>
      </c>
      <c r="M2611" s="5">
        <v>1</v>
      </c>
      <c r="N2611" s="7">
        <v>689.71</v>
      </c>
      <c r="O2611" s="7">
        <f t="shared" si="282"/>
        <v>689.71</v>
      </c>
      <c r="P2611" s="4">
        <v>0.09</v>
      </c>
      <c r="Q2611" s="7">
        <f t="shared" si="283"/>
        <v>62.073900000000002</v>
      </c>
      <c r="R2611" s="7">
        <f t="shared" si="284"/>
        <v>627.63610000000006</v>
      </c>
      <c r="S2611" s="7">
        <f t="shared" si="285"/>
        <v>627.63610000000006</v>
      </c>
      <c r="T2611" s="6">
        <f t="shared" si="286"/>
        <v>7.6923076923076927E-3</v>
      </c>
      <c r="U2611" t="s">
        <v>93</v>
      </c>
      <c r="V2611" t="s">
        <v>29</v>
      </c>
    </row>
    <row r="2612" spans="1:22">
      <c r="A2612" s="3">
        <v>45766</v>
      </c>
      <c r="B2612" t="str">
        <f t="shared" si="280"/>
        <v>yyyy-04</v>
      </c>
      <c r="C2612">
        <f t="shared" si="281"/>
        <v>16</v>
      </c>
      <c r="D2612" t="s">
        <v>53</v>
      </c>
      <c r="E2612" t="s">
        <v>61</v>
      </c>
      <c r="F2612" t="s">
        <v>62</v>
      </c>
      <c r="G2612" t="s">
        <v>27</v>
      </c>
      <c r="H2612" t="s">
        <v>45</v>
      </c>
      <c r="I2612" s="5">
        <v>96</v>
      </c>
      <c r="J2612" s="5">
        <v>74</v>
      </c>
      <c r="K2612" s="5">
        <v>2</v>
      </c>
      <c r="L2612" s="5">
        <v>0</v>
      </c>
      <c r="M2612" s="5">
        <v>0</v>
      </c>
      <c r="N2612" s="7">
        <v>508.63</v>
      </c>
      <c r="O2612" s="7">
        <f t="shared" si="282"/>
        <v>0</v>
      </c>
      <c r="P2612" s="4">
        <v>0</v>
      </c>
      <c r="Q2612" s="7">
        <f t="shared" si="283"/>
        <v>0</v>
      </c>
      <c r="R2612" s="7">
        <f t="shared" si="284"/>
        <v>0</v>
      </c>
      <c r="S2612" s="7">
        <f t="shared" si="285"/>
        <v>0</v>
      </c>
      <c r="T2612" s="6">
        <f t="shared" si="286"/>
        <v>0</v>
      </c>
      <c r="V2612" t="s">
        <v>81</v>
      </c>
    </row>
    <row r="2613" spans="1:22">
      <c r="A2613" s="3">
        <v>45766</v>
      </c>
      <c r="B2613" t="str">
        <f t="shared" si="280"/>
        <v>yyyy-04</v>
      </c>
      <c r="C2613">
        <f t="shared" si="281"/>
        <v>16</v>
      </c>
      <c r="D2613" t="s">
        <v>53</v>
      </c>
      <c r="E2613" t="s">
        <v>64</v>
      </c>
      <c r="F2613" t="s">
        <v>65</v>
      </c>
      <c r="G2613" t="s">
        <v>27</v>
      </c>
      <c r="H2613" t="s">
        <v>45</v>
      </c>
      <c r="I2613" s="5">
        <v>211</v>
      </c>
      <c r="J2613" s="5">
        <v>136</v>
      </c>
      <c r="K2613" s="5">
        <v>8</v>
      </c>
      <c r="L2613" s="5">
        <v>2</v>
      </c>
      <c r="M2613" s="5">
        <v>2</v>
      </c>
      <c r="N2613" s="7">
        <v>808.76</v>
      </c>
      <c r="O2613" s="7">
        <f t="shared" si="282"/>
        <v>1617.52</v>
      </c>
      <c r="P2613" s="4">
        <v>0</v>
      </c>
      <c r="Q2613" s="7">
        <f t="shared" si="283"/>
        <v>0</v>
      </c>
      <c r="R2613" s="7">
        <f t="shared" si="284"/>
        <v>1617.52</v>
      </c>
      <c r="S2613" s="7">
        <f t="shared" si="285"/>
        <v>808.76</v>
      </c>
      <c r="T2613" s="6">
        <f t="shared" si="286"/>
        <v>9.4786729857819912E-3</v>
      </c>
      <c r="V2613" t="s">
        <v>29</v>
      </c>
    </row>
    <row r="2614" spans="1:22">
      <c r="A2614" s="3">
        <v>45766</v>
      </c>
      <c r="B2614" t="str">
        <f t="shared" si="280"/>
        <v>yyyy-04</v>
      </c>
      <c r="C2614">
        <f t="shared" si="281"/>
        <v>16</v>
      </c>
      <c r="D2614" t="s">
        <v>66</v>
      </c>
      <c r="E2614" t="s">
        <v>67</v>
      </c>
      <c r="F2614" t="s">
        <v>68</v>
      </c>
      <c r="G2614" t="s">
        <v>27</v>
      </c>
      <c r="H2614" t="s">
        <v>28</v>
      </c>
      <c r="I2614" s="5">
        <v>416</v>
      </c>
      <c r="J2614" s="5">
        <v>287</v>
      </c>
      <c r="K2614" s="5">
        <v>22</v>
      </c>
      <c r="L2614" s="5">
        <v>6</v>
      </c>
      <c r="M2614" s="5">
        <v>6</v>
      </c>
      <c r="N2614" s="7">
        <v>693.52</v>
      </c>
      <c r="O2614" s="7">
        <f t="shared" si="282"/>
        <v>4161.12</v>
      </c>
      <c r="P2614" s="4">
        <v>0</v>
      </c>
      <c r="Q2614" s="7">
        <f t="shared" si="283"/>
        <v>0</v>
      </c>
      <c r="R2614" s="7">
        <f t="shared" si="284"/>
        <v>4161.12</v>
      </c>
      <c r="S2614" s="7">
        <f t="shared" si="285"/>
        <v>693.52</v>
      </c>
      <c r="T2614" s="6">
        <f t="shared" si="286"/>
        <v>1.4423076923076924E-2</v>
      </c>
      <c r="V2614" t="s">
        <v>29</v>
      </c>
    </row>
    <row r="2615" spans="1:22">
      <c r="A2615" s="3">
        <v>45766</v>
      </c>
      <c r="B2615" t="str">
        <f t="shared" si="280"/>
        <v>yyyy-04</v>
      </c>
      <c r="C2615">
        <f t="shared" si="281"/>
        <v>16</v>
      </c>
      <c r="D2615" t="s">
        <v>66</v>
      </c>
      <c r="E2615" t="s">
        <v>67</v>
      </c>
      <c r="F2615" t="s">
        <v>69</v>
      </c>
      <c r="G2615" t="s">
        <v>36</v>
      </c>
      <c r="H2615" t="s">
        <v>37</v>
      </c>
      <c r="I2615" s="5">
        <v>399</v>
      </c>
      <c r="J2615" s="5">
        <v>281</v>
      </c>
      <c r="K2615" s="5">
        <v>17</v>
      </c>
      <c r="L2615" s="5">
        <v>6</v>
      </c>
      <c r="M2615" s="5">
        <v>6</v>
      </c>
      <c r="N2615" s="7">
        <v>401.03</v>
      </c>
      <c r="O2615" s="7">
        <f t="shared" si="282"/>
        <v>2406.1799999999998</v>
      </c>
      <c r="P2615" s="4">
        <v>0</v>
      </c>
      <c r="Q2615" s="7">
        <f t="shared" si="283"/>
        <v>0</v>
      </c>
      <c r="R2615" s="7">
        <f t="shared" si="284"/>
        <v>2406.1799999999998</v>
      </c>
      <c r="S2615" s="7">
        <f t="shared" si="285"/>
        <v>401.03</v>
      </c>
      <c r="T2615" s="6">
        <f t="shared" si="286"/>
        <v>1.5037593984962405E-2</v>
      </c>
      <c r="V2615" t="s">
        <v>29</v>
      </c>
    </row>
    <row r="2616" spans="1:22">
      <c r="A2616" s="3">
        <v>45766</v>
      </c>
      <c r="B2616" t="str">
        <f t="shared" si="280"/>
        <v>yyyy-04</v>
      </c>
      <c r="C2616">
        <f t="shared" si="281"/>
        <v>16</v>
      </c>
      <c r="D2616" t="s">
        <v>66</v>
      </c>
      <c r="E2616" t="s">
        <v>67</v>
      </c>
      <c r="F2616" t="s">
        <v>70</v>
      </c>
      <c r="G2616" t="s">
        <v>36</v>
      </c>
      <c r="H2616" t="s">
        <v>37</v>
      </c>
      <c r="I2616" s="5">
        <v>531</v>
      </c>
      <c r="J2616" s="5">
        <v>313</v>
      </c>
      <c r="K2616" s="5">
        <v>28</v>
      </c>
      <c r="L2616" s="5">
        <v>12</v>
      </c>
      <c r="M2616" s="5">
        <v>12</v>
      </c>
      <c r="N2616" s="7">
        <v>340.2</v>
      </c>
      <c r="O2616" s="7">
        <f t="shared" si="282"/>
        <v>4082.3999999999996</v>
      </c>
      <c r="P2616" s="4">
        <v>0.03</v>
      </c>
      <c r="Q2616" s="7">
        <f t="shared" si="283"/>
        <v>122.47199999999998</v>
      </c>
      <c r="R2616" s="7">
        <f t="shared" si="284"/>
        <v>3959.9279999999999</v>
      </c>
      <c r="S2616" s="7">
        <f t="shared" si="285"/>
        <v>329.99399999999997</v>
      </c>
      <c r="T2616" s="6">
        <f t="shared" si="286"/>
        <v>2.2598870056497175E-2</v>
      </c>
      <c r="V2616" t="s">
        <v>29</v>
      </c>
    </row>
    <row r="2617" spans="1:22">
      <c r="A2617" s="3">
        <v>45766</v>
      </c>
      <c r="B2617" t="str">
        <f t="shared" si="280"/>
        <v>yyyy-04</v>
      </c>
      <c r="C2617">
        <f t="shared" si="281"/>
        <v>16</v>
      </c>
      <c r="D2617" t="s">
        <v>66</v>
      </c>
      <c r="E2617" t="s">
        <v>71</v>
      </c>
      <c r="F2617" t="s">
        <v>72</v>
      </c>
      <c r="G2617" t="s">
        <v>27</v>
      </c>
      <c r="H2617" t="s">
        <v>45</v>
      </c>
      <c r="I2617" s="5">
        <v>457</v>
      </c>
      <c r="J2617" s="5">
        <v>369</v>
      </c>
      <c r="K2617" s="5">
        <v>32</v>
      </c>
      <c r="L2617" s="5">
        <v>7</v>
      </c>
      <c r="M2617" s="5">
        <v>9</v>
      </c>
      <c r="N2617" s="7">
        <v>123.9</v>
      </c>
      <c r="O2617" s="7">
        <f t="shared" si="282"/>
        <v>1115.1000000000001</v>
      </c>
      <c r="P2617" s="4">
        <v>0</v>
      </c>
      <c r="Q2617" s="7">
        <f t="shared" si="283"/>
        <v>0</v>
      </c>
      <c r="R2617" s="7">
        <f t="shared" si="284"/>
        <v>1115.1000000000001</v>
      </c>
      <c r="S2617" s="7">
        <f t="shared" si="285"/>
        <v>159.30000000000001</v>
      </c>
      <c r="T2617" s="6">
        <f t="shared" si="286"/>
        <v>1.5317286652078774E-2</v>
      </c>
      <c r="V2617" t="s">
        <v>29</v>
      </c>
    </row>
    <row r="2618" spans="1:22">
      <c r="A2618" s="3">
        <v>45766</v>
      </c>
      <c r="B2618" t="str">
        <f t="shared" si="280"/>
        <v>yyyy-04</v>
      </c>
      <c r="C2618">
        <f t="shared" si="281"/>
        <v>16</v>
      </c>
      <c r="D2618" t="s">
        <v>66</v>
      </c>
      <c r="E2618" t="s">
        <v>73</v>
      </c>
      <c r="F2618" t="s">
        <v>74</v>
      </c>
      <c r="G2618" t="s">
        <v>27</v>
      </c>
      <c r="H2618" t="s">
        <v>63</v>
      </c>
      <c r="I2618" s="5">
        <v>160</v>
      </c>
      <c r="J2618" s="5">
        <v>117</v>
      </c>
      <c r="K2618" s="5">
        <v>15</v>
      </c>
      <c r="L2618" s="5">
        <v>3</v>
      </c>
      <c r="M2618" s="5">
        <v>3</v>
      </c>
      <c r="N2618" s="7">
        <v>1153.98</v>
      </c>
      <c r="O2618" s="7">
        <f t="shared" si="282"/>
        <v>3461.94</v>
      </c>
      <c r="P2618" s="4">
        <v>0</v>
      </c>
      <c r="Q2618" s="7">
        <f t="shared" si="283"/>
        <v>0</v>
      </c>
      <c r="R2618" s="7">
        <f t="shared" si="284"/>
        <v>3461.94</v>
      </c>
      <c r="S2618" s="7">
        <f t="shared" si="285"/>
        <v>1153.98</v>
      </c>
      <c r="T2618" s="6">
        <f t="shared" si="286"/>
        <v>1.8749999999999999E-2</v>
      </c>
      <c r="V2618" t="s">
        <v>29</v>
      </c>
    </row>
    <row r="2619" spans="1:22">
      <c r="A2619" s="3">
        <v>45766</v>
      </c>
      <c r="B2619" t="str">
        <f t="shared" si="280"/>
        <v>yyyy-04</v>
      </c>
      <c r="C2619">
        <f t="shared" si="281"/>
        <v>16</v>
      </c>
      <c r="D2619" t="s">
        <v>66</v>
      </c>
      <c r="E2619" t="s">
        <v>71</v>
      </c>
      <c r="F2619" t="s">
        <v>75</v>
      </c>
      <c r="G2619" t="s">
        <v>27</v>
      </c>
      <c r="H2619" t="s">
        <v>45</v>
      </c>
      <c r="I2619" s="5">
        <v>382</v>
      </c>
      <c r="J2619" s="5">
        <v>299</v>
      </c>
      <c r="K2619" s="5">
        <v>27</v>
      </c>
      <c r="L2619" s="5">
        <v>5</v>
      </c>
      <c r="M2619" s="5">
        <v>7</v>
      </c>
      <c r="N2619" s="7">
        <v>39.11</v>
      </c>
      <c r="O2619" s="7">
        <f t="shared" si="282"/>
        <v>273.77</v>
      </c>
      <c r="P2619" s="4">
        <v>0.03</v>
      </c>
      <c r="Q2619" s="7">
        <f t="shared" si="283"/>
        <v>8.213099999999999</v>
      </c>
      <c r="R2619" s="7">
        <f t="shared" si="284"/>
        <v>265.55689999999998</v>
      </c>
      <c r="S2619" s="7">
        <f t="shared" si="285"/>
        <v>53.111379999999997</v>
      </c>
      <c r="T2619" s="6">
        <f t="shared" si="286"/>
        <v>1.3089005235602094E-2</v>
      </c>
      <c r="V2619" t="s">
        <v>29</v>
      </c>
    </row>
    <row r="2620" spans="1:22">
      <c r="A2620" s="3">
        <v>45766</v>
      </c>
      <c r="B2620" t="str">
        <f t="shared" si="280"/>
        <v>yyyy-04</v>
      </c>
      <c r="C2620">
        <f t="shared" si="281"/>
        <v>16</v>
      </c>
      <c r="D2620" t="s">
        <v>24</v>
      </c>
      <c r="E2620" t="s">
        <v>76</v>
      </c>
      <c r="F2620" t="s">
        <v>77</v>
      </c>
      <c r="G2620" t="s">
        <v>36</v>
      </c>
      <c r="H2620" t="s">
        <v>37</v>
      </c>
      <c r="I2620" s="5">
        <v>793</v>
      </c>
      <c r="J2620" s="5">
        <v>494</v>
      </c>
      <c r="K2620" s="5">
        <v>61</v>
      </c>
      <c r="L2620" s="5">
        <v>14</v>
      </c>
      <c r="M2620" s="5">
        <v>19</v>
      </c>
      <c r="N2620" s="7">
        <v>202.14</v>
      </c>
      <c r="O2620" s="7">
        <f t="shared" si="282"/>
        <v>3840.66</v>
      </c>
      <c r="P2620" s="4">
        <v>0</v>
      </c>
      <c r="Q2620" s="7">
        <f t="shared" si="283"/>
        <v>0</v>
      </c>
      <c r="R2620" s="7">
        <f t="shared" si="284"/>
        <v>3840.66</v>
      </c>
      <c r="S2620" s="7">
        <f t="shared" si="285"/>
        <v>274.33285714285711</v>
      </c>
      <c r="T2620" s="6">
        <f t="shared" si="286"/>
        <v>1.7654476670870115E-2</v>
      </c>
      <c r="V2620" t="s">
        <v>78</v>
      </c>
    </row>
    <row r="2621" spans="1:22">
      <c r="A2621" s="3">
        <v>45767</v>
      </c>
      <c r="B2621" t="str">
        <f t="shared" si="280"/>
        <v>yyyy-04</v>
      </c>
      <c r="C2621">
        <f t="shared" si="281"/>
        <v>16</v>
      </c>
      <c r="D2621" t="s">
        <v>24</v>
      </c>
      <c r="E2621" t="s">
        <v>25</v>
      </c>
      <c r="F2621" t="s">
        <v>26</v>
      </c>
      <c r="G2621" t="s">
        <v>36</v>
      </c>
      <c r="H2621" t="s">
        <v>37</v>
      </c>
      <c r="I2621" s="5">
        <v>1981</v>
      </c>
      <c r="J2621" s="5">
        <v>1572</v>
      </c>
      <c r="K2621" s="5">
        <v>74</v>
      </c>
      <c r="L2621" s="5">
        <v>33</v>
      </c>
      <c r="M2621" s="5">
        <v>33</v>
      </c>
      <c r="N2621" s="7">
        <v>989.61</v>
      </c>
      <c r="O2621" s="7">
        <f t="shared" si="282"/>
        <v>32657.13</v>
      </c>
      <c r="P2621" s="4">
        <v>0</v>
      </c>
      <c r="Q2621" s="7">
        <f t="shared" si="283"/>
        <v>0</v>
      </c>
      <c r="R2621" s="7">
        <f t="shared" si="284"/>
        <v>32657.13</v>
      </c>
      <c r="S2621" s="7">
        <f t="shared" si="285"/>
        <v>989.61</v>
      </c>
      <c r="T2621" s="6">
        <f t="shared" si="286"/>
        <v>1.6658253407370014E-2</v>
      </c>
      <c r="V2621" t="s">
        <v>29</v>
      </c>
    </row>
    <row r="2622" spans="1:22">
      <c r="A2622" s="3">
        <v>45767</v>
      </c>
      <c r="B2622" t="str">
        <f t="shared" si="280"/>
        <v>yyyy-04</v>
      </c>
      <c r="C2622">
        <f t="shared" si="281"/>
        <v>16</v>
      </c>
      <c r="D2622" t="s">
        <v>24</v>
      </c>
      <c r="E2622" t="s">
        <v>25</v>
      </c>
      <c r="F2622" t="s">
        <v>30</v>
      </c>
      <c r="G2622" t="s">
        <v>27</v>
      </c>
      <c r="H2622" t="s">
        <v>28</v>
      </c>
      <c r="I2622" s="5">
        <v>1537</v>
      </c>
      <c r="J2622" s="5">
        <v>982</v>
      </c>
      <c r="K2622" s="5">
        <v>126</v>
      </c>
      <c r="L2622" s="5">
        <v>36</v>
      </c>
      <c r="M2622" s="5">
        <v>36</v>
      </c>
      <c r="N2622" s="7">
        <v>398.42</v>
      </c>
      <c r="O2622" s="7">
        <f t="shared" si="282"/>
        <v>14343.12</v>
      </c>
      <c r="P2622" s="4">
        <v>0.03</v>
      </c>
      <c r="Q2622" s="7">
        <f t="shared" si="283"/>
        <v>430.29360000000003</v>
      </c>
      <c r="R2622" s="7">
        <f t="shared" si="284"/>
        <v>13912.8264</v>
      </c>
      <c r="S2622" s="7">
        <f t="shared" si="285"/>
        <v>386.4674</v>
      </c>
      <c r="T2622" s="6">
        <f t="shared" si="286"/>
        <v>2.3422251138581651E-2</v>
      </c>
      <c r="V2622" t="s">
        <v>29</v>
      </c>
    </row>
    <row r="2623" spans="1:22">
      <c r="A2623" s="3">
        <v>45767</v>
      </c>
      <c r="B2623" t="str">
        <f t="shared" si="280"/>
        <v>yyyy-04</v>
      </c>
      <c r="C2623">
        <f t="shared" si="281"/>
        <v>16</v>
      </c>
      <c r="D2623" t="s">
        <v>24</v>
      </c>
      <c r="E2623" t="s">
        <v>25</v>
      </c>
      <c r="F2623" t="s">
        <v>33</v>
      </c>
      <c r="G2623" t="s">
        <v>27</v>
      </c>
      <c r="H2623" t="s">
        <v>63</v>
      </c>
      <c r="I2623" s="5">
        <v>1003</v>
      </c>
      <c r="J2623" s="5">
        <v>557</v>
      </c>
      <c r="K2623" s="5">
        <v>52</v>
      </c>
      <c r="L2623" s="5">
        <v>17</v>
      </c>
      <c r="M2623" s="5">
        <v>17</v>
      </c>
      <c r="N2623" s="7">
        <v>1805.34</v>
      </c>
      <c r="O2623" s="7">
        <f t="shared" si="282"/>
        <v>30690.78</v>
      </c>
      <c r="P2623" s="4">
        <v>0.05</v>
      </c>
      <c r="Q2623" s="7">
        <f t="shared" si="283"/>
        <v>1534.539</v>
      </c>
      <c r="R2623" s="7">
        <f t="shared" si="284"/>
        <v>29156.240999999998</v>
      </c>
      <c r="S2623" s="7">
        <f t="shared" si="285"/>
        <v>1715.0729999999999</v>
      </c>
      <c r="T2623" s="6">
        <f t="shared" si="286"/>
        <v>1.6949152542372881E-2</v>
      </c>
      <c r="V2623" t="s">
        <v>29</v>
      </c>
    </row>
    <row r="2624" spans="1:22">
      <c r="A2624" s="3">
        <v>45767</v>
      </c>
      <c r="B2624" t="str">
        <f t="shared" si="280"/>
        <v>yyyy-04</v>
      </c>
      <c r="C2624">
        <f t="shared" si="281"/>
        <v>16</v>
      </c>
      <c r="D2624" t="s">
        <v>24</v>
      </c>
      <c r="E2624" t="s">
        <v>34</v>
      </c>
      <c r="F2624" t="s">
        <v>35</v>
      </c>
      <c r="G2624" t="s">
        <v>27</v>
      </c>
      <c r="H2624" t="s">
        <v>45</v>
      </c>
      <c r="I2624" s="5">
        <v>1042</v>
      </c>
      <c r="J2624" s="5">
        <v>833</v>
      </c>
      <c r="K2624" s="5">
        <v>80</v>
      </c>
      <c r="L2624" s="5">
        <v>25</v>
      </c>
      <c r="M2624" s="5">
        <v>25</v>
      </c>
      <c r="N2624" s="7">
        <v>880.24</v>
      </c>
      <c r="O2624" s="7">
        <f t="shared" si="282"/>
        <v>22006</v>
      </c>
      <c r="P2624" s="4">
        <v>0</v>
      </c>
      <c r="Q2624" s="7">
        <f t="shared" si="283"/>
        <v>0</v>
      </c>
      <c r="R2624" s="7">
        <f t="shared" si="284"/>
        <v>22006</v>
      </c>
      <c r="S2624" s="7">
        <f t="shared" si="285"/>
        <v>880.24</v>
      </c>
      <c r="T2624" s="6">
        <f t="shared" si="286"/>
        <v>2.3992322456813819E-2</v>
      </c>
      <c r="V2624" t="s">
        <v>29</v>
      </c>
    </row>
    <row r="2625" spans="1:22">
      <c r="A2625" s="3">
        <v>45767</v>
      </c>
      <c r="B2625" t="str">
        <f t="shared" si="280"/>
        <v>yyyy-04</v>
      </c>
      <c r="C2625">
        <f t="shared" si="281"/>
        <v>16</v>
      </c>
      <c r="D2625" t="s">
        <v>24</v>
      </c>
      <c r="E2625" t="s">
        <v>38</v>
      </c>
      <c r="F2625" t="s">
        <v>39</v>
      </c>
      <c r="G2625" t="s">
        <v>36</v>
      </c>
      <c r="H2625" t="s">
        <v>37</v>
      </c>
      <c r="I2625" s="5">
        <v>1248</v>
      </c>
      <c r="J2625" s="5">
        <v>878</v>
      </c>
      <c r="K2625" s="5">
        <v>99</v>
      </c>
      <c r="L2625" s="5">
        <v>23</v>
      </c>
      <c r="M2625" s="5">
        <v>23</v>
      </c>
      <c r="N2625" s="7">
        <v>321.33</v>
      </c>
      <c r="O2625" s="7">
        <f t="shared" si="282"/>
        <v>7390.5899999999992</v>
      </c>
      <c r="P2625" s="4">
        <v>0</v>
      </c>
      <c r="Q2625" s="7">
        <f t="shared" si="283"/>
        <v>0</v>
      </c>
      <c r="R2625" s="7">
        <f t="shared" si="284"/>
        <v>7390.5899999999992</v>
      </c>
      <c r="S2625" s="7">
        <f t="shared" si="285"/>
        <v>321.33</v>
      </c>
      <c r="T2625" s="6">
        <f t="shared" si="286"/>
        <v>1.842948717948718E-2</v>
      </c>
      <c r="V2625" t="s">
        <v>29</v>
      </c>
    </row>
    <row r="2626" spans="1:22">
      <c r="A2626" s="3">
        <v>45767</v>
      </c>
      <c r="B2626" t="str">
        <f t="shared" si="280"/>
        <v>yyyy-04</v>
      </c>
      <c r="C2626">
        <f t="shared" si="281"/>
        <v>16</v>
      </c>
      <c r="D2626" t="s">
        <v>24</v>
      </c>
      <c r="E2626" t="s">
        <v>40</v>
      </c>
      <c r="F2626" t="s">
        <v>41</v>
      </c>
      <c r="G2626" t="s">
        <v>27</v>
      </c>
      <c r="H2626" t="s">
        <v>28</v>
      </c>
      <c r="I2626" s="5">
        <v>349</v>
      </c>
      <c r="J2626" s="5">
        <v>285</v>
      </c>
      <c r="K2626" s="5">
        <v>8</v>
      </c>
      <c r="L2626" s="5">
        <v>0</v>
      </c>
      <c r="M2626" s="5">
        <v>0</v>
      </c>
      <c r="N2626" s="7">
        <v>177.42</v>
      </c>
      <c r="O2626" s="7">
        <f t="shared" si="282"/>
        <v>0</v>
      </c>
      <c r="P2626" s="4">
        <v>0.05</v>
      </c>
      <c r="Q2626" s="7">
        <f t="shared" si="283"/>
        <v>0</v>
      </c>
      <c r="R2626" s="7">
        <f t="shared" si="284"/>
        <v>0</v>
      </c>
      <c r="S2626" s="7">
        <f t="shared" si="285"/>
        <v>0</v>
      </c>
      <c r="T2626" s="6">
        <f t="shared" si="286"/>
        <v>0</v>
      </c>
      <c r="V2626" t="s">
        <v>81</v>
      </c>
    </row>
    <row r="2627" spans="1:22">
      <c r="A2627" s="3">
        <v>45767</v>
      </c>
      <c r="B2627" t="str">
        <f t="shared" si="280"/>
        <v>yyyy-04</v>
      </c>
      <c r="C2627">
        <f t="shared" si="281"/>
        <v>16</v>
      </c>
      <c r="D2627" t="s">
        <v>42</v>
      </c>
      <c r="E2627" t="s">
        <v>43</v>
      </c>
      <c r="F2627" t="s">
        <v>44</v>
      </c>
      <c r="G2627" t="s">
        <v>27</v>
      </c>
      <c r="H2627" t="s">
        <v>45</v>
      </c>
      <c r="I2627" s="5">
        <v>248</v>
      </c>
      <c r="J2627" s="5">
        <v>164</v>
      </c>
      <c r="K2627" s="5">
        <v>4</v>
      </c>
      <c r="L2627" s="5">
        <v>0</v>
      </c>
      <c r="M2627" s="5">
        <v>0</v>
      </c>
      <c r="N2627" s="7">
        <v>1316.69</v>
      </c>
      <c r="O2627" s="7">
        <f t="shared" si="282"/>
        <v>0</v>
      </c>
      <c r="P2627" s="4">
        <v>0</v>
      </c>
      <c r="Q2627" s="7">
        <f t="shared" si="283"/>
        <v>0</v>
      </c>
      <c r="R2627" s="7">
        <f t="shared" si="284"/>
        <v>0</v>
      </c>
      <c r="S2627" s="7">
        <f t="shared" si="285"/>
        <v>0</v>
      </c>
      <c r="T2627" s="6">
        <f t="shared" si="286"/>
        <v>0</v>
      </c>
      <c r="V2627" t="s">
        <v>81</v>
      </c>
    </row>
    <row r="2628" spans="1:22">
      <c r="A2628" s="3">
        <v>45767</v>
      </c>
      <c r="B2628" t="str">
        <f t="shared" si="280"/>
        <v>yyyy-04</v>
      </c>
      <c r="C2628">
        <f t="shared" si="281"/>
        <v>16</v>
      </c>
      <c r="D2628" t="s">
        <v>42</v>
      </c>
      <c r="E2628" t="s">
        <v>43</v>
      </c>
      <c r="F2628" t="s">
        <v>46</v>
      </c>
      <c r="G2628" t="s">
        <v>31</v>
      </c>
      <c r="H2628" t="s">
        <v>32</v>
      </c>
      <c r="I2628" s="5">
        <v>685</v>
      </c>
      <c r="J2628" s="5">
        <v>444</v>
      </c>
      <c r="K2628" s="5">
        <v>39</v>
      </c>
      <c r="L2628" s="5">
        <v>12</v>
      </c>
      <c r="M2628" s="5">
        <v>12</v>
      </c>
      <c r="N2628" s="7">
        <v>2150.4699999999998</v>
      </c>
      <c r="O2628" s="7">
        <f t="shared" si="282"/>
        <v>25805.64</v>
      </c>
      <c r="P2628" s="4">
        <v>0</v>
      </c>
      <c r="Q2628" s="7">
        <f t="shared" si="283"/>
        <v>0</v>
      </c>
      <c r="R2628" s="7">
        <f t="shared" si="284"/>
        <v>25805.64</v>
      </c>
      <c r="S2628" s="7">
        <f t="shared" si="285"/>
        <v>2150.4699999999998</v>
      </c>
      <c r="T2628" s="6">
        <f t="shared" si="286"/>
        <v>1.7518248175182483E-2</v>
      </c>
      <c r="V2628" t="s">
        <v>29</v>
      </c>
    </row>
    <row r="2629" spans="1:22">
      <c r="A2629" s="3">
        <v>45767</v>
      </c>
      <c r="B2629" t="str">
        <f t="shared" ref="B2629:B2692" si="287">TEXT(A2629,"yyyy-mm")</f>
        <v>yyyy-04</v>
      </c>
      <c r="C2629">
        <f t="shared" ref="C2629:C2692" si="288">WEEKNUM(A2629,2)</f>
        <v>16</v>
      </c>
      <c r="D2629" t="s">
        <v>42</v>
      </c>
      <c r="E2629" t="s">
        <v>43</v>
      </c>
      <c r="F2629" t="s">
        <v>47</v>
      </c>
      <c r="G2629" t="s">
        <v>27</v>
      </c>
      <c r="H2629" t="s">
        <v>48</v>
      </c>
      <c r="I2629" s="5">
        <v>443</v>
      </c>
      <c r="J2629" s="5">
        <v>268</v>
      </c>
      <c r="K2629" s="5">
        <v>24</v>
      </c>
      <c r="L2629" s="5">
        <v>6</v>
      </c>
      <c r="M2629" s="5">
        <v>6</v>
      </c>
      <c r="N2629" s="7">
        <v>598.04999999999995</v>
      </c>
      <c r="O2629" s="7">
        <f t="shared" ref="O2629:O2692" si="289">M2629*N2629</f>
        <v>3588.2999999999997</v>
      </c>
      <c r="P2629" s="4">
        <v>0</v>
      </c>
      <c r="Q2629" s="7">
        <f t="shared" ref="Q2629:Q2692" si="290">O2629*P2629</f>
        <v>0</v>
      </c>
      <c r="R2629" s="7">
        <f t="shared" ref="R2629:R2692" si="291">O2629-Q2629</f>
        <v>3588.2999999999997</v>
      </c>
      <c r="S2629" s="7">
        <f t="shared" ref="S2629:S2692" si="292">IFERROR(R2629/L2629,0)</f>
        <v>598.04999999999995</v>
      </c>
      <c r="T2629" s="6">
        <f t="shared" ref="T2629:T2692" si="293">IFERROR(L2629/I2629,0)</f>
        <v>1.3544018058690745E-2</v>
      </c>
      <c r="V2629" t="s">
        <v>29</v>
      </c>
    </row>
    <row r="2630" spans="1:22">
      <c r="A2630" s="3">
        <v>45767</v>
      </c>
      <c r="B2630" t="str">
        <f t="shared" si="287"/>
        <v>yyyy-04</v>
      </c>
      <c r="C2630">
        <f t="shared" si="288"/>
        <v>16</v>
      </c>
      <c r="D2630" t="s">
        <v>42</v>
      </c>
      <c r="E2630" t="s">
        <v>49</v>
      </c>
      <c r="F2630" t="s">
        <v>50</v>
      </c>
      <c r="G2630" t="s">
        <v>27</v>
      </c>
      <c r="H2630" t="s">
        <v>48</v>
      </c>
      <c r="I2630" s="5">
        <v>144</v>
      </c>
      <c r="J2630" s="5">
        <v>88</v>
      </c>
      <c r="K2630" s="5">
        <v>10</v>
      </c>
      <c r="L2630" s="5">
        <v>3</v>
      </c>
      <c r="M2630" s="5">
        <v>3</v>
      </c>
      <c r="N2630" s="7">
        <v>978.41</v>
      </c>
      <c r="O2630" s="7">
        <f t="shared" si="289"/>
        <v>2935.23</v>
      </c>
      <c r="P2630" s="4">
        <v>0.1</v>
      </c>
      <c r="Q2630" s="7">
        <f t="shared" si="290"/>
        <v>293.52300000000002</v>
      </c>
      <c r="R2630" s="7">
        <f t="shared" si="291"/>
        <v>2641.7069999999999</v>
      </c>
      <c r="S2630" s="7">
        <f t="shared" si="292"/>
        <v>880.56899999999996</v>
      </c>
      <c r="T2630" s="6">
        <f t="shared" si="293"/>
        <v>2.0833333333333332E-2</v>
      </c>
      <c r="U2630" t="s">
        <v>94</v>
      </c>
      <c r="V2630" t="s">
        <v>29</v>
      </c>
    </row>
    <row r="2631" spans="1:22">
      <c r="A2631" s="3">
        <v>45767</v>
      </c>
      <c r="B2631" t="str">
        <f t="shared" si="287"/>
        <v>yyyy-04</v>
      </c>
      <c r="C2631">
        <f t="shared" si="288"/>
        <v>16</v>
      </c>
      <c r="D2631" t="s">
        <v>42</v>
      </c>
      <c r="E2631" t="s">
        <v>51</v>
      </c>
      <c r="F2631" t="s">
        <v>52</v>
      </c>
      <c r="G2631" t="s">
        <v>27</v>
      </c>
      <c r="H2631" t="s">
        <v>48</v>
      </c>
      <c r="I2631" s="5">
        <v>228</v>
      </c>
      <c r="J2631" s="5">
        <v>128</v>
      </c>
      <c r="K2631" s="5">
        <v>10</v>
      </c>
      <c r="L2631" s="5">
        <v>3</v>
      </c>
      <c r="M2631" s="5">
        <v>3</v>
      </c>
      <c r="N2631" s="7">
        <v>602.6</v>
      </c>
      <c r="O2631" s="7">
        <f t="shared" si="289"/>
        <v>1807.8000000000002</v>
      </c>
      <c r="P2631" s="4">
        <v>0</v>
      </c>
      <c r="Q2631" s="7">
        <f t="shared" si="290"/>
        <v>0</v>
      </c>
      <c r="R2631" s="7">
        <f t="shared" si="291"/>
        <v>1807.8000000000002</v>
      </c>
      <c r="S2631" s="7">
        <f t="shared" si="292"/>
        <v>602.6</v>
      </c>
      <c r="T2631" s="6">
        <f t="shared" si="293"/>
        <v>1.3157894736842105E-2</v>
      </c>
      <c r="V2631" t="s">
        <v>29</v>
      </c>
    </row>
    <row r="2632" spans="1:22">
      <c r="A2632" s="3">
        <v>45767</v>
      </c>
      <c r="B2632" t="str">
        <f t="shared" si="287"/>
        <v>yyyy-04</v>
      </c>
      <c r="C2632">
        <f t="shared" si="288"/>
        <v>16</v>
      </c>
      <c r="D2632" t="s">
        <v>53</v>
      </c>
      <c r="E2632" t="s">
        <v>54</v>
      </c>
      <c r="F2632" t="s">
        <v>55</v>
      </c>
      <c r="G2632" t="s">
        <v>36</v>
      </c>
      <c r="H2632" t="s">
        <v>37</v>
      </c>
      <c r="I2632" s="5">
        <v>203</v>
      </c>
      <c r="J2632" s="5">
        <v>124</v>
      </c>
      <c r="K2632" s="5">
        <v>14</v>
      </c>
      <c r="L2632" s="5">
        <v>3</v>
      </c>
      <c r="M2632" s="5">
        <v>3</v>
      </c>
      <c r="N2632" s="7">
        <v>1278.0899999999999</v>
      </c>
      <c r="O2632" s="7">
        <f t="shared" si="289"/>
        <v>3834.2699999999995</v>
      </c>
      <c r="P2632" s="4">
        <v>0</v>
      </c>
      <c r="Q2632" s="7">
        <f t="shared" si="290"/>
        <v>0</v>
      </c>
      <c r="R2632" s="7">
        <f t="shared" si="291"/>
        <v>3834.2699999999995</v>
      </c>
      <c r="S2632" s="7">
        <f t="shared" si="292"/>
        <v>1278.0899999999999</v>
      </c>
      <c r="T2632" s="6">
        <f t="shared" si="293"/>
        <v>1.4778325123152709E-2</v>
      </c>
      <c r="V2632" t="s">
        <v>29</v>
      </c>
    </row>
    <row r="2633" spans="1:22">
      <c r="A2633" s="3">
        <v>45767</v>
      </c>
      <c r="B2633" t="str">
        <f t="shared" si="287"/>
        <v>yyyy-04</v>
      </c>
      <c r="C2633">
        <f t="shared" si="288"/>
        <v>16</v>
      </c>
      <c r="D2633" t="s">
        <v>53</v>
      </c>
      <c r="E2633" t="s">
        <v>56</v>
      </c>
      <c r="F2633" t="s">
        <v>57</v>
      </c>
      <c r="G2633" t="s">
        <v>31</v>
      </c>
      <c r="H2633" t="s">
        <v>32</v>
      </c>
      <c r="I2633" s="5">
        <v>204</v>
      </c>
      <c r="J2633" s="5">
        <v>143</v>
      </c>
      <c r="K2633" s="5">
        <v>11</v>
      </c>
      <c r="L2633" s="5">
        <v>2</v>
      </c>
      <c r="M2633" s="5">
        <v>2</v>
      </c>
      <c r="N2633" s="7">
        <v>755.4</v>
      </c>
      <c r="O2633" s="7">
        <f t="shared" si="289"/>
        <v>1510.8</v>
      </c>
      <c r="P2633" s="4">
        <v>0.03</v>
      </c>
      <c r="Q2633" s="7">
        <f t="shared" si="290"/>
        <v>45.323999999999998</v>
      </c>
      <c r="R2633" s="7">
        <f t="shared" si="291"/>
        <v>1465.4759999999999</v>
      </c>
      <c r="S2633" s="7">
        <f t="shared" si="292"/>
        <v>732.73799999999994</v>
      </c>
      <c r="T2633" s="6">
        <f t="shared" si="293"/>
        <v>9.8039215686274508E-3</v>
      </c>
      <c r="V2633" t="s">
        <v>29</v>
      </c>
    </row>
    <row r="2634" spans="1:22">
      <c r="A2634" s="3">
        <v>45767</v>
      </c>
      <c r="B2634" t="str">
        <f t="shared" si="287"/>
        <v>yyyy-04</v>
      </c>
      <c r="C2634">
        <f t="shared" si="288"/>
        <v>16</v>
      </c>
      <c r="D2634" t="s">
        <v>53</v>
      </c>
      <c r="E2634" t="s">
        <v>56</v>
      </c>
      <c r="F2634" t="s">
        <v>58</v>
      </c>
      <c r="G2634" t="s">
        <v>31</v>
      </c>
      <c r="H2634" t="s">
        <v>32</v>
      </c>
      <c r="I2634" s="5">
        <v>305</v>
      </c>
      <c r="J2634" s="5">
        <v>201</v>
      </c>
      <c r="K2634" s="5">
        <v>13</v>
      </c>
      <c r="L2634" s="5">
        <v>3</v>
      </c>
      <c r="M2634" s="5">
        <v>3</v>
      </c>
      <c r="N2634" s="7">
        <v>870.83</v>
      </c>
      <c r="O2634" s="7">
        <f t="shared" si="289"/>
        <v>2612.4900000000002</v>
      </c>
      <c r="P2634" s="4">
        <v>0</v>
      </c>
      <c r="Q2634" s="7">
        <f t="shared" si="290"/>
        <v>0</v>
      </c>
      <c r="R2634" s="7">
        <f t="shared" si="291"/>
        <v>2612.4900000000002</v>
      </c>
      <c r="S2634" s="7">
        <f t="shared" si="292"/>
        <v>870.83</v>
      </c>
      <c r="T2634" s="6">
        <f t="shared" si="293"/>
        <v>9.8360655737704927E-3</v>
      </c>
      <c r="V2634" t="s">
        <v>29</v>
      </c>
    </row>
    <row r="2635" spans="1:22">
      <c r="A2635" s="3">
        <v>45767</v>
      </c>
      <c r="B2635" t="str">
        <f t="shared" si="287"/>
        <v>yyyy-04</v>
      </c>
      <c r="C2635">
        <f t="shared" si="288"/>
        <v>16</v>
      </c>
      <c r="D2635" t="s">
        <v>53</v>
      </c>
      <c r="E2635" t="s">
        <v>59</v>
      </c>
      <c r="F2635" t="s">
        <v>60</v>
      </c>
      <c r="G2635" t="s">
        <v>27</v>
      </c>
      <c r="H2635" t="s">
        <v>45</v>
      </c>
      <c r="I2635" s="5">
        <v>154</v>
      </c>
      <c r="J2635" s="5">
        <v>90</v>
      </c>
      <c r="K2635" s="5">
        <v>10</v>
      </c>
      <c r="L2635" s="5">
        <v>2</v>
      </c>
      <c r="M2635" s="5">
        <v>2</v>
      </c>
      <c r="N2635" s="7">
        <v>676.88</v>
      </c>
      <c r="O2635" s="7">
        <f t="shared" si="289"/>
        <v>1353.76</v>
      </c>
      <c r="P2635" s="4">
        <v>0.09</v>
      </c>
      <c r="Q2635" s="7">
        <f t="shared" si="290"/>
        <v>121.83839999999999</v>
      </c>
      <c r="R2635" s="7">
        <f t="shared" si="291"/>
        <v>1231.9215999999999</v>
      </c>
      <c r="S2635" s="7">
        <f t="shared" si="292"/>
        <v>615.96079999999995</v>
      </c>
      <c r="T2635" s="6">
        <f t="shared" si="293"/>
        <v>1.2987012987012988E-2</v>
      </c>
      <c r="U2635" t="s">
        <v>93</v>
      </c>
      <c r="V2635" t="s">
        <v>29</v>
      </c>
    </row>
    <row r="2636" spans="1:22">
      <c r="A2636" s="3">
        <v>45767</v>
      </c>
      <c r="B2636" t="str">
        <f t="shared" si="287"/>
        <v>yyyy-04</v>
      </c>
      <c r="C2636">
        <f t="shared" si="288"/>
        <v>16</v>
      </c>
      <c r="D2636" t="s">
        <v>53</v>
      </c>
      <c r="E2636" t="s">
        <v>61</v>
      </c>
      <c r="F2636" t="s">
        <v>62</v>
      </c>
      <c r="G2636" t="s">
        <v>36</v>
      </c>
      <c r="H2636" t="s">
        <v>37</v>
      </c>
      <c r="I2636" s="5">
        <v>228</v>
      </c>
      <c r="J2636" s="5">
        <v>182</v>
      </c>
      <c r="K2636" s="5">
        <v>10</v>
      </c>
      <c r="L2636" s="5">
        <v>2</v>
      </c>
      <c r="M2636" s="5">
        <v>2</v>
      </c>
      <c r="N2636" s="7">
        <v>505.44</v>
      </c>
      <c r="O2636" s="7">
        <f t="shared" si="289"/>
        <v>1010.88</v>
      </c>
      <c r="P2636" s="4">
        <v>0</v>
      </c>
      <c r="Q2636" s="7">
        <f t="shared" si="290"/>
        <v>0</v>
      </c>
      <c r="R2636" s="7">
        <f t="shared" si="291"/>
        <v>1010.88</v>
      </c>
      <c r="S2636" s="7">
        <f t="shared" si="292"/>
        <v>505.44</v>
      </c>
      <c r="T2636" s="6">
        <f t="shared" si="293"/>
        <v>8.771929824561403E-3</v>
      </c>
      <c r="V2636" t="s">
        <v>29</v>
      </c>
    </row>
    <row r="2637" spans="1:22">
      <c r="A2637" s="3">
        <v>45767</v>
      </c>
      <c r="B2637" t="str">
        <f t="shared" si="287"/>
        <v>yyyy-04</v>
      </c>
      <c r="C2637">
        <f t="shared" si="288"/>
        <v>16</v>
      </c>
      <c r="D2637" t="s">
        <v>53</v>
      </c>
      <c r="E2637" t="s">
        <v>64</v>
      </c>
      <c r="F2637" t="s">
        <v>65</v>
      </c>
      <c r="G2637" t="s">
        <v>27</v>
      </c>
      <c r="H2637" t="s">
        <v>28</v>
      </c>
      <c r="I2637" s="5">
        <v>262</v>
      </c>
      <c r="J2637" s="5">
        <v>148</v>
      </c>
      <c r="K2637" s="5">
        <v>9</v>
      </c>
      <c r="L2637" s="5">
        <v>2</v>
      </c>
      <c r="M2637" s="5">
        <v>2</v>
      </c>
      <c r="N2637" s="7">
        <v>786.56</v>
      </c>
      <c r="O2637" s="7">
        <f t="shared" si="289"/>
        <v>1573.12</v>
      </c>
      <c r="P2637" s="4">
        <v>0</v>
      </c>
      <c r="Q2637" s="7">
        <f t="shared" si="290"/>
        <v>0</v>
      </c>
      <c r="R2637" s="7">
        <f t="shared" si="291"/>
        <v>1573.12</v>
      </c>
      <c r="S2637" s="7">
        <f t="shared" si="292"/>
        <v>786.56</v>
      </c>
      <c r="T2637" s="6">
        <f t="shared" si="293"/>
        <v>7.6335877862595417E-3</v>
      </c>
      <c r="V2637" t="s">
        <v>29</v>
      </c>
    </row>
    <row r="2638" spans="1:22">
      <c r="A2638" s="3">
        <v>45767</v>
      </c>
      <c r="B2638" t="str">
        <f t="shared" si="287"/>
        <v>yyyy-04</v>
      </c>
      <c r="C2638">
        <f t="shared" si="288"/>
        <v>16</v>
      </c>
      <c r="D2638" t="s">
        <v>66</v>
      </c>
      <c r="E2638" t="s">
        <v>67</v>
      </c>
      <c r="F2638" t="s">
        <v>68</v>
      </c>
      <c r="G2638" t="s">
        <v>27</v>
      </c>
      <c r="H2638" t="s">
        <v>28</v>
      </c>
      <c r="I2638" s="5">
        <v>448</v>
      </c>
      <c r="J2638" s="5">
        <v>282</v>
      </c>
      <c r="K2638" s="5">
        <v>20</v>
      </c>
      <c r="L2638" s="5">
        <v>7</v>
      </c>
      <c r="M2638" s="5">
        <v>7</v>
      </c>
      <c r="N2638" s="7">
        <v>696.38</v>
      </c>
      <c r="O2638" s="7">
        <f t="shared" si="289"/>
        <v>4874.66</v>
      </c>
      <c r="P2638" s="4">
        <v>0</v>
      </c>
      <c r="Q2638" s="7">
        <f t="shared" si="290"/>
        <v>0</v>
      </c>
      <c r="R2638" s="7">
        <f t="shared" si="291"/>
        <v>4874.66</v>
      </c>
      <c r="S2638" s="7">
        <f t="shared" si="292"/>
        <v>696.38</v>
      </c>
      <c r="T2638" s="6">
        <f t="shared" si="293"/>
        <v>1.5625E-2</v>
      </c>
      <c r="V2638" t="s">
        <v>29</v>
      </c>
    </row>
    <row r="2639" spans="1:22">
      <c r="A2639" s="3">
        <v>45767</v>
      </c>
      <c r="B2639" t="str">
        <f t="shared" si="287"/>
        <v>yyyy-04</v>
      </c>
      <c r="C2639">
        <f t="shared" si="288"/>
        <v>16</v>
      </c>
      <c r="D2639" t="s">
        <v>66</v>
      </c>
      <c r="E2639" t="s">
        <v>67</v>
      </c>
      <c r="F2639" t="s">
        <v>69</v>
      </c>
      <c r="G2639" t="s">
        <v>36</v>
      </c>
      <c r="H2639" t="s">
        <v>37</v>
      </c>
      <c r="I2639" s="5">
        <v>584</v>
      </c>
      <c r="J2639" s="5">
        <v>439</v>
      </c>
      <c r="K2639" s="5">
        <v>31</v>
      </c>
      <c r="L2639" s="5">
        <v>13</v>
      </c>
      <c r="M2639" s="5">
        <v>13</v>
      </c>
      <c r="N2639" s="7">
        <v>386.8</v>
      </c>
      <c r="O2639" s="7">
        <f t="shared" si="289"/>
        <v>5028.4000000000005</v>
      </c>
      <c r="P2639" s="4">
        <v>0</v>
      </c>
      <c r="Q2639" s="7">
        <f t="shared" si="290"/>
        <v>0</v>
      </c>
      <c r="R2639" s="7">
        <f t="shared" si="291"/>
        <v>5028.4000000000005</v>
      </c>
      <c r="S2639" s="7">
        <f t="shared" si="292"/>
        <v>386.80000000000007</v>
      </c>
      <c r="T2639" s="6">
        <f t="shared" si="293"/>
        <v>2.2260273972602738E-2</v>
      </c>
      <c r="V2639" t="s">
        <v>29</v>
      </c>
    </row>
    <row r="2640" spans="1:22">
      <c r="A2640" s="3">
        <v>45767</v>
      </c>
      <c r="B2640" t="str">
        <f t="shared" si="287"/>
        <v>yyyy-04</v>
      </c>
      <c r="C2640">
        <f t="shared" si="288"/>
        <v>16</v>
      </c>
      <c r="D2640" t="s">
        <v>66</v>
      </c>
      <c r="E2640" t="s">
        <v>67</v>
      </c>
      <c r="F2640" t="s">
        <v>70</v>
      </c>
      <c r="G2640" t="s">
        <v>31</v>
      </c>
      <c r="H2640" t="s">
        <v>32</v>
      </c>
      <c r="I2640" s="5">
        <v>485</v>
      </c>
      <c r="J2640" s="5">
        <v>375</v>
      </c>
      <c r="K2640" s="5">
        <v>28</v>
      </c>
      <c r="L2640" s="5">
        <v>7</v>
      </c>
      <c r="M2640" s="5">
        <v>7</v>
      </c>
      <c r="N2640" s="7">
        <v>349.1</v>
      </c>
      <c r="O2640" s="7">
        <f t="shared" si="289"/>
        <v>2443.7000000000003</v>
      </c>
      <c r="P2640" s="4">
        <v>0.03</v>
      </c>
      <c r="Q2640" s="7">
        <f t="shared" si="290"/>
        <v>73.311000000000007</v>
      </c>
      <c r="R2640" s="7">
        <f t="shared" si="291"/>
        <v>2370.3890000000001</v>
      </c>
      <c r="S2640" s="7">
        <f t="shared" si="292"/>
        <v>338.62700000000001</v>
      </c>
      <c r="T2640" s="6">
        <f t="shared" si="293"/>
        <v>1.443298969072165E-2</v>
      </c>
      <c r="V2640" t="s">
        <v>29</v>
      </c>
    </row>
    <row r="2641" spans="1:22">
      <c r="A2641" s="3">
        <v>45767</v>
      </c>
      <c r="B2641" t="str">
        <f t="shared" si="287"/>
        <v>yyyy-04</v>
      </c>
      <c r="C2641">
        <f t="shared" si="288"/>
        <v>16</v>
      </c>
      <c r="D2641" t="s">
        <v>66</v>
      </c>
      <c r="E2641" t="s">
        <v>71</v>
      </c>
      <c r="F2641" t="s">
        <v>72</v>
      </c>
      <c r="G2641" t="s">
        <v>31</v>
      </c>
      <c r="H2641" t="s">
        <v>32</v>
      </c>
      <c r="I2641" s="5">
        <v>448</v>
      </c>
      <c r="J2641" s="5">
        <v>264</v>
      </c>
      <c r="K2641" s="5">
        <v>20</v>
      </c>
      <c r="L2641" s="5">
        <v>9</v>
      </c>
      <c r="M2641" s="5">
        <v>10</v>
      </c>
      <c r="N2641" s="7">
        <v>124.01</v>
      </c>
      <c r="O2641" s="7">
        <f t="shared" si="289"/>
        <v>1240.1000000000001</v>
      </c>
      <c r="P2641" s="4">
        <v>0.03</v>
      </c>
      <c r="Q2641" s="7">
        <f t="shared" si="290"/>
        <v>37.203000000000003</v>
      </c>
      <c r="R2641" s="7">
        <f t="shared" si="291"/>
        <v>1202.8970000000002</v>
      </c>
      <c r="S2641" s="7">
        <f t="shared" si="292"/>
        <v>133.65522222222225</v>
      </c>
      <c r="T2641" s="6">
        <f t="shared" si="293"/>
        <v>2.0089285714285716E-2</v>
      </c>
      <c r="V2641" t="s">
        <v>29</v>
      </c>
    </row>
    <row r="2642" spans="1:22">
      <c r="A2642" s="3">
        <v>45767</v>
      </c>
      <c r="B2642" t="str">
        <f t="shared" si="287"/>
        <v>yyyy-04</v>
      </c>
      <c r="C2642">
        <f t="shared" si="288"/>
        <v>16</v>
      </c>
      <c r="D2642" t="s">
        <v>66</v>
      </c>
      <c r="E2642" t="s">
        <v>73</v>
      </c>
      <c r="F2642" t="s">
        <v>74</v>
      </c>
      <c r="G2642" t="s">
        <v>27</v>
      </c>
      <c r="H2642" t="s">
        <v>45</v>
      </c>
      <c r="I2642" s="5">
        <v>250</v>
      </c>
      <c r="J2642" s="5">
        <v>137</v>
      </c>
      <c r="K2642" s="5">
        <v>18</v>
      </c>
      <c r="L2642" s="5">
        <v>4</v>
      </c>
      <c r="M2642" s="5">
        <v>4</v>
      </c>
      <c r="N2642" s="7">
        <v>1202.69</v>
      </c>
      <c r="O2642" s="7">
        <f t="shared" si="289"/>
        <v>4810.76</v>
      </c>
      <c r="P2642" s="4">
        <v>0.05</v>
      </c>
      <c r="Q2642" s="7">
        <f t="shared" si="290"/>
        <v>240.53800000000001</v>
      </c>
      <c r="R2642" s="7">
        <f t="shared" si="291"/>
        <v>4570.2219999999998</v>
      </c>
      <c r="S2642" s="7">
        <f t="shared" si="292"/>
        <v>1142.5554999999999</v>
      </c>
      <c r="T2642" s="6">
        <f t="shared" si="293"/>
        <v>1.6E-2</v>
      </c>
      <c r="V2642" t="s">
        <v>29</v>
      </c>
    </row>
    <row r="2643" spans="1:22">
      <c r="A2643" s="3">
        <v>45767</v>
      </c>
      <c r="B2643" t="str">
        <f t="shared" si="287"/>
        <v>yyyy-04</v>
      </c>
      <c r="C2643">
        <f t="shared" si="288"/>
        <v>16</v>
      </c>
      <c r="D2643" t="s">
        <v>66</v>
      </c>
      <c r="E2643" t="s">
        <v>71</v>
      </c>
      <c r="F2643" t="s">
        <v>75</v>
      </c>
      <c r="G2643" t="s">
        <v>36</v>
      </c>
      <c r="H2643" t="s">
        <v>37</v>
      </c>
      <c r="I2643" s="5">
        <v>406</v>
      </c>
      <c r="J2643" s="5">
        <v>286</v>
      </c>
      <c r="K2643" s="5">
        <v>34</v>
      </c>
      <c r="L2643" s="5">
        <v>4</v>
      </c>
      <c r="M2643" s="5">
        <v>5</v>
      </c>
      <c r="N2643" s="7">
        <v>37.770000000000003</v>
      </c>
      <c r="O2643" s="7">
        <f t="shared" si="289"/>
        <v>188.85000000000002</v>
      </c>
      <c r="P2643" s="4">
        <v>0</v>
      </c>
      <c r="Q2643" s="7">
        <f t="shared" si="290"/>
        <v>0</v>
      </c>
      <c r="R2643" s="7">
        <f t="shared" si="291"/>
        <v>188.85000000000002</v>
      </c>
      <c r="S2643" s="7">
        <f t="shared" si="292"/>
        <v>47.212500000000006</v>
      </c>
      <c r="T2643" s="6">
        <f t="shared" si="293"/>
        <v>9.852216748768473E-3</v>
      </c>
      <c r="V2643" t="s">
        <v>78</v>
      </c>
    </row>
    <row r="2644" spans="1:22">
      <c r="A2644" s="3">
        <v>45767</v>
      </c>
      <c r="B2644" t="str">
        <f t="shared" si="287"/>
        <v>yyyy-04</v>
      </c>
      <c r="C2644">
        <f t="shared" si="288"/>
        <v>16</v>
      </c>
      <c r="D2644" t="s">
        <v>24</v>
      </c>
      <c r="E2644" t="s">
        <v>76</v>
      </c>
      <c r="F2644" t="s">
        <v>77</v>
      </c>
      <c r="G2644" t="s">
        <v>31</v>
      </c>
      <c r="H2644" t="s">
        <v>32</v>
      </c>
      <c r="I2644" s="5">
        <v>654</v>
      </c>
      <c r="J2644" s="5">
        <v>538</v>
      </c>
      <c r="K2644" s="5">
        <v>63</v>
      </c>
      <c r="L2644" s="5">
        <v>11</v>
      </c>
      <c r="M2644" s="5">
        <v>14</v>
      </c>
      <c r="N2644" s="7">
        <v>196.64</v>
      </c>
      <c r="O2644" s="7">
        <f t="shared" si="289"/>
        <v>2752.96</v>
      </c>
      <c r="P2644" s="4">
        <v>0</v>
      </c>
      <c r="Q2644" s="7">
        <f t="shared" si="290"/>
        <v>0</v>
      </c>
      <c r="R2644" s="7">
        <f t="shared" si="291"/>
        <v>2752.96</v>
      </c>
      <c r="S2644" s="7">
        <f t="shared" si="292"/>
        <v>250.26909090909092</v>
      </c>
      <c r="T2644" s="6">
        <f t="shared" si="293"/>
        <v>1.6819571865443424E-2</v>
      </c>
      <c r="V2644" t="s">
        <v>29</v>
      </c>
    </row>
    <row r="2645" spans="1:22">
      <c r="A2645" s="3">
        <v>45768</v>
      </c>
      <c r="B2645" t="str">
        <f t="shared" si="287"/>
        <v>yyyy-04</v>
      </c>
      <c r="C2645">
        <f t="shared" si="288"/>
        <v>17</v>
      </c>
      <c r="D2645" t="s">
        <v>24</v>
      </c>
      <c r="E2645" t="s">
        <v>25</v>
      </c>
      <c r="F2645" t="s">
        <v>26</v>
      </c>
      <c r="G2645" t="s">
        <v>27</v>
      </c>
      <c r="H2645" t="s">
        <v>48</v>
      </c>
      <c r="I2645" s="5">
        <v>1176</v>
      </c>
      <c r="J2645" s="5">
        <v>772</v>
      </c>
      <c r="K2645" s="5">
        <v>57</v>
      </c>
      <c r="L2645" s="5">
        <v>21</v>
      </c>
      <c r="M2645" s="5">
        <v>21</v>
      </c>
      <c r="N2645" s="7">
        <v>1003.4</v>
      </c>
      <c r="O2645" s="7">
        <f t="shared" si="289"/>
        <v>21071.399999999998</v>
      </c>
      <c r="P2645" s="4">
        <v>0.03</v>
      </c>
      <c r="Q2645" s="7">
        <f t="shared" si="290"/>
        <v>632.14199999999994</v>
      </c>
      <c r="R2645" s="7">
        <f t="shared" si="291"/>
        <v>20439.257999999998</v>
      </c>
      <c r="S2645" s="7">
        <f t="shared" si="292"/>
        <v>973.29799999999989</v>
      </c>
      <c r="T2645" s="6">
        <f t="shared" si="293"/>
        <v>1.7857142857142856E-2</v>
      </c>
      <c r="V2645" t="s">
        <v>29</v>
      </c>
    </row>
    <row r="2646" spans="1:22">
      <c r="A2646" s="3">
        <v>45768</v>
      </c>
      <c r="B2646" t="str">
        <f t="shared" si="287"/>
        <v>yyyy-04</v>
      </c>
      <c r="C2646">
        <f t="shared" si="288"/>
        <v>17</v>
      </c>
      <c r="D2646" t="s">
        <v>24</v>
      </c>
      <c r="E2646" t="s">
        <v>25</v>
      </c>
      <c r="F2646" t="s">
        <v>30</v>
      </c>
      <c r="G2646" t="s">
        <v>27</v>
      </c>
      <c r="H2646" t="s">
        <v>28</v>
      </c>
      <c r="I2646" s="5">
        <v>1777</v>
      </c>
      <c r="J2646" s="5">
        <v>1262</v>
      </c>
      <c r="K2646" s="5">
        <v>209</v>
      </c>
      <c r="L2646" s="5">
        <v>44</v>
      </c>
      <c r="M2646" s="5">
        <v>44</v>
      </c>
      <c r="N2646" s="7">
        <v>406.36</v>
      </c>
      <c r="O2646" s="7">
        <f t="shared" si="289"/>
        <v>17879.84</v>
      </c>
      <c r="P2646" s="4">
        <v>0</v>
      </c>
      <c r="Q2646" s="7">
        <f t="shared" si="290"/>
        <v>0</v>
      </c>
      <c r="R2646" s="7">
        <f t="shared" si="291"/>
        <v>17879.84</v>
      </c>
      <c r="S2646" s="7">
        <f t="shared" si="292"/>
        <v>406.36</v>
      </c>
      <c r="T2646" s="6">
        <f t="shared" si="293"/>
        <v>2.4760832864378166E-2</v>
      </c>
      <c r="V2646" t="s">
        <v>29</v>
      </c>
    </row>
    <row r="2647" spans="1:22">
      <c r="A2647" s="3">
        <v>45768</v>
      </c>
      <c r="B2647" t="str">
        <f t="shared" si="287"/>
        <v>yyyy-04</v>
      </c>
      <c r="C2647">
        <f t="shared" si="288"/>
        <v>17</v>
      </c>
      <c r="D2647" t="s">
        <v>24</v>
      </c>
      <c r="E2647" t="s">
        <v>25</v>
      </c>
      <c r="F2647" t="s">
        <v>33</v>
      </c>
      <c r="G2647" t="s">
        <v>36</v>
      </c>
      <c r="H2647" t="s">
        <v>37</v>
      </c>
      <c r="I2647" s="5">
        <v>1578</v>
      </c>
      <c r="J2647" s="5">
        <v>1142</v>
      </c>
      <c r="K2647" s="5">
        <v>150</v>
      </c>
      <c r="L2647" s="5">
        <v>35</v>
      </c>
      <c r="M2647" s="5">
        <v>35</v>
      </c>
      <c r="N2647" s="7">
        <v>1729.9</v>
      </c>
      <c r="O2647" s="7">
        <f t="shared" si="289"/>
        <v>60546.5</v>
      </c>
      <c r="P2647" s="4">
        <v>0</v>
      </c>
      <c r="Q2647" s="7">
        <f t="shared" si="290"/>
        <v>0</v>
      </c>
      <c r="R2647" s="7">
        <f t="shared" si="291"/>
        <v>60546.5</v>
      </c>
      <c r="S2647" s="7">
        <f t="shared" si="292"/>
        <v>1729.9</v>
      </c>
      <c r="T2647" s="6">
        <f t="shared" si="293"/>
        <v>2.2179974651457542E-2</v>
      </c>
      <c r="V2647" t="s">
        <v>29</v>
      </c>
    </row>
    <row r="2648" spans="1:22">
      <c r="A2648" s="3">
        <v>45768</v>
      </c>
      <c r="B2648" t="str">
        <f t="shared" si="287"/>
        <v>yyyy-04</v>
      </c>
      <c r="C2648">
        <f t="shared" si="288"/>
        <v>17</v>
      </c>
      <c r="D2648" t="s">
        <v>24</v>
      </c>
      <c r="E2648" t="s">
        <v>34</v>
      </c>
      <c r="F2648" t="s">
        <v>35</v>
      </c>
      <c r="G2648" t="s">
        <v>27</v>
      </c>
      <c r="H2648" t="s">
        <v>28</v>
      </c>
      <c r="I2648" s="5">
        <v>1100</v>
      </c>
      <c r="J2648" s="5">
        <v>810</v>
      </c>
      <c r="K2648" s="5">
        <v>73</v>
      </c>
      <c r="L2648" s="5">
        <v>20</v>
      </c>
      <c r="M2648" s="5">
        <v>20</v>
      </c>
      <c r="N2648" s="7">
        <v>867.04</v>
      </c>
      <c r="O2648" s="7">
        <f t="shared" si="289"/>
        <v>17340.8</v>
      </c>
      <c r="P2648" s="4">
        <v>0.03</v>
      </c>
      <c r="Q2648" s="7">
        <f t="shared" si="290"/>
        <v>520.22399999999993</v>
      </c>
      <c r="R2648" s="7">
        <f t="shared" si="291"/>
        <v>16820.576000000001</v>
      </c>
      <c r="S2648" s="7">
        <f t="shared" si="292"/>
        <v>841.02880000000005</v>
      </c>
      <c r="T2648" s="6">
        <f t="shared" si="293"/>
        <v>1.8181818181818181E-2</v>
      </c>
      <c r="V2648" t="s">
        <v>29</v>
      </c>
    </row>
    <row r="2649" spans="1:22">
      <c r="A2649" s="3">
        <v>45768</v>
      </c>
      <c r="B2649" t="str">
        <f t="shared" si="287"/>
        <v>yyyy-04</v>
      </c>
      <c r="C2649">
        <f t="shared" si="288"/>
        <v>17</v>
      </c>
      <c r="D2649" t="s">
        <v>24</v>
      </c>
      <c r="E2649" t="s">
        <v>38</v>
      </c>
      <c r="F2649" t="s">
        <v>39</v>
      </c>
      <c r="G2649" t="s">
        <v>27</v>
      </c>
      <c r="H2649" t="s">
        <v>45</v>
      </c>
      <c r="I2649" s="5">
        <v>755</v>
      </c>
      <c r="J2649" s="5">
        <v>484</v>
      </c>
      <c r="K2649" s="5">
        <v>69</v>
      </c>
      <c r="L2649" s="5">
        <v>17</v>
      </c>
      <c r="M2649" s="5">
        <v>17</v>
      </c>
      <c r="N2649" s="7">
        <v>323.47000000000003</v>
      </c>
      <c r="O2649" s="7">
        <f t="shared" si="289"/>
        <v>5498.9900000000007</v>
      </c>
      <c r="P2649" s="4">
        <v>0</v>
      </c>
      <c r="Q2649" s="7">
        <f t="shared" si="290"/>
        <v>0</v>
      </c>
      <c r="R2649" s="7">
        <f t="shared" si="291"/>
        <v>5498.9900000000007</v>
      </c>
      <c r="S2649" s="7">
        <f t="shared" si="292"/>
        <v>323.47000000000003</v>
      </c>
      <c r="T2649" s="6">
        <f t="shared" si="293"/>
        <v>2.2516556291390728E-2</v>
      </c>
      <c r="V2649" t="s">
        <v>29</v>
      </c>
    </row>
    <row r="2650" spans="1:22">
      <c r="A2650" s="3">
        <v>45768</v>
      </c>
      <c r="B2650" t="str">
        <f t="shared" si="287"/>
        <v>yyyy-04</v>
      </c>
      <c r="C2650">
        <f t="shared" si="288"/>
        <v>17</v>
      </c>
      <c r="D2650" t="s">
        <v>24</v>
      </c>
      <c r="E2650" t="s">
        <v>40</v>
      </c>
      <c r="F2650" t="s">
        <v>41</v>
      </c>
      <c r="G2650" t="s">
        <v>27</v>
      </c>
      <c r="H2650" t="s">
        <v>48</v>
      </c>
      <c r="I2650" s="5">
        <v>694</v>
      </c>
      <c r="J2650" s="5">
        <v>433</v>
      </c>
      <c r="K2650" s="5">
        <v>34</v>
      </c>
      <c r="L2650" s="5">
        <v>11</v>
      </c>
      <c r="M2650" s="5">
        <v>13</v>
      </c>
      <c r="N2650" s="7">
        <v>178.13</v>
      </c>
      <c r="O2650" s="7">
        <f t="shared" si="289"/>
        <v>2315.69</v>
      </c>
      <c r="P2650" s="4">
        <v>0.05</v>
      </c>
      <c r="Q2650" s="7">
        <f t="shared" si="290"/>
        <v>115.78450000000001</v>
      </c>
      <c r="R2650" s="7">
        <f t="shared" si="291"/>
        <v>2199.9054999999998</v>
      </c>
      <c r="S2650" s="7">
        <f t="shared" si="292"/>
        <v>199.99140909090909</v>
      </c>
      <c r="T2650" s="6">
        <f t="shared" si="293"/>
        <v>1.5850144092219021E-2</v>
      </c>
      <c r="V2650" t="s">
        <v>29</v>
      </c>
    </row>
    <row r="2651" spans="1:22">
      <c r="A2651" s="3">
        <v>45768</v>
      </c>
      <c r="B2651" t="str">
        <f t="shared" si="287"/>
        <v>yyyy-04</v>
      </c>
      <c r="C2651">
        <f t="shared" si="288"/>
        <v>17</v>
      </c>
      <c r="D2651" t="s">
        <v>42</v>
      </c>
      <c r="E2651" t="s">
        <v>43</v>
      </c>
      <c r="F2651" t="s">
        <v>44</v>
      </c>
      <c r="G2651" t="s">
        <v>31</v>
      </c>
      <c r="H2651" t="s">
        <v>32</v>
      </c>
      <c r="I2651" s="5">
        <v>505</v>
      </c>
      <c r="J2651" s="5">
        <v>363</v>
      </c>
      <c r="K2651" s="5">
        <v>29</v>
      </c>
      <c r="L2651" s="5">
        <v>7</v>
      </c>
      <c r="M2651" s="5">
        <v>7</v>
      </c>
      <c r="N2651" s="7">
        <v>1253.52</v>
      </c>
      <c r="O2651" s="7">
        <f t="shared" si="289"/>
        <v>8774.64</v>
      </c>
      <c r="P2651" s="4">
        <v>0</v>
      </c>
      <c r="Q2651" s="7">
        <f t="shared" si="290"/>
        <v>0</v>
      </c>
      <c r="R2651" s="7">
        <f t="shared" si="291"/>
        <v>8774.64</v>
      </c>
      <c r="S2651" s="7">
        <f t="shared" si="292"/>
        <v>1253.52</v>
      </c>
      <c r="T2651" s="6">
        <f t="shared" si="293"/>
        <v>1.3861386138613862E-2</v>
      </c>
      <c r="V2651" t="s">
        <v>29</v>
      </c>
    </row>
    <row r="2652" spans="1:22">
      <c r="A2652" s="3">
        <v>45768</v>
      </c>
      <c r="B2652" t="str">
        <f t="shared" si="287"/>
        <v>yyyy-04</v>
      </c>
      <c r="C2652">
        <f t="shared" si="288"/>
        <v>17</v>
      </c>
      <c r="D2652" t="s">
        <v>42</v>
      </c>
      <c r="E2652" t="s">
        <v>43</v>
      </c>
      <c r="F2652" t="s">
        <v>46</v>
      </c>
      <c r="G2652" t="s">
        <v>27</v>
      </c>
      <c r="H2652" t="s">
        <v>48</v>
      </c>
      <c r="I2652" s="5">
        <v>322</v>
      </c>
      <c r="J2652" s="5">
        <v>169</v>
      </c>
      <c r="K2652" s="5">
        <v>13</v>
      </c>
      <c r="L2652" s="5">
        <v>3</v>
      </c>
      <c r="M2652" s="5">
        <v>3</v>
      </c>
      <c r="N2652" s="7">
        <v>2155.46</v>
      </c>
      <c r="O2652" s="7">
        <f t="shared" si="289"/>
        <v>6466.38</v>
      </c>
      <c r="P2652" s="4">
        <v>0.03</v>
      </c>
      <c r="Q2652" s="7">
        <f t="shared" si="290"/>
        <v>193.9914</v>
      </c>
      <c r="R2652" s="7">
        <f t="shared" si="291"/>
        <v>6272.3886000000002</v>
      </c>
      <c r="S2652" s="7">
        <f t="shared" si="292"/>
        <v>2090.7962000000002</v>
      </c>
      <c r="T2652" s="6">
        <f t="shared" si="293"/>
        <v>9.316770186335404E-3</v>
      </c>
      <c r="V2652" t="s">
        <v>29</v>
      </c>
    </row>
    <row r="2653" spans="1:22">
      <c r="A2653" s="3">
        <v>45768</v>
      </c>
      <c r="B2653" t="str">
        <f t="shared" si="287"/>
        <v>yyyy-04</v>
      </c>
      <c r="C2653">
        <f t="shared" si="288"/>
        <v>17</v>
      </c>
      <c r="D2653" t="s">
        <v>42</v>
      </c>
      <c r="E2653" t="s">
        <v>43</v>
      </c>
      <c r="F2653" t="s">
        <v>47</v>
      </c>
      <c r="G2653" t="s">
        <v>27</v>
      </c>
      <c r="H2653" t="s">
        <v>48</v>
      </c>
      <c r="I2653" s="5">
        <v>310</v>
      </c>
      <c r="J2653" s="5">
        <v>245</v>
      </c>
      <c r="K2653" s="5">
        <v>13</v>
      </c>
      <c r="L2653" s="5">
        <v>5</v>
      </c>
      <c r="M2653" s="5">
        <v>5</v>
      </c>
      <c r="N2653" s="7">
        <v>590.76</v>
      </c>
      <c r="O2653" s="7">
        <f t="shared" si="289"/>
        <v>2953.8</v>
      </c>
      <c r="P2653" s="4">
        <v>0.03</v>
      </c>
      <c r="Q2653" s="7">
        <f t="shared" si="290"/>
        <v>88.614000000000004</v>
      </c>
      <c r="R2653" s="7">
        <f t="shared" si="291"/>
        <v>2865.1860000000001</v>
      </c>
      <c r="S2653" s="7">
        <f t="shared" si="292"/>
        <v>573.03719999999998</v>
      </c>
      <c r="T2653" s="6">
        <f t="shared" si="293"/>
        <v>1.6129032258064516E-2</v>
      </c>
      <c r="V2653" t="s">
        <v>29</v>
      </c>
    </row>
    <row r="2654" spans="1:22">
      <c r="A2654" s="3">
        <v>45768</v>
      </c>
      <c r="B2654" t="str">
        <f t="shared" si="287"/>
        <v>yyyy-04</v>
      </c>
      <c r="C2654">
        <f t="shared" si="288"/>
        <v>17</v>
      </c>
      <c r="D2654" t="s">
        <v>42</v>
      </c>
      <c r="E2654" t="s">
        <v>49</v>
      </c>
      <c r="F2654" t="s">
        <v>50</v>
      </c>
      <c r="G2654" t="s">
        <v>27</v>
      </c>
      <c r="H2654" t="s">
        <v>28</v>
      </c>
      <c r="I2654" s="5">
        <v>145</v>
      </c>
      <c r="J2654" s="5">
        <v>113</v>
      </c>
      <c r="K2654" s="5">
        <v>13</v>
      </c>
      <c r="L2654" s="5">
        <v>2</v>
      </c>
      <c r="M2654" s="5">
        <v>2</v>
      </c>
      <c r="N2654" s="7">
        <v>1004.29</v>
      </c>
      <c r="O2654" s="7">
        <f t="shared" si="289"/>
        <v>2008.58</v>
      </c>
      <c r="P2654" s="4">
        <v>0.1</v>
      </c>
      <c r="Q2654" s="7">
        <f t="shared" si="290"/>
        <v>200.858</v>
      </c>
      <c r="R2654" s="7">
        <f t="shared" si="291"/>
        <v>1807.722</v>
      </c>
      <c r="S2654" s="7">
        <f t="shared" si="292"/>
        <v>903.86099999999999</v>
      </c>
      <c r="T2654" s="6">
        <f t="shared" si="293"/>
        <v>1.3793103448275862E-2</v>
      </c>
      <c r="U2654" t="s">
        <v>94</v>
      </c>
      <c r="V2654" t="s">
        <v>29</v>
      </c>
    </row>
    <row r="2655" spans="1:22">
      <c r="A2655" s="3">
        <v>45768</v>
      </c>
      <c r="B2655" t="str">
        <f t="shared" si="287"/>
        <v>yyyy-04</v>
      </c>
      <c r="C2655">
        <f t="shared" si="288"/>
        <v>17</v>
      </c>
      <c r="D2655" t="s">
        <v>42</v>
      </c>
      <c r="E2655" t="s">
        <v>51</v>
      </c>
      <c r="F2655" t="s">
        <v>52</v>
      </c>
      <c r="G2655" t="s">
        <v>27</v>
      </c>
      <c r="H2655" t="s">
        <v>28</v>
      </c>
      <c r="I2655" s="5">
        <v>260</v>
      </c>
      <c r="J2655" s="5">
        <v>190</v>
      </c>
      <c r="K2655" s="5">
        <v>21</v>
      </c>
      <c r="L2655" s="5">
        <v>4</v>
      </c>
      <c r="M2655" s="5">
        <v>4</v>
      </c>
      <c r="N2655" s="7">
        <v>587.29</v>
      </c>
      <c r="O2655" s="7">
        <f t="shared" si="289"/>
        <v>2349.16</v>
      </c>
      <c r="P2655" s="4">
        <v>0</v>
      </c>
      <c r="Q2655" s="7">
        <f t="shared" si="290"/>
        <v>0</v>
      </c>
      <c r="R2655" s="7">
        <f t="shared" si="291"/>
        <v>2349.16</v>
      </c>
      <c r="S2655" s="7">
        <f t="shared" si="292"/>
        <v>587.29</v>
      </c>
      <c r="T2655" s="6">
        <f t="shared" si="293"/>
        <v>1.5384615384615385E-2</v>
      </c>
      <c r="V2655" t="s">
        <v>29</v>
      </c>
    </row>
    <row r="2656" spans="1:22">
      <c r="A2656" s="3">
        <v>45768</v>
      </c>
      <c r="B2656" t="str">
        <f t="shared" si="287"/>
        <v>yyyy-04</v>
      </c>
      <c r="C2656">
        <f t="shared" si="288"/>
        <v>17</v>
      </c>
      <c r="D2656" t="s">
        <v>53</v>
      </c>
      <c r="E2656" t="s">
        <v>54</v>
      </c>
      <c r="F2656" t="s">
        <v>55</v>
      </c>
      <c r="G2656" t="s">
        <v>31</v>
      </c>
      <c r="H2656" t="s">
        <v>32</v>
      </c>
      <c r="I2656" s="5">
        <v>201</v>
      </c>
      <c r="J2656" s="5">
        <v>110</v>
      </c>
      <c r="K2656" s="5">
        <v>12</v>
      </c>
      <c r="L2656" s="5">
        <v>3</v>
      </c>
      <c r="M2656" s="5">
        <v>3</v>
      </c>
      <c r="N2656" s="7">
        <v>1277.27</v>
      </c>
      <c r="O2656" s="7">
        <f t="shared" si="289"/>
        <v>3831.81</v>
      </c>
      <c r="P2656" s="4">
        <v>0.03</v>
      </c>
      <c r="Q2656" s="7">
        <f t="shared" si="290"/>
        <v>114.95429999999999</v>
      </c>
      <c r="R2656" s="7">
        <f t="shared" si="291"/>
        <v>3716.8557000000001</v>
      </c>
      <c r="S2656" s="7">
        <f t="shared" si="292"/>
        <v>1238.9519</v>
      </c>
      <c r="T2656" s="6">
        <f t="shared" si="293"/>
        <v>1.4925373134328358E-2</v>
      </c>
      <c r="V2656" t="s">
        <v>29</v>
      </c>
    </row>
    <row r="2657" spans="1:22">
      <c r="A2657" s="3">
        <v>45768</v>
      </c>
      <c r="B2657" t="str">
        <f t="shared" si="287"/>
        <v>yyyy-04</v>
      </c>
      <c r="C2657">
        <f t="shared" si="288"/>
        <v>17</v>
      </c>
      <c r="D2657" t="s">
        <v>53</v>
      </c>
      <c r="E2657" t="s">
        <v>56</v>
      </c>
      <c r="F2657" t="s">
        <v>57</v>
      </c>
      <c r="G2657" t="s">
        <v>36</v>
      </c>
      <c r="H2657" t="s">
        <v>37</v>
      </c>
      <c r="I2657" s="5">
        <v>223</v>
      </c>
      <c r="J2657" s="5">
        <v>175</v>
      </c>
      <c r="K2657" s="5">
        <v>14</v>
      </c>
      <c r="L2657" s="5">
        <v>3</v>
      </c>
      <c r="M2657" s="5">
        <v>3</v>
      </c>
      <c r="N2657" s="7">
        <v>755.24</v>
      </c>
      <c r="O2657" s="7">
        <f t="shared" si="289"/>
        <v>2265.7200000000003</v>
      </c>
      <c r="P2657" s="4">
        <v>0.05</v>
      </c>
      <c r="Q2657" s="7">
        <f t="shared" si="290"/>
        <v>113.28600000000002</v>
      </c>
      <c r="R2657" s="7">
        <f t="shared" si="291"/>
        <v>2152.4340000000002</v>
      </c>
      <c r="S2657" s="7">
        <f t="shared" si="292"/>
        <v>717.47800000000007</v>
      </c>
      <c r="T2657" s="6">
        <f t="shared" si="293"/>
        <v>1.3452914798206279E-2</v>
      </c>
      <c r="V2657" t="s">
        <v>29</v>
      </c>
    </row>
    <row r="2658" spans="1:22">
      <c r="A2658" s="3">
        <v>45768</v>
      </c>
      <c r="B2658" t="str">
        <f t="shared" si="287"/>
        <v>yyyy-04</v>
      </c>
      <c r="C2658">
        <f t="shared" si="288"/>
        <v>17</v>
      </c>
      <c r="D2658" t="s">
        <v>53</v>
      </c>
      <c r="E2658" t="s">
        <v>56</v>
      </c>
      <c r="F2658" t="s">
        <v>58</v>
      </c>
      <c r="G2658" t="s">
        <v>27</v>
      </c>
      <c r="H2658" t="s">
        <v>28</v>
      </c>
      <c r="I2658" s="5">
        <v>245</v>
      </c>
      <c r="J2658" s="5">
        <v>153</v>
      </c>
      <c r="K2658" s="5">
        <v>14</v>
      </c>
      <c r="L2658" s="5">
        <v>3</v>
      </c>
      <c r="M2658" s="5">
        <v>3</v>
      </c>
      <c r="N2658" s="7">
        <v>908.05</v>
      </c>
      <c r="O2658" s="7">
        <f t="shared" si="289"/>
        <v>2724.1499999999996</v>
      </c>
      <c r="P2658" s="4">
        <v>0</v>
      </c>
      <c r="Q2658" s="7">
        <f t="shared" si="290"/>
        <v>0</v>
      </c>
      <c r="R2658" s="7">
        <f t="shared" si="291"/>
        <v>2724.1499999999996</v>
      </c>
      <c r="S2658" s="7">
        <f t="shared" si="292"/>
        <v>908.04999999999984</v>
      </c>
      <c r="T2658" s="6">
        <f t="shared" si="293"/>
        <v>1.2244897959183673E-2</v>
      </c>
      <c r="V2658" t="s">
        <v>29</v>
      </c>
    </row>
    <row r="2659" spans="1:22">
      <c r="A2659" s="3">
        <v>45768</v>
      </c>
      <c r="B2659" t="str">
        <f t="shared" si="287"/>
        <v>yyyy-04</v>
      </c>
      <c r="C2659">
        <f t="shared" si="288"/>
        <v>17</v>
      </c>
      <c r="D2659" t="s">
        <v>53</v>
      </c>
      <c r="E2659" t="s">
        <v>59</v>
      </c>
      <c r="F2659" t="s">
        <v>60</v>
      </c>
      <c r="G2659" t="s">
        <v>27</v>
      </c>
      <c r="H2659" t="s">
        <v>45</v>
      </c>
      <c r="I2659" s="5">
        <v>123</v>
      </c>
      <c r="J2659" s="5">
        <v>79</v>
      </c>
      <c r="K2659" s="5">
        <v>7</v>
      </c>
      <c r="L2659" s="5">
        <v>1</v>
      </c>
      <c r="M2659" s="5">
        <v>1</v>
      </c>
      <c r="N2659" s="7">
        <v>677.74</v>
      </c>
      <c r="O2659" s="7">
        <f t="shared" si="289"/>
        <v>677.74</v>
      </c>
      <c r="P2659" s="4">
        <v>0</v>
      </c>
      <c r="Q2659" s="7">
        <f t="shared" si="290"/>
        <v>0</v>
      </c>
      <c r="R2659" s="7">
        <f t="shared" si="291"/>
        <v>677.74</v>
      </c>
      <c r="S2659" s="7">
        <f t="shared" si="292"/>
        <v>677.74</v>
      </c>
      <c r="T2659" s="6">
        <f t="shared" si="293"/>
        <v>8.130081300813009E-3</v>
      </c>
      <c r="V2659" t="s">
        <v>29</v>
      </c>
    </row>
    <row r="2660" spans="1:22">
      <c r="A2660" s="3">
        <v>45768</v>
      </c>
      <c r="B2660" t="str">
        <f t="shared" si="287"/>
        <v>yyyy-04</v>
      </c>
      <c r="C2660">
        <f t="shared" si="288"/>
        <v>17</v>
      </c>
      <c r="D2660" t="s">
        <v>53</v>
      </c>
      <c r="E2660" t="s">
        <v>61</v>
      </c>
      <c r="F2660" t="s">
        <v>62</v>
      </c>
      <c r="G2660" t="s">
        <v>36</v>
      </c>
      <c r="H2660" t="s">
        <v>37</v>
      </c>
      <c r="I2660" s="5">
        <v>207</v>
      </c>
      <c r="J2660" s="5">
        <v>131</v>
      </c>
      <c r="K2660" s="5">
        <v>12</v>
      </c>
      <c r="L2660" s="5">
        <v>2</v>
      </c>
      <c r="M2660" s="5">
        <v>2</v>
      </c>
      <c r="N2660" s="7">
        <v>488.47</v>
      </c>
      <c r="O2660" s="7">
        <f t="shared" si="289"/>
        <v>976.94</v>
      </c>
      <c r="P2660" s="4">
        <v>0.03</v>
      </c>
      <c r="Q2660" s="7">
        <f t="shared" si="290"/>
        <v>29.308199999999999</v>
      </c>
      <c r="R2660" s="7">
        <f t="shared" si="291"/>
        <v>947.63180000000011</v>
      </c>
      <c r="S2660" s="7">
        <f t="shared" si="292"/>
        <v>473.81590000000006</v>
      </c>
      <c r="T2660" s="6">
        <f t="shared" si="293"/>
        <v>9.6618357487922701E-3</v>
      </c>
      <c r="V2660" t="s">
        <v>29</v>
      </c>
    </row>
    <row r="2661" spans="1:22">
      <c r="A2661" s="3">
        <v>45768</v>
      </c>
      <c r="B2661" t="str">
        <f t="shared" si="287"/>
        <v>yyyy-04</v>
      </c>
      <c r="C2661">
        <f t="shared" si="288"/>
        <v>17</v>
      </c>
      <c r="D2661" t="s">
        <v>53</v>
      </c>
      <c r="E2661" t="s">
        <v>64</v>
      </c>
      <c r="F2661" t="s">
        <v>65</v>
      </c>
      <c r="G2661" t="s">
        <v>27</v>
      </c>
      <c r="H2661" t="s">
        <v>63</v>
      </c>
      <c r="I2661" s="5">
        <v>133</v>
      </c>
      <c r="J2661" s="5">
        <v>91</v>
      </c>
      <c r="K2661" s="5">
        <v>10</v>
      </c>
      <c r="L2661" s="5">
        <v>1</v>
      </c>
      <c r="M2661" s="5">
        <v>1</v>
      </c>
      <c r="N2661" s="7">
        <v>769.64</v>
      </c>
      <c r="O2661" s="7">
        <f t="shared" si="289"/>
        <v>769.64</v>
      </c>
      <c r="P2661" s="4">
        <v>0.03</v>
      </c>
      <c r="Q2661" s="7">
        <f t="shared" si="290"/>
        <v>23.089199999999998</v>
      </c>
      <c r="R2661" s="7">
        <f t="shared" si="291"/>
        <v>746.55079999999998</v>
      </c>
      <c r="S2661" s="7">
        <f t="shared" si="292"/>
        <v>746.55079999999998</v>
      </c>
      <c r="T2661" s="6">
        <f t="shared" si="293"/>
        <v>7.5187969924812026E-3</v>
      </c>
      <c r="V2661" t="s">
        <v>29</v>
      </c>
    </row>
    <row r="2662" spans="1:22">
      <c r="A2662" s="3">
        <v>45768</v>
      </c>
      <c r="B2662" t="str">
        <f t="shared" si="287"/>
        <v>yyyy-04</v>
      </c>
      <c r="C2662">
        <f t="shared" si="288"/>
        <v>17</v>
      </c>
      <c r="D2662" t="s">
        <v>66</v>
      </c>
      <c r="E2662" t="s">
        <v>67</v>
      </c>
      <c r="F2662" t="s">
        <v>68</v>
      </c>
      <c r="G2662" t="s">
        <v>36</v>
      </c>
      <c r="H2662" t="s">
        <v>37</v>
      </c>
      <c r="I2662" s="5">
        <v>386</v>
      </c>
      <c r="J2662" s="5">
        <v>305</v>
      </c>
      <c r="K2662" s="5">
        <v>35</v>
      </c>
      <c r="L2662" s="5">
        <v>8</v>
      </c>
      <c r="M2662" s="5">
        <v>8</v>
      </c>
      <c r="N2662" s="7">
        <v>702.06</v>
      </c>
      <c r="O2662" s="7">
        <f t="shared" si="289"/>
        <v>5616.48</v>
      </c>
      <c r="P2662" s="4">
        <v>0</v>
      </c>
      <c r="Q2662" s="7">
        <f t="shared" si="290"/>
        <v>0</v>
      </c>
      <c r="R2662" s="7">
        <f t="shared" si="291"/>
        <v>5616.48</v>
      </c>
      <c r="S2662" s="7">
        <f t="shared" si="292"/>
        <v>702.06</v>
      </c>
      <c r="T2662" s="6">
        <f t="shared" si="293"/>
        <v>2.072538860103627E-2</v>
      </c>
      <c r="V2662" t="s">
        <v>29</v>
      </c>
    </row>
    <row r="2663" spans="1:22">
      <c r="A2663" s="3">
        <v>45768</v>
      </c>
      <c r="B2663" t="str">
        <f t="shared" si="287"/>
        <v>yyyy-04</v>
      </c>
      <c r="C2663">
        <f t="shared" si="288"/>
        <v>17</v>
      </c>
      <c r="D2663" t="s">
        <v>66</v>
      </c>
      <c r="E2663" t="s">
        <v>67</v>
      </c>
      <c r="F2663" t="s">
        <v>69</v>
      </c>
      <c r="G2663" t="s">
        <v>27</v>
      </c>
      <c r="H2663" t="s">
        <v>45</v>
      </c>
      <c r="I2663" s="5">
        <v>344</v>
      </c>
      <c r="J2663" s="5">
        <v>272</v>
      </c>
      <c r="K2663" s="5">
        <v>23</v>
      </c>
      <c r="L2663" s="5">
        <v>8</v>
      </c>
      <c r="M2663" s="5">
        <v>8</v>
      </c>
      <c r="N2663" s="7">
        <v>390.25</v>
      </c>
      <c r="O2663" s="7">
        <f t="shared" si="289"/>
        <v>3122</v>
      </c>
      <c r="P2663" s="4">
        <v>0.03</v>
      </c>
      <c r="Q2663" s="7">
        <f t="shared" si="290"/>
        <v>93.66</v>
      </c>
      <c r="R2663" s="7">
        <f t="shared" si="291"/>
        <v>3028.34</v>
      </c>
      <c r="S2663" s="7">
        <f t="shared" si="292"/>
        <v>378.54250000000002</v>
      </c>
      <c r="T2663" s="6">
        <f t="shared" si="293"/>
        <v>2.3255813953488372E-2</v>
      </c>
      <c r="V2663" t="s">
        <v>29</v>
      </c>
    </row>
    <row r="2664" spans="1:22">
      <c r="A2664" s="3">
        <v>45768</v>
      </c>
      <c r="B2664" t="str">
        <f t="shared" si="287"/>
        <v>yyyy-04</v>
      </c>
      <c r="C2664">
        <f t="shared" si="288"/>
        <v>17</v>
      </c>
      <c r="D2664" t="s">
        <v>66</v>
      </c>
      <c r="E2664" t="s">
        <v>67</v>
      </c>
      <c r="F2664" t="s">
        <v>70</v>
      </c>
      <c r="G2664" t="s">
        <v>27</v>
      </c>
      <c r="H2664" t="s">
        <v>48</v>
      </c>
      <c r="I2664" s="5">
        <v>258</v>
      </c>
      <c r="J2664" s="5">
        <v>134</v>
      </c>
      <c r="K2664" s="5">
        <v>15</v>
      </c>
      <c r="L2664" s="5">
        <v>4</v>
      </c>
      <c r="M2664" s="5">
        <v>4</v>
      </c>
      <c r="N2664" s="7">
        <v>344.7</v>
      </c>
      <c r="O2664" s="7">
        <f t="shared" si="289"/>
        <v>1378.8</v>
      </c>
      <c r="P2664" s="4">
        <v>0.05</v>
      </c>
      <c r="Q2664" s="7">
        <f t="shared" si="290"/>
        <v>68.94</v>
      </c>
      <c r="R2664" s="7">
        <f t="shared" si="291"/>
        <v>1309.8599999999999</v>
      </c>
      <c r="S2664" s="7">
        <f t="shared" si="292"/>
        <v>327.46499999999997</v>
      </c>
      <c r="T2664" s="6">
        <f t="shared" si="293"/>
        <v>1.5503875968992248E-2</v>
      </c>
      <c r="V2664" t="s">
        <v>29</v>
      </c>
    </row>
    <row r="2665" spans="1:22">
      <c r="A2665" s="3">
        <v>45768</v>
      </c>
      <c r="B2665" t="str">
        <f t="shared" si="287"/>
        <v>yyyy-04</v>
      </c>
      <c r="C2665">
        <f t="shared" si="288"/>
        <v>17</v>
      </c>
      <c r="D2665" t="s">
        <v>66</v>
      </c>
      <c r="E2665" t="s">
        <v>71</v>
      </c>
      <c r="F2665" t="s">
        <v>72</v>
      </c>
      <c r="G2665" t="s">
        <v>27</v>
      </c>
      <c r="H2665" t="s">
        <v>63</v>
      </c>
      <c r="I2665" s="5">
        <v>220</v>
      </c>
      <c r="J2665" s="5">
        <v>114</v>
      </c>
      <c r="K2665" s="5">
        <v>25</v>
      </c>
      <c r="L2665" s="5">
        <v>5</v>
      </c>
      <c r="M2665" s="5">
        <v>6</v>
      </c>
      <c r="N2665" s="7">
        <v>130.63</v>
      </c>
      <c r="O2665" s="7">
        <f t="shared" si="289"/>
        <v>783.78</v>
      </c>
      <c r="P2665" s="4">
        <v>0.05</v>
      </c>
      <c r="Q2665" s="7">
        <f t="shared" si="290"/>
        <v>39.189</v>
      </c>
      <c r="R2665" s="7">
        <f t="shared" si="291"/>
        <v>744.59100000000001</v>
      </c>
      <c r="S2665" s="7">
        <f t="shared" si="292"/>
        <v>148.91820000000001</v>
      </c>
      <c r="T2665" s="6">
        <f t="shared" si="293"/>
        <v>2.2727272727272728E-2</v>
      </c>
      <c r="V2665" t="s">
        <v>29</v>
      </c>
    </row>
    <row r="2666" spans="1:22">
      <c r="A2666" s="3">
        <v>45768</v>
      </c>
      <c r="B2666" t="str">
        <f t="shared" si="287"/>
        <v>yyyy-04</v>
      </c>
      <c r="C2666">
        <f t="shared" si="288"/>
        <v>17</v>
      </c>
      <c r="D2666" t="s">
        <v>66</v>
      </c>
      <c r="E2666" t="s">
        <v>73</v>
      </c>
      <c r="F2666" t="s">
        <v>74</v>
      </c>
      <c r="G2666" t="s">
        <v>36</v>
      </c>
      <c r="H2666" t="s">
        <v>37</v>
      </c>
      <c r="I2666" s="5">
        <v>182</v>
      </c>
      <c r="J2666" s="5">
        <v>111</v>
      </c>
      <c r="K2666" s="5">
        <v>14</v>
      </c>
      <c r="L2666" s="5">
        <v>4</v>
      </c>
      <c r="M2666" s="5">
        <v>4</v>
      </c>
      <c r="N2666" s="7">
        <v>1197.78</v>
      </c>
      <c r="O2666" s="7">
        <f t="shared" si="289"/>
        <v>4791.12</v>
      </c>
      <c r="P2666" s="4">
        <v>7.0000000000000007E-2</v>
      </c>
      <c r="Q2666" s="7">
        <f t="shared" si="290"/>
        <v>335.3784</v>
      </c>
      <c r="R2666" s="7">
        <f t="shared" si="291"/>
        <v>4455.7416000000003</v>
      </c>
      <c r="S2666" s="7">
        <f t="shared" si="292"/>
        <v>1113.9354000000001</v>
      </c>
      <c r="T2666" s="6">
        <f t="shared" si="293"/>
        <v>2.197802197802198E-2</v>
      </c>
      <c r="U2666" t="s">
        <v>95</v>
      </c>
      <c r="V2666" t="s">
        <v>29</v>
      </c>
    </row>
    <row r="2667" spans="1:22">
      <c r="A2667" s="3">
        <v>45768</v>
      </c>
      <c r="B2667" t="str">
        <f t="shared" si="287"/>
        <v>yyyy-04</v>
      </c>
      <c r="C2667">
        <f t="shared" si="288"/>
        <v>17</v>
      </c>
      <c r="D2667" t="s">
        <v>66</v>
      </c>
      <c r="E2667" t="s">
        <v>71</v>
      </c>
      <c r="F2667" t="s">
        <v>75</v>
      </c>
      <c r="G2667" t="s">
        <v>27</v>
      </c>
      <c r="H2667" t="s">
        <v>28</v>
      </c>
      <c r="I2667" s="5">
        <v>243</v>
      </c>
      <c r="J2667" s="5">
        <v>197</v>
      </c>
      <c r="K2667" s="5">
        <v>26</v>
      </c>
      <c r="L2667" s="5">
        <v>6</v>
      </c>
      <c r="M2667" s="5">
        <v>7</v>
      </c>
      <c r="N2667" s="7">
        <v>39.5</v>
      </c>
      <c r="O2667" s="7">
        <f t="shared" si="289"/>
        <v>276.5</v>
      </c>
      <c r="P2667" s="4">
        <v>0</v>
      </c>
      <c r="Q2667" s="7">
        <f t="shared" si="290"/>
        <v>0</v>
      </c>
      <c r="R2667" s="7">
        <f t="shared" si="291"/>
        <v>276.5</v>
      </c>
      <c r="S2667" s="7">
        <f t="shared" si="292"/>
        <v>46.083333333333336</v>
      </c>
      <c r="T2667" s="6">
        <f t="shared" si="293"/>
        <v>2.4691358024691357E-2</v>
      </c>
      <c r="V2667" t="s">
        <v>29</v>
      </c>
    </row>
    <row r="2668" spans="1:22">
      <c r="A2668" s="3">
        <v>45768</v>
      </c>
      <c r="B2668" t="str">
        <f t="shared" si="287"/>
        <v>yyyy-04</v>
      </c>
      <c r="C2668">
        <f t="shared" si="288"/>
        <v>17</v>
      </c>
      <c r="D2668" t="s">
        <v>24</v>
      </c>
      <c r="E2668" t="s">
        <v>76</v>
      </c>
      <c r="F2668" t="s">
        <v>77</v>
      </c>
      <c r="G2668" t="s">
        <v>27</v>
      </c>
      <c r="H2668" t="s">
        <v>45</v>
      </c>
      <c r="I2668" s="5">
        <v>465</v>
      </c>
      <c r="J2668" s="5">
        <v>280</v>
      </c>
      <c r="K2668" s="5">
        <v>33</v>
      </c>
      <c r="L2668" s="5">
        <v>7</v>
      </c>
      <c r="M2668" s="5">
        <v>9</v>
      </c>
      <c r="N2668" s="7">
        <v>196.36</v>
      </c>
      <c r="O2668" s="7">
        <f t="shared" si="289"/>
        <v>1767.2400000000002</v>
      </c>
      <c r="P2668" s="4">
        <v>0.03</v>
      </c>
      <c r="Q2668" s="7">
        <f t="shared" si="290"/>
        <v>53.017200000000003</v>
      </c>
      <c r="R2668" s="7">
        <f t="shared" si="291"/>
        <v>1714.2228000000002</v>
      </c>
      <c r="S2668" s="7">
        <f t="shared" si="292"/>
        <v>244.88897142857147</v>
      </c>
      <c r="T2668" s="6">
        <f t="shared" si="293"/>
        <v>1.5053763440860216E-2</v>
      </c>
      <c r="V2668" t="s">
        <v>29</v>
      </c>
    </row>
    <row r="2669" spans="1:22">
      <c r="A2669" s="3">
        <v>45769</v>
      </c>
      <c r="B2669" t="str">
        <f t="shared" si="287"/>
        <v>yyyy-04</v>
      </c>
      <c r="C2669">
        <f t="shared" si="288"/>
        <v>17</v>
      </c>
      <c r="D2669" t="s">
        <v>24</v>
      </c>
      <c r="E2669" t="s">
        <v>25</v>
      </c>
      <c r="F2669" t="s">
        <v>26</v>
      </c>
      <c r="G2669" t="s">
        <v>36</v>
      </c>
      <c r="H2669" t="s">
        <v>37</v>
      </c>
      <c r="I2669" s="5">
        <v>1467</v>
      </c>
      <c r="J2669" s="5">
        <v>1119</v>
      </c>
      <c r="K2669" s="5">
        <v>115</v>
      </c>
      <c r="L2669" s="5">
        <v>35</v>
      </c>
      <c r="M2669" s="5">
        <v>35</v>
      </c>
      <c r="N2669" s="7">
        <v>963.08</v>
      </c>
      <c r="O2669" s="7">
        <f t="shared" si="289"/>
        <v>33707.800000000003</v>
      </c>
      <c r="P2669" s="4">
        <v>0</v>
      </c>
      <c r="Q2669" s="7">
        <f t="shared" si="290"/>
        <v>0</v>
      </c>
      <c r="R2669" s="7">
        <f t="shared" si="291"/>
        <v>33707.800000000003</v>
      </c>
      <c r="S2669" s="7">
        <f t="shared" si="292"/>
        <v>963.08</v>
      </c>
      <c r="T2669" s="6">
        <f t="shared" si="293"/>
        <v>2.3858214042263123E-2</v>
      </c>
      <c r="V2669" t="s">
        <v>29</v>
      </c>
    </row>
    <row r="2670" spans="1:22">
      <c r="A2670" s="3">
        <v>45769</v>
      </c>
      <c r="B2670" t="str">
        <f t="shared" si="287"/>
        <v>yyyy-04</v>
      </c>
      <c r="C2670">
        <f t="shared" si="288"/>
        <v>17</v>
      </c>
      <c r="D2670" t="s">
        <v>24</v>
      </c>
      <c r="E2670" t="s">
        <v>25</v>
      </c>
      <c r="F2670" t="s">
        <v>30</v>
      </c>
      <c r="G2670" t="s">
        <v>31</v>
      </c>
      <c r="H2670" t="s">
        <v>32</v>
      </c>
      <c r="I2670" s="5">
        <v>1377</v>
      </c>
      <c r="J2670" s="5">
        <v>1121</v>
      </c>
      <c r="K2670" s="5">
        <v>105</v>
      </c>
      <c r="L2670" s="5">
        <v>16</v>
      </c>
      <c r="M2670" s="5">
        <v>16</v>
      </c>
      <c r="N2670" s="7">
        <v>390.03</v>
      </c>
      <c r="O2670" s="7">
        <f t="shared" si="289"/>
        <v>6240.48</v>
      </c>
      <c r="P2670" s="4">
        <v>0</v>
      </c>
      <c r="Q2670" s="7">
        <f t="shared" si="290"/>
        <v>0</v>
      </c>
      <c r="R2670" s="7">
        <f t="shared" si="291"/>
        <v>6240.48</v>
      </c>
      <c r="S2670" s="7">
        <f t="shared" si="292"/>
        <v>390.03</v>
      </c>
      <c r="T2670" s="6">
        <f t="shared" si="293"/>
        <v>1.1619462599854757E-2</v>
      </c>
      <c r="V2670" t="s">
        <v>78</v>
      </c>
    </row>
    <row r="2671" spans="1:22">
      <c r="A2671" s="3">
        <v>45769</v>
      </c>
      <c r="B2671" t="str">
        <f t="shared" si="287"/>
        <v>yyyy-04</v>
      </c>
      <c r="C2671">
        <f t="shared" si="288"/>
        <v>17</v>
      </c>
      <c r="D2671" t="s">
        <v>24</v>
      </c>
      <c r="E2671" t="s">
        <v>25</v>
      </c>
      <c r="F2671" t="s">
        <v>33</v>
      </c>
      <c r="G2671" t="s">
        <v>27</v>
      </c>
      <c r="H2671" t="s">
        <v>48</v>
      </c>
      <c r="I2671" s="5">
        <v>1205</v>
      </c>
      <c r="J2671" s="5">
        <v>829</v>
      </c>
      <c r="K2671" s="5">
        <v>89</v>
      </c>
      <c r="L2671" s="5">
        <v>21</v>
      </c>
      <c r="M2671" s="5">
        <v>21</v>
      </c>
      <c r="N2671" s="7">
        <v>1775.76</v>
      </c>
      <c r="O2671" s="7">
        <f t="shared" si="289"/>
        <v>37290.959999999999</v>
      </c>
      <c r="P2671" s="4">
        <v>0</v>
      </c>
      <c r="Q2671" s="7">
        <f t="shared" si="290"/>
        <v>0</v>
      </c>
      <c r="R2671" s="7">
        <f t="shared" si="291"/>
        <v>37290.959999999999</v>
      </c>
      <c r="S2671" s="7">
        <f t="shared" si="292"/>
        <v>1775.76</v>
      </c>
      <c r="T2671" s="6">
        <f t="shared" si="293"/>
        <v>1.7427385892116183E-2</v>
      </c>
      <c r="V2671" t="s">
        <v>29</v>
      </c>
    </row>
    <row r="2672" spans="1:22">
      <c r="A2672" s="3">
        <v>45769</v>
      </c>
      <c r="B2672" t="str">
        <f t="shared" si="287"/>
        <v>yyyy-04</v>
      </c>
      <c r="C2672">
        <f t="shared" si="288"/>
        <v>17</v>
      </c>
      <c r="D2672" t="s">
        <v>24</v>
      </c>
      <c r="E2672" t="s">
        <v>34</v>
      </c>
      <c r="F2672" t="s">
        <v>35</v>
      </c>
      <c r="G2672" t="s">
        <v>27</v>
      </c>
      <c r="H2672" t="s">
        <v>28</v>
      </c>
      <c r="I2672" s="5">
        <v>1367</v>
      </c>
      <c r="J2672" s="5">
        <v>926</v>
      </c>
      <c r="K2672" s="5">
        <v>143</v>
      </c>
      <c r="L2672" s="5">
        <v>35</v>
      </c>
      <c r="M2672" s="5">
        <v>35</v>
      </c>
      <c r="N2672" s="7">
        <v>889.94</v>
      </c>
      <c r="O2672" s="7">
        <f t="shared" si="289"/>
        <v>31147.9</v>
      </c>
      <c r="P2672" s="4">
        <v>0</v>
      </c>
      <c r="Q2672" s="7">
        <f t="shared" si="290"/>
        <v>0</v>
      </c>
      <c r="R2672" s="7">
        <f t="shared" si="291"/>
        <v>31147.9</v>
      </c>
      <c r="S2672" s="7">
        <f t="shared" si="292"/>
        <v>889.94</v>
      </c>
      <c r="T2672" s="6">
        <f t="shared" si="293"/>
        <v>2.5603511338697878E-2</v>
      </c>
      <c r="V2672" t="s">
        <v>29</v>
      </c>
    </row>
    <row r="2673" spans="1:22">
      <c r="A2673" s="3">
        <v>45769</v>
      </c>
      <c r="B2673" t="str">
        <f t="shared" si="287"/>
        <v>yyyy-04</v>
      </c>
      <c r="C2673">
        <f t="shared" si="288"/>
        <v>17</v>
      </c>
      <c r="D2673" t="s">
        <v>24</v>
      </c>
      <c r="E2673" t="s">
        <v>38</v>
      </c>
      <c r="F2673" t="s">
        <v>39</v>
      </c>
      <c r="G2673" t="s">
        <v>27</v>
      </c>
      <c r="H2673" t="s">
        <v>45</v>
      </c>
      <c r="I2673" s="5">
        <v>589</v>
      </c>
      <c r="J2673" s="5">
        <v>423</v>
      </c>
      <c r="K2673" s="5">
        <v>48</v>
      </c>
      <c r="L2673" s="5">
        <v>10</v>
      </c>
      <c r="M2673" s="5">
        <v>10</v>
      </c>
      <c r="N2673" s="7">
        <v>333.15</v>
      </c>
      <c r="O2673" s="7">
        <f t="shared" si="289"/>
        <v>3331.5</v>
      </c>
      <c r="P2673" s="4">
        <v>0</v>
      </c>
      <c r="Q2673" s="7">
        <f t="shared" si="290"/>
        <v>0</v>
      </c>
      <c r="R2673" s="7">
        <f t="shared" si="291"/>
        <v>3331.5</v>
      </c>
      <c r="S2673" s="7">
        <f t="shared" si="292"/>
        <v>333.15</v>
      </c>
      <c r="T2673" s="6">
        <f t="shared" si="293"/>
        <v>1.6977928692699491E-2</v>
      </c>
      <c r="V2673" t="s">
        <v>29</v>
      </c>
    </row>
    <row r="2674" spans="1:22">
      <c r="A2674" s="3">
        <v>45769</v>
      </c>
      <c r="B2674" t="str">
        <f t="shared" si="287"/>
        <v>yyyy-04</v>
      </c>
      <c r="C2674">
        <f t="shared" si="288"/>
        <v>17</v>
      </c>
      <c r="D2674" t="s">
        <v>24</v>
      </c>
      <c r="E2674" t="s">
        <v>40</v>
      </c>
      <c r="F2674" t="s">
        <v>41</v>
      </c>
      <c r="G2674" t="s">
        <v>27</v>
      </c>
      <c r="H2674" t="s">
        <v>28</v>
      </c>
      <c r="I2674" s="5">
        <v>870</v>
      </c>
      <c r="J2674" s="5">
        <v>552</v>
      </c>
      <c r="K2674" s="5">
        <v>63</v>
      </c>
      <c r="L2674" s="5">
        <v>17</v>
      </c>
      <c r="M2674" s="5">
        <v>18</v>
      </c>
      <c r="N2674" s="7">
        <v>173.86</v>
      </c>
      <c r="O2674" s="7">
        <f t="shared" si="289"/>
        <v>3129.4800000000005</v>
      </c>
      <c r="P2674" s="4">
        <v>0</v>
      </c>
      <c r="Q2674" s="7">
        <f t="shared" si="290"/>
        <v>0</v>
      </c>
      <c r="R2674" s="7">
        <f t="shared" si="291"/>
        <v>3129.4800000000005</v>
      </c>
      <c r="S2674" s="7">
        <f t="shared" si="292"/>
        <v>184.08705882352945</v>
      </c>
      <c r="T2674" s="6">
        <f t="shared" si="293"/>
        <v>1.9540229885057471E-2</v>
      </c>
      <c r="V2674" t="s">
        <v>29</v>
      </c>
    </row>
    <row r="2675" spans="1:22">
      <c r="A2675" s="3">
        <v>45769</v>
      </c>
      <c r="B2675" t="str">
        <f t="shared" si="287"/>
        <v>yyyy-04</v>
      </c>
      <c r="C2675">
        <f t="shared" si="288"/>
        <v>17</v>
      </c>
      <c r="D2675" t="s">
        <v>42</v>
      </c>
      <c r="E2675" t="s">
        <v>43</v>
      </c>
      <c r="F2675" t="s">
        <v>44</v>
      </c>
      <c r="G2675" t="s">
        <v>36</v>
      </c>
      <c r="H2675" t="s">
        <v>37</v>
      </c>
      <c r="I2675" s="5">
        <v>641</v>
      </c>
      <c r="J2675" s="5">
        <v>376</v>
      </c>
      <c r="K2675" s="5">
        <v>42</v>
      </c>
      <c r="L2675" s="5">
        <v>7</v>
      </c>
      <c r="M2675" s="5">
        <v>7</v>
      </c>
      <c r="N2675" s="7">
        <v>1247.1099999999999</v>
      </c>
      <c r="O2675" s="7">
        <f t="shared" si="289"/>
        <v>8729.7699999999986</v>
      </c>
      <c r="P2675" s="4">
        <v>0</v>
      </c>
      <c r="Q2675" s="7">
        <f t="shared" si="290"/>
        <v>0</v>
      </c>
      <c r="R2675" s="7">
        <f t="shared" si="291"/>
        <v>8729.7699999999986</v>
      </c>
      <c r="S2675" s="7">
        <f t="shared" si="292"/>
        <v>1247.1099999999999</v>
      </c>
      <c r="T2675" s="6">
        <f t="shared" si="293"/>
        <v>1.0920436817472699E-2</v>
      </c>
      <c r="V2675" t="s">
        <v>29</v>
      </c>
    </row>
    <row r="2676" spans="1:22">
      <c r="A2676" s="3">
        <v>45769</v>
      </c>
      <c r="B2676" t="str">
        <f t="shared" si="287"/>
        <v>yyyy-04</v>
      </c>
      <c r="C2676">
        <f t="shared" si="288"/>
        <v>17</v>
      </c>
      <c r="D2676" t="s">
        <v>42</v>
      </c>
      <c r="E2676" t="s">
        <v>43</v>
      </c>
      <c r="F2676" t="s">
        <v>46</v>
      </c>
      <c r="G2676" t="s">
        <v>31</v>
      </c>
      <c r="H2676" t="s">
        <v>32</v>
      </c>
      <c r="I2676" s="5">
        <v>664</v>
      </c>
      <c r="J2676" s="5">
        <v>367</v>
      </c>
      <c r="K2676" s="5">
        <v>42</v>
      </c>
      <c r="L2676" s="5">
        <v>9</v>
      </c>
      <c r="M2676" s="5">
        <v>9</v>
      </c>
      <c r="N2676" s="7">
        <v>2229.0700000000002</v>
      </c>
      <c r="O2676" s="7">
        <f t="shared" si="289"/>
        <v>20061.63</v>
      </c>
      <c r="P2676" s="4">
        <v>0</v>
      </c>
      <c r="Q2676" s="7">
        <f t="shared" si="290"/>
        <v>0</v>
      </c>
      <c r="R2676" s="7">
        <f t="shared" si="291"/>
        <v>20061.63</v>
      </c>
      <c r="S2676" s="7">
        <f t="shared" si="292"/>
        <v>2229.0700000000002</v>
      </c>
      <c r="T2676" s="6">
        <f t="shared" si="293"/>
        <v>1.355421686746988E-2</v>
      </c>
      <c r="V2676" t="s">
        <v>29</v>
      </c>
    </row>
    <row r="2677" spans="1:22">
      <c r="A2677" s="3">
        <v>45769</v>
      </c>
      <c r="B2677" t="str">
        <f t="shared" si="287"/>
        <v>yyyy-04</v>
      </c>
      <c r="C2677">
        <f t="shared" si="288"/>
        <v>17</v>
      </c>
      <c r="D2677" t="s">
        <v>42</v>
      </c>
      <c r="E2677" t="s">
        <v>43</v>
      </c>
      <c r="F2677" t="s">
        <v>47</v>
      </c>
      <c r="G2677" t="s">
        <v>27</v>
      </c>
      <c r="H2677" t="s">
        <v>28</v>
      </c>
      <c r="I2677" s="5">
        <v>523</v>
      </c>
      <c r="J2677" s="5">
        <v>354</v>
      </c>
      <c r="K2677" s="5">
        <v>33</v>
      </c>
      <c r="L2677" s="5">
        <v>8</v>
      </c>
      <c r="M2677" s="5">
        <v>8</v>
      </c>
      <c r="N2677" s="7">
        <v>584.21</v>
      </c>
      <c r="O2677" s="7">
        <f t="shared" si="289"/>
        <v>4673.68</v>
      </c>
      <c r="P2677" s="4">
        <v>0.03</v>
      </c>
      <c r="Q2677" s="7">
        <f t="shared" si="290"/>
        <v>140.21039999999999</v>
      </c>
      <c r="R2677" s="7">
        <f t="shared" si="291"/>
        <v>4533.4696000000004</v>
      </c>
      <c r="S2677" s="7">
        <f t="shared" si="292"/>
        <v>566.68370000000004</v>
      </c>
      <c r="T2677" s="6">
        <f t="shared" si="293"/>
        <v>1.5296367112810707E-2</v>
      </c>
      <c r="V2677" t="s">
        <v>29</v>
      </c>
    </row>
    <row r="2678" spans="1:22">
      <c r="A2678" s="3">
        <v>45769</v>
      </c>
      <c r="B2678" t="str">
        <f t="shared" si="287"/>
        <v>yyyy-04</v>
      </c>
      <c r="C2678">
        <f t="shared" si="288"/>
        <v>17</v>
      </c>
      <c r="D2678" t="s">
        <v>42</v>
      </c>
      <c r="E2678" t="s">
        <v>49</v>
      </c>
      <c r="F2678" t="s">
        <v>50</v>
      </c>
      <c r="G2678" t="s">
        <v>31</v>
      </c>
      <c r="H2678" t="s">
        <v>32</v>
      </c>
      <c r="I2678" s="5">
        <v>225</v>
      </c>
      <c r="J2678" s="5">
        <v>135</v>
      </c>
      <c r="K2678" s="5">
        <v>15</v>
      </c>
      <c r="L2678" s="5">
        <v>3</v>
      </c>
      <c r="M2678" s="5">
        <v>3</v>
      </c>
      <c r="N2678" s="7">
        <v>979.42</v>
      </c>
      <c r="O2678" s="7">
        <f t="shared" si="289"/>
        <v>2938.2599999999998</v>
      </c>
      <c r="P2678" s="4">
        <v>0.1</v>
      </c>
      <c r="Q2678" s="7">
        <f t="shared" si="290"/>
        <v>293.82599999999996</v>
      </c>
      <c r="R2678" s="7">
        <f t="shared" si="291"/>
        <v>2644.4339999999997</v>
      </c>
      <c r="S2678" s="7">
        <f t="shared" si="292"/>
        <v>881.47799999999995</v>
      </c>
      <c r="T2678" s="6">
        <f t="shared" si="293"/>
        <v>1.3333333333333334E-2</v>
      </c>
      <c r="U2678" t="s">
        <v>94</v>
      </c>
      <c r="V2678" t="s">
        <v>29</v>
      </c>
    </row>
    <row r="2679" spans="1:22">
      <c r="A2679" s="3">
        <v>45769</v>
      </c>
      <c r="B2679" t="str">
        <f t="shared" si="287"/>
        <v>yyyy-04</v>
      </c>
      <c r="C2679">
        <f t="shared" si="288"/>
        <v>17</v>
      </c>
      <c r="D2679" t="s">
        <v>42</v>
      </c>
      <c r="E2679" t="s">
        <v>51</v>
      </c>
      <c r="F2679" t="s">
        <v>52</v>
      </c>
      <c r="G2679" t="s">
        <v>27</v>
      </c>
      <c r="H2679" t="s">
        <v>45</v>
      </c>
      <c r="I2679" s="5">
        <v>237</v>
      </c>
      <c r="J2679" s="5">
        <v>161</v>
      </c>
      <c r="K2679" s="5">
        <v>11</v>
      </c>
      <c r="L2679" s="5">
        <v>3</v>
      </c>
      <c r="M2679" s="5">
        <v>3</v>
      </c>
      <c r="N2679" s="7">
        <v>593.21</v>
      </c>
      <c r="O2679" s="7">
        <f t="shared" si="289"/>
        <v>1779.63</v>
      </c>
      <c r="P2679" s="4">
        <v>0</v>
      </c>
      <c r="Q2679" s="7">
        <f t="shared" si="290"/>
        <v>0</v>
      </c>
      <c r="R2679" s="7">
        <f t="shared" si="291"/>
        <v>1779.63</v>
      </c>
      <c r="S2679" s="7">
        <f t="shared" si="292"/>
        <v>593.21</v>
      </c>
      <c r="T2679" s="6">
        <f t="shared" si="293"/>
        <v>1.2658227848101266E-2</v>
      </c>
      <c r="V2679" t="s">
        <v>29</v>
      </c>
    </row>
    <row r="2680" spans="1:22">
      <c r="A2680" s="3">
        <v>45769</v>
      </c>
      <c r="B2680" t="str">
        <f t="shared" si="287"/>
        <v>yyyy-04</v>
      </c>
      <c r="C2680">
        <f t="shared" si="288"/>
        <v>17</v>
      </c>
      <c r="D2680" t="s">
        <v>53</v>
      </c>
      <c r="E2680" t="s">
        <v>54</v>
      </c>
      <c r="F2680" t="s">
        <v>55</v>
      </c>
      <c r="G2680" t="s">
        <v>31</v>
      </c>
      <c r="H2680" t="s">
        <v>32</v>
      </c>
      <c r="I2680" s="5">
        <v>208</v>
      </c>
      <c r="J2680" s="5">
        <v>114</v>
      </c>
      <c r="K2680" s="5">
        <v>10</v>
      </c>
      <c r="L2680" s="5">
        <v>2</v>
      </c>
      <c r="M2680" s="5">
        <v>2</v>
      </c>
      <c r="N2680" s="7">
        <v>1281.9100000000001</v>
      </c>
      <c r="O2680" s="7">
        <f t="shared" si="289"/>
        <v>2563.8200000000002</v>
      </c>
      <c r="P2680" s="4">
        <v>0.03</v>
      </c>
      <c r="Q2680" s="7">
        <f t="shared" si="290"/>
        <v>76.914600000000007</v>
      </c>
      <c r="R2680" s="7">
        <f t="shared" si="291"/>
        <v>2486.9054000000001</v>
      </c>
      <c r="S2680" s="7">
        <f t="shared" si="292"/>
        <v>1243.4527</v>
      </c>
      <c r="T2680" s="6">
        <f t="shared" si="293"/>
        <v>9.6153846153846159E-3</v>
      </c>
      <c r="V2680" t="s">
        <v>29</v>
      </c>
    </row>
    <row r="2681" spans="1:22">
      <c r="A2681" s="3">
        <v>45769</v>
      </c>
      <c r="B2681" t="str">
        <f t="shared" si="287"/>
        <v>yyyy-04</v>
      </c>
      <c r="C2681">
        <f t="shared" si="288"/>
        <v>17</v>
      </c>
      <c r="D2681" t="s">
        <v>53</v>
      </c>
      <c r="E2681" t="s">
        <v>56</v>
      </c>
      <c r="F2681" t="s">
        <v>57</v>
      </c>
      <c r="G2681" t="s">
        <v>27</v>
      </c>
      <c r="H2681" t="s">
        <v>28</v>
      </c>
      <c r="I2681" s="5">
        <v>292</v>
      </c>
      <c r="J2681" s="5">
        <v>206</v>
      </c>
      <c r="K2681" s="5">
        <v>23</v>
      </c>
      <c r="L2681" s="5">
        <v>3</v>
      </c>
      <c r="M2681" s="5">
        <v>3</v>
      </c>
      <c r="N2681" s="7">
        <v>723.66</v>
      </c>
      <c r="O2681" s="7">
        <f t="shared" si="289"/>
        <v>2170.98</v>
      </c>
      <c r="P2681" s="4">
        <v>0</v>
      </c>
      <c r="Q2681" s="7">
        <f t="shared" si="290"/>
        <v>0</v>
      </c>
      <c r="R2681" s="7">
        <f t="shared" si="291"/>
        <v>2170.98</v>
      </c>
      <c r="S2681" s="7">
        <f t="shared" si="292"/>
        <v>723.66</v>
      </c>
      <c r="T2681" s="6">
        <f t="shared" si="293"/>
        <v>1.0273972602739725E-2</v>
      </c>
      <c r="V2681" t="s">
        <v>29</v>
      </c>
    </row>
    <row r="2682" spans="1:22">
      <c r="A2682" s="3">
        <v>45769</v>
      </c>
      <c r="B2682" t="str">
        <f t="shared" si="287"/>
        <v>yyyy-04</v>
      </c>
      <c r="C2682">
        <f t="shared" si="288"/>
        <v>17</v>
      </c>
      <c r="D2682" t="s">
        <v>53</v>
      </c>
      <c r="E2682" t="s">
        <v>56</v>
      </c>
      <c r="F2682" t="s">
        <v>58</v>
      </c>
      <c r="G2682" t="s">
        <v>27</v>
      </c>
      <c r="H2682" t="s">
        <v>48</v>
      </c>
      <c r="I2682" s="5">
        <v>180</v>
      </c>
      <c r="J2682" s="5">
        <v>129</v>
      </c>
      <c r="K2682" s="5">
        <v>10</v>
      </c>
      <c r="L2682" s="5">
        <v>2</v>
      </c>
      <c r="M2682" s="5">
        <v>2</v>
      </c>
      <c r="N2682" s="7">
        <v>868.8</v>
      </c>
      <c r="O2682" s="7">
        <f t="shared" si="289"/>
        <v>1737.6</v>
      </c>
      <c r="P2682" s="4">
        <v>0.03</v>
      </c>
      <c r="Q2682" s="7">
        <f t="shared" si="290"/>
        <v>52.127999999999993</v>
      </c>
      <c r="R2682" s="7">
        <f t="shared" si="291"/>
        <v>1685.472</v>
      </c>
      <c r="S2682" s="7">
        <f t="shared" si="292"/>
        <v>842.73599999999999</v>
      </c>
      <c r="T2682" s="6">
        <f t="shared" si="293"/>
        <v>1.1111111111111112E-2</v>
      </c>
      <c r="V2682" t="s">
        <v>29</v>
      </c>
    </row>
    <row r="2683" spans="1:22">
      <c r="A2683" s="3">
        <v>45769</v>
      </c>
      <c r="B2683" t="str">
        <f t="shared" si="287"/>
        <v>yyyy-04</v>
      </c>
      <c r="C2683">
        <f t="shared" si="288"/>
        <v>17</v>
      </c>
      <c r="D2683" t="s">
        <v>53</v>
      </c>
      <c r="E2683" t="s">
        <v>59</v>
      </c>
      <c r="F2683" t="s">
        <v>60</v>
      </c>
      <c r="G2683" t="s">
        <v>27</v>
      </c>
      <c r="H2683" t="s">
        <v>28</v>
      </c>
      <c r="I2683" s="5">
        <v>175</v>
      </c>
      <c r="J2683" s="5">
        <v>97</v>
      </c>
      <c r="K2683" s="5">
        <v>10</v>
      </c>
      <c r="L2683" s="5">
        <v>2</v>
      </c>
      <c r="M2683" s="5">
        <v>2</v>
      </c>
      <c r="N2683" s="7">
        <v>689.43</v>
      </c>
      <c r="O2683" s="7">
        <f t="shared" si="289"/>
        <v>1378.86</v>
      </c>
      <c r="P2683" s="4">
        <v>0</v>
      </c>
      <c r="Q2683" s="7">
        <f t="shared" si="290"/>
        <v>0</v>
      </c>
      <c r="R2683" s="7">
        <f t="shared" si="291"/>
        <v>1378.86</v>
      </c>
      <c r="S2683" s="7">
        <f t="shared" si="292"/>
        <v>689.43</v>
      </c>
      <c r="T2683" s="6">
        <f t="shared" si="293"/>
        <v>1.1428571428571429E-2</v>
      </c>
      <c r="V2683" t="s">
        <v>29</v>
      </c>
    </row>
    <row r="2684" spans="1:22">
      <c r="A2684" s="3">
        <v>45769</v>
      </c>
      <c r="B2684" t="str">
        <f t="shared" si="287"/>
        <v>yyyy-04</v>
      </c>
      <c r="C2684">
        <f t="shared" si="288"/>
        <v>17</v>
      </c>
      <c r="D2684" t="s">
        <v>53</v>
      </c>
      <c r="E2684" t="s">
        <v>61</v>
      </c>
      <c r="F2684" t="s">
        <v>62</v>
      </c>
      <c r="G2684" t="s">
        <v>27</v>
      </c>
      <c r="H2684" t="s">
        <v>28</v>
      </c>
      <c r="I2684" s="5">
        <v>103</v>
      </c>
      <c r="J2684" s="5">
        <v>74</v>
      </c>
      <c r="K2684" s="5">
        <v>8</v>
      </c>
      <c r="L2684" s="5">
        <v>1</v>
      </c>
      <c r="M2684" s="5">
        <v>1</v>
      </c>
      <c r="N2684" s="7">
        <v>500.58</v>
      </c>
      <c r="O2684" s="7">
        <f t="shared" si="289"/>
        <v>500.58</v>
      </c>
      <c r="P2684" s="4">
        <v>0.05</v>
      </c>
      <c r="Q2684" s="7">
        <f t="shared" si="290"/>
        <v>25.029</v>
      </c>
      <c r="R2684" s="7">
        <f t="shared" si="291"/>
        <v>475.55099999999999</v>
      </c>
      <c r="S2684" s="7">
        <f t="shared" si="292"/>
        <v>475.55099999999999</v>
      </c>
      <c r="T2684" s="6">
        <f t="shared" si="293"/>
        <v>9.7087378640776691E-3</v>
      </c>
      <c r="V2684" t="s">
        <v>29</v>
      </c>
    </row>
    <row r="2685" spans="1:22">
      <c r="A2685" s="3">
        <v>45769</v>
      </c>
      <c r="B2685" t="str">
        <f t="shared" si="287"/>
        <v>yyyy-04</v>
      </c>
      <c r="C2685">
        <f t="shared" si="288"/>
        <v>17</v>
      </c>
      <c r="D2685" t="s">
        <v>53</v>
      </c>
      <c r="E2685" t="s">
        <v>64</v>
      </c>
      <c r="F2685" t="s">
        <v>65</v>
      </c>
      <c r="G2685" t="s">
        <v>27</v>
      </c>
      <c r="H2685" t="s">
        <v>48</v>
      </c>
      <c r="I2685" s="5">
        <v>142</v>
      </c>
      <c r="J2685" s="5">
        <v>85</v>
      </c>
      <c r="K2685" s="5">
        <v>6</v>
      </c>
      <c r="L2685" s="5">
        <v>2</v>
      </c>
      <c r="M2685" s="5">
        <v>2</v>
      </c>
      <c r="N2685" s="7">
        <v>782.72</v>
      </c>
      <c r="O2685" s="7">
        <f t="shared" si="289"/>
        <v>1565.44</v>
      </c>
      <c r="P2685" s="4">
        <v>0</v>
      </c>
      <c r="Q2685" s="7">
        <f t="shared" si="290"/>
        <v>0</v>
      </c>
      <c r="R2685" s="7">
        <f t="shared" si="291"/>
        <v>1565.44</v>
      </c>
      <c r="S2685" s="7">
        <f t="shared" si="292"/>
        <v>782.72</v>
      </c>
      <c r="T2685" s="6">
        <f t="shared" si="293"/>
        <v>1.4084507042253521E-2</v>
      </c>
      <c r="V2685" t="s">
        <v>29</v>
      </c>
    </row>
    <row r="2686" spans="1:22">
      <c r="A2686" s="3">
        <v>45769</v>
      </c>
      <c r="B2686" t="str">
        <f t="shared" si="287"/>
        <v>yyyy-04</v>
      </c>
      <c r="C2686">
        <f t="shared" si="288"/>
        <v>17</v>
      </c>
      <c r="D2686" t="s">
        <v>66</v>
      </c>
      <c r="E2686" t="s">
        <v>67</v>
      </c>
      <c r="F2686" t="s">
        <v>68</v>
      </c>
      <c r="G2686" t="s">
        <v>27</v>
      </c>
      <c r="H2686" t="s">
        <v>45</v>
      </c>
      <c r="I2686" s="5">
        <v>326</v>
      </c>
      <c r="J2686" s="5">
        <v>206</v>
      </c>
      <c r="K2686" s="5">
        <v>19</v>
      </c>
      <c r="L2686" s="5">
        <v>5</v>
      </c>
      <c r="M2686" s="5">
        <v>5</v>
      </c>
      <c r="N2686" s="7">
        <v>703.35</v>
      </c>
      <c r="O2686" s="7">
        <f t="shared" si="289"/>
        <v>3516.75</v>
      </c>
      <c r="P2686" s="4">
        <v>0.03</v>
      </c>
      <c r="Q2686" s="7">
        <f t="shared" si="290"/>
        <v>105.5025</v>
      </c>
      <c r="R2686" s="7">
        <f t="shared" si="291"/>
        <v>3411.2474999999999</v>
      </c>
      <c r="S2686" s="7">
        <f t="shared" si="292"/>
        <v>682.24950000000001</v>
      </c>
      <c r="T2686" s="6">
        <f t="shared" si="293"/>
        <v>1.5337423312883436E-2</v>
      </c>
      <c r="V2686" t="s">
        <v>29</v>
      </c>
    </row>
    <row r="2687" spans="1:22">
      <c r="A2687" s="3">
        <v>45769</v>
      </c>
      <c r="B2687" t="str">
        <f t="shared" si="287"/>
        <v>yyyy-04</v>
      </c>
      <c r="C2687">
        <f t="shared" si="288"/>
        <v>17</v>
      </c>
      <c r="D2687" t="s">
        <v>66</v>
      </c>
      <c r="E2687" t="s">
        <v>67</v>
      </c>
      <c r="F2687" t="s">
        <v>69</v>
      </c>
      <c r="G2687" t="s">
        <v>27</v>
      </c>
      <c r="H2687" t="s">
        <v>28</v>
      </c>
      <c r="I2687" s="5">
        <v>348</v>
      </c>
      <c r="J2687" s="5">
        <v>231</v>
      </c>
      <c r="K2687" s="5">
        <v>24</v>
      </c>
      <c r="L2687" s="5">
        <v>7</v>
      </c>
      <c r="M2687" s="5">
        <v>7</v>
      </c>
      <c r="N2687" s="7">
        <v>384.63</v>
      </c>
      <c r="O2687" s="7">
        <f t="shared" si="289"/>
        <v>2692.41</v>
      </c>
      <c r="P2687" s="4">
        <v>0</v>
      </c>
      <c r="Q2687" s="7">
        <f t="shared" si="290"/>
        <v>0</v>
      </c>
      <c r="R2687" s="7">
        <f t="shared" si="291"/>
        <v>2692.41</v>
      </c>
      <c r="S2687" s="7">
        <f t="shared" si="292"/>
        <v>384.63</v>
      </c>
      <c r="T2687" s="6">
        <f t="shared" si="293"/>
        <v>2.0114942528735632E-2</v>
      </c>
      <c r="V2687" t="s">
        <v>29</v>
      </c>
    </row>
    <row r="2688" spans="1:22">
      <c r="A2688" s="3">
        <v>45769</v>
      </c>
      <c r="B2688" t="str">
        <f t="shared" si="287"/>
        <v>yyyy-04</v>
      </c>
      <c r="C2688">
        <f t="shared" si="288"/>
        <v>17</v>
      </c>
      <c r="D2688" t="s">
        <v>66</v>
      </c>
      <c r="E2688" t="s">
        <v>67</v>
      </c>
      <c r="F2688" t="s">
        <v>70</v>
      </c>
      <c r="G2688" t="s">
        <v>36</v>
      </c>
      <c r="H2688" t="s">
        <v>37</v>
      </c>
      <c r="I2688" s="5">
        <v>428</v>
      </c>
      <c r="J2688" s="5">
        <v>279</v>
      </c>
      <c r="K2688" s="5">
        <v>37</v>
      </c>
      <c r="L2688" s="5">
        <v>8</v>
      </c>
      <c r="M2688" s="5">
        <v>8</v>
      </c>
      <c r="N2688" s="7">
        <v>353.36</v>
      </c>
      <c r="O2688" s="7">
        <f t="shared" si="289"/>
        <v>2826.88</v>
      </c>
      <c r="P2688" s="4">
        <v>0</v>
      </c>
      <c r="Q2688" s="7">
        <f t="shared" si="290"/>
        <v>0</v>
      </c>
      <c r="R2688" s="7">
        <f t="shared" si="291"/>
        <v>2826.88</v>
      </c>
      <c r="S2688" s="7">
        <f t="shared" si="292"/>
        <v>353.36</v>
      </c>
      <c r="T2688" s="6">
        <f t="shared" si="293"/>
        <v>1.8691588785046728E-2</v>
      </c>
      <c r="V2688" t="s">
        <v>29</v>
      </c>
    </row>
    <row r="2689" spans="1:22">
      <c r="A2689" s="3">
        <v>45769</v>
      </c>
      <c r="B2689" t="str">
        <f t="shared" si="287"/>
        <v>yyyy-04</v>
      </c>
      <c r="C2689">
        <f t="shared" si="288"/>
        <v>17</v>
      </c>
      <c r="D2689" t="s">
        <v>66</v>
      </c>
      <c r="E2689" t="s">
        <v>71</v>
      </c>
      <c r="F2689" t="s">
        <v>72</v>
      </c>
      <c r="G2689" t="s">
        <v>31</v>
      </c>
      <c r="H2689" t="s">
        <v>32</v>
      </c>
      <c r="I2689" s="5">
        <v>378</v>
      </c>
      <c r="J2689" s="5">
        <v>293</v>
      </c>
      <c r="K2689" s="5">
        <v>26</v>
      </c>
      <c r="L2689" s="5">
        <v>6</v>
      </c>
      <c r="M2689" s="5">
        <v>7</v>
      </c>
      <c r="N2689" s="7">
        <v>128.85</v>
      </c>
      <c r="O2689" s="7">
        <f t="shared" si="289"/>
        <v>901.94999999999993</v>
      </c>
      <c r="P2689" s="4">
        <v>0</v>
      </c>
      <c r="Q2689" s="7">
        <f t="shared" si="290"/>
        <v>0</v>
      </c>
      <c r="R2689" s="7">
        <f t="shared" si="291"/>
        <v>901.94999999999993</v>
      </c>
      <c r="S2689" s="7">
        <f t="shared" si="292"/>
        <v>150.32499999999999</v>
      </c>
      <c r="T2689" s="6">
        <f t="shared" si="293"/>
        <v>1.5873015873015872E-2</v>
      </c>
      <c r="V2689" t="s">
        <v>29</v>
      </c>
    </row>
    <row r="2690" spans="1:22">
      <c r="A2690" s="3">
        <v>45769</v>
      </c>
      <c r="B2690" t="str">
        <f t="shared" si="287"/>
        <v>yyyy-04</v>
      </c>
      <c r="C2690">
        <f t="shared" si="288"/>
        <v>17</v>
      </c>
      <c r="D2690" t="s">
        <v>66</v>
      </c>
      <c r="E2690" t="s">
        <v>73</v>
      </c>
      <c r="F2690" t="s">
        <v>74</v>
      </c>
      <c r="G2690" t="s">
        <v>36</v>
      </c>
      <c r="H2690" t="s">
        <v>37</v>
      </c>
      <c r="I2690" s="5">
        <v>254</v>
      </c>
      <c r="J2690" s="5">
        <v>161</v>
      </c>
      <c r="K2690" s="5">
        <v>11</v>
      </c>
      <c r="L2690" s="5">
        <v>5</v>
      </c>
      <c r="M2690" s="5">
        <v>5</v>
      </c>
      <c r="N2690" s="7">
        <v>1213.97</v>
      </c>
      <c r="O2690" s="7">
        <f t="shared" si="289"/>
        <v>6069.85</v>
      </c>
      <c r="P2690" s="4">
        <v>7.0000000000000007E-2</v>
      </c>
      <c r="Q2690" s="7">
        <f t="shared" si="290"/>
        <v>424.88950000000006</v>
      </c>
      <c r="R2690" s="7">
        <f t="shared" si="291"/>
        <v>5644.9605000000001</v>
      </c>
      <c r="S2690" s="7">
        <f t="shared" si="292"/>
        <v>1128.9920999999999</v>
      </c>
      <c r="T2690" s="6">
        <f t="shared" si="293"/>
        <v>1.968503937007874E-2</v>
      </c>
      <c r="U2690" t="s">
        <v>95</v>
      </c>
      <c r="V2690" t="s">
        <v>78</v>
      </c>
    </row>
    <row r="2691" spans="1:22">
      <c r="A2691" s="3">
        <v>45769</v>
      </c>
      <c r="B2691" t="str">
        <f t="shared" si="287"/>
        <v>yyyy-04</v>
      </c>
      <c r="C2691">
        <f t="shared" si="288"/>
        <v>17</v>
      </c>
      <c r="D2691" t="s">
        <v>66</v>
      </c>
      <c r="E2691" t="s">
        <v>71</v>
      </c>
      <c r="F2691" t="s">
        <v>75</v>
      </c>
      <c r="G2691" t="s">
        <v>36</v>
      </c>
      <c r="H2691" t="s">
        <v>37</v>
      </c>
      <c r="I2691" s="5">
        <v>371</v>
      </c>
      <c r="J2691" s="5">
        <v>255</v>
      </c>
      <c r="K2691" s="5">
        <v>39</v>
      </c>
      <c r="L2691" s="5">
        <v>8</v>
      </c>
      <c r="M2691" s="5">
        <v>11</v>
      </c>
      <c r="N2691" s="7">
        <v>39.6</v>
      </c>
      <c r="O2691" s="7">
        <f t="shared" si="289"/>
        <v>435.6</v>
      </c>
      <c r="P2691" s="4">
        <v>0</v>
      </c>
      <c r="Q2691" s="7">
        <f t="shared" si="290"/>
        <v>0</v>
      </c>
      <c r="R2691" s="7">
        <f t="shared" si="291"/>
        <v>435.6</v>
      </c>
      <c r="S2691" s="7">
        <f t="shared" si="292"/>
        <v>54.45</v>
      </c>
      <c r="T2691" s="6">
        <f t="shared" si="293"/>
        <v>2.15633423180593E-2</v>
      </c>
      <c r="V2691" t="s">
        <v>29</v>
      </c>
    </row>
    <row r="2692" spans="1:22">
      <c r="A2692" s="3">
        <v>45769</v>
      </c>
      <c r="B2692" t="str">
        <f t="shared" si="287"/>
        <v>yyyy-04</v>
      </c>
      <c r="C2692">
        <f t="shared" si="288"/>
        <v>17</v>
      </c>
      <c r="D2692" t="s">
        <v>24</v>
      </c>
      <c r="E2692" t="s">
        <v>76</v>
      </c>
      <c r="F2692" t="s">
        <v>77</v>
      </c>
      <c r="G2692" t="s">
        <v>31</v>
      </c>
      <c r="H2692" t="s">
        <v>32</v>
      </c>
      <c r="I2692" s="5">
        <v>677</v>
      </c>
      <c r="J2692" s="5">
        <v>486</v>
      </c>
      <c r="K2692" s="5">
        <v>53</v>
      </c>
      <c r="L2692" s="5">
        <v>16</v>
      </c>
      <c r="M2692" s="5">
        <v>21</v>
      </c>
      <c r="N2692" s="7">
        <v>202.38</v>
      </c>
      <c r="O2692" s="7">
        <f t="shared" si="289"/>
        <v>4249.9799999999996</v>
      </c>
      <c r="P2692" s="4">
        <v>0.05</v>
      </c>
      <c r="Q2692" s="7">
        <f t="shared" si="290"/>
        <v>212.499</v>
      </c>
      <c r="R2692" s="7">
        <f t="shared" si="291"/>
        <v>4037.4809999999998</v>
      </c>
      <c r="S2692" s="7">
        <f t="shared" si="292"/>
        <v>252.34256249999999</v>
      </c>
      <c r="T2692" s="6">
        <f t="shared" si="293"/>
        <v>2.3633677991137372E-2</v>
      </c>
      <c r="V2692" t="s">
        <v>29</v>
      </c>
    </row>
    <row r="2693" spans="1:22">
      <c r="A2693" s="3">
        <v>45770</v>
      </c>
      <c r="B2693" t="str">
        <f t="shared" ref="B2693:B2756" si="294">TEXT(A2693,"yyyy-mm")</f>
        <v>yyyy-04</v>
      </c>
      <c r="C2693">
        <f t="shared" ref="C2693:C2756" si="295">WEEKNUM(A2693,2)</f>
        <v>17</v>
      </c>
      <c r="D2693" t="s">
        <v>24</v>
      </c>
      <c r="E2693" t="s">
        <v>25</v>
      </c>
      <c r="F2693" t="s">
        <v>26</v>
      </c>
      <c r="G2693" t="s">
        <v>27</v>
      </c>
      <c r="H2693" t="s">
        <v>45</v>
      </c>
      <c r="I2693" s="5">
        <v>1400</v>
      </c>
      <c r="J2693" s="5">
        <v>780</v>
      </c>
      <c r="K2693" s="5">
        <v>95</v>
      </c>
      <c r="L2693" s="5">
        <v>33</v>
      </c>
      <c r="M2693" s="5">
        <v>33</v>
      </c>
      <c r="N2693" s="7">
        <v>1000.6</v>
      </c>
      <c r="O2693" s="7">
        <f t="shared" ref="O2693:O2756" si="296">M2693*N2693</f>
        <v>33019.800000000003</v>
      </c>
      <c r="P2693" s="4">
        <v>0</v>
      </c>
      <c r="Q2693" s="7">
        <f t="shared" ref="Q2693:Q2756" si="297">O2693*P2693</f>
        <v>0</v>
      </c>
      <c r="R2693" s="7">
        <f t="shared" ref="R2693:R2756" si="298">O2693-Q2693</f>
        <v>33019.800000000003</v>
      </c>
      <c r="S2693" s="7">
        <f t="shared" ref="S2693:S2756" si="299">IFERROR(R2693/L2693,0)</f>
        <v>1000.6000000000001</v>
      </c>
      <c r="T2693" s="6">
        <f t="shared" ref="T2693:T2756" si="300">IFERROR(L2693/I2693,0)</f>
        <v>2.3571428571428573E-2</v>
      </c>
      <c r="V2693" t="s">
        <v>29</v>
      </c>
    </row>
    <row r="2694" spans="1:22">
      <c r="A2694" s="3">
        <v>45770</v>
      </c>
      <c r="B2694" t="str">
        <f t="shared" si="294"/>
        <v>yyyy-04</v>
      </c>
      <c r="C2694">
        <f t="shared" si="295"/>
        <v>17</v>
      </c>
      <c r="D2694" t="s">
        <v>24</v>
      </c>
      <c r="E2694" t="s">
        <v>25</v>
      </c>
      <c r="F2694" t="s">
        <v>30</v>
      </c>
      <c r="G2694" t="s">
        <v>27</v>
      </c>
      <c r="H2694" t="s">
        <v>28</v>
      </c>
      <c r="I2694" s="5">
        <v>1164</v>
      </c>
      <c r="J2694" s="5">
        <v>676</v>
      </c>
      <c r="K2694" s="5">
        <v>59</v>
      </c>
      <c r="L2694" s="5">
        <v>27</v>
      </c>
      <c r="M2694" s="5">
        <v>27</v>
      </c>
      <c r="N2694" s="7">
        <v>385.03</v>
      </c>
      <c r="O2694" s="7">
        <f t="shared" si="296"/>
        <v>10395.81</v>
      </c>
      <c r="P2694" s="4">
        <v>0.03</v>
      </c>
      <c r="Q2694" s="7">
        <f t="shared" si="297"/>
        <v>311.87429999999995</v>
      </c>
      <c r="R2694" s="7">
        <f t="shared" si="298"/>
        <v>10083.9357</v>
      </c>
      <c r="S2694" s="7">
        <f t="shared" si="299"/>
        <v>373.47910000000002</v>
      </c>
      <c r="T2694" s="6">
        <f t="shared" si="300"/>
        <v>2.3195876288659795E-2</v>
      </c>
      <c r="V2694" t="s">
        <v>29</v>
      </c>
    </row>
    <row r="2695" spans="1:22">
      <c r="A2695" s="3">
        <v>45770</v>
      </c>
      <c r="B2695" t="str">
        <f t="shared" si="294"/>
        <v>yyyy-04</v>
      </c>
      <c r="C2695">
        <f t="shared" si="295"/>
        <v>17</v>
      </c>
      <c r="D2695" t="s">
        <v>24</v>
      </c>
      <c r="E2695" t="s">
        <v>25</v>
      </c>
      <c r="F2695" t="s">
        <v>33</v>
      </c>
      <c r="G2695" t="s">
        <v>31</v>
      </c>
      <c r="H2695" t="s">
        <v>32</v>
      </c>
      <c r="I2695" s="5">
        <v>1819</v>
      </c>
      <c r="J2695" s="5">
        <v>1326</v>
      </c>
      <c r="K2695" s="5">
        <v>173</v>
      </c>
      <c r="L2695" s="5">
        <v>37</v>
      </c>
      <c r="M2695" s="5">
        <v>37</v>
      </c>
      <c r="N2695" s="7">
        <v>1764.69</v>
      </c>
      <c r="O2695" s="7">
        <f t="shared" si="296"/>
        <v>65293.53</v>
      </c>
      <c r="P2695" s="4">
        <v>0</v>
      </c>
      <c r="Q2695" s="7">
        <f t="shared" si="297"/>
        <v>0</v>
      </c>
      <c r="R2695" s="7">
        <f t="shared" si="298"/>
        <v>65293.53</v>
      </c>
      <c r="S2695" s="7">
        <f t="shared" si="299"/>
        <v>1764.69</v>
      </c>
      <c r="T2695" s="6">
        <f t="shared" si="300"/>
        <v>2.0340846619021441E-2</v>
      </c>
      <c r="V2695" t="s">
        <v>29</v>
      </c>
    </row>
    <row r="2696" spans="1:22">
      <c r="A2696" s="3">
        <v>45770</v>
      </c>
      <c r="B2696" t="str">
        <f t="shared" si="294"/>
        <v>yyyy-04</v>
      </c>
      <c r="C2696">
        <f t="shared" si="295"/>
        <v>17</v>
      </c>
      <c r="D2696" t="s">
        <v>24</v>
      </c>
      <c r="E2696" t="s">
        <v>34</v>
      </c>
      <c r="F2696" t="s">
        <v>35</v>
      </c>
      <c r="G2696" t="s">
        <v>27</v>
      </c>
      <c r="H2696" t="s">
        <v>28</v>
      </c>
      <c r="I2696" s="5">
        <v>1080</v>
      </c>
      <c r="J2696" s="5">
        <v>891</v>
      </c>
      <c r="K2696" s="5">
        <v>102</v>
      </c>
      <c r="L2696" s="5">
        <v>17</v>
      </c>
      <c r="M2696" s="5">
        <v>17</v>
      </c>
      <c r="N2696" s="7">
        <v>901.44</v>
      </c>
      <c r="O2696" s="7">
        <f t="shared" si="296"/>
        <v>15324.480000000001</v>
      </c>
      <c r="P2696" s="4">
        <v>0.05</v>
      </c>
      <c r="Q2696" s="7">
        <f t="shared" si="297"/>
        <v>766.22400000000016</v>
      </c>
      <c r="R2696" s="7">
        <f t="shared" si="298"/>
        <v>14558.256000000001</v>
      </c>
      <c r="S2696" s="7">
        <f t="shared" si="299"/>
        <v>856.36800000000005</v>
      </c>
      <c r="T2696" s="6">
        <f t="shared" si="300"/>
        <v>1.5740740740740739E-2</v>
      </c>
      <c r="V2696" t="s">
        <v>29</v>
      </c>
    </row>
    <row r="2697" spans="1:22">
      <c r="A2697" s="3">
        <v>45770</v>
      </c>
      <c r="B2697" t="str">
        <f t="shared" si="294"/>
        <v>yyyy-04</v>
      </c>
      <c r="C2697">
        <f t="shared" si="295"/>
        <v>17</v>
      </c>
      <c r="D2697" t="s">
        <v>24</v>
      </c>
      <c r="E2697" t="s">
        <v>38</v>
      </c>
      <c r="F2697" t="s">
        <v>39</v>
      </c>
      <c r="G2697" t="s">
        <v>36</v>
      </c>
      <c r="H2697" t="s">
        <v>37</v>
      </c>
      <c r="I2697" s="5">
        <v>774</v>
      </c>
      <c r="J2697" s="5">
        <v>492</v>
      </c>
      <c r="K2697" s="5">
        <v>59</v>
      </c>
      <c r="L2697" s="5">
        <v>18</v>
      </c>
      <c r="M2697" s="5">
        <v>18</v>
      </c>
      <c r="N2697" s="7">
        <v>323.79000000000002</v>
      </c>
      <c r="O2697" s="7">
        <f t="shared" si="296"/>
        <v>5828.22</v>
      </c>
      <c r="P2697" s="4">
        <v>0</v>
      </c>
      <c r="Q2697" s="7">
        <f t="shared" si="297"/>
        <v>0</v>
      </c>
      <c r="R2697" s="7">
        <f t="shared" si="298"/>
        <v>5828.22</v>
      </c>
      <c r="S2697" s="7">
        <f t="shared" si="299"/>
        <v>323.79000000000002</v>
      </c>
      <c r="T2697" s="6">
        <f t="shared" si="300"/>
        <v>2.3255813953488372E-2</v>
      </c>
      <c r="V2697" t="s">
        <v>29</v>
      </c>
    </row>
    <row r="2698" spans="1:22">
      <c r="A2698" s="3">
        <v>45770</v>
      </c>
      <c r="B2698" t="str">
        <f t="shared" si="294"/>
        <v>yyyy-04</v>
      </c>
      <c r="C2698">
        <f t="shared" si="295"/>
        <v>17</v>
      </c>
      <c r="D2698" t="s">
        <v>24</v>
      </c>
      <c r="E2698" t="s">
        <v>40</v>
      </c>
      <c r="F2698" t="s">
        <v>41</v>
      </c>
      <c r="G2698" t="s">
        <v>36</v>
      </c>
      <c r="H2698" t="s">
        <v>37</v>
      </c>
      <c r="I2698" s="5">
        <v>728</v>
      </c>
      <c r="J2698" s="5">
        <v>516</v>
      </c>
      <c r="K2698" s="5">
        <v>43</v>
      </c>
      <c r="L2698" s="5">
        <v>12</v>
      </c>
      <c r="M2698" s="5">
        <v>14</v>
      </c>
      <c r="N2698" s="7">
        <v>174.7</v>
      </c>
      <c r="O2698" s="7">
        <f t="shared" si="296"/>
        <v>2445.7999999999997</v>
      </c>
      <c r="P2698" s="4">
        <v>0</v>
      </c>
      <c r="Q2698" s="7">
        <f t="shared" si="297"/>
        <v>0</v>
      </c>
      <c r="R2698" s="7">
        <f t="shared" si="298"/>
        <v>2445.7999999999997</v>
      </c>
      <c r="S2698" s="7">
        <f t="shared" si="299"/>
        <v>203.81666666666663</v>
      </c>
      <c r="T2698" s="6">
        <f t="shared" si="300"/>
        <v>1.6483516483516484E-2</v>
      </c>
      <c r="V2698" t="s">
        <v>78</v>
      </c>
    </row>
    <row r="2699" spans="1:22">
      <c r="A2699" s="3">
        <v>45770</v>
      </c>
      <c r="B2699" t="str">
        <f t="shared" si="294"/>
        <v>yyyy-04</v>
      </c>
      <c r="C2699">
        <f t="shared" si="295"/>
        <v>17</v>
      </c>
      <c r="D2699" t="s">
        <v>42</v>
      </c>
      <c r="E2699" t="s">
        <v>43</v>
      </c>
      <c r="F2699" t="s">
        <v>44</v>
      </c>
      <c r="G2699" t="s">
        <v>31</v>
      </c>
      <c r="H2699" t="s">
        <v>32</v>
      </c>
      <c r="I2699" s="5">
        <v>689</v>
      </c>
      <c r="J2699" s="5">
        <v>418</v>
      </c>
      <c r="K2699" s="5">
        <v>40</v>
      </c>
      <c r="L2699" s="5">
        <v>8</v>
      </c>
      <c r="M2699" s="5">
        <v>8</v>
      </c>
      <c r="N2699" s="7">
        <v>1275.45</v>
      </c>
      <c r="O2699" s="7">
        <f t="shared" si="296"/>
        <v>10203.6</v>
      </c>
      <c r="P2699" s="4">
        <v>0.05</v>
      </c>
      <c r="Q2699" s="7">
        <f t="shared" si="297"/>
        <v>510.18000000000006</v>
      </c>
      <c r="R2699" s="7">
        <f t="shared" si="298"/>
        <v>9693.42</v>
      </c>
      <c r="S2699" s="7">
        <f t="shared" si="299"/>
        <v>1211.6775</v>
      </c>
      <c r="T2699" s="6">
        <f t="shared" si="300"/>
        <v>1.1611030478955007E-2</v>
      </c>
      <c r="V2699" t="s">
        <v>29</v>
      </c>
    </row>
    <row r="2700" spans="1:22">
      <c r="A2700" s="3">
        <v>45770</v>
      </c>
      <c r="B2700" t="str">
        <f t="shared" si="294"/>
        <v>yyyy-04</v>
      </c>
      <c r="C2700">
        <f t="shared" si="295"/>
        <v>17</v>
      </c>
      <c r="D2700" t="s">
        <v>42</v>
      </c>
      <c r="E2700" t="s">
        <v>43</v>
      </c>
      <c r="F2700" t="s">
        <v>46</v>
      </c>
      <c r="G2700" t="s">
        <v>27</v>
      </c>
      <c r="H2700" t="s">
        <v>45</v>
      </c>
      <c r="I2700" s="5">
        <v>564</v>
      </c>
      <c r="J2700" s="5">
        <v>414</v>
      </c>
      <c r="K2700" s="5">
        <v>19</v>
      </c>
      <c r="L2700" s="5">
        <v>6</v>
      </c>
      <c r="M2700" s="5">
        <v>6</v>
      </c>
      <c r="N2700" s="7">
        <v>2145.13</v>
      </c>
      <c r="O2700" s="7">
        <f t="shared" si="296"/>
        <v>12870.78</v>
      </c>
      <c r="P2700" s="4">
        <v>0.03</v>
      </c>
      <c r="Q2700" s="7">
        <f t="shared" si="297"/>
        <v>386.1234</v>
      </c>
      <c r="R2700" s="7">
        <f t="shared" si="298"/>
        <v>12484.6566</v>
      </c>
      <c r="S2700" s="7">
        <f t="shared" si="299"/>
        <v>2080.7761</v>
      </c>
      <c r="T2700" s="6">
        <f t="shared" si="300"/>
        <v>1.0638297872340425E-2</v>
      </c>
      <c r="V2700" t="s">
        <v>29</v>
      </c>
    </row>
    <row r="2701" spans="1:22">
      <c r="A2701" s="3">
        <v>45770</v>
      </c>
      <c r="B2701" t="str">
        <f t="shared" si="294"/>
        <v>yyyy-04</v>
      </c>
      <c r="C2701">
        <f t="shared" si="295"/>
        <v>17</v>
      </c>
      <c r="D2701" t="s">
        <v>42</v>
      </c>
      <c r="E2701" t="s">
        <v>43</v>
      </c>
      <c r="F2701" t="s">
        <v>47</v>
      </c>
      <c r="G2701" t="s">
        <v>27</v>
      </c>
      <c r="H2701" t="s">
        <v>63</v>
      </c>
      <c r="I2701" s="5">
        <v>228</v>
      </c>
      <c r="J2701" s="5">
        <v>135</v>
      </c>
      <c r="K2701" s="5">
        <v>4</v>
      </c>
      <c r="L2701" s="5">
        <v>0</v>
      </c>
      <c r="M2701" s="5">
        <v>0</v>
      </c>
      <c r="N2701" s="7">
        <v>598.05999999999995</v>
      </c>
      <c r="O2701" s="7">
        <f t="shared" si="296"/>
        <v>0</v>
      </c>
      <c r="P2701" s="4">
        <v>0.05</v>
      </c>
      <c r="Q2701" s="7">
        <f t="shared" si="297"/>
        <v>0</v>
      </c>
      <c r="R2701" s="7">
        <f t="shared" si="298"/>
        <v>0</v>
      </c>
      <c r="S2701" s="7">
        <f t="shared" si="299"/>
        <v>0</v>
      </c>
      <c r="T2701" s="6">
        <f t="shared" si="300"/>
        <v>0</v>
      </c>
      <c r="V2701" t="s">
        <v>81</v>
      </c>
    </row>
    <row r="2702" spans="1:22">
      <c r="A2702" s="3">
        <v>45770</v>
      </c>
      <c r="B2702" t="str">
        <f t="shared" si="294"/>
        <v>yyyy-04</v>
      </c>
      <c r="C2702">
        <f t="shared" si="295"/>
        <v>17</v>
      </c>
      <c r="D2702" t="s">
        <v>42</v>
      </c>
      <c r="E2702" t="s">
        <v>49</v>
      </c>
      <c r="F2702" t="s">
        <v>50</v>
      </c>
      <c r="G2702" t="s">
        <v>31</v>
      </c>
      <c r="H2702" t="s">
        <v>32</v>
      </c>
      <c r="I2702" s="5">
        <v>196</v>
      </c>
      <c r="J2702" s="5">
        <v>121</v>
      </c>
      <c r="K2702" s="5">
        <v>9</v>
      </c>
      <c r="L2702" s="5">
        <v>4</v>
      </c>
      <c r="M2702" s="5">
        <v>4</v>
      </c>
      <c r="N2702" s="7">
        <v>1001.53</v>
      </c>
      <c r="O2702" s="7">
        <f t="shared" si="296"/>
        <v>4006.12</v>
      </c>
      <c r="P2702" s="4">
        <v>0.1</v>
      </c>
      <c r="Q2702" s="7">
        <f t="shared" si="297"/>
        <v>400.61200000000002</v>
      </c>
      <c r="R2702" s="7">
        <f t="shared" si="298"/>
        <v>3605.5079999999998</v>
      </c>
      <c r="S2702" s="7">
        <f t="shared" si="299"/>
        <v>901.37699999999995</v>
      </c>
      <c r="T2702" s="6">
        <f t="shared" si="300"/>
        <v>2.0408163265306121E-2</v>
      </c>
      <c r="U2702" t="s">
        <v>94</v>
      </c>
      <c r="V2702" t="s">
        <v>29</v>
      </c>
    </row>
    <row r="2703" spans="1:22">
      <c r="A2703" s="3">
        <v>45770</v>
      </c>
      <c r="B2703" t="str">
        <f t="shared" si="294"/>
        <v>yyyy-04</v>
      </c>
      <c r="C2703">
        <f t="shared" si="295"/>
        <v>17</v>
      </c>
      <c r="D2703" t="s">
        <v>42</v>
      </c>
      <c r="E2703" t="s">
        <v>51</v>
      </c>
      <c r="F2703" t="s">
        <v>52</v>
      </c>
      <c r="G2703" t="s">
        <v>27</v>
      </c>
      <c r="H2703" t="s">
        <v>48</v>
      </c>
      <c r="I2703" s="5">
        <v>92</v>
      </c>
      <c r="J2703" s="5">
        <v>64</v>
      </c>
      <c r="K2703" s="5">
        <v>1</v>
      </c>
      <c r="L2703" s="5">
        <v>0</v>
      </c>
      <c r="M2703" s="5">
        <v>0</v>
      </c>
      <c r="N2703" s="7">
        <v>587.13</v>
      </c>
      <c r="O2703" s="7">
        <f t="shared" si="296"/>
        <v>0</v>
      </c>
      <c r="P2703" s="4">
        <v>0</v>
      </c>
      <c r="Q2703" s="7">
        <f t="shared" si="297"/>
        <v>0</v>
      </c>
      <c r="R2703" s="7">
        <f t="shared" si="298"/>
        <v>0</v>
      </c>
      <c r="S2703" s="7">
        <f t="shared" si="299"/>
        <v>0</v>
      </c>
      <c r="T2703" s="6">
        <f t="shared" si="300"/>
        <v>0</v>
      </c>
      <c r="V2703" t="s">
        <v>81</v>
      </c>
    </row>
    <row r="2704" spans="1:22">
      <c r="A2704" s="3">
        <v>45770</v>
      </c>
      <c r="B2704" t="str">
        <f t="shared" si="294"/>
        <v>yyyy-04</v>
      </c>
      <c r="C2704">
        <f t="shared" si="295"/>
        <v>17</v>
      </c>
      <c r="D2704" t="s">
        <v>53</v>
      </c>
      <c r="E2704" t="s">
        <v>54</v>
      </c>
      <c r="F2704" t="s">
        <v>55</v>
      </c>
      <c r="G2704" t="s">
        <v>36</v>
      </c>
      <c r="H2704" t="s">
        <v>37</v>
      </c>
      <c r="I2704" s="5">
        <v>201</v>
      </c>
      <c r="J2704" s="5">
        <v>117</v>
      </c>
      <c r="K2704" s="5">
        <v>11</v>
      </c>
      <c r="L2704" s="5">
        <v>2</v>
      </c>
      <c r="M2704" s="5">
        <v>2</v>
      </c>
      <c r="N2704" s="7">
        <v>1274.95</v>
      </c>
      <c r="O2704" s="7">
        <f t="shared" si="296"/>
        <v>2549.9</v>
      </c>
      <c r="P2704" s="4">
        <v>0.03</v>
      </c>
      <c r="Q2704" s="7">
        <f t="shared" si="297"/>
        <v>76.497</v>
      </c>
      <c r="R2704" s="7">
        <f t="shared" si="298"/>
        <v>2473.4030000000002</v>
      </c>
      <c r="S2704" s="7">
        <f t="shared" si="299"/>
        <v>1236.7015000000001</v>
      </c>
      <c r="T2704" s="6">
        <f t="shared" si="300"/>
        <v>9.9502487562189053E-3</v>
      </c>
      <c r="V2704" t="s">
        <v>29</v>
      </c>
    </row>
    <row r="2705" spans="1:22">
      <c r="A2705" s="3">
        <v>45770</v>
      </c>
      <c r="B2705" t="str">
        <f t="shared" si="294"/>
        <v>yyyy-04</v>
      </c>
      <c r="C2705">
        <f t="shared" si="295"/>
        <v>17</v>
      </c>
      <c r="D2705" t="s">
        <v>53</v>
      </c>
      <c r="E2705" t="s">
        <v>56</v>
      </c>
      <c r="F2705" t="s">
        <v>57</v>
      </c>
      <c r="G2705" t="s">
        <v>27</v>
      </c>
      <c r="H2705" t="s">
        <v>48</v>
      </c>
      <c r="I2705" s="5">
        <v>160</v>
      </c>
      <c r="J2705" s="5">
        <v>111</v>
      </c>
      <c r="K2705" s="5">
        <v>13</v>
      </c>
      <c r="L2705" s="5">
        <v>2</v>
      </c>
      <c r="M2705" s="5">
        <v>2</v>
      </c>
      <c r="N2705" s="7">
        <v>750.99</v>
      </c>
      <c r="O2705" s="7">
        <f t="shared" si="296"/>
        <v>1501.98</v>
      </c>
      <c r="P2705" s="4">
        <v>0.03</v>
      </c>
      <c r="Q2705" s="7">
        <f t="shared" si="297"/>
        <v>45.059399999999997</v>
      </c>
      <c r="R2705" s="7">
        <f t="shared" si="298"/>
        <v>1456.9205999999999</v>
      </c>
      <c r="S2705" s="7">
        <f t="shared" si="299"/>
        <v>728.46029999999996</v>
      </c>
      <c r="T2705" s="6">
        <f t="shared" si="300"/>
        <v>1.2500000000000001E-2</v>
      </c>
      <c r="V2705" t="s">
        <v>29</v>
      </c>
    </row>
    <row r="2706" spans="1:22">
      <c r="A2706" s="3">
        <v>45770</v>
      </c>
      <c r="B2706" t="str">
        <f t="shared" si="294"/>
        <v>yyyy-04</v>
      </c>
      <c r="C2706">
        <f t="shared" si="295"/>
        <v>17</v>
      </c>
      <c r="D2706" t="s">
        <v>53</v>
      </c>
      <c r="E2706" t="s">
        <v>56</v>
      </c>
      <c r="F2706" t="s">
        <v>58</v>
      </c>
      <c r="G2706" t="s">
        <v>27</v>
      </c>
      <c r="H2706" t="s">
        <v>63</v>
      </c>
      <c r="I2706" s="5">
        <v>174</v>
      </c>
      <c r="J2706" s="5">
        <v>105</v>
      </c>
      <c r="K2706" s="5">
        <v>9</v>
      </c>
      <c r="L2706" s="5">
        <v>2</v>
      </c>
      <c r="M2706" s="5">
        <v>2</v>
      </c>
      <c r="N2706" s="7">
        <v>874.24</v>
      </c>
      <c r="O2706" s="7">
        <f t="shared" si="296"/>
        <v>1748.48</v>
      </c>
      <c r="P2706" s="4">
        <v>0.05</v>
      </c>
      <c r="Q2706" s="7">
        <f t="shared" si="297"/>
        <v>87.424000000000007</v>
      </c>
      <c r="R2706" s="7">
        <f t="shared" si="298"/>
        <v>1661.056</v>
      </c>
      <c r="S2706" s="7">
        <f t="shared" si="299"/>
        <v>830.52800000000002</v>
      </c>
      <c r="T2706" s="6">
        <f t="shared" si="300"/>
        <v>1.1494252873563218E-2</v>
      </c>
      <c r="V2706" t="s">
        <v>29</v>
      </c>
    </row>
    <row r="2707" spans="1:22">
      <c r="A2707" s="3">
        <v>45770</v>
      </c>
      <c r="B2707" t="str">
        <f t="shared" si="294"/>
        <v>yyyy-04</v>
      </c>
      <c r="C2707">
        <f t="shared" si="295"/>
        <v>17</v>
      </c>
      <c r="D2707" t="s">
        <v>53</v>
      </c>
      <c r="E2707" t="s">
        <v>59</v>
      </c>
      <c r="F2707" t="s">
        <v>60</v>
      </c>
      <c r="G2707" t="s">
        <v>27</v>
      </c>
      <c r="H2707" t="s">
        <v>63</v>
      </c>
      <c r="I2707" s="5">
        <v>118</v>
      </c>
      <c r="J2707" s="5">
        <v>74</v>
      </c>
      <c r="K2707" s="5">
        <v>5</v>
      </c>
      <c r="L2707" s="5">
        <v>2</v>
      </c>
      <c r="M2707" s="5">
        <v>2</v>
      </c>
      <c r="N2707" s="7">
        <v>685.01</v>
      </c>
      <c r="O2707" s="7">
        <f t="shared" si="296"/>
        <v>1370.02</v>
      </c>
      <c r="P2707" s="4">
        <v>0</v>
      </c>
      <c r="Q2707" s="7">
        <f t="shared" si="297"/>
        <v>0</v>
      </c>
      <c r="R2707" s="7">
        <f t="shared" si="298"/>
        <v>1370.02</v>
      </c>
      <c r="S2707" s="7">
        <f t="shared" si="299"/>
        <v>685.01</v>
      </c>
      <c r="T2707" s="6">
        <f t="shared" si="300"/>
        <v>1.6949152542372881E-2</v>
      </c>
      <c r="V2707" t="s">
        <v>29</v>
      </c>
    </row>
    <row r="2708" spans="1:22">
      <c r="A2708" s="3">
        <v>45770</v>
      </c>
      <c r="B2708" t="str">
        <f t="shared" si="294"/>
        <v>yyyy-04</v>
      </c>
      <c r="C2708">
        <f t="shared" si="295"/>
        <v>17</v>
      </c>
      <c r="D2708" t="s">
        <v>53</v>
      </c>
      <c r="E2708" t="s">
        <v>61</v>
      </c>
      <c r="F2708" t="s">
        <v>62</v>
      </c>
      <c r="G2708" t="s">
        <v>27</v>
      </c>
      <c r="H2708" t="s">
        <v>48</v>
      </c>
      <c r="I2708" s="5">
        <v>114</v>
      </c>
      <c r="J2708" s="5">
        <v>94</v>
      </c>
      <c r="K2708" s="5">
        <v>4</v>
      </c>
      <c r="L2708" s="5">
        <v>1</v>
      </c>
      <c r="M2708" s="5">
        <v>1</v>
      </c>
      <c r="N2708" s="7">
        <v>503.32</v>
      </c>
      <c r="O2708" s="7">
        <f t="shared" si="296"/>
        <v>503.32</v>
      </c>
      <c r="P2708" s="4">
        <v>0.03</v>
      </c>
      <c r="Q2708" s="7">
        <f t="shared" si="297"/>
        <v>15.099599999999999</v>
      </c>
      <c r="R2708" s="7">
        <f t="shared" si="298"/>
        <v>488.22039999999998</v>
      </c>
      <c r="S2708" s="7">
        <f t="shared" si="299"/>
        <v>488.22039999999998</v>
      </c>
      <c r="T2708" s="6">
        <f t="shared" si="300"/>
        <v>8.771929824561403E-3</v>
      </c>
      <c r="V2708" t="s">
        <v>29</v>
      </c>
    </row>
    <row r="2709" spans="1:22">
      <c r="A2709" s="3">
        <v>45770</v>
      </c>
      <c r="B2709" t="str">
        <f t="shared" si="294"/>
        <v>yyyy-04</v>
      </c>
      <c r="C2709">
        <f t="shared" si="295"/>
        <v>17</v>
      </c>
      <c r="D2709" t="s">
        <v>53</v>
      </c>
      <c r="E2709" t="s">
        <v>64</v>
      </c>
      <c r="F2709" t="s">
        <v>65</v>
      </c>
      <c r="G2709" t="s">
        <v>27</v>
      </c>
      <c r="H2709" t="s">
        <v>45</v>
      </c>
      <c r="I2709" s="5">
        <v>215</v>
      </c>
      <c r="J2709" s="5">
        <v>156</v>
      </c>
      <c r="K2709" s="5">
        <v>11</v>
      </c>
      <c r="L2709" s="5">
        <v>2</v>
      </c>
      <c r="M2709" s="5">
        <v>2</v>
      </c>
      <c r="N2709" s="7">
        <v>767.88</v>
      </c>
      <c r="O2709" s="7">
        <f t="shared" si="296"/>
        <v>1535.76</v>
      </c>
      <c r="P2709" s="4">
        <v>0.05</v>
      </c>
      <c r="Q2709" s="7">
        <f t="shared" si="297"/>
        <v>76.788000000000011</v>
      </c>
      <c r="R2709" s="7">
        <f t="shared" si="298"/>
        <v>1458.972</v>
      </c>
      <c r="S2709" s="7">
        <f t="shared" si="299"/>
        <v>729.48599999999999</v>
      </c>
      <c r="T2709" s="6">
        <f t="shared" si="300"/>
        <v>9.3023255813953487E-3</v>
      </c>
      <c r="V2709" t="s">
        <v>29</v>
      </c>
    </row>
    <row r="2710" spans="1:22">
      <c r="A2710" s="3">
        <v>45770</v>
      </c>
      <c r="B2710" t="str">
        <f t="shared" si="294"/>
        <v>yyyy-04</v>
      </c>
      <c r="C2710">
        <f t="shared" si="295"/>
        <v>17</v>
      </c>
      <c r="D2710" t="s">
        <v>66</v>
      </c>
      <c r="E2710" t="s">
        <v>67</v>
      </c>
      <c r="F2710" t="s">
        <v>68</v>
      </c>
      <c r="G2710" t="s">
        <v>31</v>
      </c>
      <c r="H2710" t="s">
        <v>32</v>
      </c>
      <c r="I2710" s="5">
        <v>509</v>
      </c>
      <c r="J2710" s="5">
        <v>318</v>
      </c>
      <c r="K2710" s="5">
        <v>35</v>
      </c>
      <c r="L2710" s="5">
        <v>8</v>
      </c>
      <c r="M2710" s="5">
        <v>8</v>
      </c>
      <c r="N2710" s="7">
        <v>687.84</v>
      </c>
      <c r="O2710" s="7">
        <f t="shared" si="296"/>
        <v>5502.72</v>
      </c>
      <c r="P2710" s="4">
        <v>0</v>
      </c>
      <c r="Q2710" s="7">
        <f t="shared" si="297"/>
        <v>0</v>
      </c>
      <c r="R2710" s="7">
        <f t="shared" si="298"/>
        <v>5502.72</v>
      </c>
      <c r="S2710" s="7">
        <f t="shared" si="299"/>
        <v>687.84</v>
      </c>
      <c r="T2710" s="6">
        <f t="shared" si="300"/>
        <v>1.5717092337917484E-2</v>
      </c>
      <c r="V2710" t="s">
        <v>29</v>
      </c>
    </row>
    <row r="2711" spans="1:22">
      <c r="A2711" s="3">
        <v>45770</v>
      </c>
      <c r="B2711" t="str">
        <f t="shared" si="294"/>
        <v>yyyy-04</v>
      </c>
      <c r="C2711">
        <f t="shared" si="295"/>
        <v>17</v>
      </c>
      <c r="D2711" t="s">
        <v>66</v>
      </c>
      <c r="E2711" t="s">
        <v>67</v>
      </c>
      <c r="F2711" t="s">
        <v>69</v>
      </c>
      <c r="G2711" t="s">
        <v>27</v>
      </c>
      <c r="H2711" t="s">
        <v>28</v>
      </c>
      <c r="I2711" s="5">
        <v>318</v>
      </c>
      <c r="J2711" s="5">
        <v>262</v>
      </c>
      <c r="K2711" s="5">
        <v>24</v>
      </c>
      <c r="L2711" s="5">
        <v>4</v>
      </c>
      <c r="M2711" s="5">
        <v>4</v>
      </c>
      <c r="N2711" s="7">
        <v>388.24</v>
      </c>
      <c r="O2711" s="7">
        <f t="shared" si="296"/>
        <v>1552.96</v>
      </c>
      <c r="P2711" s="4">
        <v>0.05</v>
      </c>
      <c r="Q2711" s="7">
        <f t="shared" si="297"/>
        <v>77.64800000000001</v>
      </c>
      <c r="R2711" s="7">
        <f t="shared" si="298"/>
        <v>1475.3120000000001</v>
      </c>
      <c r="S2711" s="7">
        <f t="shared" si="299"/>
        <v>368.82800000000003</v>
      </c>
      <c r="T2711" s="6">
        <f t="shared" si="300"/>
        <v>1.2578616352201259E-2</v>
      </c>
      <c r="V2711" t="s">
        <v>78</v>
      </c>
    </row>
    <row r="2712" spans="1:22">
      <c r="A2712" s="3">
        <v>45770</v>
      </c>
      <c r="B2712" t="str">
        <f t="shared" si="294"/>
        <v>yyyy-04</v>
      </c>
      <c r="C2712">
        <f t="shared" si="295"/>
        <v>17</v>
      </c>
      <c r="D2712" t="s">
        <v>66</v>
      </c>
      <c r="E2712" t="s">
        <v>67</v>
      </c>
      <c r="F2712" t="s">
        <v>70</v>
      </c>
      <c r="G2712" t="s">
        <v>27</v>
      </c>
      <c r="H2712" t="s">
        <v>28</v>
      </c>
      <c r="I2712" s="5">
        <v>302</v>
      </c>
      <c r="J2712" s="5">
        <v>165</v>
      </c>
      <c r="K2712" s="5">
        <v>17</v>
      </c>
      <c r="L2712" s="5">
        <v>4</v>
      </c>
      <c r="M2712" s="5">
        <v>4</v>
      </c>
      <c r="N2712" s="7">
        <v>346.06</v>
      </c>
      <c r="O2712" s="7">
        <f t="shared" si="296"/>
        <v>1384.24</v>
      </c>
      <c r="P2712" s="4">
        <v>0</v>
      </c>
      <c r="Q2712" s="7">
        <f t="shared" si="297"/>
        <v>0</v>
      </c>
      <c r="R2712" s="7">
        <f t="shared" si="298"/>
        <v>1384.24</v>
      </c>
      <c r="S2712" s="7">
        <f t="shared" si="299"/>
        <v>346.06</v>
      </c>
      <c r="T2712" s="6">
        <f t="shared" si="300"/>
        <v>1.3245033112582781E-2</v>
      </c>
      <c r="V2712" t="s">
        <v>29</v>
      </c>
    </row>
    <row r="2713" spans="1:22">
      <c r="A2713" s="3">
        <v>45770</v>
      </c>
      <c r="B2713" t="str">
        <f t="shared" si="294"/>
        <v>yyyy-04</v>
      </c>
      <c r="C2713">
        <f t="shared" si="295"/>
        <v>17</v>
      </c>
      <c r="D2713" t="s">
        <v>66</v>
      </c>
      <c r="E2713" t="s">
        <v>71</v>
      </c>
      <c r="F2713" t="s">
        <v>72</v>
      </c>
      <c r="G2713" t="s">
        <v>27</v>
      </c>
      <c r="H2713" t="s">
        <v>28</v>
      </c>
      <c r="I2713" s="5">
        <v>311</v>
      </c>
      <c r="J2713" s="5">
        <v>162</v>
      </c>
      <c r="K2713" s="5">
        <v>23</v>
      </c>
      <c r="L2713" s="5">
        <v>5</v>
      </c>
      <c r="M2713" s="5">
        <v>5</v>
      </c>
      <c r="N2713" s="7">
        <v>127.92</v>
      </c>
      <c r="O2713" s="7">
        <f t="shared" si="296"/>
        <v>639.6</v>
      </c>
      <c r="P2713" s="4">
        <v>0</v>
      </c>
      <c r="Q2713" s="7">
        <f t="shared" si="297"/>
        <v>0</v>
      </c>
      <c r="R2713" s="7">
        <f t="shared" si="298"/>
        <v>639.6</v>
      </c>
      <c r="S2713" s="7">
        <f t="shared" si="299"/>
        <v>127.92</v>
      </c>
      <c r="T2713" s="6">
        <f t="shared" si="300"/>
        <v>1.607717041800643E-2</v>
      </c>
      <c r="V2713" t="s">
        <v>78</v>
      </c>
    </row>
    <row r="2714" spans="1:22">
      <c r="A2714" s="3">
        <v>45770</v>
      </c>
      <c r="B2714" t="str">
        <f t="shared" si="294"/>
        <v>yyyy-04</v>
      </c>
      <c r="C2714">
        <f t="shared" si="295"/>
        <v>17</v>
      </c>
      <c r="D2714" t="s">
        <v>66</v>
      </c>
      <c r="E2714" t="s">
        <v>73</v>
      </c>
      <c r="F2714" t="s">
        <v>74</v>
      </c>
      <c r="G2714" t="s">
        <v>27</v>
      </c>
      <c r="H2714" t="s">
        <v>63</v>
      </c>
      <c r="I2714" s="5">
        <v>158</v>
      </c>
      <c r="J2714" s="5">
        <v>116</v>
      </c>
      <c r="K2714" s="5">
        <v>13</v>
      </c>
      <c r="L2714" s="5">
        <v>3</v>
      </c>
      <c r="M2714" s="5">
        <v>3</v>
      </c>
      <c r="N2714" s="7">
        <v>1194.21</v>
      </c>
      <c r="O2714" s="7">
        <f t="shared" si="296"/>
        <v>3582.63</v>
      </c>
      <c r="P2714" s="4">
        <v>7.0000000000000007E-2</v>
      </c>
      <c r="Q2714" s="7">
        <f t="shared" si="297"/>
        <v>250.78410000000002</v>
      </c>
      <c r="R2714" s="7">
        <f t="shared" si="298"/>
        <v>3331.8459000000003</v>
      </c>
      <c r="S2714" s="7">
        <f t="shared" si="299"/>
        <v>1110.6153000000002</v>
      </c>
      <c r="T2714" s="6">
        <f t="shared" si="300"/>
        <v>1.8987341772151899E-2</v>
      </c>
      <c r="U2714" t="s">
        <v>95</v>
      </c>
      <c r="V2714" t="s">
        <v>29</v>
      </c>
    </row>
    <row r="2715" spans="1:22">
      <c r="A2715" s="3">
        <v>45770</v>
      </c>
      <c r="B2715" t="str">
        <f t="shared" si="294"/>
        <v>yyyy-04</v>
      </c>
      <c r="C2715">
        <f t="shared" si="295"/>
        <v>17</v>
      </c>
      <c r="D2715" t="s">
        <v>66</v>
      </c>
      <c r="E2715" t="s">
        <v>71</v>
      </c>
      <c r="F2715" t="s">
        <v>75</v>
      </c>
      <c r="G2715" t="s">
        <v>31</v>
      </c>
      <c r="H2715" t="s">
        <v>32</v>
      </c>
      <c r="I2715" s="5">
        <v>396</v>
      </c>
      <c r="J2715" s="5">
        <v>238</v>
      </c>
      <c r="K2715" s="5">
        <v>18</v>
      </c>
      <c r="L2715" s="5">
        <v>5</v>
      </c>
      <c r="M2715" s="5">
        <v>6</v>
      </c>
      <c r="N2715" s="7">
        <v>38.42</v>
      </c>
      <c r="O2715" s="7">
        <f t="shared" si="296"/>
        <v>230.52</v>
      </c>
      <c r="P2715" s="4">
        <v>0.05</v>
      </c>
      <c r="Q2715" s="7">
        <f t="shared" si="297"/>
        <v>11.526000000000002</v>
      </c>
      <c r="R2715" s="7">
        <f t="shared" si="298"/>
        <v>218.994</v>
      </c>
      <c r="S2715" s="7">
        <f t="shared" si="299"/>
        <v>43.7988</v>
      </c>
      <c r="T2715" s="6">
        <f t="shared" si="300"/>
        <v>1.2626262626262626E-2</v>
      </c>
      <c r="V2715" t="s">
        <v>78</v>
      </c>
    </row>
    <row r="2716" spans="1:22">
      <c r="A2716" s="3">
        <v>45770</v>
      </c>
      <c r="B2716" t="str">
        <f t="shared" si="294"/>
        <v>yyyy-04</v>
      </c>
      <c r="C2716">
        <f t="shared" si="295"/>
        <v>17</v>
      </c>
      <c r="D2716" t="s">
        <v>24</v>
      </c>
      <c r="E2716" t="s">
        <v>76</v>
      </c>
      <c r="F2716" t="s">
        <v>77</v>
      </c>
      <c r="G2716" t="s">
        <v>31</v>
      </c>
      <c r="H2716" t="s">
        <v>32</v>
      </c>
      <c r="I2716" s="5">
        <v>646</v>
      </c>
      <c r="J2716" s="5">
        <v>493</v>
      </c>
      <c r="K2716" s="5">
        <v>46</v>
      </c>
      <c r="L2716" s="5">
        <v>8</v>
      </c>
      <c r="M2716" s="5">
        <v>9</v>
      </c>
      <c r="N2716" s="7">
        <v>191.84</v>
      </c>
      <c r="O2716" s="7">
        <f t="shared" si="296"/>
        <v>1726.56</v>
      </c>
      <c r="P2716" s="4">
        <v>0.05</v>
      </c>
      <c r="Q2716" s="7">
        <f t="shared" si="297"/>
        <v>86.328000000000003</v>
      </c>
      <c r="R2716" s="7">
        <f t="shared" si="298"/>
        <v>1640.232</v>
      </c>
      <c r="S2716" s="7">
        <f t="shared" si="299"/>
        <v>205.029</v>
      </c>
      <c r="T2716" s="6">
        <f t="shared" si="300"/>
        <v>1.238390092879257E-2</v>
      </c>
      <c r="V2716" t="s">
        <v>78</v>
      </c>
    </row>
    <row r="2717" spans="1:22">
      <c r="A2717" s="3">
        <v>45771</v>
      </c>
      <c r="B2717" t="str">
        <f t="shared" si="294"/>
        <v>yyyy-04</v>
      </c>
      <c r="C2717">
        <f t="shared" si="295"/>
        <v>17</v>
      </c>
      <c r="D2717" t="s">
        <v>24</v>
      </c>
      <c r="E2717" t="s">
        <v>25</v>
      </c>
      <c r="F2717" t="s">
        <v>26</v>
      </c>
      <c r="G2717" t="s">
        <v>27</v>
      </c>
      <c r="H2717" t="s">
        <v>48</v>
      </c>
      <c r="I2717" s="5">
        <v>942</v>
      </c>
      <c r="J2717" s="5">
        <v>564</v>
      </c>
      <c r="K2717" s="5">
        <v>38</v>
      </c>
      <c r="L2717" s="5">
        <v>19</v>
      </c>
      <c r="M2717" s="5">
        <v>19</v>
      </c>
      <c r="N2717" s="7">
        <v>1002.07</v>
      </c>
      <c r="O2717" s="7">
        <f t="shared" si="296"/>
        <v>19039.330000000002</v>
      </c>
      <c r="P2717" s="4">
        <v>0.03</v>
      </c>
      <c r="Q2717" s="7">
        <f t="shared" si="297"/>
        <v>571.17989999999998</v>
      </c>
      <c r="R2717" s="7">
        <f t="shared" si="298"/>
        <v>18468.150100000003</v>
      </c>
      <c r="S2717" s="7">
        <f t="shared" si="299"/>
        <v>972.00790000000018</v>
      </c>
      <c r="T2717" s="6">
        <f t="shared" si="300"/>
        <v>2.0169851380042462E-2</v>
      </c>
      <c r="V2717" t="s">
        <v>29</v>
      </c>
    </row>
    <row r="2718" spans="1:22">
      <c r="A2718" s="3">
        <v>45771</v>
      </c>
      <c r="B2718" t="str">
        <f t="shared" si="294"/>
        <v>yyyy-04</v>
      </c>
      <c r="C2718">
        <f t="shared" si="295"/>
        <v>17</v>
      </c>
      <c r="D2718" t="s">
        <v>24</v>
      </c>
      <c r="E2718" t="s">
        <v>25</v>
      </c>
      <c r="F2718" t="s">
        <v>30</v>
      </c>
      <c r="G2718" t="s">
        <v>31</v>
      </c>
      <c r="H2718" t="s">
        <v>32</v>
      </c>
      <c r="I2718" s="5">
        <v>1962</v>
      </c>
      <c r="J2718" s="5">
        <v>1232</v>
      </c>
      <c r="K2718" s="5">
        <v>126</v>
      </c>
      <c r="L2718" s="5">
        <v>31</v>
      </c>
      <c r="M2718" s="5">
        <v>31</v>
      </c>
      <c r="N2718" s="7">
        <v>388.89</v>
      </c>
      <c r="O2718" s="7">
        <f t="shared" si="296"/>
        <v>12055.59</v>
      </c>
      <c r="P2718" s="4">
        <v>0</v>
      </c>
      <c r="Q2718" s="7">
        <f t="shared" si="297"/>
        <v>0</v>
      </c>
      <c r="R2718" s="7">
        <f t="shared" si="298"/>
        <v>12055.59</v>
      </c>
      <c r="S2718" s="7">
        <f t="shared" si="299"/>
        <v>388.89</v>
      </c>
      <c r="T2718" s="6">
        <f t="shared" si="300"/>
        <v>1.580020387359837E-2</v>
      </c>
      <c r="V2718" t="s">
        <v>78</v>
      </c>
    </row>
    <row r="2719" spans="1:22">
      <c r="A2719" s="3">
        <v>45771</v>
      </c>
      <c r="B2719" t="str">
        <f t="shared" si="294"/>
        <v>yyyy-04</v>
      </c>
      <c r="C2719">
        <f t="shared" si="295"/>
        <v>17</v>
      </c>
      <c r="D2719" t="s">
        <v>24</v>
      </c>
      <c r="E2719" t="s">
        <v>25</v>
      </c>
      <c r="F2719" t="s">
        <v>33</v>
      </c>
      <c r="G2719" t="s">
        <v>27</v>
      </c>
      <c r="H2719" t="s">
        <v>48</v>
      </c>
      <c r="I2719" s="5">
        <v>1273</v>
      </c>
      <c r="J2719" s="5">
        <v>860</v>
      </c>
      <c r="K2719" s="5">
        <v>75</v>
      </c>
      <c r="L2719" s="5">
        <v>33</v>
      </c>
      <c r="M2719" s="5">
        <v>33</v>
      </c>
      <c r="N2719" s="7">
        <v>1740.51</v>
      </c>
      <c r="O2719" s="7">
        <f t="shared" si="296"/>
        <v>57436.83</v>
      </c>
      <c r="P2719" s="4">
        <v>0</v>
      </c>
      <c r="Q2719" s="7">
        <f t="shared" si="297"/>
        <v>0</v>
      </c>
      <c r="R2719" s="7">
        <f t="shared" si="298"/>
        <v>57436.83</v>
      </c>
      <c r="S2719" s="7">
        <f t="shared" si="299"/>
        <v>1740.51</v>
      </c>
      <c r="T2719" s="6">
        <f t="shared" si="300"/>
        <v>2.5923016496465043E-2</v>
      </c>
      <c r="V2719" t="s">
        <v>29</v>
      </c>
    </row>
    <row r="2720" spans="1:22">
      <c r="A2720" s="3">
        <v>45771</v>
      </c>
      <c r="B2720" t="str">
        <f t="shared" si="294"/>
        <v>yyyy-04</v>
      </c>
      <c r="C2720">
        <f t="shared" si="295"/>
        <v>17</v>
      </c>
      <c r="D2720" t="s">
        <v>24</v>
      </c>
      <c r="E2720" t="s">
        <v>34</v>
      </c>
      <c r="F2720" t="s">
        <v>35</v>
      </c>
      <c r="G2720" t="s">
        <v>36</v>
      </c>
      <c r="H2720" t="s">
        <v>37</v>
      </c>
      <c r="I2720" s="5">
        <v>1248</v>
      </c>
      <c r="J2720" s="5">
        <v>739</v>
      </c>
      <c r="K2720" s="5">
        <v>134</v>
      </c>
      <c r="L2720" s="5">
        <v>32</v>
      </c>
      <c r="M2720" s="5">
        <v>32</v>
      </c>
      <c r="N2720" s="7">
        <v>864.59</v>
      </c>
      <c r="O2720" s="7">
        <f t="shared" si="296"/>
        <v>27666.880000000001</v>
      </c>
      <c r="P2720" s="4">
        <v>0.05</v>
      </c>
      <c r="Q2720" s="7">
        <f t="shared" si="297"/>
        <v>1383.3440000000001</v>
      </c>
      <c r="R2720" s="7">
        <f t="shared" si="298"/>
        <v>26283.536</v>
      </c>
      <c r="S2720" s="7">
        <f t="shared" si="299"/>
        <v>821.3605</v>
      </c>
      <c r="T2720" s="6">
        <f t="shared" si="300"/>
        <v>2.564102564102564E-2</v>
      </c>
      <c r="V2720" t="s">
        <v>29</v>
      </c>
    </row>
    <row r="2721" spans="1:22">
      <c r="A2721" s="3">
        <v>45771</v>
      </c>
      <c r="B2721" t="str">
        <f t="shared" si="294"/>
        <v>yyyy-04</v>
      </c>
      <c r="C2721">
        <f t="shared" si="295"/>
        <v>17</v>
      </c>
      <c r="D2721" t="s">
        <v>24</v>
      </c>
      <c r="E2721" t="s">
        <v>38</v>
      </c>
      <c r="F2721" t="s">
        <v>39</v>
      </c>
      <c r="G2721" t="s">
        <v>27</v>
      </c>
      <c r="H2721" t="s">
        <v>45</v>
      </c>
      <c r="I2721" s="5">
        <v>596</v>
      </c>
      <c r="J2721" s="5">
        <v>328</v>
      </c>
      <c r="K2721" s="5">
        <v>38</v>
      </c>
      <c r="L2721" s="5">
        <v>12</v>
      </c>
      <c r="M2721" s="5">
        <v>12</v>
      </c>
      <c r="N2721" s="7">
        <v>328.83</v>
      </c>
      <c r="O2721" s="7">
        <f t="shared" si="296"/>
        <v>3945.96</v>
      </c>
      <c r="P2721" s="4">
        <v>0</v>
      </c>
      <c r="Q2721" s="7">
        <f t="shared" si="297"/>
        <v>0</v>
      </c>
      <c r="R2721" s="7">
        <f t="shared" si="298"/>
        <v>3945.96</v>
      </c>
      <c r="S2721" s="7">
        <f t="shared" si="299"/>
        <v>328.83</v>
      </c>
      <c r="T2721" s="6">
        <f t="shared" si="300"/>
        <v>2.0134228187919462E-2</v>
      </c>
      <c r="V2721" t="s">
        <v>29</v>
      </c>
    </row>
    <row r="2722" spans="1:22">
      <c r="A2722" s="3">
        <v>45771</v>
      </c>
      <c r="B2722" t="str">
        <f t="shared" si="294"/>
        <v>yyyy-04</v>
      </c>
      <c r="C2722">
        <f t="shared" si="295"/>
        <v>17</v>
      </c>
      <c r="D2722" t="s">
        <v>24</v>
      </c>
      <c r="E2722" t="s">
        <v>40</v>
      </c>
      <c r="F2722" t="s">
        <v>41</v>
      </c>
      <c r="G2722" t="s">
        <v>27</v>
      </c>
      <c r="H2722" t="s">
        <v>28</v>
      </c>
      <c r="I2722" s="5">
        <v>799</v>
      </c>
      <c r="J2722" s="5">
        <v>473</v>
      </c>
      <c r="K2722" s="5">
        <v>80</v>
      </c>
      <c r="L2722" s="5">
        <v>17</v>
      </c>
      <c r="M2722" s="5">
        <v>18</v>
      </c>
      <c r="N2722" s="7">
        <v>179.67</v>
      </c>
      <c r="O2722" s="7">
        <f t="shared" si="296"/>
        <v>3234.06</v>
      </c>
      <c r="P2722" s="4">
        <v>0</v>
      </c>
      <c r="Q2722" s="7">
        <f t="shared" si="297"/>
        <v>0</v>
      </c>
      <c r="R2722" s="7">
        <f t="shared" si="298"/>
        <v>3234.06</v>
      </c>
      <c r="S2722" s="7">
        <f t="shared" si="299"/>
        <v>190.23882352941177</v>
      </c>
      <c r="T2722" s="6">
        <f t="shared" si="300"/>
        <v>2.1276595744680851E-2</v>
      </c>
      <c r="V2722" t="s">
        <v>29</v>
      </c>
    </row>
    <row r="2723" spans="1:22">
      <c r="A2723" s="3">
        <v>45771</v>
      </c>
      <c r="B2723" t="str">
        <f t="shared" si="294"/>
        <v>yyyy-04</v>
      </c>
      <c r="C2723">
        <f t="shared" si="295"/>
        <v>17</v>
      </c>
      <c r="D2723" t="s">
        <v>42</v>
      </c>
      <c r="E2723" t="s">
        <v>43</v>
      </c>
      <c r="F2723" t="s">
        <v>44</v>
      </c>
      <c r="G2723" t="s">
        <v>36</v>
      </c>
      <c r="H2723" t="s">
        <v>37</v>
      </c>
      <c r="I2723" s="5">
        <v>597</v>
      </c>
      <c r="J2723" s="5">
        <v>339</v>
      </c>
      <c r="K2723" s="5">
        <v>28</v>
      </c>
      <c r="L2723" s="5">
        <v>8</v>
      </c>
      <c r="M2723" s="5">
        <v>8</v>
      </c>
      <c r="N2723" s="7">
        <v>1300.9100000000001</v>
      </c>
      <c r="O2723" s="7">
        <f t="shared" si="296"/>
        <v>10407.280000000001</v>
      </c>
      <c r="P2723" s="4">
        <v>0.05</v>
      </c>
      <c r="Q2723" s="7">
        <f t="shared" si="297"/>
        <v>520.36400000000003</v>
      </c>
      <c r="R2723" s="7">
        <f t="shared" si="298"/>
        <v>9886.9160000000011</v>
      </c>
      <c r="S2723" s="7">
        <f t="shared" si="299"/>
        <v>1235.8645000000001</v>
      </c>
      <c r="T2723" s="6">
        <f t="shared" si="300"/>
        <v>1.340033500837521E-2</v>
      </c>
      <c r="V2723" t="s">
        <v>29</v>
      </c>
    </row>
    <row r="2724" spans="1:22">
      <c r="A2724" s="3">
        <v>45771</v>
      </c>
      <c r="B2724" t="str">
        <f t="shared" si="294"/>
        <v>yyyy-04</v>
      </c>
      <c r="C2724">
        <f t="shared" si="295"/>
        <v>17</v>
      </c>
      <c r="D2724" t="s">
        <v>42</v>
      </c>
      <c r="E2724" t="s">
        <v>43</v>
      </c>
      <c r="F2724" t="s">
        <v>46</v>
      </c>
      <c r="G2724" t="s">
        <v>31</v>
      </c>
      <c r="H2724" t="s">
        <v>32</v>
      </c>
      <c r="I2724" s="5">
        <v>575</v>
      </c>
      <c r="J2724" s="5">
        <v>378</v>
      </c>
      <c r="K2724" s="5">
        <v>45</v>
      </c>
      <c r="L2724" s="5">
        <v>8</v>
      </c>
      <c r="M2724" s="5">
        <v>8</v>
      </c>
      <c r="N2724" s="7">
        <v>2153.9</v>
      </c>
      <c r="O2724" s="7">
        <f t="shared" si="296"/>
        <v>17231.2</v>
      </c>
      <c r="P2724" s="4">
        <v>0.05</v>
      </c>
      <c r="Q2724" s="7">
        <f t="shared" si="297"/>
        <v>861.56000000000006</v>
      </c>
      <c r="R2724" s="7">
        <f t="shared" si="298"/>
        <v>16369.640000000001</v>
      </c>
      <c r="S2724" s="7">
        <f t="shared" si="299"/>
        <v>2046.2050000000002</v>
      </c>
      <c r="T2724" s="6">
        <f t="shared" si="300"/>
        <v>1.391304347826087E-2</v>
      </c>
      <c r="V2724" t="s">
        <v>29</v>
      </c>
    </row>
    <row r="2725" spans="1:22">
      <c r="A2725" s="3">
        <v>45771</v>
      </c>
      <c r="B2725" t="str">
        <f t="shared" si="294"/>
        <v>yyyy-04</v>
      </c>
      <c r="C2725">
        <f t="shared" si="295"/>
        <v>17</v>
      </c>
      <c r="D2725" t="s">
        <v>42</v>
      </c>
      <c r="E2725" t="s">
        <v>43</v>
      </c>
      <c r="F2725" t="s">
        <v>47</v>
      </c>
      <c r="G2725" t="s">
        <v>31</v>
      </c>
      <c r="H2725" t="s">
        <v>32</v>
      </c>
      <c r="I2725" s="5">
        <v>687</v>
      </c>
      <c r="J2725" s="5">
        <v>486</v>
      </c>
      <c r="K2725" s="5">
        <v>37</v>
      </c>
      <c r="L2725" s="5">
        <v>10</v>
      </c>
      <c r="M2725" s="5">
        <v>10</v>
      </c>
      <c r="N2725" s="7">
        <v>586.47</v>
      </c>
      <c r="O2725" s="7">
        <f t="shared" si="296"/>
        <v>5864.7000000000007</v>
      </c>
      <c r="P2725" s="4">
        <v>0.05</v>
      </c>
      <c r="Q2725" s="7">
        <f t="shared" si="297"/>
        <v>293.23500000000007</v>
      </c>
      <c r="R2725" s="7">
        <f t="shared" si="298"/>
        <v>5571.4650000000011</v>
      </c>
      <c r="S2725" s="7">
        <f t="shared" si="299"/>
        <v>557.14650000000006</v>
      </c>
      <c r="T2725" s="6">
        <f t="shared" si="300"/>
        <v>1.4556040756914119E-2</v>
      </c>
      <c r="V2725" t="s">
        <v>29</v>
      </c>
    </row>
    <row r="2726" spans="1:22">
      <c r="A2726" s="3">
        <v>45771</v>
      </c>
      <c r="B2726" t="str">
        <f t="shared" si="294"/>
        <v>yyyy-04</v>
      </c>
      <c r="C2726">
        <f t="shared" si="295"/>
        <v>17</v>
      </c>
      <c r="D2726" t="s">
        <v>42</v>
      </c>
      <c r="E2726" t="s">
        <v>49</v>
      </c>
      <c r="F2726" t="s">
        <v>50</v>
      </c>
      <c r="G2726" t="s">
        <v>27</v>
      </c>
      <c r="H2726" t="s">
        <v>28</v>
      </c>
      <c r="I2726" s="5">
        <v>141</v>
      </c>
      <c r="J2726" s="5">
        <v>88</v>
      </c>
      <c r="K2726" s="5">
        <v>7</v>
      </c>
      <c r="L2726" s="5">
        <v>2</v>
      </c>
      <c r="M2726" s="5">
        <v>2</v>
      </c>
      <c r="N2726" s="7">
        <v>1017.45</v>
      </c>
      <c r="O2726" s="7">
        <f t="shared" si="296"/>
        <v>2034.9</v>
      </c>
      <c r="P2726" s="4">
        <v>0.1</v>
      </c>
      <c r="Q2726" s="7">
        <f t="shared" si="297"/>
        <v>203.49</v>
      </c>
      <c r="R2726" s="7">
        <f t="shared" si="298"/>
        <v>1831.41</v>
      </c>
      <c r="S2726" s="7">
        <f t="shared" si="299"/>
        <v>915.70500000000004</v>
      </c>
      <c r="T2726" s="6">
        <f t="shared" si="300"/>
        <v>1.4184397163120567E-2</v>
      </c>
      <c r="U2726" t="s">
        <v>94</v>
      </c>
      <c r="V2726" t="s">
        <v>29</v>
      </c>
    </row>
    <row r="2727" spans="1:22">
      <c r="A2727" s="3">
        <v>45771</v>
      </c>
      <c r="B2727" t="str">
        <f t="shared" si="294"/>
        <v>yyyy-04</v>
      </c>
      <c r="C2727">
        <f t="shared" si="295"/>
        <v>17</v>
      </c>
      <c r="D2727" t="s">
        <v>42</v>
      </c>
      <c r="E2727" t="s">
        <v>51</v>
      </c>
      <c r="F2727" t="s">
        <v>52</v>
      </c>
      <c r="G2727" t="s">
        <v>27</v>
      </c>
      <c r="H2727" t="s">
        <v>48</v>
      </c>
      <c r="I2727" s="5">
        <v>195</v>
      </c>
      <c r="J2727" s="5">
        <v>135</v>
      </c>
      <c r="K2727" s="5">
        <v>11</v>
      </c>
      <c r="L2727" s="5">
        <v>3</v>
      </c>
      <c r="M2727" s="5">
        <v>3</v>
      </c>
      <c r="N2727" s="7">
        <v>608.26</v>
      </c>
      <c r="O2727" s="7">
        <f t="shared" si="296"/>
        <v>1824.78</v>
      </c>
      <c r="P2727" s="4">
        <v>0</v>
      </c>
      <c r="Q2727" s="7">
        <f t="shared" si="297"/>
        <v>0</v>
      </c>
      <c r="R2727" s="7">
        <f t="shared" si="298"/>
        <v>1824.78</v>
      </c>
      <c r="S2727" s="7">
        <f t="shared" si="299"/>
        <v>608.26</v>
      </c>
      <c r="T2727" s="6">
        <f t="shared" si="300"/>
        <v>1.5384615384615385E-2</v>
      </c>
      <c r="V2727" t="s">
        <v>29</v>
      </c>
    </row>
    <row r="2728" spans="1:22">
      <c r="A2728" s="3">
        <v>45771</v>
      </c>
      <c r="B2728" t="str">
        <f t="shared" si="294"/>
        <v>yyyy-04</v>
      </c>
      <c r="C2728">
        <f t="shared" si="295"/>
        <v>17</v>
      </c>
      <c r="D2728" t="s">
        <v>53</v>
      </c>
      <c r="E2728" t="s">
        <v>54</v>
      </c>
      <c r="F2728" t="s">
        <v>55</v>
      </c>
      <c r="G2728" t="s">
        <v>27</v>
      </c>
      <c r="H2728" t="s">
        <v>48</v>
      </c>
      <c r="I2728" s="5">
        <v>139</v>
      </c>
      <c r="J2728" s="5">
        <v>91</v>
      </c>
      <c r="K2728" s="5">
        <v>9</v>
      </c>
      <c r="L2728" s="5">
        <v>2</v>
      </c>
      <c r="M2728" s="5">
        <v>2</v>
      </c>
      <c r="N2728" s="7">
        <v>1290.02</v>
      </c>
      <c r="O2728" s="7">
        <f t="shared" si="296"/>
        <v>2580.04</v>
      </c>
      <c r="P2728" s="4">
        <v>0</v>
      </c>
      <c r="Q2728" s="7">
        <f t="shared" si="297"/>
        <v>0</v>
      </c>
      <c r="R2728" s="7">
        <f t="shared" si="298"/>
        <v>2580.04</v>
      </c>
      <c r="S2728" s="7">
        <f t="shared" si="299"/>
        <v>1290.02</v>
      </c>
      <c r="T2728" s="6">
        <f t="shared" si="300"/>
        <v>1.4388489208633094E-2</v>
      </c>
      <c r="V2728" t="s">
        <v>29</v>
      </c>
    </row>
    <row r="2729" spans="1:22">
      <c r="A2729" s="3">
        <v>45771</v>
      </c>
      <c r="B2729" t="str">
        <f t="shared" si="294"/>
        <v>yyyy-04</v>
      </c>
      <c r="C2729">
        <f t="shared" si="295"/>
        <v>17</v>
      </c>
      <c r="D2729" t="s">
        <v>53</v>
      </c>
      <c r="E2729" t="s">
        <v>56</v>
      </c>
      <c r="F2729" t="s">
        <v>57</v>
      </c>
      <c r="G2729" t="s">
        <v>31</v>
      </c>
      <c r="H2729" t="s">
        <v>32</v>
      </c>
      <c r="I2729" s="5">
        <v>314</v>
      </c>
      <c r="J2729" s="5">
        <v>247</v>
      </c>
      <c r="K2729" s="5">
        <v>12</v>
      </c>
      <c r="L2729" s="5">
        <v>4</v>
      </c>
      <c r="M2729" s="5">
        <v>4</v>
      </c>
      <c r="N2729" s="7">
        <v>742.99</v>
      </c>
      <c r="O2729" s="7">
        <f t="shared" si="296"/>
        <v>2971.96</v>
      </c>
      <c r="P2729" s="4">
        <v>0</v>
      </c>
      <c r="Q2729" s="7">
        <f t="shared" si="297"/>
        <v>0</v>
      </c>
      <c r="R2729" s="7">
        <f t="shared" si="298"/>
        <v>2971.96</v>
      </c>
      <c r="S2729" s="7">
        <f t="shared" si="299"/>
        <v>742.99</v>
      </c>
      <c r="T2729" s="6">
        <f t="shared" si="300"/>
        <v>1.2738853503184714E-2</v>
      </c>
      <c r="V2729" t="s">
        <v>29</v>
      </c>
    </row>
    <row r="2730" spans="1:22">
      <c r="A2730" s="3">
        <v>45771</v>
      </c>
      <c r="B2730" t="str">
        <f t="shared" si="294"/>
        <v>yyyy-04</v>
      </c>
      <c r="C2730">
        <f t="shared" si="295"/>
        <v>17</v>
      </c>
      <c r="D2730" t="s">
        <v>53</v>
      </c>
      <c r="E2730" t="s">
        <v>56</v>
      </c>
      <c r="F2730" t="s">
        <v>58</v>
      </c>
      <c r="G2730" t="s">
        <v>31</v>
      </c>
      <c r="H2730" t="s">
        <v>32</v>
      </c>
      <c r="I2730" s="5">
        <v>326</v>
      </c>
      <c r="J2730" s="5">
        <v>200</v>
      </c>
      <c r="K2730" s="5">
        <v>18</v>
      </c>
      <c r="L2730" s="5">
        <v>4</v>
      </c>
      <c r="M2730" s="5">
        <v>4</v>
      </c>
      <c r="N2730" s="7">
        <v>904.78</v>
      </c>
      <c r="O2730" s="7">
        <f t="shared" si="296"/>
        <v>3619.12</v>
      </c>
      <c r="P2730" s="4">
        <v>0</v>
      </c>
      <c r="Q2730" s="7">
        <f t="shared" si="297"/>
        <v>0</v>
      </c>
      <c r="R2730" s="7">
        <f t="shared" si="298"/>
        <v>3619.12</v>
      </c>
      <c r="S2730" s="7">
        <f t="shared" si="299"/>
        <v>904.78</v>
      </c>
      <c r="T2730" s="6">
        <f t="shared" si="300"/>
        <v>1.2269938650306749E-2</v>
      </c>
      <c r="V2730" t="s">
        <v>29</v>
      </c>
    </row>
    <row r="2731" spans="1:22">
      <c r="A2731" s="3">
        <v>45771</v>
      </c>
      <c r="B2731" t="str">
        <f t="shared" si="294"/>
        <v>yyyy-04</v>
      </c>
      <c r="C2731">
        <f t="shared" si="295"/>
        <v>17</v>
      </c>
      <c r="D2731" t="s">
        <v>53</v>
      </c>
      <c r="E2731" t="s">
        <v>59</v>
      </c>
      <c r="F2731" t="s">
        <v>60</v>
      </c>
      <c r="G2731" t="s">
        <v>31</v>
      </c>
      <c r="H2731" t="s">
        <v>32</v>
      </c>
      <c r="I2731" s="5">
        <v>180</v>
      </c>
      <c r="J2731" s="5">
        <v>103</v>
      </c>
      <c r="K2731" s="5">
        <v>11</v>
      </c>
      <c r="L2731" s="5">
        <v>3</v>
      </c>
      <c r="M2731" s="5">
        <v>3</v>
      </c>
      <c r="N2731" s="7">
        <v>685.7</v>
      </c>
      <c r="O2731" s="7">
        <f t="shared" si="296"/>
        <v>2057.1000000000004</v>
      </c>
      <c r="P2731" s="4">
        <v>0.03</v>
      </c>
      <c r="Q2731" s="7">
        <f t="shared" si="297"/>
        <v>61.713000000000008</v>
      </c>
      <c r="R2731" s="7">
        <f t="shared" si="298"/>
        <v>1995.3870000000004</v>
      </c>
      <c r="S2731" s="7">
        <f t="shared" si="299"/>
        <v>665.12900000000013</v>
      </c>
      <c r="T2731" s="6">
        <f t="shared" si="300"/>
        <v>1.6666666666666666E-2</v>
      </c>
      <c r="V2731" t="s">
        <v>29</v>
      </c>
    </row>
    <row r="2732" spans="1:22">
      <c r="A2732" s="3">
        <v>45771</v>
      </c>
      <c r="B2732" t="str">
        <f t="shared" si="294"/>
        <v>yyyy-04</v>
      </c>
      <c r="C2732">
        <f t="shared" si="295"/>
        <v>17</v>
      </c>
      <c r="D2732" t="s">
        <v>53</v>
      </c>
      <c r="E2732" t="s">
        <v>61</v>
      </c>
      <c r="F2732" t="s">
        <v>62</v>
      </c>
      <c r="G2732" t="s">
        <v>36</v>
      </c>
      <c r="H2732" t="s">
        <v>37</v>
      </c>
      <c r="I2732" s="5">
        <v>229</v>
      </c>
      <c r="J2732" s="5">
        <v>164</v>
      </c>
      <c r="K2732" s="5">
        <v>11</v>
      </c>
      <c r="L2732" s="5">
        <v>3</v>
      </c>
      <c r="M2732" s="5">
        <v>3</v>
      </c>
      <c r="N2732" s="7">
        <v>482.08</v>
      </c>
      <c r="O2732" s="7">
        <f t="shared" si="296"/>
        <v>1446.24</v>
      </c>
      <c r="P2732" s="4">
        <v>0</v>
      </c>
      <c r="Q2732" s="7">
        <f t="shared" si="297"/>
        <v>0</v>
      </c>
      <c r="R2732" s="7">
        <f t="shared" si="298"/>
        <v>1446.24</v>
      </c>
      <c r="S2732" s="7">
        <f t="shared" si="299"/>
        <v>482.08</v>
      </c>
      <c r="T2732" s="6">
        <f t="shared" si="300"/>
        <v>1.3100436681222707E-2</v>
      </c>
      <c r="V2732" t="s">
        <v>29</v>
      </c>
    </row>
    <row r="2733" spans="1:22">
      <c r="A2733" s="3">
        <v>45771</v>
      </c>
      <c r="B2733" t="str">
        <f t="shared" si="294"/>
        <v>yyyy-04</v>
      </c>
      <c r="C2733">
        <f t="shared" si="295"/>
        <v>17</v>
      </c>
      <c r="D2733" t="s">
        <v>53</v>
      </c>
      <c r="E2733" t="s">
        <v>64</v>
      </c>
      <c r="F2733" t="s">
        <v>65</v>
      </c>
      <c r="G2733" t="s">
        <v>27</v>
      </c>
      <c r="H2733" t="s">
        <v>48</v>
      </c>
      <c r="I2733" s="5">
        <v>193</v>
      </c>
      <c r="J2733" s="5">
        <v>150</v>
      </c>
      <c r="K2733" s="5">
        <v>13</v>
      </c>
      <c r="L2733" s="5">
        <v>2</v>
      </c>
      <c r="M2733" s="5">
        <v>2</v>
      </c>
      <c r="N2733" s="7">
        <v>813.5</v>
      </c>
      <c r="O2733" s="7">
        <f t="shared" si="296"/>
        <v>1627</v>
      </c>
      <c r="P2733" s="4">
        <v>0</v>
      </c>
      <c r="Q2733" s="7">
        <f t="shared" si="297"/>
        <v>0</v>
      </c>
      <c r="R2733" s="7">
        <f t="shared" si="298"/>
        <v>1627</v>
      </c>
      <c r="S2733" s="7">
        <f t="shared" si="299"/>
        <v>813.5</v>
      </c>
      <c r="T2733" s="6">
        <f t="shared" si="300"/>
        <v>1.0362694300518135E-2</v>
      </c>
      <c r="V2733" t="s">
        <v>29</v>
      </c>
    </row>
    <row r="2734" spans="1:22">
      <c r="A2734" s="3">
        <v>45771</v>
      </c>
      <c r="B2734" t="str">
        <f t="shared" si="294"/>
        <v>yyyy-04</v>
      </c>
      <c r="C2734">
        <f t="shared" si="295"/>
        <v>17</v>
      </c>
      <c r="D2734" t="s">
        <v>66</v>
      </c>
      <c r="E2734" t="s">
        <v>67</v>
      </c>
      <c r="F2734" t="s">
        <v>68</v>
      </c>
      <c r="G2734" t="s">
        <v>36</v>
      </c>
      <c r="H2734" t="s">
        <v>37</v>
      </c>
      <c r="I2734" s="5">
        <v>437</v>
      </c>
      <c r="J2734" s="5">
        <v>247</v>
      </c>
      <c r="K2734" s="5">
        <v>19</v>
      </c>
      <c r="L2734" s="5">
        <v>7</v>
      </c>
      <c r="M2734" s="5">
        <v>7</v>
      </c>
      <c r="N2734" s="7">
        <v>696.4</v>
      </c>
      <c r="O2734" s="7">
        <f t="shared" si="296"/>
        <v>4874.8</v>
      </c>
      <c r="P2734" s="4">
        <v>0.05</v>
      </c>
      <c r="Q2734" s="7">
        <f t="shared" si="297"/>
        <v>243.74</v>
      </c>
      <c r="R2734" s="7">
        <f t="shared" si="298"/>
        <v>4631.0600000000004</v>
      </c>
      <c r="S2734" s="7">
        <f t="shared" si="299"/>
        <v>661.58</v>
      </c>
      <c r="T2734" s="6">
        <f t="shared" si="300"/>
        <v>1.6018306636155607E-2</v>
      </c>
      <c r="V2734" t="s">
        <v>29</v>
      </c>
    </row>
    <row r="2735" spans="1:22">
      <c r="A2735" s="3">
        <v>45771</v>
      </c>
      <c r="B2735" t="str">
        <f t="shared" si="294"/>
        <v>yyyy-04</v>
      </c>
      <c r="C2735">
        <f t="shared" si="295"/>
        <v>17</v>
      </c>
      <c r="D2735" t="s">
        <v>66</v>
      </c>
      <c r="E2735" t="s">
        <v>67</v>
      </c>
      <c r="F2735" t="s">
        <v>69</v>
      </c>
      <c r="G2735" t="s">
        <v>27</v>
      </c>
      <c r="H2735" t="s">
        <v>48</v>
      </c>
      <c r="I2735" s="5">
        <v>223</v>
      </c>
      <c r="J2735" s="5">
        <v>116</v>
      </c>
      <c r="K2735" s="5">
        <v>20</v>
      </c>
      <c r="L2735" s="5">
        <v>5</v>
      </c>
      <c r="M2735" s="5">
        <v>5</v>
      </c>
      <c r="N2735" s="7">
        <v>386.3</v>
      </c>
      <c r="O2735" s="7">
        <f t="shared" si="296"/>
        <v>1931.5</v>
      </c>
      <c r="P2735" s="4">
        <v>0.05</v>
      </c>
      <c r="Q2735" s="7">
        <f t="shared" si="297"/>
        <v>96.575000000000003</v>
      </c>
      <c r="R2735" s="7">
        <f t="shared" si="298"/>
        <v>1834.925</v>
      </c>
      <c r="S2735" s="7">
        <f t="shared" si="299"/>
        <v>366.98500000000001</v>
      </c>
      <c r="T2735" s="6">
        <f t="shared" si="300"/>
        <v>2.2421524663677129E-2</v>
      </c>
      <c r="V2735" t="s">
        <v>29</v>
      </c>
    </row>
    <row r="2736" spans="1:22">
      <c r="A2736" s="3">
        <v>45771</v>
      </c>
      <c r="B2736" t="str">
        <f t="shared" si="294"/>
        <v>yyyy-04</v>
      </c>
      <c r="C2736">
        <f t="shared" si="295"/>
        <v>17</v>
      </c>
      <c r="D2736" t="s">
        <v>66</v>
      </c>
      <c r="E2736" t="s">
        <v>67</v>
      </c>
      <c r="F2736" t="s">
        <v>70</v>
      </c>
      <c r="G2736" t="s">
        <v>36</v>
      </c>
      <c r="H2736" t="s">
        <v>37</v>
      </c>
      <c r="I2736" s="5">
        <v>494</v>
      </c>
      <c r="J2736" s="5">
        <v>356</v>
      </c>
      <c r="K2736" s="5">
        <v>37</v>
      </c>
      <c r="L2736" s="5">
        <v>9</v>
      </c>
      <c r="M2736" s="5">
        <v>9</v>
      </c>
      <c r="N2736" s="7">
        <v>344.49</v>
      </c>
      <c r="O2736" s="7">
        <f t="shared" si="296"/>
        <v>3100.41</v>
      </c>
      <c r="P2736" s="4">
        <v>0</v>
      </c>
      <c r="Q2736" s="7">
        <f t="shared" si="297"/>
        <v>0</v>
      </c>
      <c r="R2736" s="7">
        <f t="shared" si="298"/>
        <v>3100.41</v>
      </c>
      <c r="S2736" s="7">
        <f t="shared" si="299"/>
        <v>344.49</v>
      </c>
      <c r="T2736" s="6">
        <f t="shared" si="300"/>
        <v>1.8218623481781375E-2</v>
      </c>
      <c r="V2736" t="s">
        <v>29</v>
      </c>
    </row>
    <row r="2737" spans="1:22">
      <c r="A2737" s="3">
        <v>45771</v>
      </c>
      <c r="B2737" t="str">
        <f t="shared" si="294"/>
        <v>yyyy-04</v>
      </c>
      <c r="C2737">
        <f t="shared" si="295"/>
        <v>17</v>
      </c>
      <c r="D2737" t="s">
        <v>66</v>
      </c>
      <c r="E2737" t="s">
        <v>71</v>
      </c>
      <c r="F2737" t="s">
        <v>72</v>
      </c>
      <c r="G2737" t="s">
        <v>31</v>
      </c>
      <c r="H2737" t="s">
        <v>32</v>
      </c>
      <c r="I2737" s="5">
        <v>489</v>
      </c>
      <c r="J2737" s="5">
        <v>303</v>
      </c>
      <c r="K2737" s="5">
        <v>45</v>
      </c>
      <c r="L2737" s="5">
        <v>11</v>
      </c>
      <c r="M2737" s="5">
        <v>14</v>
      </c>
      <c r="N2737" s="7">
        <v>126.2</v>
      </c>
      <c r="O2737" s="7">
        <f t="shared" si="296"/>
        <v>1766.8</v>
      </c>
      <c r="P2737" s="4">
        <v>0.05</v>
      </c>
      <c r="Q2737" s="7">
        <f t="shared" si="297"/>
        <v>88.34</v>
      </c>
      <c r="R2737" s="7">
        <f t="shared" si="298"/>
        <v>1678.46</v>
      </c>
      <c r="S2737" s="7">
        <f t="shared" si="299"/>
        <v>152.58727272727273</v>
      </c>
      <c r="T2737" s="6">
        <f t="shared" si="300"/>
        <v>2.2494887525562373E-2</v>
      </c>
      <c r="V2737" t="s">
        <v>29</v>
      </c>
    </row>
    <row r="2738" spans="1:22">
      <c r="A2738" s="3">
        <v>45771</v>
      </c>
      <c r="B2738" t="str">
        <f t="shared" si="294"/>
        <v>yyyy-04</v>
      </c>
      <c r="C2738">
        <f t="shared" si="295"/>
        <v>17</v>
      </c>
      <c r="D2738" t="s">
        <v>66</v>
      </c>
      <c r="E2738" t="s">
        <v>73</v>
      </c>
      <c r="F2738" t="s">
        <v>74</v>
      </c>
      <c r="G2738" t="s">
        <v>27</v>
      </c>
      <c r="H2738" t="s">
        <v>63</v>
      </c>
      <c r="I2738" s="5">
        <v>153</v>
      </c>
      <c r="J2738" s="5">
        <v>96</v>
      </c>
      <c r="K2738" s="5">
        <v>13</v>
      </c>
      <c r="L2738" s="5">
        <v>3</v>
      </c>
      <c r="M2738" s="5">
        <v>3</v>
      </c>
      <c r="N2738" s="7">
        <v>1154.6199999999999</v>
      </c>
      <c r="O2738" s="7">
        <f t="shared" si="296"/>
        <v>3463.8599999999997</v>
      </c>
      <c r="P2738" s="4">
        <v>7.0000000000000007E-2</v>
      </c>
      <c r="Q2738" s="7">
        <f t="shared" si="297"/>
        <v>242.47020000000001</v>
      </c>
      <c r="R2738" s="7">
        <f t="shared" si="298"/>
        <v>3221.3897999999995</v>
      </c>
      <c r="S2738" s="7">
        <f t="shared" si="299"/>
        <v>1073.7965999999999</v>
      </c>
      <c r="T2738" s="6">
        <f t="shared" si="300"/>
        <v>1.9607843137254902E-2</v>
      </c>
      <c r="U2738" t="s">
        <v>95</v>
      </c>
      <c r="V2738" t="s">
        <v>29</v>
      </c>
    </row>
    <row r="2739" spans="1:22">
      <c r="A2739" s="3">
        <v>45771</v>
      </c>
      <c r="B2739" t="str">
        <f t="shared" si="294"/>
        <v>yyyy-04</v>
      </c>
      <c r="C2739">
        <f t="shared" si="295"/>
        <v>17</v>
      </c>
      <c r="D2739" t="s">
        <v>66</v>
      </c>
      <c r="E2739" t="s">
        <v>71</v>
      </c>
      <c r="F2739" t="s">
        <v>75</v>
      </c>
      <c r="G2739" t="s">
        <v>36</v>
      </c>
      <c r="H2739" t="s">
        <v>37</v>
      </c>
      <c r="I2739" s="5">
        <v>335</v>
      </c>
      <c r="J2739" s="5">
        <v>271</v>
      </c>
      <c r="K2739" s="5">
        <v>15</v>
      </c>
      <c r="L2739" s="5">
        <v>5</v>
      </c>
      <c r="M2739" s="5">
        <v>6</v>
      </c>
      <c r="N2739" s="7">
        <v>38.44</v>
      </c>
      <c r="O2739" s="7">
        <f t="shared" si="296"/>
        <v>230.64</v>
      </c>
      <c r="P2739" s="4">
        <v>0</v>
      </c>
      <c r="Q2739" s="7">
        <f t="shared" si="297"/>
        <v>0</v>
      </c>
      <c r="R2739" s="7">
        <f t="shared" si="298"/>
        <v>230.64</v>
      </c>
      <c r="S2739" s="7">
        <f t="shared" si="299"/>
        <v>46.128</v>
      </c>
      <c r="T2739" s="6">
        <f t="shared" si="300"/>
        <v>1.4925373134328358E-2</v>
      </c>
      <c r="V2739" t="s">
        <v>29</v>
      </c>
    </row>
    <row r="2740" spans="1:22">
      <c r="A2740" s="3">
        <v>45771</v>
      </c>
      <c r="B2740" t="str">
        <f t="shared" si="294"/>
        <v>yyyy-04</v>
      </c>
      <c r="C2740">
        <f t="shared" si="295"/>
        <v>17</v>
      </c>
      <c r="D2740" t="s">
        <v>24</v>
      </c>
      <c r="E2740" t="s">
        <v>76</v>
      </c>
      <c r="F2740" t="s">
        <v>77</v>
      </c>
      <c r="G2740" t="s">
        <v>27</v>
      </c>
      <c r="H2740" t="s">
        <v>28</v>
      </c>
      <c r="I2740" s="5">
        <v>626</v>
      </c>
      <c r="J2740" s="5">
        <v>406</v>
      </c>
      <c r="K2740" s="5">
        <v>57</v>
      </c>
      <c r="L2740" s="5">
        <v>16</v>
      </c>
      <c r="M2740" s="5">
        <v>21</v>
      </c>
      <c r="N2740" s="7">
        <v>197.09</v>
      </c>
      <c r="O2740" s="7">
        <f t="shared" si="296"/>
        <v>4138.8900000000003</v>
      </c>
      <c r="P2740" s="4">
        <v>0.03</v>
      </c>
      <c r="Q2740" s="7">
        <f t="shared" si="297"/>
        <v>124.16670000000001</v>
      </c>
      <c r="R2740" s="7">
        <f t="shared" si="298"/>
        <v>4014.7233000000001</v>
      </c>
      <c r="S2740" s="7">
        <f t="shared" si="299"/>
        <v>250.92020625000001</v>
      </c>
      <c r="T2740" s="6">
        <f t="shared" si="300"/>
        <v>2.5559105431309903E-2</v>
      </c>
      <c r="V2740" t="s">
        <v>29</v>
      </c>
    </row>
    <row r="2741" spans="1:22">
      <c r="A2741" s="3">
        <v>45772</v>
      </c>
      <c r="B2741" t="str">
        <f t="shared" si="294"/>
        <v>yyyy-04</v>
      </c>
      <c r="C2741">
        <f t="shared" si="295"/>
        <v>17</v>
      </c>
      <c r="D2741" t="s">
        <v>24</v>
      </c>
      <c r="E2741" t="s">
        <v>25</v>
      </c>
      <c r="F2741" t="s">
        <v>26</v>
      </c>
      <c r="G2741" t="s">
        <v>27</v>
      </c>
      <c r="H2741" t="s">
        <v>45</v>
      </c>
      <c r="I2741" s="5">
        <v>1474</v>
      </c>
      <c r="J2741" s="5">
        <v>927</v>
      </c>
      <c r="K2741" s="5">
        <v>102</v>
      </c>
      <c r="L2741" s="5">
        <v>31</v>
      </c>
      <c r="M2741" s="5">
        <v>31</v>
      </c>
      <c r="N2741" s="7">
        <v>984</v>
      </c>
      <c r="O2741" s="7">
        <f t="shared" si="296"/>
        <v>30504</v>
      </c>
      <c r="P2741" s="4">
        <v>0.03</v>
      </c>
      <c r="Q2741" s="7">
        <f t="shared" si="297"/>
        <v>915.12</v>
      </c>
      <c r="R2741" s="7">
        <f t="shared" si="298"/>
        <v>29588.880000000001</v>
      </c>
      <c r="S2741" s="7">
        <f t="shared" si="299"/>
        <v>954.48</v>
      </c>
      <c r="T2741" s="6">
        <f t="shared" si="300"/>
        <v>2.1031207598371779E-2</v>
      </c>
      <c r="V2741" t="s">
        <v>29</v>
      </c>
    </row>
    <row r="2742" spans="1:22">
      <c r="A2742" s="3">
        <v>45772</v>
      </c>
      <c r="B2742" t="str">
        <f t="shared" si="294"/>
        <v>yyyy-04</v>
      </c>
      <c r="C2742">
        <f t="shared" si="295"/>
        <v>17</v>
      </c>
      <c r="D2742" t="s">
        <v>24</v>
      </c>
      <c r="E2742" t="s">
        <v>25</v>
      </c>
      <c r="F2742" t="s">
        <v>30</v>
      </c>
      <c r="G2742" t="s">
        <v>27</v>
      </c>
      <c r="H2742" t="s">
        <v>28</v>
      </c>
      <c r="I2742" s="5">
        <v>2104</v>
      </c>
      <c r="J2742" s="5">
        <v>1635</v>
      </c>
      <c r="K2742" s="5">
        <v>120</v>
      </c>
      <c r="L2742" s="5">
        <v>44</v>
      </c>
      <c r="M2742" s="5">
        <v>44</v>
      </c>
      <c r="N2742" s="7">
        <v>398.91</v>
      </c>
      <c r="O2742" s="7">
        <f t="shared" si="296"/>
        <v>17552.04</v>
      </c>
      <c r="P2742" s="4">
        <v>0</v>
      </c>
      <c r="Q2742" s="7">
        <f t="shared" si="297"/>
        <v>0</v>
      </c>
      <c r="R2742" s="7">
        <f t="shared" si="298"/>
        <v>17552.04</v>
      </c>
      <c r="S2742" s="7">
        <f t="shared" si="299"/>
        <v>398.91</v>
      </c>
      <c r="T2742" s="6">
        <f t="shared" si="300"/>
        <v>2.0912547528517109E-2</v>
      </c>
      <c r="V2742" t="s">
        <v>29</v>
      </c>
    </row>
    <row r="2743" spans="1:22">
      <c r="A2743" s="3">
        <v>45772</v>
      </c>
      <c r="B2743" t="str">
        <f t="shared" si="294"/>
        <v>yyyy-04</v>
      </c>
      <c r="C2743">
        <f t="shared" si="295"/>
        <v>17</v>
      </c>
      <c r="D2743" t="s">
        <v>24</v>
      </c>
      <c r="E2743" t="s">
        <v>25</v>
      </c>
      <c r="F2743" t="s">
        <v>33</v>
      </c>
      <c r="G2743" t="s">
        <v>36</v>
      </c>
      <c r="H2743" t="s">
        <v>37</v>
      </c>
      <c r="I2743" s="5">
        <v>2008</v>
      </c>
      <c r="J2743" s="5">
        <v>1423</v>
      </c>
      <c r="K2743" s="5">
        <v>155</v>
      </c>
      <c r="L2743" s="5">
        <v>36</v>
      </c>
      <c r="M2743" s="5">
        <v>36</v>
      </c>
      <c r="N2743" s="7">
        <v>1810.31</v>
      </c>
      <c r="O2743" s="7">
        <f t="shared" si="296"/>
        <v>65171.159999999996</v>
      </c>
      <c r="P2743" s="4">
        <v>0</v>
      </c>
      <c r="Q2743" s="7">
        <f t="shared" si="297"/>
        <v>0</v>
      </c>
      <c r="R2743" s="7">
        <f t="shared" si="298"/>
        <v>65171.159999999996</v>
      </c>
      <c r="S2743" s="7">
        <f t="shared" si="299"/>
        <v>1810.31</v>
      </c>
      <c r="T2743" s="6">
        <f t="shared" si="300"/>
        <v>1.7928286852589643E-2</v>
      </c>
      <c r="V2743" t="s">
        <v>29</v>
      </c>
    </row>
    <row r="2744" spans="1:22">
      <c r="A2744" s="3">
        <v>45772</v>
      </c>
      <c r="B2744" t="str">
        <f t="shared" si="294"/>
        <v>yyyy-04</v>
      </c>
      <c r="C2744">
        <f t="shared" si="295"/>
        <v>17</v>
      </c>
      <c r="D2744" t="s">
        <v>24</v>
      </c>
      <c r="E2744" t="s">
        <v>34</v>
      </c>
      <c r="F2744" t="s">
        <v>35</v>
      </c>
      <c r="G2744" t="s">
        <v>27</v>
      </c>
      <c r="H2744" t="s">
        <v>28</v>
      </c>
      <c r="I2744" s="5">
        <v>990</v>
      </c>
      <c r="J2744" s="5">
        <v>713</v>
      </c>
      <c r="K2744" s="5">
        <v>83</v>
      </c>
      <c r="L2744" s="5">
        <v>18</v>
      </c>
      <c r="M2744" s="5">
        <v>18</v>
      </c>
      <c r="N2744" s="7">
        <v>916.81</v>
      </c>
      <c r="O2744" s="7">
        <f t="shared" si="296"/>
        <v>16502.579999999998</v>
      </c>
      <c r="P2744" s="4">
        <v>0</v>
      </c>
      <c r="Q2744" s="7">
        <f t="shared" si="297"/>
        <v>0</v>
      </c>
      <c r="R2744" s="7">
        <f t="shared" si="298"/>
        <v>16502.579999999998</v>
      </c>
      <c r="S2744" s="7">
        <f t="shared" si="299"/>
        <v>916.81</v>
      </c>
      <c r="T2744" s="6">
        <f t="shared" si="300"/>
        <v>1.8181818181818181E-2</v>
      </c>
      <c r="V2744" t="s">
        <v>29</v>
      </c>
    </row>
    <row r="2745" spans="1:22">
      <c r="A2745" s="3">
        <v>45772</v>
      </c>
      <c r="B2745" t="str">
        <f t="shared" si="294"/>
        <v>yyyy-04</v>
      </c>
      <c r="C2745">
        <f t="shared" si="295"/>
        <v>17</v>
      </c>
      <c r="D2745" t="s">
        <v>24</v>
      </c>
      <c r="E2745" t="s">
        <v>38</v>
      </c>
      <c r="F2745" t="s">
        <v>39</v>
      </c>
      <c r="G2745" t="s">
        <v>27</v>
      </c>
      <c r="H2745" t="s">
        <v>45</v>
      </c>
      <c r="I2745" s="5">
        <v>929</v>
      </c>
      <c r="J2745" s="5">
        <v>571</v>
      </c>
      <c r="K2745" s="5">
        <v>56</v>
      </c>
      <c r="L2745" s="5">
        <v>17</v>
      </c>
      <c r="M2745" s="5">
        <v>17</v>
      </c>
      <c r="N2745" s="7">
        <v>327.60000000000002</v>
      </c>
      <c r="O2745" s="7">
        <f t="shared" si="296"/>
        <v>5569.2000000000007</v>
      </c>
      <c r="P2745" s="4">
        <v>0.03</v>
      </c>
      <c r="Q2745" s="7">
        <f t="shared" si="297"/>
        <v>167.07600000000002</v>
      </c>
      <c r="R2745" s="7">
        <f t="shared" si="298"/>
        <v>5402.1240000000007</v>
      </c>
      <c r="S2745" s="7">
        <f t="shared" si="299"/>
        <v>317.77200000000005</v>
      </c>
      <c r="T2745" s="6">
        <f t="shared" si="300"/>
        <v>1.829924650161464E-2</v>
      </c>
      <c r="V2745" t="s">
        <v>78</v>
      </c>
    </row>
    <row r="2746" spans="1:22">
      <c r="A2746" s="3">
        <v>45772</v>
      </c>
      <c r="B2746" t="str">
        <f t="shared" si="294"/>
        <v>yyyy-04</v>
      </c>
      <c r="C2746">
        <f t="shared" si="295"/>
        <v>17</v>
      </c>
      <c r="D2746" t="s">
        <v>24</v>
      </c>
      <c r="E2746" t="s">
        <v>40</v>
      </c>
      <c r="F2746" t="s">
        <v>41</v>
      </c>
      <c r="G2746" t="s">
        <v>27</v>
      </c>
      <c r="H2746" t="s">
        <v>28</v>
      </c>
      <c r="I2746" s="5">
        <v>752</v>
      </c>
      <c r="J2746" s="5">
        <v>561</v>
      </c>
      <c r="K2746" s="5">
        <v>37</v>
      </c>
      <c r="L2746" s="5">
        <v>11</v>
      </c>
      <c r="M2746" s="5">
        <v>15</v>
      </c>
      <c r="N2746" s="7">
        <v>179.98</v>
      </c>
      <c r="O2746" s="7">
        <f t="shared" si="296"/>
        <v>2699.7</v>
      </c>
      <c r="P2746" s="4">
        <v>0</v>
      </c>
      <c r="Q2746" s="7">
        <f t="shared" si="297"/>
        <v>0</v>
      </c>
      <c r="R2746" s="7">
        <f t="shared" si="298"/>
        <v>2699.7</v>
      </c>
      <c r="S2746" s="7">
        <f t="shared" si="299"/>
        <v>245.42727272727271</v>
      </c>
      <c r="T2746" s="6">
        <f t="shared" si="300"/>
        <v>1.4627659574468085E-2</v>
      </c>
      <c r="V2746" t="s">
        <v>29</v>
      </c>
    </row>
    <row r="2747" spans="1:22">
      <c r="A2747" s="3">
        <v>45772</v>
      </c>
      <c r="B2747" t="str">
        <f t="shared" si="294"/>
        <v>yyyy-04</v>
      </c>
      <c r="C2747">
        <f t="shared" si="295"/>
        <v>17</v>
      </c>
      <c r="D2747" t="s">
        <v>42</v>
      </c>
      <c r="E2747" t="s">
        <v>43</v>
      </c>
      <c r="F2747" t="s">
        <v>44</v>
      </c>
      <c r="G2747" t="s">
        <v>27</v>
      </c>
      <c r="H2747" t="s">
        <v>45</v>
      </c>
      <c r="I2747" s="5">
        <v>408</v>
      </c>
      <c r="J2747" s="5">
        <v>305</v>
      </c>
      <c r="K2747" s="5">
        <v>27</v>
      </c>
      <c r="L2747" s="5">
        <v>5</v>
      </c>
      <c r="M2747" s="5">
        <v>5</v>
      </c>
      <c r="N2747" s="7">
        <v>1268.06</v>
      </c>
      <c r="O2747" s="7">
        <f t="shared" si="296"/>
        <v>6340.2999999999993</v>
      </c>
      <c r="P2747" s="4">
        <v>0.03</v>
      </c>
      <c r="Q2747" s="7">
        <f t="shared" si="297"/>
        <v>190.20899999999997</v>
      </c>
      <c r="R2747" s="7">
        <f t="shared" si="298"/>
        <v>6150.0909999999994</v>
      </c>
      <c r="S2747" s="7">
        <f t="shared" si="299"/>
        <v>1230.0182</v>
      </c>
      <c r="T2747" s="6">
        <f t="shared" si="300"/>
        <v>1.2254901960784314E-2</v>
      </c>
      <c r="V2747" t="s">
        <v>78</v>
      </c>
    </row>
    <row r="2748" spans="1:22">
      <c r="A2748" s="3">
        <v>45772</v>
      </c>
      <c r="B2748" t="str">
        <f t="shared" si="294"/>
        <v>yyyy-04</v>
      </c>
      <c r="C2748">
        <f t="shared" si="295"/>
        <v>17</v>
      </c>
      <c r="D2748" t="s">
        <v>42</v>
      </c>
      <c r="E2748" t="s">
        <v>43</v>
      </c>
      <c r="F2748" t="s">
        <v>46</v>
      </c>
      <c r="G2748" t="s">
        <v>27</v>
      </c>
      <c r="H2748" t="s">
        <v>45</v>
      </c>
      <c r="I2748" s="5">
        <v>466</v>
      </c>
      <c r="J2748" s="5">
        <v>382</v>
      </c>
      <c r="K2748" s="5">
        <v>18</v>
      </c>
      <c r="L2748" s="5">
        <v>5</v>
      </c>
      <c r="M2748" s="5">
        <v>5</v>
      </c>
      <c r="N2748" s="7">
        <v>2166.6799999999998</v>
      </c>
      <c r="O2748" s="7">
        <f t="shared" si="296"/>
        <v>10833.4</v>
      </c>
      <c r="P2748" s="4">
        <v>0</v>
      </c>
      <c r="Q2748" s="7">
        <f t="shared" si="297"/>
        <v>0</v>
      </c>
      <c r="R2748" s="7">
        <f t="shared" si="298"/>
        <v>10833.4</v>
      </c>
      <c r="S2748" s="7">
        <f t="shared" si="299"/>
        <v>2166.6799999999998</v>
      </c>
      <c r="T2748" s="6">
        <f t="shared" si="300"/>
        <v>1.0729613733905579E-2</v>
      </c>
      <c r="V2748" t="s">
        <v>29</v>
      </c>
    </row>
    <row r="2749" spans="1:22">
      <c r="A2749" s="3">
        <v>45772</v>
      </c>
      <c r="B2749" t="str">
        <f t="shared" si="294"/>
        <v>yyyy-04</v>
      </c>
      <c r="C2749">
        <f t="shared" si="295"/>
        <v>17</v>
      </c>
      <c r="D2749" t="s">
        <v>42</v>
      </c>
      <c r="E2749" t="s">
        <v>43</v>
      </c>
      <c r="F2749" t="s">
        <v>47</v>
      </c>
      <c r="G2749" t="s">
        <v>36</v>
      </c>
      <c r="H2749" t="s">
        <v>37</v>
      </c>
      <c r="I2749" s="5">
        <v>595</v>
      </c>
      <c r="J2749" s="5">
        <v>437</v>
      </c>
      <c r="K2749" s="5">
        <v>30</v>
      </c>
      <c r="L2749" s="5">
        <v>6</v>
      </c>
      <c r="M2749" s="5">
        <v>6</v>
      </c>
      <c r="N2749" s="7">
        <v>581.69000000000005</v>
      </c>
      <c r="O2749" s="7">
        <f t="shared" si="296"/>
        <v>3490.1400000000003</v>
      </c>
      <c r="P2749" s="4">
        <v>0</v>
      </c>
      <c r="Q2749" s="7">
        <f t="shared" si="297"/>
        <v>0</v>
      </c>
      <c r="R2749" s="7">
        <f t="shared" si="298"/>
        <v>3490.1400000000003</v>
      </c>
      <c r="S2749" s="7">
        <f t="shared" si="299"/>
        <v>581.69000000000005</v>
      </c>
      <c r="T2749" s="6">
        <f t="shared" si="300"/>
        <v>1.0084033613445379E-2</v>
      </c>
      <c r="V2749" t="s">
        <v>29</v>
      </c>
    </row>
    <row r="2750" spans="1:22">
      <c r="A2750" s="3">
        <v>45772</v>
      </c>
      <c r="B2750" t="str">
        <f t="shared" si="294"/>
        <v>yyyy-04</v>
      </c>
      <c r="C2750">
        <f t="shared" si="295"/>
        <v>17</v>
      </c>
      <c r="D2750" t="s">
        <v>42</v>
      </c>
      <c r="E2750" t="s">
        <v>49</v>
      </c>
      <c r="F2750" t="s">
        <v>50</v>
      </c>
      <c r="G2750" t="s">
        <v>27</v>
      </c>
      <c r="H2750" t="s">
        <v>28</v>
      </c>
      <c r="I2750" s="5">
        <v>163</v>
      </c>
      <c r="J2750" s="5">
        <v>102</v>
      </c>
      <c r="K2750" s="5">
        <v>8</v>
      </c>
      <c r="L2750" s="5">
        <v>3</v>
      </c>
      <c r="M2750" s="5">
        <v>3</v>
      </c>
      <c r="N2750" s="7">
        <v>974.91</v>
      </c>
      <c r="O2750" s="7">
        <f t="shared" si="296"/>
        <v>2924.73</v>
      </c>
      <c r="P2750" s="4">
        <v>0.1</v>
      </c>
      <c r="Q2750" s="7">
        <f t="shared" si="297"/>
        <v>292.47300000000001</v>
      </c>
      <c r="R2750" s="7">
        <f t="shared" si="298"/>
        <v>2632.2570000000001</v>
      </c>
      <c r="S2750" s="7">
        <f t="shared" si="299"/>
        <v>877.41899999999998</v>
      </c>
      <c r="T2750" s="6">
        <f t="shared" si="300"/>
        <v>1.8404907975460124E-2</v>
      </c>
      <c r="U2750" t="s">
        <v>94</v>
      </c>
      <c r="V2750" t="s">
        <v>29</v>
      </c>
    </row>
    <row r="2751" spans="1:22">
      <c r="A2751" s="3">
        <v>45772</v>
      </c>
      <c r="B2751" t="str">
        <f t="shared" si="294"/>
        <v>yyyy-04</v>
      </c>
      <c r="C2751">
        <f t="shared" si="295"/>
        <v>17</v>
      </c>
      <c r="D2751" t="s">
        <v>42</v>
      </c>
      <c r="E2751" t="s">
        <v>51</v>
      </c>
      <c r="F2751" t="s">
        <v>52</v>
      </c>
      <c r="G2751" t="s">
        <v>27</v>
      </c>
      <c r="H2751" t="s">
        <v>45</v>
      </c>
      <c r="I2751" s="5">
        <v>277</v>
      </c>
      <c r="J2751" s="5">
        <v>197</v>
      </c>
      <c r="K2751" s="5">
        <v>15</v>
      </c>
      <c r="L2751" s="5">
        <v>5</v>
      </c>
      <c r="M2751" s="5">
        <v>5</v>
      </c>
      <c r="N2751" s="7">
        <v>600.97</v>
      </c>
      <c r="O2751" s="7">
        <f t="shared" si="296"/>
        <v>3004.8500000000004</v>
      </c>
      <c r="P2751" s="4">
        <v>0.05</v>
      </c>
      <c r="Q2751" s="7">
        <f t="shared" si="297"/>
        <v>150.24250000000004</v>
      </c>
      <c r="R2751" s="7">
        <f t="shared" si="298"/>
        <v>2854.6075000000005</v>
      </c>
      <c r="S2751" s="7">
        <f t="shared" si="299"/>
        <v>570.92150000000015</v>
      </c>
      <c r="T2751" s="6">
        <f t="shared" si="300"/>
        <v>1.8050541516245487E-2</v>
      </c>
      <c r="V2751" t="s">
        <v>29</v>
      </c>
    </row>
    <row r="2752" spans="1:22">
      <c r="A2752" s="3">
        <v>45772</v>
      </c>
      <c r="B2752" t="str">
        <f t="shared" si="294"/>
        <v>yyyy-04</v>
      </c>
      <c r="C2752">
        <f t="shared" si="295"/>
        <v>17</v>
      </c>
      <c r="D2752" t="s">
        <v>53</v>
      </c>
      <c r="E2752" t="s">
        <v>54</v>
      </c>
      <c r="F2752" t="s">
        <v>55</v>
      </c>
      <c r="G2752" t="s">
        <v>27</v>
      </c>
      <c r="H2752" t="s">
        <v>48</v>
      </c>
      <c r="I2752" s="5">
        <v>111</v>
      </c>
      <c r="J2752" s="5">
        <v>80</v>
      </c>
      <c r="K2752" s="5">
        <v>9</v>
      </c>
      <c r="L2752" s="5">
        <v>1</v>
      </c>
      <c r="M2752" s="5">
        <v>1</v>
      </c>
      <c r="N2752" s="7">
        <v>1278.3</v>
      </c>
      <c r="O2752" s="7">
        <f t="shared" si="296"/>
        <v>1278.3</v>
      </c>
      <c r="P2752" s="4">
        <v>0</v>
      </c>
      <c r="Q2752" s="7">
        <f t="shared" si="297"/>
        <v>0</v>
      </c>
      <c r="R2752" s="7">
        <f t="shared" si="298"/>
        <v>1278.3</v>
      </c>
      <c r="S2752" s="7">
        <f t="shared" si="299"/>
        <v>1278.3</v>
      </c>
      <c r="T2752" s="6">
        <f t="shared" si="300"/>
        <v>9.0090090090090089E-3</v>
      </c>
      <c r="V2752" t="s">
        <v>29</v>
      </c>
    </row>
    <row r="2753" spans="1:22">
      <c r="A2753" s="3">
        <v>45772</v>
      </c>
      <c r="B2753" t="str">
        <f t="shared" si="294"/>
        <v>yyyy-04</v>
      </c>
      <c r="C2753">
        <f t="shared" si="295"/>
        <v>17</v>
      </c>
      <c r="D2753" t="s">
        <v>53</v>
      </c>
      <c r="E2753" t="s">
        <v>56</v>
      </c>
      <c r="F2753" t="s">
        <v>57</v>
      </c>
      <c r="G2753" t="s">
        <v>31</v>
      </c>
      <c r="H2753" t="s">
        <v>32</v>
      </c>
      <c r="I2753" s="5">
        <v>277</v>
      </c>
      <c r="J2753" s="5">
        <v>202</v>
      </c>
      <c r="K2753" s="5">
        <v>18</v>
      </c>
      <c r="L2753" s="5">
        <v>4</v>
      </c>
      <c r="M2753" s="5">
        <v>4</v>
      </c>
      <c r="N2753" s="7">
        <v>750.13</v>
      </c>
      <c r="O2753" s="7">
        <f t="shared" si="296"/>
        <v>3000.52</v>
      </c>
      <c r="P2753" s="4">
        <v>0</v>
      </c>
      <c r="Q2753" s="7">
        <f t="shared" si="297"/>
        <v>0</v>
      </c>
      <c r="R2753" s="7">
        <f t="shared" si="298"/>
        <v>3000.52</v>
      </c>
      <c r="S2753" s="7">
        <f t="shared" si="299"/>
        <v>750.13</v>
      </c>
      <c r="T2753" s="6">
        <f t="shared" si="300"/>
        <v>1.444043321299639E-2</v>
      </c>
      <c r="V2753" t="s">
        <v>29</v>
      </c>
    </row>
    <row r="2754" spans="1:22">
      <c r="A2754" s="3">
        <v>45772</v>
      </c>
      <c r="B2754" t="str">
        <f t="shared" si="294"/>
        <v>yyyy-04</v>
      </c>
      <c r="C2754">
        <f t="shared" si="295"/>
        <v>17</v>
      </c>
      <c r="D2754" t="s">
        <v>53</v>
      </c>
      <c r="E2754" t="s">
        <v>56</v>
      </c>
      <c r="F2754" t="s">
        <v>58</v>
      </c>
      <c r="G2754" t="s">
        <v>27</v>
      </c>
      <c r="H2754" t="s">
        <v>28</v>
      </c>
      <c r="I2754" s="5">
        <v>240</v>
      </c>
      <c r="J2754" s="5">
        <v>139</v>
      </c>
      <c r="K2754" s="5">
        <v>9</v>
      </c>
      <c r="L2754" s="5">
        <v>3</v>
      </c>
      <c r="M2754" s="5">
        <v>3</v>
      </c>
      <c r="N2754" s="7">
        <v>914.53</v>
      </c>
      <c r="O2754" s="7">
        <f t="shared" si="296"/>
        <v>2743.59</v>
      </c>
      <c r="P2754" s="4">
        <v>0</v>
      </c>
      <c r="Q2754" s="7">
        <f t="shared" si="297"/>
        <v>0</v>
      </c>
      <c r="R2754" s="7">
        <f t="shared" si="298"/>
        <v>2743.59</v>
      </c>
      <c r="S2754" s="7">
        <f t="shared" si="299"/>
        <v>914.53000000000009</v>
      </c>
      <c r="T2754" s="6">
        <f t="shared" si="300"/>
        <v>1.2500000000000001E-2</v>
      </c>
      <c r="V2754" t="s">
        <v>29</v>
      </c>
    </row>
    <row r="2755" spans="1:22">
      <c r="A2755" s="3">
        <v>45772</v>
      </c>
      <c r="B2755" t="str">
        <f t="shared" si="294"/>
        <v>yyyy-04</v>
      </c>
      <c r="C2755">
        <f t="shared" si="295"/>
        <v>17</v>
      </c>
      <c r="D2755" t="s">
        <v>53</v>
      </c>
      <c r="E2755" t="s">
        <v>59</v>
      </c>
      <c r="F2755" t="s">
        <v>60</v>
      </c>
      <c r="G2755" t="s">
        <v>36</v>
      </c>
      <c r="H2755" t="s">
        <v>37</v>
      </c>
      <c r="I2755" s="5">
        <v>185</v>
      </c>
      <c r="J2755" s="5">
        <v>132</v>
      </c>
      <c r="K2755" s="5">
        <v>6</v>
      </c>
      <c r="L2755" s="5">
        <v>2</v>
      </c>
      <c r="M2755" s="5">
        <v>2</v>
      </c>
      <c r="N2755" s="7">
        <v>698.95</v>
      </c>
      <c r="O2755" s="7">
        <f t="shared" si="296"/>
        <v>1397.9</v>
      </c>
      <c r="P2755" s="4">
        <v>0</v>
      </c>
      <c r="Q2755" s="7">
        <f t="shared" si="297"/>
        <v>0</v>
      </c>
      <c r="R2755" s="7">
        <f t="shared" si="298"/>
        <v>1397.9</v>
      </c>
      <c r="S2755" s="7">
        <f t="shared" si="299"/>
        <v>698.95</v>
      </c>
      <c r="T2755" s="6">
        <f t="shared" si="300"/>
        <v>1.0810810810810811E-2</v>
      </c>
      <c r="V2755" t="s">
        <v>29</v>
      </c>
    </row>
    <row r="2756" spans="1:22">
      <c r="A2756" s="3">
        <v>45772</v>
      </c>
      <c r="B2756" t="str">
        <f t="shared" si="294"/>
        <v>yyyy-04</v>
      </c>
      <c r="C2756">
        <f t="shared" si="295"/>
        <v>17</v>
      </c>
      <c r="D2756" t="s">
        <v>53</v>
      </c>
      <c r="E2756" t="s">
        <v>61</v>
      </c>
      <c r="F2756" t="s">
        <v>62</v>
      </c>
      <c r="G2756" t="s">
        <v>27</v>
      </c>
      <c r="H2756" t="s">
        <v>63</v>
      </c>
      <c r="I2756" s="5">
        <v>89</v>
      </c>
      <c r="J2756" s="5">
        <v>54</v>
      </c>
      <c r="K2756" s="5">
        <v>5</v>
      </c>
      <c r="L2756" s="5">
        <v>1</v>
      </c>
      <c r="M2756" s="5">
        <v>1</v>
      </c>
      <c r="N2756" s="7">
        <v>506.7</v>
      </c>
      <c r="O2756" s="7">
        <f t="shared" si="296"/>
        <v>506.7</v>
      </c>
      <c r="P2756" s="4">
        <v>0</v>
      </c>
      <c r="Q2756" s="7">
        <f t="shared" si="297"/>
        <v>0</v>
      </c>
      <c r="R2756" s="7">
        <f t="shared" si="298"/>
        <v>506.7</v>
      </c>
      <c r="S2756" s="7">
        <f t="shared" si="299"/>
        <v>506.7</v>
      </c>
      <c r="T2756" s="6">
        <f t="shared" si="300"/>
        <v>1.1235955056179775E-2</v>
      </c>
      <c r="V2756" t="s">
        <v>29</v>
      </c>
    </row>
    <row r="2757" spans="1:22">
      <c r="A2757" s="3">
        <v>45772</v>
      </c>
      <c r="B2757" t="str">
        <f t="shared" ref="B2757:B2820" si="301">TEXT(A2757,"yyyy-mm")</f>
        <v>yyyy-04</v>
      </c>
      <c r="C2757">
        <f t="shared" ref="C2757:C2820" si="302">WEEKNUM(A2757,2)</f>
        <v>17</v>
      </c>
      <c r="D2757" t="s">
        <v>53</v>
      </c>
      <c r="E2757" t="s">
        <v>64</v>
      </c>
      <c r="F2757" t="s">
        <v>65</v>
      </c>
      <c r="G2757" t="s">
        <v>36</v>
      </c>
      <c r="H2757" t="s">
        <v>37</v>
      </c>
      <c r="I2757" s="5">
        <v>253</v>
      </c>
      <c r="J2757" s="5">
        <v>147</v>
      </c>
      <c r="K2757" s="5">
        <v>18</v>
      </c>
      <c r="L2757" s="5">
        <v>3</v>
      </c>
      <c r="M2757" s="5">
        <v>3</v>
      </c>
      <c r="N2757" s="7">
        <v>773.77</v>
      </c>
      <c r="O2757" s="7">
        <f t="shared" ref="O2757:O2820" si="303">M2757*N2757</f>
        <v>2321.31</v>
      </c>
      <c r="P2757" s="4">
        <v>0</v>
      </c>
      <c r="Q2757" s="7">
        <f t="shared" ref="Q2757:Q2820" si="304">O2757*P2757</f>
        <v>0</v>
      </c>
      <c r="R2757" s="7">
        <f t="shared" ref="R2757:R2820" si="305">O2757-Q2757</f>
        <v>2321.31</v>
      </c>
      <c r="S2757" s="7">
        <f t="shared" ref="S2757:S2820" si="306">IFERROR(R2757/L2757,0)</f>
        <v>773.77</v>
      </c>
      <c r="T2757" s="6">
        <f t="shared" ref="T2757:T2820" si="307">IFERROR(L2757/I2757,0)</f>
        <v>1.1857707509881422E-2</v>
      </c>
      <c r="V2757" t="s">
        <v>29</v>
      </c>
    </row>
    <row r="2758" spans="1:22">
      <c r="A2758" s="3">
        <v>45772</v>
      </c>
      <c r="B2758" t="str">
        <f t="shared" si="301"/>
        <v>yyyy-04</v>
      </c>
      <c r="C2758">
        <f t="shared" si="302"/>
        <v>17</v>
      </c>
      <c r="D2758" t="s">
        <v>66</v>
      </c>
      <c r="E2758" t="s">
        <v>67</v>
      </c>
      <c r="F2758" t="s">
        <v>68</v>
      </c>
      <c r="G2758" t="s">
        <v>31</v>
      </c>
      <c r="H2758" t="s">
        <v>32</v>
      </c>
      <c r="I2758" s="5">
        <v>387</v>
      </c>
      <c r="J2758" s="5">
        <v>246</v>
      </c>
      <c r="K2758" s="5">
        <v>29</v>
      </c>
      <c r="L2758" s="5">
        <v>7</v>
      </c>
      <c r="M2758" s="5">
        <v>7</v>
      </c>
      <c r="N2758" s="7">
        <v>678.04</v>
      </c>
      <c r="O2758" s="7">
        <f t="shared" si="303"/>
        <v>4746.28</v>
      </c>
      <c r="P2758" s="4">
        <v>0</v>
      </c>
      <c r="Q2758" s="7">
        <f t="shared" si="304"/>
        <v>0</v>
      </c>
      <c r="R2758" s="7">
        <f t="shared" si="305"/>
        <v>4746.28</v>
      </c>
      <c r="S2758" s="7">
        <f t="shared" si="306"/>
        <v>678.04</v>
      </c>
      <c r="T2758" s="6">
        <f t="shared" si="307"/>
        <v>1.8087855297157621E-2</v>
      </c>
      <c r="V2758" t="s">
        <v>29</v>
      </c>
    </row>
    <row r="2759" spans="1:22">
      <c r="A2759" s="3">
        <v>45772</v>
      </c>
      <c r="B2759" t="str">
        <f t="shared" si="301"/>
        <v>yyyy-04</v>
      </c>
      <c r="C2759">
        <f t="shared" si="302"/>
        <v>17</v>
      </c>
      <c r="D2759" t="s">
        <v>66</v>
      </c>
      <c r="E2759" t="s">
        <v>67</v>
      </c>
      <c r="F2759" t="s">
        <v>69</v>
      </c>
      <c r="G2759" t="s">
        <v>36</v>
      </c>
      <c r="H2759" t="s">
        <v>37</v>
      </c>
      <c r="I2759" s="5">
        <v>343</v>
      </c>
      <c r="J2759" s="5">
        <v>234</v>
      </c>
      <c r="K2759" s="5">
        <v>26</v>
      </c>
      <c r="L2759" s="5">
        <v>6</v>
      </c>
      <c r="M2759" s="5">
        <v>6</v>
      </c>
      <c r="N2759" s="7">
        <v>386.87</v>
      </c>
      <c r="O2759" s="7">
        <f t="shared" si="303"/>
        <v>2321.2200000000003</v>
      </c>
      <c r="P2759" s="4">
        <v>0</v>
      </c>
      <c r="Q2759" s="7">
        <f t="shared" si="304"/>
        <v>0</v>
      </c>
      <c r="R2759" s="7">
        <f t="shared" si="305"/>
        <v>2321.2200000000003</v>
      </c>
      <c r="S2759" s="7">
        <f t="shared" si="306"/>
        <v>386.87000000000006</v>
      </c>
      <c r="T2759" s="6">
        <f t="shared" si="307"/>
        <v>1.7492711370262391E-2</v>
      </c>
      <c r="V2759" t="s">
        <v>29</v>
      </c>
    </row>
    <row r="2760" spans="1:22">
      <c r="A2760" s="3">
        <v>45772</v>
      </c>
      <c r="B2760" t="str">
        <f t="shared" si="301"/>
        <v>yyyy-04</v>
      </c>
      <c r="C2760">
        <f t="shared" si="302"/>
        <v>17</v>
      </c>
      <c r="D2760" t="s">
        <v>66</v>
      </c>
      <c r="E2760" t="s">
        <v>67</v>
      </c>
      <c r="F2760" t="s">
        <v>70</v>
      </c>
      <c r="G2760" t="s">
        <v>27</v>
      </c>
      <c r="H2760" t="s">
        <v>28</v>
      </c>
      <c r="I2760" s="5">
        <v>404</v>
      </c>
      <c r="J2760" s="5">
        <v>239</v>
      </c>
      <c r="K2760" s="5">
        <v>26</v>
      </c>
      <c r="L2760" s="5">
        <v>8</v>
      </c>
      <c r="M2760" s="5">
        <v>8</v>
      </c>
      <c r="N2760" s="7">
        <v>352.72</v>
      </c>
      <c r="O2760" s="7">
        <f t="shared" si="303"/>
        <v>2821.76</v>
      </c>
      <c r="P2760" s="4">
        <v>0</v>
      </c>
      <c r="Q2760" s="7">
        <f t="shared" si="304"/>
        <v>0</v>
      </c>
      <c r="R2760" s="7">
        <f t="shared" si="305"/>
        <v>2821.76</v>
      </c>
      <c r="S2760" s="7">
        <f t="shared" si="306"/>
        <v>352.72</v>
      </c>
      <c r="T2760" s="6">
        <f t="shared" si="307"/>
        <v>1.9801980198019802E-2</v>
      </c>
      <c r="V2760" t="s">
        <v>29</v>
      </c>
    </row>
    <row r="2761" spans="1:22">
      <c r="A2761" s="3">
        <v>45772</v>
      </c>
      <c r="B2761" t="str">
        <f t="shared" si="301"/>
        <v>yyyy-04</v>
      </c>
      <c r="C2761">
        <f t="shared" si="302"/>
        <v>17</v>
      </c>
      <c r="D2761" t="s">
        <v>66</v>
      </c>
      <c r="E2761" t="s">
        <v>71</v>
      </c>
      <c r="F2761" t="s">
        <v>72</v>
      </c>
      <c r="G2761" t="s">
        <v>27</v>
      </c>
      <c r="H2761" t="s">
        <v>63</v>
      </c>
      <c r="I2761" s="5">
        <v>291</v>
      </c>
      <c r="J2761" s="5">
        <v>236</v>
      </c>
      <c r="K2761" s="5">
        <v>16</v>
      </c>
      <c r="L2761" s="5">
        <v>5</v>
      </c>
      <c r="M2761" s="5">
        <v>6</v>
      </c>
      <c r="N2761" s="7">
        <v>128.41</v>
      </c>
      <c r="O2761" s="7">
        <f t="shared" si="303"/>
        <v>770.46</v>
      </c>
      <c r="P2761" s="4">
        <v>0.03</v>
      </c>
      <c r="Q2761" s="7">
        <f t="shared" si="304"/>
        <v>23.113800000000001</v>
      </c>
      <c r="R2761" s="7">
        <f t="shared" si="305"/>
        <v>747.34620000000007</v>
      </c>
      <c r="S2761" s="7">
        <f t="shared" si="306"/>
        <v>149.46924000000001</v>
      </c>
      <c r="T2761" s="6">
        <f t="shared" si="307"/>
        <v>1.7182130584192441E-2</v>
      </c>
      <c r="V2761" t="s">
        <v>29</v>
      </c>
    </row>
    <row r="2762" spans="1:22">
      <c r="A2762" s="3">
        <v>45772</v>
      </c>
      <c r="B2762" t="str">
        <f t="shared" si="301"/>
        <v>yyyy-04</v>
      </c>
      <c r="C2762">
        <f t="shared" si="302"/>
        <v>17</v>
      </c>
      <c r="D2762" t="s">
        <v>66</v>
      </c>
      <c r="E2762" t="s">
        <v>73</v>
      </c>
      <c r="F2762" t="s">
        <v>74</v>
      </c>
      <c r="G2762" t="s">
        <v>31</v>
      </c>
      <c r="H2762" t="s">
        <v>32</v>
      </c>
      <c r="I2762" s="5">
        <v>285</v>
      </c>
      <c r="J2762" s="5">
        <v>228</v>
      </c>
      <c r="K2762" s="5">
        <v>23</v>
      </c>
      <c r="L2762" s="5">
        <v>7</v>
      </c>
      <c r="M2762" s="5">
        <v>7</v>
      </c>
      <c r="N2762" s="7">
        <v>1208.8699999999999</v>
      </c>
      <c r="O2762" s="7">
        <f t="shared" si="303"/>
        <v>8462.09</v>
      </c>
      <c r="P2762" s="4">
        <v>7.0000000000000007E-2</v>
      </c>
      <c r="Q2762" s="7">
        <f t="shared" si="304"/>
        <v>592.34630000000004</v>
      </c>
      <c r="R2762" s="7">
        <f t="shared" si="305"/>
        <v>7869.7437</v>
      </c>
      <c r="S2762" s="7">
        <f t="shared" si="306"/>
        <v>1124.2491</v>
      </c>
      <c r="T2762" s="6">
        <f t="shared" si="307"/>
        <v>2.456140350877193E-2</v>
      </c>
      <c r="U2762" t="s">
        <v>95</v>
      </c>
      <c r="V2762" t="s">
        <v>29</v>
      </c>
    </row>
    <row r="2763" spans="1:22">
      <c r="A2763" s="3">
        <v>45772</v>
      </c>
      <c r="B2763" t="str">
        <f t="shared" si="301"/>
        <v>yyyy-04</v>
      </c>
      <c r="C2763">
        <f t="shared" si="302"/>
        <v>17</v>
      </c>
      <c r="D2763" t="s">
        <v>66</v>
      </c>
      <c r="E2763" t="s">
        <v>71</v>
      </c>
      <c r="F2763" t="s">
        <v>75</v>
      </c>
      <c r="G2763" t="s">
        <v>27</v>
      </c>
      <c r="H2763" t="s">
        <v>63</v>
      </c>
      <c r="I2763" s="5">
        <v>246</v>
      </c>
      <c r="J2763" s="5">
        <v>198</v>
      </c>
      <c r="K2763" s="5">
        <v>16</v>
      </c>
      <c r="L2763" s="5">
        <v>5</v>
      </c>
      <c r="M2763" s="5">
        <v>7</v>
      </c>
      <c r="N2763" s="7">
        <v>37.65</v>
      </c>
      <c r="O2763" s="7">
        <f t="shared" si="303"/>
        <v>263.55</v>
      </c>
      <c r="P2763" s="4">
        <v>0</v>
      </c>
      <c r="Q2763" s="7">
        <f t="shared" si="304"/>
        <v>0</v>
      </c>
      <c r="R2763" s="7">
        <f t="shared" si="305"/>
        <v>263.55</v>
      </c>
      <c r="S2763" s="7">
        <f t="shared" si="306"/>
        <v>52.71</v>
      </c>
      <c r="T2763" s="6">
        <f t="shared" si="307"/>
        <v>2.032520325203252E-2</v>
      </c>
      <c r="V2763" t="s">
        <v>29</v>
      </c>
    </row>
    <row r="2764" spans="1:22">
      <c r="A2764" s="3">
        <v>45772</v>
      </c>
      <c r="B2764" t="str">
        <f t="shared" si="301"/>
        <v>yyyy-04</v>
      </c>
      <c r="C2764">
        <f t="shared" si="302"/>
        <v>17</v>
      </c>
      <c r="D2764" t="s">
        <v>24</v>
      </c>
      <c r="E2764" t="s">
        <v>76</v>
      </c>
      <c r="F2764" t="s">
        <v>77</v>
      </c>
      <c r="G2764" t="s">
        <v>36</v>
      </c>
      <c r="H2764" t="s">
        <v>37</v>
      </c>
      <c r="I2764" s="5">
        <v>785</v>
      </c>
      <c r="J2764" s="5">
        <v>498</v>
      </c>
      <c r="K2764" s="5">
        <v>45</v>
      </c>
      <c r="L2764" s="5">
        <v>14</v>
      </c>
      <c r="M2764" s="5">
        <v>18</v>
      </c>
      <c r="N2764" s="7">
        <v>192.77</v>
      </c>
      <c r="O2764" s="7">
        <f t="shared" si="303"/>
        <v>3469.86</v>
      </c>
      <c r="P2764" s="4">
        <v>0</v>
      </c>
      <c r="Q2764" s="7">
        <f t="shared" si="304"/>
        <v>0</v>
      </c>
      <c r="R2764" s="7">
        <f t="shared" si="305"/>
        <v>3469.86</v>
      </c>
      <c r="S2764" s="7">
        <f t="shared" si="306"/>
        <v>247.84714285714287</v>
      </c>
      <c r="T2764" s="6">
        <f t="shared" si="307"/>
        <v>1.7834394904458598E-2</v>
      </c>
      <c r="V2764" t="s">
        <v>78</v>
      </c>
    </row>
    <row r="2765" spans="1:22">
      <c r="A2765" s="3">
        <v>45773</v>
      </c>
      <c r="B2765" t="str">
        <f t="shared" si="301"/>
        <v>yyyy-04</v>
      </c>
      <c r="C2765">
        <f t="shared" si="302"/>
        <v>17</v>
      </c>
      <c r="D2765" t="s">
        <v>24</v>
      </c>
      <c r="E2765" t="s">
        <v>25</v>
      </c>
      <c r="F2765" t="s">
        <v>26</v>
      </c>
      <c r="G2765" t="s">
        <v>31</v>
      </c>
      <c r="H2765" t="s">
        <v>32</v>
      </c>
      <c r="I2765" s="5">
        <v>2078</v>
      </c>
      <c r="J2765" s="5">
        <v>1313</v>
      </c>
      <c r="K2765" s="5">
        <v>125</v>
      </c>
      <c r="L2765" s="5">
        <v>40</v>
      </c>
      <c r="M2765" s="5">
        <v>40</v>
      </c>
      <c r="N2765" s="7">
        <v>995.58</v>
      </c>
      <c r="O2765" s="7">
        <f t="shared" si="303"/>
        <v>39823.200000000004</v>
      </c>
      <c r="P2765" s="4">
        <v>0.05</v>
      </c>
      <c r="Q2765" s="7">
        <f t="shared" si="304"/>
        <v>1991.1600000000003</v>
      </c>
      <c r="R2765" s="7">
        <f t="shared" si="305"/>
        <v>37832.04</v>
      </c>
      <c r="S2765" s="7">
        <f t="shared" si="306"/>
        <v>945.80100000000004</v>
      </c>
      <c r="T2765" s="6">
        <f t="shared" si="307"/>
        <v>1.9249278152069296E-2</v>
      </c>
      <c r="V2765" t="s">
        <v>29</v>
      </c>
    </row>
    <row r="2766" spans="1:22">
      <c r="A2766" s="3">
        <v>45773</v>
      </c>
      <c r="B2766" t="str">
        <f t="shared" si="301"/>
        <v>yyyy-04</v>
      </c>
      <c r="C2766">
        <f t="shared" si="302"/>
        <v>17</v>
      </c>
      <c r="D2766" t="s">
        <v>24</v>
      </c>
      <c r="E2766" t="s">
        <v>25</v>
      </c>
      <c r="F2766" t="s">
        <v>30</v>
      </c>
      <c r="G2766" t="s">
        <v>31</v>
      </c>
      <c r="H2766" t="s">
        <v>32</v>
      </c>
      <c r="I2766" s="5">
        <v>2240</v>
      </c>
      <c r="J2766" s="5">
        <v>1181</v>
      </c>
      <c r="K2766" s="5">
        <v>132</v>
      </c>
      <c r="L2766" s="5">
        <v>41</v>
      </c>
      <c r="M2766" s="5">
        <v>41</v>
      </c>
      <c r="N2766" s="7">
        <v>395.52</v>
      </c>
      <c r="O2766" s="7">
        <f t="shared" si="303"/>
        <v>16216.32</v>
      </c>
      <c r="P2766" s="4">
        <v>0</v>
      </c>
      <c r="Q2766" s="7">
        <f t="shared" si="304"/>
        <v>0</v>
      </c>
      <c r="R2766" s="7">
        <f t="shared" si="305"/>
        <v>16216.32</v>
      </c>
      <c r="S2766" s="7">
        <f t="shared" si="306"/>
        <v>395.52</v>
      </c>
      <c r="T2766" s="6">
        <f t="shared" si="307"/>
        <v>1.8303571428571429E-2</v>
      </c>
      <c r="V2766" t="s">
        <v>29</v>
      </c>
    </row>
    <row r="2767" spans="1:22">
      <c r="A2767" s="3">
        <v>45773</v>
      </c>
      <c r="B2767" t="str">
        <f t="shared" si="301"/>
        <v>yyyy-04</v>
      </c>
      <c r="C2767">
        <f t="shared" si="302"/>
        <v>17</v>
      </c>
      <c r="D2767" t="s">
        <v>24</v>
      </c>
      <c r="E2767" t="s">
        <v>25</v>
      </c>
      <c r="F2767" t="s">
        <v>33</v>
      </c>
      <c r="G2767" t="s">
        <v>27</v>
      </c>
      <c r="H2767" t="s">
        <v>45</v>
      </c>
      <c r="I2767" s="5">
        <v>1276</v>
      </c>
      <c r="J2767" s="5">
        <v>752</v>
      </c>
      <c r="K2767" s="5">
        <v>140</v>
      </c>
      <c r="L2767" s="5">
        <v>30</v>
      </c>
      <c r="M2767" s="5">
        <v>30</v>
      </c>
      <c r="N2767" s="7">
        <v>1819.41</v>
      </c>
      <c r="O2767" s="7">
        <f t="shared" si="303"/>
        <v>54582.3</v>
      </c>
      <c r="P2767" s="4">
        <v>0.05</v>
      </c>
      <c r="Q2767" s="7">
        <f t="shared" si="304"/>
        <v>2729.1150000000002</v>
      </c>
      <c r="R2767" s="7">
        <f t="shared" si="305"/>
        <v>51853.185000000005</v>
      </c>
      <c r="S2767" s="7">
        <f t="shared" si="306"/>
        <v>1728.4395000000002</v>
      </c>
      <c r="T2767" s="6">
        <f t="shared" si="307"/>
        <v>2.3510971786833857E-2</v>
      </c>
      <c r="V2767" t="s">
        <v>29</v>
      </c>
    </row>
    <row r="2768" spans="1:22">
      <c r="A2768" s="3">
        <v>45773</v>
      </c>
      <c r="B2768" t="str">
        <f t="shared" si="301"/>
        <v>yyyy-04</v>
      </c>
      <c r="C2768">
        <f t="shared" si="302"/>
        <v>17</v>
      </c>
      <c r="D2768" t="s">
        <v>24</v>
      </c>
      <c r="E2768" t="s">
        <v>34</v>
      </c>
      <c r="F2768" t="s">
        <v>35</v>
      </c>
      <c r="G2768" t="s">
        <v>27</v>
      </c>
      <c r="H2768" t="s">
        <v>45</v>
      </c>
      <c r="I2768" s="5">
        <v>1079</v>
      </c>
      <c r="J2768" s="5">
        <v>600</v>
      </c>
      <c r="K2768" s="5">
        <v>71</v>
      </c>
      <c r="L2768" s="5">
        <v>24</v>
      </c>
      <c r="M2768" s="5">
        <v>24</v>
      </c>
      <c r="N2768" s="7">
        <v>899.9</v>
      </c>
      <c r="O2768" s="7">
        <f t="shared" si="303"/>
        <v>21597.599999999999</v>
      </c>
      <c r="P2768" s="4">
        <v>0.03</v>
      </c>
      <c r="Q2768" s="7">
        <f t="shared" si="304"/>
        <v>647.92799999999988</v>
      </c>
      <c r="R2768" s="7">
        <f t="shared" si="305"/>
        <v>20949.671999999999</v>
      </c>
      <c r="S2768" s="7">
        <f t="shared" si="306"/>
        <v>872.90299999999991</v>
      </c>
      <c r="T2768" s="6">
        <f t="shared" si="307"/>
        <v>2.2242817423540315E-2</v>
      </c>
      <c r="V2768" t="s">
        <v>29</v>
      </c>
    </row>
    <row r="2769" spans="1:22">
      <c r="A2769" s="3">
        <v>45773</v>
      </c>
      <c r="B2769" t="str">
        <f t="shared" si="301"/>
        <v>yyyy-04</v>
      </c>
      <c r="C2769">
        <f t="shared" si="302"/>
        <v>17</v>
      </c>
      <c r="D2769" t="s">
        <v>24</v>
      </c>
      <c r="E2769" t="s">
        <v>38</v>
      </c>
      <c r="F2769" t="s">
        <v>39</v>
      </c>
      <c r="G2769" t="s">
        <v>31</v>
      </c>
      <c r="H2769" t="s">
        <v>32</v>
      </c>
      <c r="I2769" s="5">
        <v>976</v>
      </c>
      <c r="J2769" s="5">
        <v>744</v>
      </c>
      <c r="K2769" s="5">
        <v>57</v>
      </c>
      <c r="L2769" s="5">
        <v>18</v>
      </c>
      <c r="M2769" s="5">
        <v>18</v>
      </c>
      <c r="N2769" s="7">
        <v>332.76</v>
      </c>
      <c r="O2769" s="7">
        <f t="shared" si="303"/>
        <v>5989.68</v>
      </c>
      <c r="P2769" s="4">
        <v>0.05</v>
      </c>
      <c r="Q2769" s="7">
        <f t="shared" si="304"/>
        <v>299.48400000000004</v>
      </c>
      <c r="R2769" s="7">
        <f t="shared" si="305"/>
        <v>5690.1959999999999</v>
      </c>
      <c r="S2769" s="7">
        <f t="shared" si="306"/>
        <v>316.12200000000001</v>
      </c>
      <c r="T2769" s="6">
        <f t="shared" si="307"/>
        <v>1.8442622950819672E-2</v>
      </c>
      <c r="V2769" t="s">
        <v>29</v>
      </c>
    </row>
    <row r="2770" spans="1:22">
      <c r="A2770" s="3">
        <v>45773</v>
      </c>
      <c r="B2770" t="str">
        <f t="shared" si="301"/>
        <v>yyyy-04</v>
      </c>
      <c r="C2770">
        <f t="shared" si="302"/>
        <v>17</v>
      </c>
      <c r="D2770" t="s">
        <v>24</v>
      </c>
      <c r="E2770" t="s">
        <v>40</v>
      </c>
      <c r="F2770" t="s">
        <v>41</v>
      </c>
      <c r="G2770" t="s">
        <v>27</v>
      </c>
      <c r="H2770" t="s">
        <v>28</v>
      </c>
      <c r="I2770" s="5">
        <v>739</v>
      </c>
      <c r="J2770" s="5">
        <v>525</v>
      </c>
      <c r="K2770" s="5">
        <v>71</v>
      </c>
      <c r="L2770" s="5">
        <v>17</v>
      </c>
      <c r="M2770" s="5">
        <v>22</v>
      </c>
      <c r="N2770" s="7">
        <v>173.51</v>
      </c>
      <c r="O2770" s="7">
        <f t="shared" si="303"/>
        <v>3817.22</v>
      </c>
      <c r="P2770" s="4">
        <v>0</v>
      </c>
      <c r="Q2770" s="7">
        <f t="shared" si="304"/>
        <v>0</v>
      </c>
      <c r="R2770" s="7">
        <f t="shared" si="305"/>
        <v>3817.22</v>
      </c>
      <c r="S2770" s="7">
        <f t="shared" si="306"/>
        <v>224.54235294117646</v>
      </c>
      <c r="T2770" s="6">
        <f t="shared" si="307"/>
        <v>2.3004059539918808E-2</v>
      </c>
      <c r="V2770" t="s">
        <v>29</v>
      </c>
    </row>
    <row r="2771" spans="1:22">
      <c r="A2771" s="3">
        <v>45773</v>
      </c>
      <c r="B2771" t="str">
        <f t="shared" si="301"/>
        <v>yyyy-04</v>
      </c>
      <c r="C2771">
        <f t="shared" si="302"/>
        <v>17</v>
      </c>
      <c r="D2771" t="s">
        <v>42</v>
      </c>
      <c r="E2771" t="s">
        <v>43</v>
      </c>
      <c r="F2771" t="s">
        <v>44</v>
      </c>
      <c r="G2771" t="s">
        <v>31</v>
      </c>
      <c r="H2771" t="s">
        <v>32</v>
      </c>
      <c r="I2771" s="5">
        <v>636</v>
      </c>
      <c r="J2771" s="5">
        <v>394</v>
      </c>
      <c r="K2771" s="5">
        <v>40</v>
      </c>
      <c r="L2771" s="5">
        <v>8</v>
      </c>
      <c r="M2771" s="5">
        <v>8</v>
      </c>
      <c r="N2771" s="7">
        <v>1255.92</v>
      </c>
      <c r="O2771" s="7">
        <f t="shared" si="303"/>
        <v>10047.36</v>
      </c>
      <c r="P2771" s="4">
        <v>0.03</v>
      </c>
      <c r="Q2771" s="7">
        <f t="shared" si="304"/>
        <v>301.42079999999999</v>
      </c>
      <c r="R2771" s="7">
        <f t="shared" si="305"/>
        <v>9745.9392000000007</v>
      </c>
      <c r="S2771" s="7">
        <f t="shared" si="306"/>
        <v>1218.2424000000001</v>
      </c>
      <c r="T2771" s="6">
        <f t="shared" si="307"/>
        <v>1.2578616352201259E-2</v>
      </c>
      <c r="V2771" t="s">
        <v>29</v>
      </c>
    </row>
    <row r="2772" spans="1:22">
      <c r="A2772" s="3">
        <v>45773</v>
      </c>
      <c r="B2772" t="str">
        <f t="shared" si="301"/>
        <v>yyyy-04</v>
      </c>
      <c r="C2772">
        <f t="shared" si="302"/>
        <v>17</v>
      </c>
      <c r="D2772" t="s">
        <v>42</v>
      </c>
      <c r="E2772" t="s">
        <v>43</v>
      </c>
      <c r="F2772" t="s">
        <v>46</v>
      </c>
      <c r="G2772" t="s">
        <v>31</v>
      </c>
      <c r="H2772" t="s">
        <v>32</v>
      </c>
      <c r="I2772" s="5">
        <v>656</v>
      </c>
      <c r="J2772" s="5">
        <v>479</v>
      </c>
      <c r="K2772" s="5">
        <v>30</v>
      </c>
      <c r="L2772" s="5">
        <v>9</v>
      </c>
      <c r="M2772" s="5">
        <v>9</v>
      </c>
      <c r="N2772" s="7">
        <v>2223.25</v>
      </c>
      <c r="O2772" s="7">
        <f t="shared" si="303"/>
        <v>20009.25</v>
      </c>
      <c r="P2772" s="4">
        <v>0</v>
      </c>
      <c r="Q2772" s="7">
        <f t="shared" si="304"/>
        <v>0</v>
      </c>
      <c r="R2772" s="7">
        <f t="shared" si="305"/>
        <v>20009.25</v>
      </c>
      <c r="S2772" s="7">
        <f t="shared" si="306"/>
        <v>2223.25</v>
      </c>
      <c r="T2772" s="6">
        <f t="shared" si="307"/>
        <v>1.3719512195121951E-2</v>
      </c>
      <c r="V2772" t="s">
        <v>29</v>
      </c>
    </row>
    <row r="2773" spans="1:22">
      <c r="A2773" s="3">
        <v>45773</v>
      </c>
      <c r="B2773" t="str">
        <f t="shared" si="301"/>
        <v>yyyy-04</v>
      </c>
      <c r="C2773">
        <f t="shared" si="302"/>
        <v>17</v>
      </c>
      <c r="D2773" t="s">
        <v>42</v>
      </c>
      <c r="E2773" t="s">
        <v>43</v>
      </c>
      <c r="F2773" t="s">
        <v>47</v>
      </c>
      <c r="G2773" t="s">
        <v>27</v>
      </c>
      <c r="H2773" t="s">
        <v>45</v>
      </c>
      <c r="I2773" s="5">
        <v>528</v>
      </c>
      <c r="J2773" s="5">
        <v>319</v>
      </c>
      <c r="K2773" s="5">
        <v>27</v>
      </c>
      <c r="L2773" s="5">
        <v>6</v>
      </c>
      <c r="M2773" s="5">
        <v>6</v>
      </c>
      <c r="N2773" s="7">
        <v>579.75</v>
      </c>
      <c r="O2773" s="7">
        <f t="shared" si="303"/>
        <v>3478.5</v>
      </c>
      <c r="P2773" s="4">
        <v>0.05</v>
      </c>
      <c r="Q2773" s="7">
        <f t="shared" si="304"/>
        <v>173.92500000000001</v>
      </c>
      <c r="R2773" s="7">
        <f t="shared" si="305"/>
        <v>3304.5749999999998</v>
      </c>
      <c r="S2773" s="7">
        <f t="shared" si="306"/>
        <v>550.76249999999993</v>
      </c>
      <c r="T2773" s="6">
        <f t="shared" si="307"/>
        <v>1.1363636363636364E-2</v>
      </c>
      <c r="V2773" t="s">
        <v>29</v>
      </c>
    </row>
    <row r="2774" spans="1:22">
      <c r="A2774" s="3">
        <v>45773</v>
      </c>
      <c r="B2774" t="str">
        <f t="shared" si="301"/>
        <v>yyyy-04</v>
      </c>
      <c r="C2774">
        <f t="shared" si="302"/>
        <v>17</v>
      </c>
      <c r="D2774" t="s">
        <v>42</v>
      </c>
      <c r="E2774" t="s">
        <v>49</v>
      </c>
      <c r="F2774" t="s">
        <v>50</v>
      </c>
      <c r="G2774" t="s">
        <v>27</v>
      </c>
      <c r="H2774" t="s">
        <v>28</v>
      </c>
      <c r="I2774" s="5">
        <v>172</v>
      </c>
      <c r="J2774" s="5">
        <v>117</v>
      </c>
      <c r="K2774" s="5">
        <v>11</v>
      </c>
      <c r="L2774" s="5">
        <v>3</v>
      </c>
      <c r="M2774" s="5">
        <v>3</v>
      </c>
      <c r="N2774" s="7">
        <v>971.81</v>
      </c>
      <c r="O2774" s="7">
        <f t="shared" si="303"/>
        <v>2915.43</v>
      </c>
      <c r="P2774" s="4">
        <v>0.1</v>
      </c>
      <c r="Q2774" s="7">
        <f t="shared" si="304"/>
        <v>291.54300000000001</v>
      </c>
      <c r="R2774" s="7">
        <f t="shared" si="305"/>
        <v>2623.8869999999997</v>
      </c>
      <c r="S2774" s="7">
        <f t="shared" si="306"/>
        <v>874.62899999999991</v>
      </c>
      <c r="T2774" s="6">
        <f t="shared" si="307"/>
        <v>1.7441860465116279E-2</v>
      </c>
      <c r="U2774" t="s">
        <v>94</v>
      </c>
      <c r="V2774" t="s">
        <v>29</v>
      </c>
    </row>
    <row r="2775" spans="1:22">
      <c r="A2775" s="3">
        <v>45773</v>
      </c>
      <c r="B2775" t="str">
        <f t="shared" si="301"/>
        <v>yyyy-04</v>
      </c>
      <c r="C2775">
        <f t="shared" si="302"/>
        <v>17</v>
      </c>
      <c r="D2775" t="s">
        <v>42</v>
      </c>
      <c r="E2775" t="s">
        <v>51</v>
      </c>
      <c r="F2775" t="s">
        <v>52</v>
      </c>
      <c r="G2775" t="s">
        <v>27</v>
      </c>
      <c r="H2775" t="s">
        <v>63</v>
      </c>
      <c r="I2775" s="5">
        <v>261</v>
      </c>
      <c r="J2775" s="5">
        <v>176</v>
      </c>
      <c r="K2775" s="5">
        <v>13</v>
      </c>
      <c r="L2775" s="5">
        <v>4</v>
      </c>
      <c r="M2775" s="5">
        <v>4</v>
      </c>
      <c r="N2775" s="7">
        <v>603.04</v>
      </c>
      <c r="O2775" s="7">
        <f t="shared" si="303"/>
        <v>2412.16</v>
      </c>
      <c r="P2775" s="4">
        <v>0.05</v>
      </c>
      <c r="Q2775" s="7">
        <f t="shared" si="304"/>
        <v>120.608</v>
      </c>
      <c r="R2775" s="7">
        <f t="shared" si="305"/>
        <v>2291.5519999999997</v>
      </c>
      <c r="S2775" s="7">
        <f t="shared" si="306"/>
        <v>572.88799999999992</v>
      </c>
      <c r="T2775" s="6">
        <f t="shared" si="307"/>
        <v>1.532567049808429E-2</v>
      </c>
      <c r="V2775" t="s">
        <v>29</v>
      </c>
    </row>
    <row r="2776" spans="1:22">
      <c r="A2776" s="3">
        <v>45773</v>
      </c>
      <c r="B2776" t="str">
        <f t="shared" si="301"/>
        <v>yyyy-04</v>
      </c>
      <c r="C2776">
        <f t="shared" si="302"/>
        <v>17</v>
      </c>
      <c r="D2776" t="s">
        <v>53</v>
      </c>
      <c r="E2776" t="s">
        <v>54</v>
      </c>
      <c r="F2776" t="s">
        <v>55</v>
      </c>
      <c r="G2776" t="s">
        <v>36</v>
      </c>
      <c r="H2776" t="s">
        <v>37</v>
      </c>
      <c r="I2776" s="5">
        <v>241</v>
      </c>
      <c r="J2776" s="5">
        <v>184</v>
      </c>
      <c r="K2776" s="5">
        <v>14</v>
      </c>
      <c r="L2776" s="5">
        <v>2</v>
      </c>
      <c r="M2776" s="5">
        <v>2</v>
      </c>
      <c r="N2776" s="7">
        <v>1274.1600000000001</v>
      </c>
      <c r="O2776" s="7">
        <f t="shared" si="303"/>
        <v>2548.3200000000002</v>
      </c>
      <c r="P2776" s="4">
        <v>0.03</v>
      </c>
      <c r="Q2776" s="7">
        <f t="shared" si="304"/>
        <v>76.449600000000004</v>
      </c>
      <c r="R2776" s="7">
        <f t="shared" si="305"/>
        <v>2471.8704000000002</v>
      </c>
      <c r="S2776" s="7">
        <f t="shared" si="306"/>
        <v>1235.9352000000001</v>
      </c>
      <c r="T2776" s="6">
        <f t="shared" si="307"/>
        <v>8.2987551867219917E-3</v>
      </c>
      <c r="V2776" t="s">
        <v>29</v>
      </c>
    </row>
    <row r="2777" spans="1:22">
      <c r="A2777" s="3">
        <v>45773</v>
      </c>
      <c r="B2777" t="str">
        <f t="shared" si="301"/>
        <v>yyyy-04</v>
      </c>
      <c r="C2777">
        <f t="shared" si="302"/>
        <v>17</v>
      </c>
      <c r="D2777" t="s">
        <v>53</v>
      </c>
      <c r="E2777" t="s">
        <v>56</v>
      </c>
      <c r="F2777" t="s">
        <v>57</v>
      </c>
      <c r="G2777" t="s">
        <v>27</v>
      </c>
      <c r="H2777" t="s">
        <v>28</v>
      </c>
      <c r="I2777" s="5">
        <v>276</v>
      </c>
      <c r="J2777" s="5">
        <v>189</v>
      </c>
      <c r="K2777" s="5">
        <v>11</v>
      </c>
      <c r="L2777" s="5">
        <v>2</v>
      </c>
      <c r="M2777" s="5">
        <v>2</v>
      </c>
      <c r="N2777" s="7">
        <v>743.73</v>
      </c>
      <c r="O2777" s="7">
        <f t="shared" si="303"/>
        <v>1487.46</v>
      </c>
      <c r="P2777" s="4">
        <v>0.03</v>
      </c>
      <c r="Q2777" s="7">
        <f t="shared" si="304"/>
        <v>44.623800000000003</v>
      </c>
      <c r="R2777" s="7">
        <f t="shared" si="305"/>
        <v>1442.8362</v>
      </c>
      <c r="S2777" s="7">
        <f t="shared" si="306"/>
        <v>721.41809999999998</v>
      </c>
      <c r="T2777" s="6">
        <f t="shared" si="307"/>
        <v>7.246376811594203E-3</v>
      </c>
      <c r="V2777" t="s">
        <v>29</v>
      </c>
    </row>
    <row r="2778" spans="1:22">
      <c r="A2778" s="3">
        <v>45773</v>
      </c>
      <c r="B2778" t="str">
        <f t="shared" si="301"/>
        <v>yyyy-04</v>
      </c>
      <c r="C2778">
        <f t="shared" si="302"/>
        <v>17</v>
      </c>
      <c r="D2778" t="s">
        <v>53</v>
      </c>
      <c r="E2778" t="s">
        <v>56</v>
      </c>
      <c r="F2778" t="s">
        <v>58</v>
      </c>
      <c r="G2778" t="s">
        <v>31</v>
      </c>
      <c r="H2778" t="s">
        <v>32</v>
      </c>
      <c r="I2778" s="5">
        <v>343</v>
      </c>
      <c r="J2778" s="5">
        <v>271</v>
      </c>
      <c r="K2778" s="5">
        <v>17</v>
      </c>
      <c r="L2778" s="5">
        <v>3</v>
      </c>
      <c r="M2778" s="5">
        <v>3</v>
      </c>
      <c r="N2778" s="7">
        <v>866.28</v>
      </c>
      <c r="O2778" s="7">
        <f t="shared" si="303"/>
        <v>2598.84</v>
      </c>
      <c r="P2778" s="4">
        <v>0</v>
      </c>
      <c r="Q2778" s="7">
        <f t="shared" si="304"/>
        <v>0</v>
      </c>
      <c r="R2778" s="7">
        <f t="shared" si="305"/>
        <v>2598.84</v>
      </c>
      <c r="S2778" s="7">
        <f t="shared" si="306"/>
        <v>866.28000000000009</v>
      </c>
      <c r="T2778" s="6">
        <f t="shared" si="307"/>
        <v>8.7463556851311956E-3</v>
      </c>
      <c r="V2778" t="s">
        <v>78</v>
      </c>
    </row>
    <row r="2779" spans="1:22">
      <c r="A2779" s="3">
        <v>45773</v>
      </c>
      <c r="B2779" t="str">
        <f t="shared" si="301"/>
        <v>yyyy-04</v>
      </c>
      <c r="C2779">
        <f t="shared" si="302"/>
        <v>17</v>
      </c>
      <c r="D2779" t="s">
        <v>53</v>
      </c>
      <c r="E2779" t="s">
        <v>59</v>
      </c>
      <c r="F2779" t="s">
        <v>60</v>
      </c>
      <c r="G2779" t="s">
        <v>27</v>
      </c>
      <c r="H2779" t="s">
        <v>28</v>
      </c>
      <c r="I2779" s="5">
        <v>201</v>
      </c>
      <c r="J2779" s="5">
        <v>138</v>
      </c>
      <c r="K2779" s="5">
        <v>6</v>
      </c>
      <c r="L2779" s="5">
        <v>2</v>
      </c>
      <c r="M2779" s="5">
        <v>2</v>
      </c>
      <c r="N2779" s="7">
        <v>694.11</v>
      </c>
      <c r="O2779" s="7">
        <f t="shared" si="303"/>
        <v>1388.22</v>
      </c>
      <c r="P2779" s="4">
        <v>0</v>
      </c>
      <c r="Q2779" s="7">
        <f t="shared" si="304"/>
        <v>0</v>
      </c>
      <c r="R2779" s="7">
        <f t="shared" si="305"/>
        <v>1388.22</v>
      </c>
      <c r="S2779" s="7">
        <f t="shared" si="306"/>
        <v>694.11</v>
      </c>
      <c r="T2779" s="6">
        <f t="shared" si="307"/>
        <v>9.9502487562189053E-3</v>
      </c>
      <c r="V2779" t="s">
        <v>29</v>
      </c>
    </row>
    <row r="2780" spans="1:22">
      <c r="A2780" s="3">
        <v>45773</v>
      </c>
      <c r="B2780" t="str">
        <f t="shared" si="301"/>
        <v>yyyy-04</v>
      </c>
      <c r="C2780">
        <f t="shared" si="302"/>
        <v>17</v>
      </c>
      <c r="D2780" t="s">
        <v>53</v>
      </c>
      <c r="E2780" t="s">
        <v>61</v>
      </c>
      <c r="F2780" t="s">
        <v>62</v>
      </c>
      <c r="G2780" t="s">
        <v>31</v>
      </c>
      <c r="H2780" t="s">
        <v>32</v>
      </c>
      <c r="I2780" s="5">
        <v>251</v>
      </c>
      <c r="J2780" s="5">
        <v>189</v>
      </c>
      <c r="K2780" s="5">
        <v>19</v>
      </c>
      <c r="L2780" s="5">
        <v>2</v>
      </c>
      <c r="M2780" s="5">
        <v>2</v>
      </c>
      <c r="N2780" s="7">
        <v>491.35</v>
      </c>
      <c r="O2780" s="7">
        <f t="shared" si="303"/>
        <v>982.7</v>
      </c>
      <c r="P2780" s="4">
        <v>0.05</v>
      </c>
      <c r="Q2780" s="7">
        <f t="shared" si="304"/>
        <v>49.135000000000005</v>
      </c>
      <c r="R2780" s="7">
        <f t="shared" si="305"/>
        <v>933.56500000000005</v>
      </c>
      <c r="S2780" s="7">
        <f t="shared" si="306"/>
        <v>466.78250000000003</v>
      </c>
      <c r="T2780" s="6">
        <f t="shared" si="307"/>
        <v>7.9681274900398405E-3</v>
      </c>
      <c r="V2780" t="s">
        <v>78</v>
      </c>
    </row>
    <row r="2781" spans="1:22">
      <c r="A2781" s="3">
        <v>45773</v>
      </c>
      <c r="B2781" t="str">
        <f t="shared" si="301"/>
        <v>yyyy-04</v>
      </c>
      <c r="C2781">
        <f t="shared" si="302"/>
        <v>17</v>
      </c>
      <c r="D2781" t="s">
        <v>53</v>
      </c>
      <c r="E2781" t="s">
        <v>64</v>
      </c>
      <c r="F2781" t="s">
        <v>65</v>
      </c>
      <c r="G2781" t="s">
        <v>36</v>
      </c>
      <c r="H2781" t="s">
        <v>37</v>
      </c>
      <c r="I2781" s="5">
        <v>207</v>
      </c>
      <c r="J2781" s="5">
        <v>113</v>
      </c>
      <c r="K2781" s="5">
        <v>10</v>
      </c>
      <c r="L2781" s="5">
        <v>3</v>
      </c>
      <c r="M2781" s="5">
        <v>3</v>
      </c>
      <c r="N2781" s="7">
        <v>785.28</v>
      </c>
      <c r="O2781" s="7">
        <f t="shared" si="303"/>
        <v>2355.84</v>
      </c>
      <c r="P2781" s="4">
        <v>0</v>
      </c>
      <c r="Q2781" s="7">
        <f t="shared" si="304"/>
        <v>0</v>
      </c>
      <c r="R2781" s="7">
        <f t="shared" si="305"/>
        <v>2355.84</v>
      </c>
      <c r="S2781" s="7">
        <f t="shared" si="306"/>
        <v>785.28000000000009</v>
      </c>
      <c r="T2781" s="6">
        <f t="shared" si="307"/>
        <v>1.4492753623188406E-2</v>
      </c>
      <c r="V2781" t="s">
        <v>29</v>
      </c>
    </row>
    <row r="2782" spans="1:22">
      <c r="A2782" s="3">
        <v>45773</v>
      </c>
      <c r="B2782" t="str">
        <f t="shared" si="301"/>
        <v>yyyy-04</v>
      </c>
      <c r="C2782">
        <f t="shared" si="302"/>
        <v>17</v>
      </c>
      <c r="D2782" t="s">
        <v>66</v>
      </c>
      <c r="E2782" t="s">
        <v>67</v>
      </c>
      <c r="F2782" t="s">
        <v>68</v>
      </c>
      <c r="G2782" t="s">
        <v>31</v>
      </c>
      <c r="H2782" t="s">
        <v>32</v>
      </c>
      <c r="I2782" s="5">
        <v>453</v>
      </c>
      <c r="J2782" s="5">
        <v>334</v>
      </c>
      <c r="K2782" s="5">
        <v>30</v>
      </c>
      <c r="L2782" s="5">
        <v>9</v>
      </c>
      <c r="M2782" s="5">
        <v>9</v>
      </c>
      <c r="N2782" s="7">
        <v>672.83</v>
      </c>
      <c r="O2782" s="7">
        <f t="shared" si="303"/>
        <v>6055.47</v>
      </c>
      <c r="P2782" s="4">
        <v>0.05</v>
      </c>
      <c r="Q2782" s="7">
        <f t="shared" si="304"/>
        <v>302.77350000000001</v>
      </c>
      <c r="R2782" s="7">
        <f t="shared" si="305"/>
        <v>5752.6965</v>
      </c>
      <c r="S2782" s="7">
        <f t="shared" si="306"/>
        <v>639.18849999999998</v>
      </c>
      <c r="T2782" s="6">
        <f t="shared" si="307"/>
        <v>1.9867549668874173E-2</v>
      </c>
      <c r="V2782" t="s">
        <v>29</v>
      </c>
    </row>
    <row r="2783" spans="1:22">
      <c r="A2783" s="3">
        <v>45773</v>
      </c>
      <c r="B2783" t="str">
        <f t="shared" si="301"/>
        <v>yyyy-04</v>
      </c>
      <c r="C2783">
        <f t="shared" si="302"/>
        <v>17</v>
      </c>
      <c r="D2783" t="s">
        <v>66</v>
      </c>
      <c r="E2783" t="s">
        <v>67</v>
      </c>
      <c r="F2783" t="s">
        <v>69</v>
      </c>
      <c r="G2783" t="s">
        <v>36</v>
      </c>
      <c r="H2783" t="s">
        <v>37</v>
      </c>
      <c r="I2783" s="5">
        <v>433</v>
      </c>
      <c r="J2783" s="5">
        <v>354</v>
      </c>
      <c r="K2783" s="5">
        <v>34</v>
      </c>
      <c r="L2783" s="5">
        <v>10</v>
      </c>
      <c r="M2783" s="5">
        <v>10</v>
      </c>
      <c r="N2783" s="7">
        <v>389.48</v>
      </c>
      <c r="O2783" s="7">
        <f t="shared" si="303"/>
        <v>3894.8</v>
      </c>
      <c r="P2783" s="4">
        <v>0</v>
      </c>
      <c r="Q2783" s="7">
        <f t="shared" si="304"/>
        <v>0</v>
      </c>
      <c r="R2783" s="7">
        <f t="shared" si="305"/>
        <v>3894.8</v>
      </c>
      <c r="S2783" s="7">
        <f t="shared" si="306"/>
        <v>389.48</v>
      </c>
      <c r="T2783" s="6">
        <f t="shared" si="307"/>
        <v>2.3094688221709007E-2</v>
      </c>
      <c r="V2783" t="s">
        <v>29</v>
      </c>
    </row>
    <row r="2784" spans="1:22">
      <c r="A2784" s="3">
        <v>45773</v>
      </c>
      <c r="B2784" t="str">
        <f t="shared" si="301"/>
        <v>yyyy-04</v>
      </c>
      <c r="C2784">
        <f t="shared" si="302"/>
        <v>17</v>
      </c>
      <c r="D2784" t="s">
        <v>66</v>
      </c>
      <c r="E2784" t="s">
        <v>67</v>
      </c>
      <c r="F2784" t="s">
        <v>70</v>
      </c>
      <c r="G2784" t="s">
        <v>36</v>
      </c>
      <c r="H2784" t="s">
        <v>37</v>
      </c>
      <c r="I2784" s="5">
        <v>340</v>
      </c>
      <c r="J2784" s="5">
        <v>247</v>
      </c>
      <c r="K2784" s="5">
        <v>21</v>
      </c>
      <c r="L2784" s="5">
        <v>7</v>
      </c>
      <c r="M2784" s="5">
        <v>7</v>
      </c>
      <c r="N2784" s="7">
        <v>344.65</v>
      </c>
      <c r="O2784" s="7">
        <f t="shared" si="303"/>
        <v>2412.5499999999997</v>
      </c>
      <c r="P2784" s="4">
        <v>0</v>
      </c>
      <c r="Q2784" s="7">
        <f t="shared" si="304"/>
        <v>0</v>
      </c>
      <c r="R2784" s="7">
        <f t="shared" si="305"/>
        <v>2412.5499999999997</v>
      </c>
      <c r="S2784" s="7">
        <f t="shared" si="306"/>
        <v>344.65</v>
      </c>
      <c r="T2784" s="6">
        <f t="shared" si="307"/>
        <v>2.0588235294117647E-2</v>
      </c>
      <c r="V2784" t="s">
        <v>29</v>
      </c>
    </row>
    <row r="2785" spans="1:22">
      <c r="A2785" s="3">
        <v>45773</v>
      </c>
      <c r="B2785" t="str">
        <f t="shared" si="301"/>
        <v>yyyy-04</v>
      </c>
      <c r="C2785">
        <f t="shared" si="302"/>
        <v>17</v>
      </c>
      <c r="D2785" t="s">
        <v>66</v>
      </c>
      <c r="E2785" t="s">
        <v>71</v>
      </c>
      <c r="F2785" t="s">
        <v>72</v>
      </c>
      <c r="G2785" t="s">
        <v>27</v>
      </c>
      <c r="H2785" t="s">
        <v>28</v>
      </c>
      <c r="I2785" s="5">
        <v>429</v>
      </c>
      <c r="J2785" s="5">
        <v>233</v>
      </c>
      <c r="K2785" s="5">
        <v>27</v>
      </c>
      <c r="L2785" s="5">
        <v>7</v>
      </c>
      <c r="M2785" s="5">
        <v>9</v>
      </c>
      <c r="N2785" s="7">
        <v>127.09</v>
      </c>
      <c r="O2785" s="7">
        <f t="shared" si="303"/>
        <v>1143.81</v>
      </c>
      <c r="P2785" s="4">
        <v>0</v>
      </c>
      <c r="Q2785" s="7">
        <f t="shared" si="304"/>
        <v>0</v>
      </c>
      <c r="R2785" s="7">
        <f t="shared" si="305"/>
        <v>1143.81</v>
      </c>
      <c r="S2785" s="7">
        <f t="shared" si="306"/>
        <v>163.40142857142857</v>
      </c>
      <c r="T2785" s="6">
        <f t="shared" si="307"/>
        <v>1.6317016317016316E-2</v>
      </c>
      <c r="V2785" t="s">
        <v>29</v>
      </c>
    </row>
    <row r="2786" spans="1:22">
      <c r="A2786" s="3">
        <v>45773</v>
      </c>
      <c r="B2786" t="str">
        <f t="shared" si="301"/>
        <v>yyyy-04</v>
      </c>
      <c r="C2786">
        <f t="shared" si="302"/>
        <v>17</v>
      </c>
      <c r="D2786" t="s">
        <v>66</v>
      </c>
      <c r="E2786" t="s">
        <v>73</v>
      </c>
      <c r="F2786" t="s">
        <v>74</v>
      </c>
      <c r="G2786" t="s">
        <v>36</v>
      </c>
      <c r="H2786" t="s">
        <v>37</v>
      </c>
      <c r="I2786" s="5">
        <v>229</v>
      </c>
      <c r="J2786" s="5">
        <v>143</v>
      </c>
      <c r="K2786" s="5">
        <v>12</v>
      </c>
      <c r="L2786" s="5">
        <v>5</v>
      </c>
      <c r="M2786" s="5">
        <v>5</v>
      </c>
      <c r="N2786" s="7">
        <v>1181.81</v>
      </c>
      <c r="O2786" s="7">
        <f t="shared" si="303"/>
        <v>5909.0499999999993</v>
      </c>
      <c r="P2786" s="4">
        <v>7.0000000000000007E-2</v>
      </c>
      <c r="Q2786" s="7">
        <f t="shared" si="304"/>
        <v>413.63349999999997</v>
      </c>
      <c r="R2786" s="7">
        <f t="shared" si="305"/>
        <v>5495.4164999999994</v>
      </c>
      <c r="S2786" s="7">
        <f t="shared" si="306"/>
        <v>1099.0832999999998</v>
      </c>
      <c r="T2786" s="6">
        <f t="shared" si="307"/>
        <v>2.1834061135371178E-2</v>
      </c>
      <c r="U2786" t="s">
        <v>95</v>
      </c>
      <c r="V2786" t="s">
        <v>29</v>
      </c>
    </row>
    <row r="2787" spans="1:22">
      <c r="A2787" s="3">
        <v>45773</v>
      </c>
      <c r="B2787" t="str">
        <f t="shared" si="301"/>
        <v>yyyy-04</v>
      </c>
      <c r="C2787">
        <f t="shared" si="302"/>
        <v>17</v>
      </c>
      <c r="D2787" t="s">
        <v>66</v>
      </c>
      <c r="E2787" t="s">
        <v>71</v>
      </c>
      <c r="F2787" t="s">
        <v>75</v>
      </c>
      <c r="G2787" t="s">
        <v>31</v>
      </c>
      <c r="H2787" t="s">
        <v>32</v>
      </c>
      <c r="I2787" s="5">
        <v>432</v>
      </c>
      <c r="J2787" s="5">
        <v>325</v>
      </c>
      <c r="K2787" s="5">
        <v>26</v>
      </c>
      <c r="L2787" s="5">
        <v>8</v>
      </c>
      <c r="M2787" s="5">
        <v>9</v>
      </c>
      <c r="N2787" s="7">
        <v>38.81</v>
      </c>
      <c r="O2787" s="7">
        <f t="shared" si="303"/>
        <v>349.29</v>
      </c>
      <c r="P2787" s="4">
        <v>0</v>
      </c>
      <c r="Q2787" s="7">
        <f t="shared" si="304"/>
        <v>0</v>
      </c>
      <c r="R2787" s="7">
        <f t="shared" si="305"/>
        <v>349.29</v>
      </c>
      <c r="S2787" s="7">
        <f t="shared" si="306"/>
        <v>43.661250000000003</v>
      </c>
      <c r="T2787" s="6">
        <f t="shared" si="307"/>
        <v>1.8518518518518517E-2</v>
      </c>
      <c r="V2787" t="s">
        <v>29</v>
      </c>
    </row>
    <row r="2788" spans="1:22">
      <c r="A2788" s="3">
        <v>45773</v>
      </c>
      <c r="B2788" t="str">
        <f t="shared" si="301"/>
        <v>yyyy-04</v>
      </c>
      <c r="C2788">
        <f t="shared" si="302"/>
        <v>17</v>
      </c>
      <c r="D2788" t="s">
        <v>24</v>
      </c>
      <c r="E2788" t="s">
        <v>76</v>
      </c>
      <c r="F2788" t="s">
        <v>77</v>
      </c>
      <c r="G2788" t="s">
        <v>36</v>
      </c>
      <c r="H2788" t="s">
        <v>37</v>
      </c>
      <c r="I2788" s="5">
        <v>652</v>
      </c>
      <c r="J2788" s="5">
        <v>493</v>
      </c>
      <c r="K2788" s="5">
        <v>56</v>
      </c>
      <c r="L2788" s="5">
        <v>13</v>
      </c>
      <c r="M2788" s="5">
        <v>17</v>
      </c>
      <c r="N2788" s="7">
        <v>195.48</v>
      </c>
      <c r="O2788" s="7">
        <f t="shared" si="303"/>
        <v>3323.16</v>
      </c>
      <c r="P2788" s="4">
        <v>0</v>
      </c>
      <c r="Q2788" s="7">
        <f t="shared" si="304"/>
        <v>0</v>
      </c>
      <c r="R2788" s="7">
        <f t="shared" si="305"/>
        <v>3323.16</v>
      </c>
      <c r="S2788" s="7">
        <f t="shared" si="306"/>
        <v>255.62769230769229</v>
      </c>
      <c r="T2788" s="6">
        <f t="shared" si="307"/>
        <v>1.9938650306748466E-2</v>
      </c>
      <c r="V2788" t="s">
        <v>29</v>
      </c>
    </row>
    <row r="2789" spans="1:22">
      <c r="A2789" s="3">
        <v>45774</v>
      </c>
      <c r="B2789" t="str">
        <f t="shared" si="301"/>
        <v>yyyy-04</v>
      </c>
      <c r="C2789">
        <f t="shared" si="302"/>
        <v>17</v>
      </c>
      <c r="D2789" t="s">
        <v>24</v>
      </c>
      <c r="E2789" t="s">
        <v>25</v>
      </c>
      <c r="F2789" t="s">
        <v>26</v>
      </c>
      <c r="G2789" t="s">
        <v>27</v>
      </c>
      <c r="H2789" t="s">
        <v>28</v>
      </c>
      <c r="I2789" s="5">
        <v>1251</v>
      </c>
      <c r="J2789" s="5">
        <v>835</v>
      </c>
      <c r="K2789" s="5">
        <v>114</v>
      </c>
      <c r="L2789" s="5">
        <v>23</v>
      </c>
      <c r="M2789" s="5">
        <v>23</v>
      </c>
      <c r="N2789" s="7">
        <v>967.42</v>
      </c>
      <c r="O2789" s="7">
        <f t="shared" si="303"/>
        <v>22250.66</v>
      </c>
      <c r="P2789" s="4">
        <v>0</v>
      </c>
      <c r="Q2789" s="7">
        <f t="shared" si="304"/>
        <v>0</v>
      </c>
      <c r="R2789" s="7">
        <f t="shared" si="305"/>
        <v>22250.66</v>
      </c>
      <c r="S2789" s="7">
        <f t="shared" si="306"/>
        <v>967.42</v>
      </c>
      <c r="T2789" s="6">
        <f t="shared" si="307"/>
        <v>1.838529176658673E-2</v>
      </c>
      <c r="V2789" t="s">
        <v>29</v>
      </c>
    </row>
    <row r="2790" spans="1:22">
      <c r="A2790" s="3">
        <v>45774</v>
      </c>
      <c r="B2790" t="str">
        <f t="shared" si="301"/>
        <v>yyyy-04</v>
      </c>
      <c r="C2790">
        <f t="shared" si="302"/>
        <v>17</v>
      </c>
      <c r="D2790" t="s">
        <v>24</v>
      </c>
      <c r="E2790" t="s">
        <v>25</v>
      </c>
      <c r="F2790" t="s">
        <v>30</v>
      </c>
      <c r="G2790" t="s">
        <v>27</v>
      </c>
      <c r="H2790" t="s">
        <v>45</v>
      </c>
      <c r="I2790" s="5">
        <v>1449</v>
      </c>
      <c r="J2790" s="5">
        <v>883</v>
      </c>
      <c r="K2790" s="5">
        <v>62</v>
      </c>
      <c r="L2790" s="5">
        <v>28</v>
      </c>
      <c r="M2790" s="5">
        <v>28</v>
      </c>
      <c r="N2790" s="7">
        <v>392.4</v>
      </c>
      <c r="O2790" s="7">
        <f t="shared" si="303"/>
        <v>10987.199999999999</v>
      </c>
      <c r="P2790" s="4">
        <v>0.05</v>
      </c>
      <c r="Q2790" s="7">
        <f t="shared" si="304"/>
        <v>549.36</v>
      </c>
      <c r="R2790" s="7">
        <f t="shared" si="305"/>
        <v>10437.839999999998</v>
      </c>
      <c r="S2790" s="7">
        <f t="shared" si="306"/>
        <v>372.77999999999992</v>
      </c>
      <c r="T2790" s="6">
        <f t="shared" si="307"/>
        <v>1.932367149758454E-2</v>
      </c>
      <c r="V2790" t="s">
        <v>29</v>
      </c>
    </row>
    <row r="2791" spans="1:22">
      <c r="A2791" s="3">
        <v>45774</v>
      </c>
      <c r="B2791" t="str">
        <f t="shared" si="301"/>
        <v>yyyy-04</v>
      </c>
      <c r="C2791">
        <f t="shared" si="302"/>
        <v>17</v>
      </c>
      <c r="D2791" t="s">
        <v>24</v>
      </c>
      <c r="E2791" t="s">
        <v>25</v>
      </c>
      <c r="F2791" t="s">
        <v>33</v>
      </c>
      <c r="G2791" t="s">
        <v>36</v>
      </c>
      <c r="H2791" t="s">
        <v>37</v>
      </c>
      <c r="I2791" s="5">
        <v>1907</v>
      </c>
      <c r="J2791" s="5">
        <v>1554</v>
      </c>
      <c r="K2791" s="5">
        <v>137</v>
      </c>
      <c r="L2791" s="5">
        <v>31</v>
      </c>
      <c r="M2791" s="5">
        <v>31</v>
      </c>
      <c r="N2791" s="7">
        <v>1737.48</v>
      </c>
      <c r="O2791" s="7">
        <f t="shared" si="303"/>
        <v>53861.88</v>
      </c>
      <c r="P2791" s="4">
        <v>0</v>
      </c>
      <c r="Q2791" s="7">
        <f t="shared" si="304"/>
        <v>0</v>
      </c>
      <c r="R2791" s="7">
        <f t="shared" si="305"/>
        <v>53861.88</v>
      </c>
      <c r="S2791" s="7">
        <f t="shared" si="306"/>
        <v>1737.48</v>
      </c>
      <c r="T2791" s="6">
        <f t="shared" si="307"/>
        <v>1.6255899318300997E-2</v>
      </c>
      <c r="V2791" t="s">
        <v>29</v>
      </c>
    </row>
    <row r="2792" spans="1:22">
      <c r="A2792" s="3">
        <v>45774</v>
      </c>
      <c r="B2792" t="str">
        <f t="shared" si="301"/>
        <v>yyyy-04</v>
      </c>
      <c r="C2792">
        <f t="shared" si="302"/>
        <v>17</v>
      </c>
      <c r="D2792" t="s">
        <v>24</v>
      </c>
      <c r="E2792" t="s">
        <v>34</v>
      </c>
      <c r="F2792" t="s">
        <v>35</v>
      </c>
      <c r="G2792" t="s">
        <v>36</v>
      </c>
      <c r="H2792" t="s">
        <v>37</v>
      </c>
      <c r="I2792" s="5">
        <v>1201</v>
      </c>
      <c r="J2792" s="5">
        <v>763</v>
      </c>
      <c r="K2792" s="5">
        <v>67</v>
      </c>
      <c r="L2792" s="5">
        <v>22</v>
      </c>
      <c r="M2792" s="5">
        <v>22</v>
      </c>
      <c r="N2792" s="7">
        <v>916.46</v>
      </c>
      <c r="O2792" s="7">
        <f t="shared" si="303"/>
        <v>20162.120000000003</v>
      </c>
      <c r="P2792" s="4">
        <v>0.05</v>
      </c>
      <c r="Q2792" s="7">
        <f t="shared" si="304"/>
        <v>1008.1060000000002</v>
      </c>
      <c r="R2792" s="7">
        <f t="shared" si="305"/>
        <v>19154.014000000003</v>
      </c>
      <c r="S2792" s="7">
        <f t="shared" si="306"/>
        <v>870.63700000000017</v>
      </c>
      <c r="T2792" s="6">
        <f t="shared" si="307"/>
        <v>1.8318068276436304E-2</v>
      </c>
      <c r="V2792" t="s">
        <v>29</v>
      </c>
    </row>
    <row r="2793" spans="1:22">
      <c r="A2793" s="3">
        <v>45774</v>
      </c>
      <c r="B2793" t="str">
        <f t="shared" si="301"/>
        <v>yyyy-04</v>
      </c>
      <c r="C2793">
        <f t="shared" si="302"/>
        <v>17</v>
      </c>
      <c r="D2793" t="s">
        <v>24</v>
      </c>
      <c r="E2793" t="s">
        <v>38</v>
      </c>
      <c r="F2793" t="s">
        <v>39</v>
      </c>
      <c r="G2793" t="s">
        <v>27</v>
      </c>
      <c r="H2793" t="s">
        <v>45</v>
      </c>
      <c r="I2793" s="5">
        <v>716</v>
      </c>
      <c r="J2793" s="5">
        <v>559</v>
      </c>
      <c r="K2793" s="5">
        <v>66</v>
      </c>
      <c r="L2793" s="5">
        <v>14</v>
      </c>
      <c r="M2793" s="5">
        <v>14</v>
      </c>
      <c r="N2793" s="7">
        <v>323.49</v>
      </c>
      <c r="O2793" s="7">
        <f t="shared" si="303"/>
        <v>4528.8600000000006</v>
      </c>
      <c r="P2793" s="4">
        <v>0</v>
      </c>
      <c r="Q2793" s="7">
        <f t="shared" si="304"/>
        <v>0</v>
      </c>
      <c r="R2793" s="7">
        <f t="shared" si="305"/>
        <v>4528.8600000000006</v>
      </c>
      <c r="S2793" s="7">
        <f t="shared" si="306"/>
        <v>323.49000000000007</v>
      </c>
      <c r="T2793" s="6">
        <f t="shared" si="307"/>
        <v>1.9553072625698324E-2</v>
      </c>
      <c r="V2793" t="s">
        <v>29</v>
      </c>
    </row>
    <row r="2794" spans="1:22">
      <c r="A2794" s="3">
        <v>45774</v>
      </c>
      <c r="B2794" t="str">
        <f t="shared" si="301"/>
        <v>yyyy-04</v>
      </c>
      <c r="C2794">
        <f t="shared" si="302"/>
        <v>17</v>
      </c>
      <c r="D2794" t="s">
        <v>24</v>
      </c>
      <c r="E2794" t="s">
        <v>40</v>
      </c>
      <c r="F2794" t="s">
        <v>41</v>
      </c>
      <c r="G2794" t="s">
        <v>27</v>
      </c>
      <c r="H2794" t="s">
        <v>28</v>
      </c>
      <c r="I2794" s="5">
        <v>883</v>
      </c>
      <c r="J2794" s="5">
        <v>518</v>
      </c>
      <c r="K2794" s="5">
        <v>82</v>
      </c>
      <c r="L2794" s="5">
        <v>19</v>
      </c>
      <c r="M2794" s="5">
        <v>20</v>
      </c>
      <c r="N2794" s="7">
        <v>177.65</v>
      </c>
      <c r="O2794" s="7">
        <f t="shared" si="303"/>
        <v>3553</v>
      </c>
      <c r="P2794" s="4">
        <v>0</v>
      </c>
      <c r="Q2794" s="7">
        <f t="shared" si="304"/>
        <v>0</v>
      </c>
      <c r="R2794" s="7">
        <f t="shared" si="305"/>
        <v>3553</v>
      </c>
      <c r="S2794" s="7">
        <f t="shared" si="306"/>
        <v>187</v>
      </c>
      <c r="T2794" s="6">
        <f t="shared" si="307"/>
        <v>2.1517553793884484E-2</v>
      </c>
      <c r="V2794" t="s">
        <v>29</v>
      </c>
    </row>
    <row r="2795" spans="1:22">
      <c r="A2795" s="3">
        <v>45774</v>
      </c>
      <c r="B2795" t="str">
        <f t="shared" si="301"/>
        <v>yyyy-04</v>
      </c>
      <c r="C2795">
        <f t="shared" si="302"/>
        <v>17</v>
      </c>
      <c r="D2795" t="s">
        <v>42</v>
      </c>
      <c r="E2795" t="s">
        <v>43</v>
      </c>
      <c r="F2795" t="s">
        <v>44</v>
      </c>
      <c r="G2795" t="s">
        <v>27</v>
      </c>
      <c r="H2795" t="s">
        <v>28</v>
      </c>
      <c r="I2795" s="5">
        <v>584</v>
      </c>
      <c r="J2795" s="5">
        <v>428</v>
      </c>
      <c r="K2795" s="5">
        <v>51</v>
      </c>
      <c r="L2795" s="5">
        <v>6</v>
      </c>
      <c r="M2795" s="5">
        <v>6</v>
      </c>
      <c r="N2795" s="7">
        <v>1305.25</v>
      </c>
      <c r="O2795" s="7">
        <f t="shared" si="303"/>
        <v>7831.5</v>
      </c>
      <c r="P2795" s="4">
        <v>0.03</v>
      </c>
      <c r="Q2795" s="7">
        <f t="shared" si="304"/>
        <v>234.94499999999999</v>
      </c>
      <c r="R2795" s="7">
        <f t="shared" si="305"/>
        <v>7596.5550000000003</v>
      </c>
      <c r="S2795" s="7">
        <f t="shared" si="306"/>
        <v>1266.0925</v>
      </c>
      <c r="T2795" s="6">
        <f t="shared" si="307"/>
        <v>1.0273972602739725E-2</v>
      </c>
      <c r="V2795" t="s">
        <v>29</v>
      </c>
    </row>
    <row r="2796" spans="1:22">
      <c r="A2796" s="3">
        <v>45774</v>
      </c>
      <c r="B2796" t="str">
        <f t="shared" si="301"/>
        <v>yyyy-04</v>
      </c>
      <c r="C2796">
        <f t="shared" si="302"/>
        <v>17</v>
      </c>
      <c r="D2796" t="s">
        <v>42</v>
      </c>
      <c r="E2796" t="s">
        <v>43</v>
      </c>
      <c r="F2796" t="s">
        <v>46</v>
      </c>
      <c r="G2796" t="s">
        <v>31</v>
      </c>
      <c r="H2796" t="s">
        <v>32</v>
      </c>
      <c r="I2796" s="5">
        <v>834</v>
      </c>
      <c r="J2796" s="5">
        <v>587</v>
      </c>
      <c r="K2796" s="5">
        <v>67</v>
      </c>
      <c r="L2796" s="5">
        <v>13</v>
      </c>
      <c r="M2796" s="5">
        <v>13</v>
      </c>
      <c r="N2796" s="7">
        <v>2161.61</v>
      </c>
      <c r="O2796" s="7">
        <f t="shared" si="303"/>
        <v>28100.93</v>
      </c>
      <c r="P2796" s="4">
        <v>0.05</v>
      </c>
      <c r="Q2796" s="7">
        <f t="shared" si="304"/>
        <v>1405.0465000000002</v>
      </c>
      <c r="R2796" s="7">
        <f t="shared" si="305"/>
        <v>26695.8835</v>
      </c>
      <c r="S2796" s="7">
        <f t="shared" si="306"/>
        <v>2053.5295000000001</v>
      </c>
      <c r="T2796" s="6">
        <f t="shared" si="307"/>
        <v>1.5587529976019185E-2</v>
      </c>
      <c r="V2796" t="s">
        <v>29</v>
      </c>
    </row>
    <row r="2797" spans="1:22">
      <c r="A2797" s="3">
        <v>45774</v>
      </c>
      <c r="B2797" t="str">
        <f t="shared" si="301"/>
        <v>yyyy-04</v>
      </c>
      <c r="C2797">
        <f t="shared" si="302"/>
        <v>17</v>
      </c>
      <c r="D2797" t="s">
        <v>42</v>
      </c>
      <c r="E2797" t="s">
        <v>43</v>
      </c>
      <c r="F2797" t="s">
        <v>47</v>
      </c>
      <c r="G2797" t="s">
        <v>27</v>
      </c>
      <c r="H2797" t="s">
        <v>28</v>
      </c>
      <c r="I2797" s="5">
        <v>587</v>
      </c>
      <c r="J2797" s="5">
        <v>440</v>
      </c>
      <c r="K2797" s="5">
        <v>26</v>
      </c>
      <c r="L2797" s="5">
        <v>7</v>
      </c>
      <c r="M2797" s="5">
        <v>7</v>
      </c>
      <c r="N2797" s="7">
        <v>591.27</v>
      </c>
      <c r="O2797" s="7">
        <f t="shared" si="303"/>
        <v>4138.8899999999994</v>
      </c>
      <c r="P2797" s="4">
        <v>0</v>
      </c>
      <c r="Q2797" s="7">
        <f t="shared" si="304"/>
        <v>0</v>
      </c>
      <c r="R2797" s="7">
        <f t="shared" si="305"/>
        <v>4138.8899999999994</v>
      </c>
      <c r="S2797" s="7">
        <f t="shared" si="306"/>
        <v>591.26999999999987</v>
      </c>
      <c r="T2797" s="6">
        <f t="shared" si="307"/>
        <v>1.192504258943782E-2</v>
      </c>
      <c r="V2797" t="s">
        <v>78</v>
      </c>
    </row>
    <row r="2798" spans="1:22">
      <c r="A2798" s="3">
        <v>45774</v>
      </c>
      <c r="B2798" t="str">
        <f t="shared" si="301"/>
        <v>yyyy-04</v>
      </c>
      <c r="C2798">
        <f t="shared" si="302"/>
        <v>17</v>
      </c>
      <c r="D2798" t="s">
        <v>42</v>
      </c>
      <c r="E2798" t="s">
        <v>49</v>
      </c>
      <c r="F2798" t="s">
        <v>50</v>
      </c>
      <c r="G2798" t="s">
        <v>31</v>
      </c>
      <c r="H2798" t="s">
        <v>32</v>
      </c>
      <c r="I2798" s="5">
        <v>208</v>
      </c>
      <c r="J2798" s="5">
        <v>139</v>
      </c>
      <c r="K2798" s="5">
        <v>12</v>
      </c>
      <c r="L2798" s="5">
        <v>4</v>
      </c>
      <c r="M2798" s="5">
        <v>4</v>
      </c>
      <c r="N2798" s="7">
        <v>985.79</v>
      </c>
      <c r="O2798" s="7">
        <f t="shared" si="303"/>
        <v>3943.16</v>
      </c>
      <c r="P2798" s="4">
        <v>0.1</v>
      </c>
      <c r="Q2798" s="7">
        <f t="shared" si="304"/>
        <v>394.31600000000003</v>
      </c>
      <c r="R2798" s="7">
        <f t="shared" si="305"/>
        <v>3548.8440000000001</v>
      </c>
      <c r="S2798" s="7">
        <f t="shared" si="306"/>
        <v>887.21100000000001</v>
      </c>
      <c r="T2798" s="6">
        <f t="shared" si="307"/>
        <v>1.9230769230769232E-2</v>
      </c>
      <c r="U2798" t="s">
        <v>94</v>
      </c>
      <c r="V2798" t="s">
        <v>29</v>
      </c>
    </row>
    <row r="2799" spans="1:22">
      <c r="A2799" s="3">
        <v>45774</v>
      </c>
      <c r="B2799" t="str">
        <f t="shared" si="301"/>
        <v>yyyy-04</v>
      </c>
      <c r="C2799">
        <f t="shared" si="302"/>
        <v>17</v>
      </c>
      <c r="D2799" t="s">
        <v>42</v>
      </c>
      <c r="E2799" t="s">
        <v>51</v>
      </c>
      <c r="F2799" t="s">
        <v>52</v>
      </c>
      <c r="G2799" t="s">
        <v>27</v>
      </c>
      <c r="H2799" t="s">
        <v>28</v>
      </c>
      <c r="I2799" s="5">
        <v>338</v>
      </c>
      <c r="J2799" s="5">
        <v>246</v>
      </c>
      <c r="K2799" s="5">
        <v>26</v>
      </c>
      <c r="L2799" s="5">
        <v>5</v>
      </c>
      <c r="M2799" s="5">
        <v>5</v>
      </c>
      <c r="N2799" s="7">
        <v>593.75</v>
      </c>
      <c r="O2799" s="7">
        <f t="shared" si="303"/>
        <v>2968.75</v>
      </c>
      <c r="P2799" s="4">
        <v>0</v>
      </c>
      <c r="Q2799" s="7">
        <f t="shared" si="304"/>
        <v>0</v>
      </c>
      <c r="R2799" s="7">
        <f t="shared" si="305"/>
        <v>2968.75</v>
      </c>
      <c r="S2799" s="7">
        <f t="shared" si="306"/>
        <v>593.75</v>
      </c>
      <c r="T2799" s="6">
        <f t="shared" si="307"/>
        <v>1.4792899408284023E-2</v>
      </c>
      <c r="V2799" t="s">
        <v>29</v>
      </c>
    </row>
    <row r="2800" spans="1:22">
      <c r="A2800" s="3">
        <v>45774</v>
      </c>
      <c r="B2800" t="str">
        <f t="shared" si="301"/>
        <v>yyyy-04</v>
      </c>
      <c r="C2800">
        <f t="shared" si="302"/>
        <v>17</v>
      </c>
      <c r="D2800" t="s">
        <v>53</v>
      </c>
      <c r="E2800" t="s">
        <v>54</v>
      </c>
      <c r="F2800" t="s">
        <v>55</v>
      </c>
      <c r="G2800" t="s">
        <v>36</v>
      </c>
      <c r="H2800" t="s">
        <v>37</v>
      </c>
      <c r="I2800" s="5">
        <v>194</v>
      </c>
      <c r="J2800" s="5">
        <v>118</v>
      </c>
      <c r="K2800" s="5">
        <v>8</v>
      </c>
      <c r="L2800" s="5">
        <v>2</v>
      </c>
      <c r="M2800" s="5">
        <v>2</v>
      </c>
      <c r="N2800" s="7">
        <v>1259.6099999999999</v>
      </c>
      <c r="O2800" s="7">
        <f t="shared" si="303"/>
        <v>2519.2199999999998</v>
      </c>
      <c r="P2800" s="4">
        <v>0.03</v>
      </c>
      <c r="Q2800" s="7">
        <f t="shared" si="304"/>
        <v>75.576599999999985</v>
      </c>
      <c r="R2800" s="7">
        <f t="shared" si="305"/>
        <v>2443.6433999999999</v>
      </c>
      <c r="S2800" s="7">
        <f t="shared" si="306"/>
        <v>1221.8217</v>
      </c>
      <c r="T2800" s="6">
        <f t="shared" si="307"/>
        <v>1.0309278350515464E-2</v>
      </c>
      <c r="V2800" t="s">
        <v>29</v>
      </c>
    </row>
    <row r="2801" spans="1:22">
      <c r="A2801" s="3">
        <v>45774</v>
      </c>
      <c r="B2801" t="str">
        <f t="shared" si="301"/>
        <v>yyyy-04</v>
      </c>
      <c r="C2801">
        <f t="shared" si="302"/>
        <v>17</v>
      </c>
      <c r="D2801" t="s">
        <v>53</v>
      </c>
      <c r="E2801" t="s">
        <v>56</v>
      </c>
      <c r="F2801" t="s">
        <v>57</v>
      </c>
      <c r="G2801" t="s">
        <v>27</v>
      </c>
      <c r="H2801" t="s">
        <v>48</v>
      </c>
      <c r="I2801" s="5">
        <v>213</v>
      </c>
      <c r="J2801" s="5">
        <v>137</v>
      </c>
      <c r="K2801" s="5">
        <v>11</v>
      </c>
      <c r="L2801" s="5">
        <v>2</v>
      </c>
      <c r="M2801" s="5">
        <v>2</v>
      </c>
      <c r="N2801" s="7">
        <v>723.31</v>
      </c>
      <c r="O2801" s="7">
        <f t="shared" si="303"/>
        <v>1446.62</v>
      </c>
      <c r="P2801" s="4">
        <v>0</v>
      </c>
      <c r="Q2801" s="7">
        <f t="shared" si="304"/>
        <v>0</v>
      </c>
      <c r="R2801" s="7">
        <f t="shared" si="305"/>
        <v>1446.62</v>
      </c>
      <c r="S2801" s="7">
        <f t="shared" si="306"/>
        <v>723.31</v>
      </c>
      <c r="T2801" s="6">
        <f t="shared" si="307"/>
        <v>9.3896713615023476E-3</v>
      </c>
      <c r="V2801" t="s">
        <v>29</v>
      </c>
    </row>
    <row r="2802" spans="1:22">
      <c r="A2802" s="3">
        <v>45774</v>
      </c>
      <c r="B2802" t="str">
        <f t="shared" si="301"/>
        <v>yyyy-04</v>
      </c>
      <c r="C2802">
        <f t="shared" si="302"/>
        <v>17</v>
      </c>
      <c r="D2802" t="s">
        <v>53</v>
      </c>
      <c r="E2802" t="s">
        <v>56</v>
      </c>
      <c r="F2802" t="s">
        <v>58</v>
      </c>
      <c r="G2802" t="s">
        <v>27</v>
      </c>
      <c r="H2802" t="s">
        <v>28</v>
      </c>
      <c r="I2802" s="5">
        <v>267</v>
      </c>
      <c r="J2802" s="5">
        <v>216</v>
      </c>
      <c r="K2802" s="5">
        <v>17</v>
      </c>
      <c r="L2802" s="5">
        <v>4</v>
      </c>
      <c r="M2802" s="5">
        <v>4</v>
      </c>
      <c r="N2802" s="7">
        <v>897.12</v>
      </c>
      <c r="O2802" s="7">
        <f t="shared" si="303"/>
        <v>3588.48</v>
      </c>
      <c r="P2802" s="4">
        <v>0.05</v>
      </c>
      <c r="Q2802" s="7">
        <f t="shared" si="304"/>
        <v>179.42400000000001</v>
      </c>
      <c r="R2802" s="7">
        <f t="shared" si="305"/>
        <v>3409.056</v>
      </c>
      <c r="S2802" s="7">
        <f t="shared" si="306"/>
        <v>852.26400000000001</v>
      </c>
      <c r="T2802" s="6">
        <f t="shared" si="307"/>
        <v>1.4981273408239701E-2</v>
      </c>
      <c r="V2802" t="s">
        <v>29</v>
      </c>
    </row>
    <row r="2803" spans="1:22">
      <c r="A2803" s="3">
        <v>45774</v>
      </c>
      <c r="B2803" t="str">
        <f t="shared" si="301"/>
        <v>yyyy-04</v>
      </c>
      <c r="C2803">
        <f t="shared" si="302"/>
        <v>17</v>
      </c>
      <c r="D2803" t="s">
        <v>53</v>
      </c>
      <c r="E2803" t="s">
        <v>59</v>
      </c>
      <c r="F2803" t="s">
        <v>60</v>
      </c>
      <c r="G2803" t="s">
        <v>27</v>
      </c>
      <c r="H2803" t="s">
        <v>45</v>
      </c>
      <c r="I2803" s="5">
        <v>165</v>
      </c>
      <c r="J2803" s="5">
        <v>106</v>
      </c>
      <c r="K2803" s="5">
        <v>8</v>
      </c>
      <c r="L2803" s="5">
        <v>2</v>
      </c>
      <c r="M2803" s="5">
        <v>2</v>
      </c>
      <c r="N2803" s="7">
        <v>711.1</v>
      </c>
      <c r="O2803" s="7">
        <f t="shared" si="303"/>
        <v>1422.2</v>
      </c>
      <c r="P2803" s="4">
        <v>0.05</v>
      </c>
      <c r="Q2803" s="7">
        <f t="shared" si="304"/>
        <v>71.11</v>
      </c>
      <c r="R2803" s="7">
        <f t="shared" si="305"/>
        <v>1351.0900000000001</v>
      </c>
      <c r="S2803" s="7">
        <f t="shared" si="306"/>
        <v>675.54500000000007</v>
      </c>
      <c r="T2803" s="6">
        <f t="shared" si="307"/>
        <v>1.2121212121212121E-2</v>
      </c>
      <c r="V2803" t="s">
        <v>29</v>
      </c>
    </row>
    <row r="2804" spans="1:22">
      <c r="A2804" s="3">
        <v>45774</v>
      </c>
      <c r="B2804" t="str">
        <f t="shared" si="301"/>
        <v>yyyy-04</v>
      </c>
      <c r="C2804">
        <f t="shared" si="302"/>
        <v>17</v>
      </c>
      <c r="D2804" t="s">
        <v>53</v>
      </c>
      <c r="E2804" t="s">
        <v>61</v>
      </c>
      <c r="F2804" t="s">
        <v>62</v>
      </c>
      <c r="G2804" t="s">
        <v>27</v>
      </c>
      <c r="H2804" t="s">
        <v>48</v>
      </c>
      <c r="I2804" s="5">
        <v>141</v>
      </c>
      <c r="J2804" s="5">
        <v>105</v>
      </c>
      <c r="K2804" s="5">
        <v>9</v>
      </c>
      <c r="L2804" s="5">
        <v>2</v>
      </c>
      <c r="M2804" s="5">
        <v>2</v>
      </c>
      <c r="N2804" s="7">
        <v>497.27</v>
      </c>
      <c r="O2804" s="7">
        <f t="shared" si="303"/>
        <v>994.54</v>
      </c>
      <c r="P2804" s="4">
        <v>0</v>
      </c>
      <c r="Q2804" s="7">
        <f t="shared" si="304"/>
        <v>0</v>
      </c>
      <c r="R2804" s="7">
        <f t="shared" si="305"/>
        <v>994.54</v>
      </c>
      <c r="S2804" s="7">
        <f t="shared" si="306"/>
        <v>497.27</v>
      </c>
      <c r="T2804" s="6">
        <f t="shared" si="307"/>
        <v>1.4184397163120567E-2</v>
      </c>
      <c r="V2804" t="s">
        <v>29</v>
      </c>
    </row>
    <row r="2805" spans="1:22">
      <c r="A2805" s="3">
        <v>45774</v>
      </c>
      <c r="B2805" t="str">
        <f t="shared" si="301"/>
        <v>yyyy-04</v>
      </c>
      <c r="C2805">
        <f t="shared" si="302"/>
        <v>17</v>
      </c>
      <c r="D2805" t="s">
        <v>53</v>
      </c>
      <c r="E2805" t="s">
        <v>64</v>
      </c>
      <c r="F2805" t="s">
        <v>65</v>
      </c>
      <c r="G2805" t="s">
        <v>31</v>
      </c>
      <c r="H2805" t="s">
        <v>32</v>
      </c>
      <c r="I2805" s="5">
        <v>353</v>
      </c>
      <c r="J2805" s="5">
        <v>206</v>
      </c>
      <c r="K2805" s="5">
        <v>21</v>
      </c>
      <c r="L2805" s="5">
        <v>5</v>
      </c>
      <c r="M2805" s="5">
        <v>5</v>
      </c>
      <c r="N2805" s="7">
        <v>809.57</v>
      </c>
      <c r="O2805" s="7">
        <f t="shared" si="303"/>
        <v>4047.8500000000004</v>
      </c>
      <c r="P2805" s="4">
        <v>0.03</v>
      </c>
      <c r="Q2805" s="7">
        <f t="shared" si="304"/>
        <v>121.4355</v>
      </c>
      <c r="R2805" s="7">
        <f t="shared" si="305"/>
        <v>3926.4145000000003</v>
      </c>
      <c r="S2805" s="7">
        <f t="shared" si="306"/>
        <v>785.28290000000004</v>
      </c>
      <c r="T2805" s="6">
        <f t="shared" si="307"/>
        <v>1.4164305949008499E-2</v>
      </c>
      <c r="V2805" t="s">
        <v>29</v>
      </c>
    </row>
    <row r="2806" spans="1:22">
      <c r="A2806" s="3">
        <v>45774</v>
      </c>
      <c r="B2806" t="str">
        <f t="shared" si="301"/>
        <v>yyyy-04</v>
      </c>
      <c r="C2806">
        <f t="shared" si="302"/>
        <v>17</v>
      </c>
      <c r="D2806" t="s">
        <v>66</v>
      </c>
      <c r="E2806" t="s">
        <v>67</v>
      </c>
      <c r="F2806" t="s">
        <v>68</v>
      </c>
      <c r="G2806" t="s">
        <v>31</v>
      </c>
      <c r="H2806" t="s">
        <v>32</v>
      </c>
      <c r="I2806" s="5">
        <v>573</v>
      </c>
      <c r="J2806" s="5">
        <v>327</v>
      </c>
      <c r="K2806" s="5">
        <v>34</v>
      </c>
      <c r="L2806" s="5">
        <v>8</v>
      </c>
      <c r="M2806" s="5">
        <v>8</v>
      </c>
      <c r="N2806" s="7">
        <v>671.58</v>
      </c>
      <c r="O2806" s="7">
        <f t="shared" si="303"/>
        <v>5372.64</v>
      </c>
      <c r="P2806" s="4">
        <v>0.03</v>
      </c>
      <c r="Q2806" s="7">
        <f t="shared" si="304"/>
        <v>161.17920000000001</v>
      </c>
      <c r="R2806" s="7">
        <f t="shared" si="305"/>
        <v>5211.4608000000007</v>
      </c>
      <c r="S2806" s="7">
        <f t="shared" si="306"/>
        <v>651.43260000000009</v>
      </c>
      <c r="T2806" s="6">
        <f t="shared" si="307"/>
        <v>1.3961605584642234E-2</v>
      </c>
      <c r="V2806" t="s">
        <v>29</v>
      </c>
    </row>
    <row r="2807" spans="1:22">
      <c r="A2807" s="3">
        <v>45774</v>
      </c>
      <c r="B2807" t="str">
        <f t="shared" si="301"/>
        <v>yyyy-04</v>
      </c>
      <c r="C2807">
        <f t="shared" si="302"/>
        <v>17</v>
      </c>
      <c r="D2807" t="s">
        <v>66</v>
      </c>
      <c r="E2807" t="s">
        <v>67</v>
      </c>
      <c r="F2807" t="s">
        <v>69</v>
      </c>
      <c r="G2807" t="s">
        <v>31</v>
      </c>
      <c r="H2807" t="s">
        <v>32</v>
      </c>
      <c r="I2807" s="5">
        <v>530</v>
      </c>
      <c r="J2807" s="5">
        <v>294</v>
      </c>
      <c r="K2807" s="5">
        <v>40</v>
      </c>
      <c r="L2807" s="5">
        <v>8</v>
      </c>
      <c r="M2807" s="5">
        <v>8</v>
      </c>
      <c r="N2807" s="7">
        <v>405.09</v>
      </c>
      <c r="O2807" s="7">
        <f t="shared" si="303"/>
        <v>3240.72</v>
      </c>
      <c r="P2807" s="4">
        <v>0</v>
      </c>
      <c r="Q2807" s="7">
        <f t="shared" si="304"/>
        <v>0</v>
      </c>
      <c r="R2807" s="7">
        <f t="shared" si="305"/>
        <v>3240.72</v>
      </c>
      <c r="S2807" s="7">
        <f t="shared" si="306"/>
        <v>405.09</v>
      </c>
      <c r="T2807" s="6">
        <f t="shared" si="307"/>
        <v>1.509433962264151E-2</v>
      </c>
      <c r="V2807" t="s">
        <v>29</v>
      </c>
    </row>
    <row r="2808" spans="1:22">
      <c r="A2808" s="3">
        <v>45774</v>
      </c>
      <c r="B2808" t="str">
        <f t="shared" si="301"/>
        <v>yyyy-04</v>
      </c>
      <c r="C2808">
        <f t="shared" si="302"/>
        <v>17</v>
      </c>
      <c r="D2808" t="s">
        <v>66</v>
      </c>
      <c r="E2808" t="s">
        <v>67</v>
      </c>
      <c r="F2808" t="s">
        <v>70</v>
      </c>
      <c r="G2808" t="s">
        <v>27</v>
      </c>
      <c r="H2808" t="s">
        <v>45</v>
      </c>
      <c r="I2808" s="5">
        <v>294</v>
      </c>
      <c r="J2808" s="5">
        <v>208</v>
      </c>
      <c r="K2808" s="5">
        <v>11</v>
      </c>
      <c r="L2808" s="5">
        <v>4</v>
      </c>
      <c r="M2808" s="5">
        <v>4</v>
      </c>
      <c r="N2808" s="7">
        <v>352.79</v>
      </c>
      <c r="O2808" s="7">
        <f t="shared" si="303"/>
        <v>1411.16</v>
      </c>
      <c r="P2808" s="4">
        <v>0</v>
      </c>
      <c r="Q2808" s="7">
        <f t="shared" si="304"/>
        <v>0</v>
      </c>
      <c r="R2808" s="7">
        <f t="shared" si="305"/>
        <v>1411.16</v>
      </c>
      <c r="S2808" s="7">
        <f t="shared" si="306"/>
        <v>352.79</v>
      </c>
      <c r="T2808" s="6">
        <f t="shared" si="307"/>
        <v>1.3605442176870748E-2</v>
      </c>
      <c r="V2808" t="s">
        <v>78</v>
      </c>
    </row>
    <row r="2809" spans="1:22">
      <c r="A2809" s="3">
        <v>45774</v>
      </c>
      <c r="B2809" t="str">
        <f t="shared" si="301"/>
        <v>yyyy-04</v>
      </c>
      <c r="C2809">
        <f t="shared" si="302"/>
        <v>17</v>
      </c>
      <c r="D2809" t="s">
        <v>66</v>
      </c>
      <c r="E2809" t="s">
        <v>71</v>
      </c>
      <c r="F2809" t="s">
        <v>72</v>
      </c>
      <c r="G2809" t="s">
        <v>36</v>
      </c>
      <c r="H2809" t="s">
        <v>37</v>
      </c>
      <c r="I2809" s="5">
        <v>414</v>
      </c>
      <c r="J2809" s="5">
        <v>292</v>
      </c>
      <c r="K2809" s="5">
        <v>30</v>
      </c>
      <c r="L2809" s="5">
        <v>9</v>
      </c>
      <c r="M2809" s="5">
        <v>11</v>
      </c>
      <c r="N2809" s="7">
        <v>126.49</v>
      </c>
      <c r="O2809" s="7">
        <f t="shared" si="303"/>
        <v>1391.3899999999999</v>
      </c>
      <c r="P2809" s="4">
        <v>0.03</v>
      </c>
      <c r="Q2809" s="7">
        <f t="shared" si="304"/>
        <v>41.741699999999994</v>
      </c>
      <c r="R2809" s="7">
        <f t="shared" si="305"/>
        <v>1349.6482999999998</v>
      </c>
      <c r="S2809" s="7">
        <f t="shared" si="306"/>
        <v>149.96092222222219</v>
      </c>
      <c r="T2809" s="6">
        <f t="shared" si="307"/>
        <v>2.1739130434782608E-2</v>
      </c>
      <c r="V2809" t="s">
        <v>29</v>
      </c>
    </row>
    <row r="2810" spans="1:22">
      <c r="A2810" s="3">
        <v>45774</v>
      </c>
      <c r="B2810" t="str">
        <f t="shared" si="301"/>
        <v>yyyy-04</v>
      </c>
      <c r="C2810">
        <f t="shared" si="302"/>
        <v>17</v>
      </c>
      <c r="D2810" t="s">
        <v>66</v>
      </c>
      <c r="E2810" t="s">
        <v>73</v>
      </c>
      <c r="F2810" t="s">
        <v>74</v>
      </c>
      <c r="G2810" t="s">
        <v>36</v>
      </c>
      <c r="H2810" t="s">
        <v>37</v>
      </c>
      <c r="I2810" s="5">
        <v>324</v>
      </c>
      <c r="J2810" s="5">
        <v>255</v>
      </c>
      <c r="K2810" s="5">
        <v>38</v>
      </c>
      <c r="L2810" s="5">
        <v>8</v>
      </c>
      <c r="M2810" s="5">
        <v>8</v>
      </c>
      <c r="N2810" s="7">
        <v>1210.81</v>
      </c>
      <c r="O2810" s="7">
        <f t="shared" si="303"/>
        <v>9686.48</v>
      </c>
      <c r="P2810" s="4">
        <v>7.0000000000000007E-2</v>
      </c>
      <c r="Q2810" s="7">
        <f t="shared" si="304"/>
        <v>678.05360000000007</v>
      </c>
      <c r="R2810" s="7">
        <f t="shared" si="305"/>
        <v>9008.4264000000003</v>
      </c>
      <c r="S2810" s="7">
        <f t="shared" si="306"/>
        <v>1126.0533</v>
      </c>
      <c r="T2810" s="6">
        <f t="shared" si="307"/>
        <v>2.4691358024691357E-2</v>
      </c>
      <c r="U2810" t="s">
        <v>95</v>
      </c>
      <c r="V2810" t="s">
        <v>29</v>
      </c>
    </row>
    <row r="2811" spans="1:22">
      <c r="A2811" s="3">
        <v>45774</v>
      </c>
      <c r="B2811" t="str">
        <f t="shared" si="301"/>
        <v>yyyy-04</v>
      </c>
      <c r="C2811">
        <f t="shared" si="302"/>
        <v>17</v>
      </c>
      <c r="D2811" t="s">
        <v>66</v>
      </c>
      <c r="E2811" t="s">
        <v>71</v>
      </c>
      <c r="F2811" t="s">
        <v>75</v>
      </c>
      <c r="G2811" t="s">
        <v>31</v>
      </c>
      <c r="H2811" t="s">
        <v>32</v>
      </c>
      <c r="I2811" s="5">
        <v>464</v>
      </c>
      <c r="J2811" s="5">
        <v>262</v>
      </c>
      <c r="K2811" s="5">
        <v>39</v>
      </c>
      <c r="L2811" s="5">
        <v>8</v>
      </c>
      <c r="M2811" s="5">
        <v>9</v>
      </c>
      <c r="N2811" s="7">
        <v>38.08</v>
      </c>
      <c r="O2811" s="7">
        <f t="shared" si="303"/>
        <v>342.71999999999997</v>
      </c>
      <c r="P2811" s="4">
        <v>0</v>
      </c>
      <c r="Q2811" s="7">
        <f t="shared" si="304"/>
        <v>0</v>
      </c>
      <c r="R2811" s="7">
        <f t="shared" si="305"/>
        <v>342.71999999999997</v>
      </c>
      <c r="S2811" s="7">
        <f t="shared" si="306"/>
        <v>42.839999999999996</v>
      </c>
      <c r="T2811" s="6">
        <f t="shared" si="307"/>
        <v>1.7241379310344827E-2</v>
      </c>
      <c r="V2811" t="s">
        <v>29</v>
      </c>
    </row>
    <row r="2812" spans="1:22">
      <c r="A2812" s="3">
        <v>45774</v>
      </c>
      <c r="B2812" t="str">
        <f t="shared" si="301"/>
        <v>yyyy-04</v>
      </c>
      <c r="C2812">
        <f t="shared" si="302"/>
        <v>17</v>
      </c>
      <c r="D2812" t="s">
        <v>24</v>
      </c>
      <c r="E2812" t="s">
        <v>76</v>
      </c>
      <c r="F2812" t="s">
        <v>77</v>
      </c>
      <c r="G2812" t="s">
        <v>27</v>
      </c>
      <c r="H2812" t="s">
        <v>48</v>
      </c>
      <c r="I2812" s="5">
        <v>602</v>
      </c>
      <c r="J2812" s="5">
        <v>373</v>
      </c>
      <c r="K2812" s="5">
        <v>37</v>
      </c>
      <c r="L2812" s="5">
        <v>15</v>
      </c>
      <c r="M2812" s="5">
        <v>20</v>
      </c>
      <c r="N2812" s="7">
        <v>202.37</v>
      </c>
      <c r="O2812" s="7">
        <f t="shared" si="303"/>
        <v>4047.4</v>
      </c>
      <c r="P2812" s="4">
        <v>0.05</v>
      </c>
      <c r="Q2812" s="7">
        <f t="shared" si="304"/>
        <v>202.37</v>
      </c>
      <c r="R2812" s="7">
        <f t="shared" si="305"/>
        <v>3845.03</v>
      </c>
      <c r="S2812" s="7">
        <f t="shared" si="306"/>
        <v>256.33533333333332</v>
      </c>
      <c r="T2812" s="6">
        <f t="shared" si="307"/>
        <v>2.4916943521594685E-2</v>
      </c>
      <c r="V2812" t="s">
        <v>29</v>
      </c>
    </row>
    <row r="2813" spans="1:22">
      <c r="A2813" s="3">
        <v>45775</v>
      </c>
      <c r="B2813" t="str">
        <f t="shared" si="301"/>
        <v>yyyy-04</v>
      </c>
      <c r="C2813">
        <f t="shared" si="302"/>
        <v>18</v>
      </c>
      <c r="D2813" t="s">
        <v>24</v>
      </c>
      <c r="E2813" t="s">
        <v>25</v>
      </c>
      <c r="F2813" t="s">
        <v>26</v>
      </c>
      <c r="G2813" t="s">
        <v>36</v>
      </c>
      <c r="H2813" t="s">
        <v>37</v>
      </c>
      <c r="I2813" s="5">
        <v>2148</v>
      </c>
      <c r="J2813" s="5">
        <v>1187</v>
      </c>
      <c r="K2813" s="5">
        <v>125</v>
      </c>
      <c r="L2813" s="5">
        <v>49</v>
      </c>
      <c r="M2813" s="5">
        <v>49</v>
      </c>
      <c r="N2813" s="7">
        <v>1007.66</v>
      </c>
      <c r="O2813" s="7">
        <f t="shared" si="303"/>
        <v>49375.34</v>
      </c>
      <c r="P2813" s="4">
        <v>0</v>
      </c>
      <c r="Q2813" s="7">
        <f t="shared" si="304"/>
        <v>0</v>
      </c>
      <c r="R2813" s="7">
        <f t="shared" si="305"/>
        <v>49375.34</v>
      </c>
      <c r="S2813" s="7">
        <f t="shared" si="306"/>
        <v>1007.66</v>
      </c>
      <c r="T2813" s="6">
        <f t="shared" si="307"/>
        <v>2.2811918063314712E-2</v>
      </c>
      <c r="V2813" t="s">
        <v>29</v>
      </c>
    </row>
    <row r="2814" spans="1:22">
      <c r="A2814" s="3">
        <v>45775</v>
      </c>
      <c r="B2814" t="str">
        <f t="shared" si="301"/>
        <v>yyyy-04</v>
      </c>
      <c r="C2814">
        <f t="shared" si="302"/>
        <v>18</v>
      </c>
      <c r="D2814" t="s">
        <v>24</v>
      </c>
      <c r="E2814" t="s">
        <v>25</v>
      </c>
      <c r="F2814" t="s">
        <v>30</v>
      </c>
      <c r="G2814" t="s">
        <v>31</v>
      </c>
      <c r="H2814" t="s">
        <v>32</v>
      </c>
      <c r="I2814" s="5">
        <v>1492</v>
      </c>
      <c r="J2814" s="5">
        <v>1040</v>
      </c>
      <c r="K2814" s="5">
        <v>110</v>
      </c>
      <c r="L2814" s="5">
        <v>27</v>
      </c>
      <c r="M2814" s="5">
        <v>27</v>
      </c>
      <c r="N2814" s="7">
        <v>400.36</v>
      </c>
      <c r="O2814" s="7">
        <f t="shared" si="303"/>
        <v>10809.720000000001</v>
      </c>
      <c r="P2814" s="4">
        <v>0.03</v>
      </c>
      <c r="Q2814" s="7">
        <f t="shared" si="304"/>
        <v>324.29160000000002</v>
      </c>
      <c r="R2814" s="7">
        <f t="shared" si="305"/>
        <v>10485.428400000001</v>
      </c>
      <c r="S2814" s="7">
        <f t="shared" si="306"/>
        <v>388.34920000000005</v>
      </c>
      <c r="T2814" s="6">
        <f t="shared" si="307"/>
        <v>1.8096514745308313E-2</v>
      </c>
      <c r="V2814" t="s">
        <v>29</v>
      </c>
    </row>
    <row r="2815" spans="1:22">
      <c r="A2815" s="3">
        <v>45775</v>
      </c>
      <c r="B2815" t="str">
        <f t="shared" si="301"/>
        <v>yyyy-04</v>
      </c>
      <c r="C2815">
        <f t="shared" si="302"/>
        <v>18</v>
      </c>
      <c r="D2815" t="s">
        <v>24</v>
      </c>
      <c r="E2815" t="s">
        <v>25</v>
      </c>
      <c r="F2815" t="s">
        <v>33</v>
      </c>
      <c r="G2815" t="s">
        <v>27</v>
      </c>
      <c r="H2815" t="s">
        <v>28</v>
      </c>
      <c r="I2815" s="5">
        <v>1492</v>
      </c>
      <c r="J2815" s="5">
        <v>800</v>
      </c>
      <c r="K2815" s="5">
        <v>122</v>
      </c>
      <c r="L2815" s="5">
        <v>26</v>
      </c>
      <c r="M2815" s="5">
        <v>26</v>
      </c>
      <c r="N2815" s="7">
        <v>1791.57</v>
      </c>
      <c r="O2815" s="7">
        <f t="shared" si="303"/>
        <v>46580.82</v>
      </c>
      <c r="P2815" s="4">
        <v>0</v>
      </c>
      <c r="Q2815" s="7">
        <f t="shared" si="304"/>
        <v>0</v>
      </c>
      <c r="R2815" s="7">
        <f t="shared" si="305"/>
        <v>46580.82</v>
      </c>
      <c r="S2815" s="7">
        <f t="shared" si="306"/>
        <v>1791.57</v>
      </c>
      <c r="T2815" s="6">
        <f t="shared" si="307"/>
        <v>1.7426273458445041E-2</v>
      </c>
      <c r="V2815" t="s">
        <v>29</v>
      </c>
    </row>
    <row r="2816" spans="1:22">
      <c r="A2816" s="3">
        <v>45775</v>
      </c>
      <c r="B2816" t="str">
        <f t="shared" si="301"/>
        <v>yyyy-04</v>
      </c>
      <c r="C2816">
        <f t="shared" si="302"/>
        <v>18</v>
      </c>
      <c r="D2816" t="s">
        <v>24</v>
      </c>
      <c r="E2816" t="s">
        <v>34</v>
      </c>
      <c r="F2816" t="s">
        <v>35</v>
      </c>
      <c r="G2816" t="s">
        <v>27</v>
      </c>
      <c r="H2816" t="s">
        <v>28</v>
      </c>
      <c r="I2816" s="5">
        <v>1080</v>
      </c>
      <c r="J2816" s="5">
        <v>882</v>
      </c>
      <c r="K2816" s="5">
        <v>84</v>
      </c>
      <c r="L2816" s="5">
        <v>17</v>
      </c>
      <c r="M2816" s="5">
        <v>17</v>
      </c>
      <c r="N2816" s="7">
        <v>879.54</v>
      </c>
      <c r="O2816" s="7">
        <f t="shared" si="303"/>
        <v>14952.18</v>
      </c>
      <c r="P2816" s="4">
        <v>0.05</v>
      </c>
      <c r="Q2816" s="7">
        <f t="shared" si="304"/>
        <v>747.60900000000004</v>
      </c>
      <c r="R2816" s="7">
        <f t="shared" si="305"/>
        <v>14204.571</v>
      </c>
      <c r="S2816" s="7">
        <f t="shared" si="306"/>
        <v>835.56299999999999</v>
      </c>
      <c r="T2816" s="6">
        <f t="shared" si="307"/>
        <v>1.5740740740740739E-2</v>
      </c>
      <c r="V2816" t="s">
        <v>29</v>
      </c>
    </row>
    <row r="2817" spans="1:22">
      <c r="A2817" s="3">
        <v>45775</v>
      </c>
      <c r="B2817" t="str">
        <f t="shared" si="301"/>
        <v>yyyy-04</v>
      </c>
      <c r="C2817">
        <f t="shared" si="302"/>
        <v>18</v>
      </c>
      <c r="D2817" t="s">
        <v>24</v>
      </c>
      <c r="E2817" t="s">
        <v>38</v>
      </c>
      <c r="F2817" t="s">
        <v>39</v>
      </c>
      <c r="G2817" t="s">
        <v>27</v>
      </c>
      <c r="H2817" t="s">
        <v>48</v>
      </c>
      <c r="I2817" s="5">
        <v>699</v>
      </c>
      <c r="J2817" s="5">
        <v>521</v>
      </c>
      <c r="K2817" s="5">
        <v>64</v>
      </c>
      <c r="L2817" s="5">
        <v>15</v>
      </c>
      <c r="M2817" s="5">
        <v>15</v>
      </c>
      <c r="N2817" s="7">
        <v>319.31</v>
      </c>
      <c r="O2817" s="7">
        <f t="shared" si="303"/>
        <v>4789.6499999999996</v>
      </c>
      <c r="P2817" s="4">
        <v>0.03</v>
      </c>
      <c r="Q2817" s="7">
        <f t="shared" si="304"/>
        <v>143.68949999999998</v>
      </c>
      <c r="R2817" s="7">
        <f t="shared" si="305"/>
        <v>4645.9604999999992</v>
      </c>
      <c r="S2817" s="7">
        <f t="shared" si="306"/>
        <v>309.73069999999996</v>
      </c>
      <c r="T2817" s="6">
        <f t="shared" si="307"/>
        <v>2.1459227467811159E-2</v>
      </c>
      <c r="V2817" t="s">
        <v>29</v>
      </c>
    </row>
    <row r="2818" spans="1:22">
      <c r="A2818" s="3">
        <v>45775</v>
      </c>
      <c r="B2818" t="str">
        <f t="shared" si="301"/>
        <v>yyyy-04</v>
      </c>
      <c r="C2818">
        <f t="shared" si="302"/>
        <v>18</v>
      </c>
      <c r="D2818" t="s">
        <v>24</v>
      </c>
      <c r="E2818" t="s">
        <v>40</v>
      </c>
      <c r="F2818" t="s">
        <v>41</v>
      </c>
      <c r="G2818" t="s">
        <v>31</v>
      </c>
      <c r="H2818" t="s">
        <v>32</v>
      </c>
      <c r="I2818" s="5">
        <v>943</v>
      </c>
      <c r="J2818" s="5">
        <v>751</v>
      </c>
      <c r="K2818" s="5">
        <v>87</v>
      </c>
      <c r="L2818" s="5">
        <v>18</v>
      </c>
      <c r="M2818" s="5">
        <v>21</v>
      </c>
      <c r="N2818" s="7">
        <v>177.3</v>
      </c>
      <c r="O2818" s="7">
        <f t="shared" si="303"/>
        <v>3723.3</v>
      </c>
      <c r="P2818" s="4">
        <v>0</v>
      </c>
      <c r="Q2818" s="7">
        <f t="shared" si="304"/>
        <v>0</v>
      </c>
      <c r="R2818" s="7">
        <f t="shared" si="305"/>
        <v>3723.3</v>
      </c>
      <c r="S2818" s="7">
        <f t="shared" si="306"/>
        <v>206.85000000000002</v>
      </c>
      <c r="T2818" s="6">
        <f t="shared" si="307"/>
        <v>1.9088016967126194E-2</v>
      </c>
      <c r="V2818" t="s">
        <v>29</v>
      </c>
    </row>
    <row r="2819" spans="1:22">
      <c r="A2819" s="3">
        <v>45775</v>
      </c>
      <c r="B2819" t="str">
        <f t="shared" si="301"/>
        <v>yyyy-04</v>
      </c>
      <c r="C2819">
        <f t="shared" si="302"/>
        <v>18</v>
      </c>
      <c r="D2819" t="s">
        <v>42</v>
      </c>
      <c r="E2819" t="s">
        <v>43</v>
      </c>
      <c r="F2819" t="s">
        <v>44</v>
      </c>
      <c r="G2819" t="s">
        <v>31</v>
      </c>
      <c r="H2819" t="s">
        <v>32</v>
      </c>
      <c r="I2819" s="5">
        <v>558</v>
      </c>
      <c r="J2819" s="5">
        <v>364</v>
      </c>
      <c r="K2819" s="5">
        <v>24</v>
      </c>
      <c r="L2819" s="5">
        <v>6</v>
      </c>
      <c r="M2819" s="5">
        <v>6</v>
      </c>
      <c r="N2819" s="7">
        <v>1298.24</v>
      </c>
      <c r="O2819" s="7">
        <f t="shared" si="303"/>
        <v>7789.4400000000005</v>
      </c>
      <c r="P2819" s="4">
        <v>0</v>
      </c>
      <c r="Q2819" s="7">
        <f t="shared" si="304"/>
        <v>0</v>
      </c>
      <c r="R2819" s="7">
        <f t="shared" si="305"/>
        <v>7789.4400000000005</v>
      </c>
      <c r="S2819" s="7">
        <f t="shared" si="306"/>
        <v>1298.24</v>
      </c>
      <c r="T2819" s="6">
        <f t="shared" si="307"/>
        <v>1.0752688172043012E-2</v>
      </c>
      <c r="V2819" t="s">
        <v>29</v>
      </c>
    </row>
    <row r="2820" spans="1:22">
      <c r="A2820" s="3">
        <v>45775</v>
      </c>
      <c r="B2820" t="str">
        <f t="shared" si="301"/>
        <v>yyyy-04</v>
      </c>
      <c r="C2820">
        <f t="shared" si="302"/>
        <v>18</v>
      </c>
      <c r="D2820" t="s">
        <v>42</v>
      </c>
      <c r="E2820" t="s">
        <v>43</v>
      </c>
      <c r="F2820" t="s">
        <v>46</v>
      </c>
      <c r="G2820" t="s">
        <v>27</v>
      </c>
      <c r="H2820" t="s">
        <v>45</v>
      </c>
      <c r="I2820" s="5">
        <v>425</v>
      </c>
      <c r="J2820" s="5">
        <v>244</v>
      </c>
      <c r="K2820" s="5">
        <v>13</v>
      </c>
      <c r="L2820" s="5">
        <v>5</v>
      </c>
      <c r="M2820" s="5">
        <v>5</v>
      </c>
      <c r="N2820" s="7">
        <v>2223.3200000000002</v>
      </c>
      <c r="O2820" s="7">
        <f t="shared" si="303"/>
        <v>11116.6</v>
      </c>
      <c r="P2820" s="4">
        <v>0</v>
      </c>
      <c r="Q2820" s="7">
        <f t="shared" si="304"/>
        <v>0</v>
      </c>
      <c r="R2820" s="7">
        <f t="shared" si="305"/>
        <v>11116.6</v>
      </c>
      <c r="S2820" s="7">
        <f t="shared" si="306"/>
        <v>2223.3200000000002</v>
      </c>
      <c r="T2820" s="6">
        <f t="shared" si="307"/>
        <v>1.1764705882352941E-2</v>
      </c>
      <c r="V2820" t="s">
        <v>29</v>
      </c>
    </row>
    <row r="2821" spans="1:22">
      <c r="A2821" s="3">
        <v>45775</v>
      </c>
      <c r="B2821" t="str">
        <f t="shared" ref="B2821:B2884" si="308">TEXT(A2821,"yyyy-mm")</f>
        <v>yyyy-04</v>
      </c>
      <c r="C2821">
        <f t="shared" ref="C2821:C2884" si="309">WEEKNUM(A2821,2)</f>
        <v>18</v>
      </c>
      <c r="D2821" t="s">
        <v>42</v>
      </c>
      <c r="E2821" t="s">
        <v>43</v>
      </c>
      <c r="F2821" t="s">
        <v>47</v>
      </c>
      <c r="G2821" t="s">
        <v>36</v>
      </c>
      <c r="H2821" t="s">
        <v>37</v>
      </c>
      <c r="I2821" s="5">
        <v>667</v>
      </c>
      <c r="J2821" s="5">
        <v>394</v>
      </c>
      <c r="K2821" s="5">
        <v>45</v>
      </c>
      <c r="L2821" s="5">
        <v>11</v>
      </c>
      <c r="M2821" s="5">
        <v>11</v>
      </c>
      <c r="N2821" s="7">
        <v>581.67999999999995</v>
      </c>
      <c r="O2821" s="7">
        <f t="shared" ref="O2821:O2884" si="310">M2821*N2821</f>
        <v>6398.48</v>
      </c>
      <c r="P2821" s="4">
        <v>0.05</v>
      </c>
      <c r="Q2821" s="7">
        <f t="shared" ref="Q2821:Q2884" si="311">O2821*P2821</f>
        <v>319.92399999999998</v>
      </c>
      <c r="R2821" s="7">
        <f t="shared" ref="R2821:R2884" si="312">O2821-Q2821</f>
        <v>6078.5559999999996</v>
      </c>
      <c r="S2821" s="7">
        <f t="shared" ref="S2821:S2884" si="313">IFERROR(R2821/L2821,0)</f>
        <v>552.596</v>
      </c>
      <c r="T2821" s="6">
        <f t="shared" ref="T2821:T2884" si="314">IFERROR(L2821/I2821,0)</f>
        <v>1.6491754122938532E-2</v>
      </c>
      <c r="V2821" t="s">
        <v>29</v>
      </c>
    </row>
    <row r="2822" spans="1:22">
      <c r="A2822" s="3">
        <v>45775</v>
      </c>
      <c r="B2822" t="str">
        <f t="shared" si="308"/>
        <v>yyyy-04</v>
      </c>
      <c r="C2822">
        <f t="shared" si="309"/>
        <v>18</v>
      </c>
      <c r="D2822" t="s">
        <v>42</v>
      </c>
      <c r="E2822" t="s">
        <v>49</v>
      </c>
      <c r="F2822" t="s">
        <v>50</v>
      </c>
      <c r="G2822" t="s">
        <v>31</v>
      </c>
      <c r="H2822" t="s">
        <v>32</v>
      </c>
      <c r="I2822" s="5">
        <v>153</v>
      </c>
      <c r="J2822" s="5">
        <v>80</v>
      </c>
      <c r="K2822" s="5">
        <v>8</v>
      </c>
      <c r="L2822" s="5">
        <v>3</v>
      </c>
      <c r="M2822" s="5">
        <v>3</v>
      </c>
      <c r="N2822" s="7">
        <v>976.43</v>
      </c>
      <c r="O2822" s="7">
        <f t="shared" si="310"/>
        <v>2929.29</v>
      </c>
      <c r="P2822" s="4">
        <v>0</v>
      </c>
      <c r="Q2822" s="7">
        <f t="shared" si="311"/>
        <v>0</v>
      </c>
      <c r="R2822" s="7">
        <f t="shared" si="312"/>
        <v>2929.29</v>
      </c>
      <c r="S2822" s="7">
        <f t="shared" si="313"/>
        <v>976.43</v>
      </c>
      <c r="T2822" s="6">
        <f t="shared" si="314"/>
        <v>1.9607843137254902E-2</v>
      </c>
      <c r="V2822" t="s">
        <v>29</v>
      </c>
    </row>
    <row r="2823" spans="1:22">
      <c r="A2823" s="3">
        <v>45775</v>
      </c>
      <c r="B2823" t="str">
        <f t="shared" si="308"/>
        <v>yyyy-04</v>
      </c>
      <c r="C2823">
        <f t="shared" si="309"/>
        <v>18</v>
      </c>
      <c r="D2823" t="s">
        <v>42</v>
      </c>
      <c r="E2823" t="s">
        <v>51</v>
      </c>
      <c r="F2823" t="s">
        <v>52</v>
      </c>
      <c r="G2823" t="s">
        <v>31</v>
      </c>
      <c r="H2823" t="s">
        <v>32</v>
      </c>
      <c r="I2823" s="5">
        <v>318</v>
      </c>
      <c r="J2823" s="5">
        <v>231</v>
      </c>
      <c r="K2823" s="5">
        <v>24</v>
      </c>
      <c r="L2823" s="5">
        <v>4</v>
      </c>
      <c r="M2823" s="5">
        <v>4</v>
      </c>
      <c r="N2823" s="7">
        <v>602.14</v>
      </c>
      <c r="O2823" s="7">
        <f t="shared" si="310"/>
        <v>2408.56</v>
      </c>
      <c r="P2823" s="4">
        <v>0.03</v>
      </c>
      <c r="Q2823" s="7">
        <f t="shared" si="311"/>
        <v>72.256799999999998</v>
      </c>
      <c r="R2823" s="7">
        <f t="shared" si="312"/>
        <v>2336.3031999999998</v>
      </c>
      <c r="S2823" s="7">
        <f t="shared" si="313"/>
        <v>584.07579999999996</v>
      </c>
      <c r="T2823" s="6">
        <f t="shared" si="314"/>
        <v>1.2578616352201259E-2</v>
      </c>
      <c r="V2823" t="s">
        <v>29</v>
      </c>
    </row>
    <row r="2824" spans="1:22">
      <c r="A2824" s="3">
        <v>45775</v>
      </c>
      <c r="B2824" t="str">
        <f t="shared" si="308"/>
        <v>yyyy-04</v>
      </c>
      <c r="C2824">
        <f t="shared" si="309"/>
        <v>18</v>
      </c>
      <c r="D2824" t="s">
        <v>53</v>
      </c>
      <c r="E2824" t="s">
        <v>54</v>
      </c>
      <c r="F2824" t="s">
        <v>55</v>
      </c>
      <c r="G2824" t="s">
        <v>31</v>
      </c>
      <c r="H2824" t="s">
        <v>32</v>
      </c>
      <c r="I2824" s="5">
        <v>268</v>
      </c>
      <c r="J2824" s="5">
        <v>173</v>
      </c>
      <c r="K2824" s="5">
        <v>14</v>
      </c>
      <c r="L2824" s="5">
        <v>3</v>
      </c>
      <c r="M2824" s="5">
        <v>3</v>
      </c>
      <c r="N2824" s="7">
        <v>1304.3900000000001</v>
      </c>
      <c r="O2824" s="7">
        <f t="shared" si="310"/>
        <v>3913.17</v>
      </c>
      <c r="P2824" s="4">
        <v>0.03</v>
      </c>
      <c r="Q2824" s="7">
        <f t="shared" si="311"/>
        <v>117.3951</v>
      </c>
      <c r="R2824" s="7">
        <f t="shared" si="312"/>
        <v>3795.7748999999999</v>
      </c>
      <c r="S2824" s="7">
        <f t="shared" si="313"/>
        <v>1265.2583</v>
      </c>
      <c r="T2824" s="6">
        <f t="shared" si="314"/>
        <v>1.1194029850746268E-2</v>
      </c>
      <c r="V2824" t="s">
        <v>29</v>
      </c>
    </row>
    <row r="2825" spans="1:22">
      <c r="A2825" s="3">
        <v>45775</v>
      </c>
      <c r="B2825" t="str">
        <f t="shared" si="308"/>
        <v>yyyy-04</v>
      </c>
      <c r="C2825">
        <f t="shared" si="309"/>
        <v>18</v>
      </c>
      <c r="D2825" t="s">
        <v>53</v>
      </c>
      <c r="E2825" t="s">
        <v>56</v>
      </c>
      <c r="F2825" t="s">
        <v>57</v>
      </c>
      <c r="G2825" t="s">
        <v>36</v>
      </c>
      <c r="H2825" t="s">
        <v>37</v>
      </c>
      <c r="I2825" s="5">
        <v>208</v>
      </c>
      <c r="J2825" s="5">
        <v>147</v>
      </c>
      <c r="K2825" s="5">
        <v>12</v>
      </c>
      <c r="L2825" s="5">
        <v>2</v>
      </c>
      <c r="M2825" s="5">
        <v>2</v>
      </c>
      <c r="N2825" s="7">
        <v>727.69</v>
      </c>
      <c r="O2825" s="7">
        <f t="shared" si="310"/>
        <v>1455.38</v>
      </c>
      <c r="P2825" s="4">
        <v>0</v>
      </c>
      <c r="Q2825" s="7">
        <f t="shared" si="311"/>
        <v>0</v>
      </c>
      <c r="R2825" s="7">
        <f t="shared" si="312"/>
        <v>1455.38</v>
      </c>
      <c r="S2825" s="7">
        <f t="shared" si="313"/>
        <v>727.69</v>
      </c>
      <c r="T2825" s="6">
        <f t="shared" si="314"/>
        <v>9.6153846153846159E-3</v>
      </c>
      <c r="V2825" t="s">
        <v>29</v>
      </c>
    </row>
    <row r="2826" spans="1:22">
      <c r="A2826" s="3">
        <v>45775</v>
      </c>
      <c r="B2826" t="str">
        <f t="shared" si="308"/>
        <v>yyyy-04</v>
      </c>
      <c r="C2826">
        <f t="shared" si="309"/>
        <v>18</v>
      </c>
      <c r="D2826" t="s">
        <v>53</v>
      </c>
      <c r="E2826" t="s">
        <v>56</v>
      </c>
      <c r="F2826" t="s">
        <v>58</v>
      </c>
      <c r="G2826" t="s">
        <v>27</v>
      </c>
      <c r="H2826" t="s">
        <v>28</v>
      </c>
      <c r="I2826" s="5">
        <v>225</v>
      </c>
      <c r="J2826" s="5">
        <v>130</v>
      </c>
      <c r="K2826" s="5">
        <v>12</v>
      </c>
      <c r="L2826" s="5">
        <v>1</v>
      </c>
      <c r="M2826" s="5">
        <v>1</v>
      </c>
      <c r="N2826" s="7">
        <v>879.23</v>
      </c>
      <c r="O2826" s="7">
        <f t="shared" si="310"/>
        <v>879.23</v>
      </c>
      <c r="P2826" s="4">
        <v>0.05</v>
      </c>
      <c r="Q2826" s="7">
        <f t="shared" si="311"/>
        <v>43.961500000000001</v>
      </c>
      <c r="R2826" s="7">
        <f t="shared" si="312"/>
        <v>835.26850000000002</v>
      </c>
      <c r="S2826" s="7">
        <f t="shared" si="313"/>
        <v>835.26850000000002</v>
      </c>
      <c r="T2826" s="6">
        <f t="shared" si="314"/>
        <v>4.4444444444444444E-3</v>
      </c>
      <c r="V2826" t="s">
        <v>78</v>
      </c>
    </row>
    <row r="2827" spans="1:22">
      <c r="A2827" s="3">
        <v>45775</v>
      </c>
      <c r="B2827" t="str">
        <f t="shared" si="308"/>
        <v>yyyy-04</v>
      </c>
      <c r="C2827">
        <f t="shared" si="309"/>
        <v>18</v>
      </c>
      <c r="D2827" t="s">
        <v>53</v>
      </c>
      <c r="E2827" t="s">
        <v>59</v>
      </c>
      <c r="F2827" t="s">
        <v>60</v>
      </c>
      <c r="G2827" t="s">
        <v>36</v>
      </c>
      <c r="H2827" t="s">
        <v>37</v>
      </c>
      <c r="I2827" s="5">
        <v>149</v>
      </c>
      <c r="J2827" s="5">
        <v>115</v>
      </c>
      <c r="K2827" s="5">
        <v>13</v>
      </c>
      <c r="L2827" s="5">
        <v>2</v>
      </c>
      <c r="M2827" s="5">
        <v>2</v>
      </c>
      <c r="N2827" s="7">
        <v>703.75</v>
      </c>
      <c r="O2827" s="7">
        <f t="shared" si="310"/>
        <v>1407.5</v>
      </c>
      <c r="P2827" s="4">
        <v>0</v>
      </c>
      <c r="Q2827" s="7">
        <f t="shared" si="311"/>
        <v>0</v>
      </c>
      <c r="R2827" s="7">
        <f t="shared" si="312"/>
        <v>1407.5</v>
      </c>
      <c r="S2827" s="7">
        <f t="shared" si="313"/>
        <v>703.75</v>
      </c>
      <c r="T2827" s="6">
        <f t="shared" si="314"/>
        <v>1.3422818791946308E-2</v>
      </c>
      <c r="V2827" t="s">
        <v>29</v>
      </c>
    </row>
    <row r="2828" spans="1:22">
      <c r="A2828" s="3">
        <v>45775</v>
      </c>
      <c r="B2828" t="str">
        <f t="shared" si="308"/>
        <v>yyyy-04</v>
      </c>
      <c r="C2828">
        <f t="shared" si="309"/>
        <v>18</v>
      </c>
      <c r="D2828" t="s">
        <v>53</v>
      </c>
      <c r="E2828" t="s">
        <v>61</v>
      </c>
      <c r="F2828" t="s">
        <v>62</v>
      </c>
      <c r="G2828" t="s">
        <v>31</v>
      </c>
      <c r="H2828" t="s">
        <v>32</v>
      </c>
      <c r="I2828" s="5">
        <v>177</v>
      </c>
      <c r="J2828" s="5">
        <v>109</v>
      </c>
      <c r="K2828" s="5">
        <v>10</v>
      </c>
      <c r="L2828" s="5">
        <v>2</v>
      </c>
      <c r="M2828" s="5">
        <v>2</v>
      </c>
      <c r="N2828" s="7">
        <v>484.29</v>
      </c>
      <c r="O2828" s="7">
        <f t="shared" si="310"/>
        <v>968.58</v>
      </c>
      <c r="P2828" s="4">
        <v>0</v>
      </c>
      <c r="Q2828" s="7">
        <f t="shared" si="311"/>
        <v>0</v>
      </c>
      <c r="R2828" s="7">
        <f t="shared" si="312"/>
        <v>968.58</v>
      </c>
      <c r="S2828" s="7">
        <f t="shared" si="313"/>
        <v>484.29</v>
      </c>
      <c r="T2828" s="6">
        <f t="shared" si="314"/>
        <v>1.1299435028248588E-2</v>
      </c>
      <c r="V2828" t="s">
        <v>29</v>
      </c>
    </row>
    <row r="2829" spans="1:22">
      <c r="A2829" s="3">
        <v>45775</v>
      </c>
      <c r="B2829" t="str">
        <f t="shared" si="308"/>
        <v>yyyy-04</v>
      </c>
      <c r="C2829">
        <f t="shared" si="309"/>
        <v>18</v>
      </c>
      <c r="D2829" t="s">
        <v>53</v>
      </c>
      <c r="E2829" t="s">
        <v>64</v>
      </c>
      <c r="F2829" t="s">
        <v>65</v>
      </c>
      <c r="G2829" t="s">
        <v>27</v>
      </c>
      <c r="H2829" t="s">
        <v>28</v>
      </c>
      <c r="I2829" s="5">
        <v>189</v>
      </c>
      <c r="J2829" s="5">
        <v>132</v>
      </c>
      <c r="K2829" s="5">
        <v>10</v>
      </c>
      <c r="L2829" s="5">
        <v>3</v>
      </c>
      <c r="M2829" s="5">
        <v>3</v>
      </c>
      <c r="N2829" s="7">
        <v>775.09</v>
      </c>
      <c r="O2829" s="7">
        <f t="shared" si="310"/>
        <v>2325.27</v>
      </c>
      <c r="P2829" s="4">
        <v>0</v>
      </c>
      <c r="Q2829" s="7">
        <f t="shared" si="311"/>
        <v>0</v>
      </c>
      <c r="R2829" s="7">
        <f t="shared" si="312"/>
        <v>2325.27</v>
      </c>
      <c r="S2829" s="7">
        <f t="shared" si="313"/>
        <v>775.09</v>
      </c>
      <c r="T2829" s="6">
        <f t="shared" si="314"/>
        <v>1.5873015873015872E-2</v>
      </c>
      <c r="V2829" t="s">
        <v>29</v>
      </c>
    </row>
    <row r="2830" spans="1:22">
      <c r="A2830" s="3">
        <v>45775</v>
      </c>
      <c r="B2830" t="str">
        <f t="shared" si="308"/>
        <v>yyyy-04</v>
      </c>
      <c r="C2830">
        <f t="shared" si="309"/>
        <v>18</v>
      </c>
      <c r="D2830" t="s">
        <v>66</v>
      </c>
      <c r="E2830" t="s">
        <v>67</v>
      </c>
      <c r="F2830" t="s">
        <v>68</v>
      </c>
      <c r="G2830" t="s">
        <v>36</v>
      </c>
      <c r="H2830" t="s">
        <v>37</v>
      </c>
      <c r="I2830" s="5">
        <v>449</v>
      </c>
      <c r="J2830" s="5">
        <v>246</v>
      </c>
      <c r="K2830" s="5">
        <v>32</v>
      </c>
      <c r="L2830" s="5">
        <v>7</v>
      </c>
      <c r="M2830" s="5">
        <v>7</v>
      </c>
      <c r="N2830" s="7">
        <v>693.76</v>
      </c>
      <c r="O2830" s="7">
        <f t="shared" si="310"/>
        <v>4856.32</v>
      </c>
      <c r="P2830" s="4">
        <v>0</v>
      </c>
      <c r="Q2830" s="7">
        <f t="shared" si="311"/>
        <v>0</v>
      </c>
      <c r="R2830" s="7">
        <f t="shared" si="312"/>
        <v>4856.32</v>
      </c>
      <c r="S2830" s="7">
        <f t="shared" si="313"/>
        <v>693.76</v>
      </c>
      <c r="T2830" s="6">
        <f t="shared" si="314"/>
        <v>1.5590200445434299E-2</v>
      </c>
      <c r="V2830" t="s">
        <v>29</v>
      </c>
    </row>
    <row r="2831" spans="1:22">
      <c r="A2831" s="3">
        <v>45775</v>
      </c>
      <c r="B2831" t="str">
        <f t="shared" si="308"/>
        <v>yyyy-04</v>
      </c>
      <c r="C2831">
        <f t="shared" si="309"/>
        <v>18</v>
      </c>
      <c r="D2831" t="s">
        <v>66</v>
      </c>
      <c r="E2831" t="s">
        <v>67</v>
      </c>
      <c r="F2831" t="s">
        <v>69</v>
      </c>
      <c r="G2831" t="s">
        <v>27</v>
      </c>
      <c r="H2831" t="s">
        <v>45</v>
      </c>
      <c r="I2831" s="5">
        <v>384</v>
      </c>
      <c r="J2831" s="5">
        <v>292</v>
      </c>
      <c r="K2831" s="5">
        <v>26</v>
      </c>
      <c r="L2831" s="5">
        <v>6</v>
      </c>
      <c r="M2831" s="5">
        <v>6</v>
      </c>
      <c r="N2831" s="7">
        <v>386.6</v>
      </c>
      <c r="O2831" s="7">
        <f t="shared" si="310"/>
        <v>2319.6000000000004</v>
      </c>
      <c r="P2831" s="4">
        <v>0.03</v>
      </c>
      <c r="Q2831" s="7">
        <f t="shared" si="311"/>
        <v>69.588000000000008</v>
      </c>
      <c r="R2831" s="7">
        <f t="shared" si="312"/>
        <v>2250.0120000000002</v>
      </c>
      <c r="S2831" s="7">
        <f t="shared" si="313"/>
        <v>375.00200000000001</v>
      </c>
      <c r="T2831" s="6">
        <f t="shared" si="314"/>
        <v>1.5625E-2</v>
      </c>
      <c r="V2831" t="s">
        <v>29</v>
      </c>
    </row>
    <row r="2832" spans="1:22">
      <c r="A2832" s="3">
        <v>45775</v>
      </c>
      <c r="B2832" t="str">
        <f t="shared" si="308"/>
        <v>yyyy-04</v>
      </c>
      <c r="C2832">
        <f t="shared" si="309"/>
        <v>18</v>
      </c>
      <c r="D2832" t="s">
        <v>66</v>
      </c>
      <c r="E2832" t="s">
        <v>67</v>
      </c>
      <c r="F2832" t="s">
        <v>70</v>
      </c>
      <c r="G2832" t="s">
        <v>31</v>
      </c>
      <c r="H2832" t="s">
        <v>32</v>
      </c>
      <c r="I2832" s="5">
        <v>343</v>
      </c>
      <c r="J2832" s="5">
        <v>232</v>
      </c>
      <c r="K2832" s="5">
        <v>16</v>
      </c>
      <c r="L2832" s="5">
        <v>5</v>
      </c>
      <c r="M2832" s="5">
        <v>5</v>
      </c>
      <c r="N2832" s="7">
        <v>341.32</v>
      </c>
      <c r="O2832" s="7">
        <f t="shared" si="310"/>
        <v>1706.6</v>
      </c>
      <c r="P2832" s="4">
        <v>0</v>
      </c>
      <c r="Q2832" s="7">
        <f t="shared" si="311"/>
        <v>0</v>
      </c>
      <c r="R2832" s="7">
        <f t="shared" si="312"/>
        <v>1706.6</v>
      </c>
      <c r="S2832" s="7">
        <f t="shared" si="313"/>
        <v>341.32</v>
      </c>
      <c r="T2832" s="6">
        <f t="shared" si="314"/>
        <v>1.4577259475218658E-2</v>
      </c>
      <c r="V2832" t="s">
        <v>29</v>
      </c>
    </row>
    <row r="2833" spans="1:22">
      <c r="A2833" s="3">
        <v>45775</v>
      </c>
      <c r="B2833" t="str">
        <f t="shared" si="308"/>
        <v>yyyy-04</v>
      </c>
      <c r="C2833">
        <f t="shared" si="309"/>
        <v>18</v>
      </c>
      <c r="D2833" t="s">
        <v>66</v>
      </c>
      <c r="E2833" t="s">
        <v>71</v>
      </c>
      <c r="F2833" t="s">
        <v>72</v>
      </c>
      <c r="G2833" t="s">
        <v>27</v>
      </c>
      <c r="H2833" t="s">
        <v>28</v>
      </c>
      <c r="I2833" s="5">
        <v>336</v>
      </c>
      <c r="J2833" s="5">
        <v>213</v>
      </c>
      <c r="K2833" s="5">
        <v>34</v>
      </c>
      <c r="L2833" s="5">
        <v>8</v>
      </c>
      <c r="M2833" s="5">
        <v>11</v>
      </c>
      <c r="N2833" s="7">
        <v>125.81</v>
      </c>
      <c r="O2833" s="7">
        <f t="shared" si="310"/>
        <v>1383.91</v>
      </c>
      <c r="P2833" s="4">
        <v>0.03</v>
      </c>
      <c r="Q2833" s="7">
        <f t="shared" si="311"/>
        <v>41.517299999999999</v>
      </c>
      <c r="R2833" s="7">
        <f t="shared" si="312"/>
        <v>1342.3927000000001</v>
      </c>
      <c r="S2833" s="7">
        <f t="shared" si="313"/>
        <v>167.79908750000001</v>
      </c>
      <c r="T2833" s="6">
        <f t="shared" si="314"/>
        <v>2.3809523809523808E-2</v>
      </c>
      <c r="V2833" t="s">
        <v>29</v>
      </c>
    </row>
    <row r="2834" spans="1:22">
      <c r="A2834" s="3">
        <v>45775</v>
      </c>
      <c r="B2834" t="str">
        <f t="shared" si="308"/>
        <v>yyyy-04</v>
      </c>
      <c r="C2834">
        <f t="shared" si="309"/>
        <v>18</v>
      </c>
      <c r="D2834" t="s">
        <v>66</v>
      </c>
      <c r="E2834" t="s">
        <v>73</v>
      </c>
      <c r="F2834" t="s">
        <v>74</v>
      </c>
      <c r="G2834" t="s">
        <v>31</v>
      </c>
      <c r="H2834" t="s">
        <v>32</v>
      </c>
      <c r="I2834" s="5">
        <v>283</v>
      </c>
      <c r="J2834" s="5">
        <v>218</v>
      </c>
      <c r="K2834" s="5">
        <v>18</v>
      </c>
      <c r="L2834" s="5">
        <v>7</v>
      </c>
      <c r="M2834" s="5">
        <v>7</v>
      </c>
      <c r="N2834" s="7">
        <v>1191.47</v>
      </c>
      <c r="O2834" s="7">
        <f t="shared" si="310"/>
        <v>8340.2900000000009</v>
      </c>
      <c r="P2834" s="4">
        <v>7.0000000000000007E-2</v>
      </c>
      <c r="Q2834" s="7">
        <f t="shared" si="311"/>
        <v>583.82030000000009</v>
      </c>
      <c r="R2834" s="7">
        <f t="shared" si="312"/>
        <v>7756.4697000000006</v>
      </c>
      <c r="S2834" s="7">
        <f t="shared" si="313"/>
        <v>1108.0671</v>
      </c>
      <c r="T2834" s="6">
        <f t="shared" si="314"/>
        <v>2.4734982332155476E-2</v>
      </c>
      <c r="U2834" t="s">
        <v>95</v>
      </c>
      <c r="V2834" t="s">
        <v>29</v>
      </c>
    </row>
    <row r="2835" spans="1:22">
      <c r="A2835" s="3">
        <v>45775</v>
      </c>
      <c r="B2835" t="str">
        <f t="shared" si="308"/>
        <v>yyyy-04</v>
      </c>
      <c r="C2835">
        <f t="shared" si="309"/>
        <v>18</v>
      </c>
      <c r="D2835" t="s">
        <v>66</v>
      </c>
      <c r="E2835" t="s">
        <v>71</v>
      </c>
      <c r="F2835" t="s">
        <v>75</v>
      </c>
      <c r="G2835" t="s">
        <v>36</v>
      </c>
      <c r="H2835" t="s">
        <v>37</v>
      </c>
      <c r="I2835" s="5">
        <v>318</v>
      </c>
      <c r="J2835" s="5">
        <v>209</v>
      </c>
      <c r="K2835" s="5">
        <v>22</v>
      </c>
      <c r="L2835" s="5">
        <v>5</v>
      </c>
      <c r="M2835" s="5">
        <v>7</v>
      </c>
      <c r="N2835" s="7">
        <v>37.82</v>
      </c>
      <c r="O2835" s="7">
        <f t="shared" si="310"/>
        <v>264.74</v>
      </c>
      <c r="P2835" s="4">
        <v>0.03</v>
      </c>
      <c r="Q2835" s="7">
        <f t="shared" si="311"/>
        <v>7.9421999999999997</v>
      </c>
      <c r="R2835" s="7">
        <f t="shared" si="312"/>
        <v>256.7978</v>
      </c>
      <c r="S2835" s="7">
        <f t="shared" si="313"/>
        <v>51.359560000000002</v>
      </c>
      <c r="T2835" s="6">
        <f t="shared" si="314"/>
        <v>1.5723270440251572E-2</v>
      </c>
      <c r="V2835" t="s">
        <v>29</v>
      </c>
    </row>
    <row r="2836" spans="1:22">
      <c r="A2836" s="3">
        <v>45775</v>
      </c>
      <c r="B2836" t="str">
        <f t="shared" si="308"/>
        <v>yyyy-04</v>
      </c>
      <c r="C2836">
        <f t="shared" si="309"/>
        <v>18</v>
      </c>
      <c r="D2836" t="s">
        <v>24</v>
      </c>
      <c r="E2836" t="s">
        <v>76</v>
      </c>
      <c r="F2836" t="s">
        <v>77</v>
      </c>
      <c r="G2836" t="s">
        <v>27</v>
      </c>
      <c r="H2836" t="s">
        <v>45</v>
      </c>
      <c r="I2836" s="5">
        <v>492</v>
      </c>
      <c r="J2836" s="5">
        <v>398</v>
      </c>
      <c r="K2836" s="5">
        <v>60</v>
      </c>
      <c r="L2836" s="5">
        <v>12</v>
      </c>
      <c r="M2836" s="5">
        <v>16</v>
      </c>
      <c r="N2836" s="7">
        <v>202.04</v>
      </c>
      <c r="O2836" s="7">
        <f t="shared" si="310"/>
        <v>3232.64</v>
      </c>
      <c r="P2836" s="4">
        <v>0.03</v>
      </c>
      <c r="Q2836" s="7">
        <f t="shared" si="311"/>
        <v>96.979199999999992</v>
      </c>
      <c r="R2836" s="7">
        <f t="shared" si="312"/>
        <v>3135.6607999999997</v>
      </c>
      <c r="S2836" s="7">
        <f t="shared" si="313"/>
        <v>261.30506666666662</v>
      </c>
      <c r="T2836" s="6">
        <f t="shared" si="314"/>
        <v>2.4390243902439025E-2</v>
      </c>
      <c r="V2836" t="s">
        <v>29</v>
      </c>
    </row>
    <row r="2837" spans="1:22">
      <c r="A2837" s="3">
        <v>45776</v>
      </c>
      <c r="B2837" t="str">
        <f t="shared" si="308"/>
        <v>yyyy-04</v>
      </c>
      <c r="C2837">
        <f t="shared" si="309"/>
        <v>18</v>
      </c>
      <c r="D2837" t="s">
        <v>24</v>
      </c>
      <c r="E2837" t="s">
        <v>25</v>
      </c>
      <c r="F2837" t="s">
        <v>26</v>
      </c>
      <c r="G2837" t="s">
        <v>27</v>
      </c>
      <c r="H2837" t="s">
        <v>48</v>
      </c>
      <c r="I2837" s="5">
        <v>861</v>
      </c>
      <c r="J2837" s="5">
        <v>680</v>
      </c>
      <c r="K2837" s="5">
        <v>51</v>
      </c>
      <c r="L2837" s="5">
        <v>17</v>
      </c>
      <c r="M2837" s="5">
        <v>17</v>
      </c>
      <c r="N2837" s="7">
        <v>964.8</v>
      </c>
      <c r="O2837" s="7">
        <f t="shared" si="310"/>
        <v>16401.599999999999</v>
      </c>
      <c r="P2837" s="4">
        <v>0</v>
      </c>
      <c r="Q2837" s="7">
        <f t="shared" si="311"/>
        <v>0</v>
      </c>
      <c r="R2837" s="7">
        <f t="shared" si="312"/>
        <v>16401.599999999999</v>
      </c>
      <c r="S2837" s="7">
        <f t="shared" si="313"/>
        <v>964.8</v>
      </c>
      <c r="T2837" s="6">
        <f t="shared" si="314"/>
        <v>1.9744483159117306E-2</v>
      </c>
      <c r="V2837" t="s">
        <v>29</v>
      </c>
    </row>
    <row r="2838" spans="1:22">
      <c r="A2838" s="3">
        <v>45776</v>
      </c>
      <c r="B2838" t="str">
        <f t="shared" si="308"/>
        <v>yyyy-04</v>
      </c>
      <c r="C2838">
        <f t="shared" si="309"/>
        <v>18</v>
      </c>
      <c r="D2838" t="s">
        <v>24</v>
      </c>
      <c r="E2838" t="s">
        <v>25</v>
      </c>
      <c r="F2838" t="s">
        <v>30</v>
      </c>
      <c r="G2838" t="s">
        <v>27</v>
      </c>
      <c r="H2838" t="s">
        <v>48</v>
      </c>
      <c r="I2838" s="5">
        <v>1390</v>
      </c>
      <c r="J2838" s="5">
        <v>834</v>
      </c>
      <c r="K2838" s="5">
        <v>84</v>
      </c>
      <c r="L2838" s="5">
        <v>23</v>
      </c>
      <c r="M2838" s="5">
        <v>23</v>
      </c>
      <c r="N2838" s="7">
        <v>383.94</v>
      </c>
      <c r="O2838" s="7">
        <f t="shared" si="310"/>
        <v>8830.6200000000008</v>
      </c>
      <c r="P2838" s="4">
        <v>0</v>
      </c>
      <c r="Q2838" s="7">
        <f t="shared" si="311"/>
        <v>0</v>
      </c>
      <c r="R2838" s="7">
        <f t="shared" si="312"/>
        <v>8830.6200000000008</v>
      </c>
      <c r="S2838" s="7">
        <f t="shared" si="313"/>
        <v>383.94000000000005</v>
      </c>
      <c r="T2838" s="6">
        <f t="shared" si="314"/>
        <v>1.6546762589928057E-2</v>
      </c>
      <c r="V2838" t="s">
        <v>29</v>
      </c>
    </row>
    <row r="2839" spans="1:22">
      <c r="A2839" s="3">
        <v>45776</v>
      </c>
      <c r="B2839" t="str">
        <f t="shared" si="308"/>
        <v>yyyy-04</v>
      </c>
      <c r="C2839">
        <f t="shared" si="309"/>
        <v>18</v>
      </c>
      <c r="D2839" t="s">
        <v>24</v>
      </c>
      <c r="E2839" t="s">
        <v>25</v>
      </c>
      <c r="F2839" t="s">
        <v>33</v>
      </c>
      <c r="G2839" t="s">
        <v>27</v>
      </c>
      <c r="H2839" t="s">
        <v>28</v>
      </c>
      <c r="I2839" s="5">
        <v>1738</v>
      </c>
      <c r="J2839" s="5">
        <v>1149</v>
      </c>
      <c r="K2839" s="5">
        <v>218</v>
      </c>
      <c r="L2839" s="5">
        <v>44</v>
      </c>
      <c r="M2839" s="5">
        <v>44</v>
      </c>
      <c r="N2839" s="7">
        <v>1792.94</v>
      </c>
      <c r="O2839" s="7">
        <f t="shared" si="310"/>
        <v>78889.36</v>
      </c>
      <c r="P2839" s="4">
        <v>0.03</v>
      </c>
      <c r="Q2839" s="7">
        <f t="shared" si="311"/>
        <v>2366.6808000000001</v>
      </c>
      <c r="R2839" s="7">
        <f t="shared" si="312"/>
        <v>76522.679199999999</v>
      </c>
      <c r="S2839" s="7">
        <f t="shared" si="313"/>
        <v>1739.1517999999999</v>
      </c>
      <c r="T2839" s="6">
        <f t="shared" si="314"/>
        <v>2.5316455696202531E-2</v>
      </c>
      <c r="V2839" t="s">
        <v>29</v>
      </c>
    </row>
    <row r="2840" spans="1:22">
      <c r="A2840" s="3">
        <v>45776</v>
      </c>
      <c r="B2840" t="str">
        <f t="shared" si="308"/>
        <v>yyyy-04</v>
      </c>
      <c r="C2840">
        <f t="shared" si="309"/>
        <v>18</v>
      </c>
      <c r="D2840" t="s">
        <v>24</v>
      </c>
      <c r="E2840" t="s">
        <v>34</v>
      </c>
      <c r="F2840" t="s">
        <v>35</v>
      </c>
      <c r="G2840" t="s">
        <v>36</v>
      </c>
      <c r="H2840" t="s">
        <v>37</v>
      </c>
      <c r="I2840" s="5">
        <v>1225</v>
      </c>
      <c r="J2840" s="5">
        <v>801</v>
      </c>
      <c r="K2840" s="5">
        <v>87</v>
      </c>
      <c r="L2840" s="5">
        <v>24</v>
      </c>
      <c r="M2840" s="5">
        <v>24</v>
      </c>
      <c r="N2840" s="7">
        <v>887.69</v>
      </c>
      <c r="O2840" s="7">
        <f t="shared" si="310"/>
        <v>21304.560000000001</v>
      </c>
      <c r="P2840" s="4">
        <v>0</v>
      </c>
      <c r="Q2840" s="7">
        <f t="shared" si="311"/>
        <v>0</v>
      </c>
      <c r="R2840" s="7">
        <f t="shared" si="312"/>
        <v>21304.560000000001</v>
      </c>
      <c r="S2840" s="7">
        <f t="shared" si="313"/>
        <v>887.69</v>
      </c>
      <c r="T2840" s="6">
        <f t="shared" si="314"/>
        <v>1.9591836734693877E-2</v>
      </c>
      <c r="V2840" t="s">
        <v>29</v>
      </c>
    </row>
    <row r="2841" spans="1:22">
      <c r="A2841" s="3">
        <v>45776</v>
      </c>
      <c r="B2841" t="str">
        <f t="shared" si="308"/>
        <v>yyyy-04</v>
      </c>
      <c r="C2841">
        <f t="shared" si="309"/>
        <v>18</v>
      </c>
      <c r="D2841" t="s">
        <v>24</v>
      </c>
      <c r="E2841" t="s">
        <v>38</v>
      </c>
      <c r="F2841" t="s">
        <v>39</v>
      </c>
      <c r="G2841" t="s">
        <v>36</v>
      </c>
      <c r="H2841" t="s">
        <v>37</v>
      </c>
      <c r="I2841" s="5">
        <v>1027</v>
      </c>
      <c r="J2841" s="5">
        <v>811</v>
      </c>
      <c r="K2841" s="5">
        <v>82</v>
      </c>
      <c r="L2841" s="5">
        <v>25</v>
      </c>
      <c r="M2841" s="5">
        <v>25</v>
      </c>
      <c r="N2841" s="7">
        <v>332.55</v>
      </c>
      <c r="O2841" s="7">
        <f t="shared" si="310"/>
        <v>8313.75</v>
      </c>
      <c r="P2841" s="4">
        <v>0</v>
      </c>
      <c r="Q2841" s="7">
        <f t="shared" si="311"/>
        <v>0</v>
      </c>
      <c r="R2841" s="7">
        <f t="shared" si="312"/>
        <v>8313.75</v>
      </c>
      <c r="S2841" s="7">
        <f t="shared" si="313"/>
        <v>332.55</v>
      </c>
      <c r="T2841" s="6">
        <f t="shared" si="314"/>
        <v>2.4342745861733205E-2</v>
      </c>
      <c r="V2841" t="s">
        <v>29</v>
      </c>
    </row>
    <row r="2842" spans="1:22">
      <c r="A2842" s="3">
        <v>45776</v>
      </c>
      <c r="B2842" t="str">
        <f t="shared" si="308"/>
        <v>yyyy-04</v>
      </c>
      <c r="C2842">
        <f t="shared" si="309"/>
        <v>18</v>
      </c>
      <c r="D2842" t="s">
        <v>24</v>
      </c>
      <c r="E2842" t="s">
        <v>40</v>
      </c>
      <c r="F2842" t="s">
        <v>41</v>
      </c>
      <c r="G2842" t="s">
        <v>27</v>
      </c>
      <c r="H2842" t="s">
        <v>28</v>
      </c>
      <c r="I2842" s="5">
        <v>601</v>
      </c>
      <c r="J2842" s="5">
        <v>492</v>
      </c>
      <c r="K2842" s="5">
        <v>51</v>
      </c>
      <c r="L2842" s="5">
        <v>10</v>
      </c>
      <c r="M2842" s="5">
        <v>13</v>
      </c>
      <c r="N2842" s="7">
        <v>181.85</v>
      </c>
      <c r="O2842" s="7">
        <f t="shared" si="310"/>
        <v>2364.0499999999997</v>
      </c>
      <c r="P2842" s="4">
        <v>0</v>
      </c>
      <c r="Q2842" s="7">
        <f t="shared" si="311"/>
        <v>0</v>
      </c>
      <c r="R2842" s="7">
        <f t="shared" si="312"/>
        <v>2364.0499999999997</v>
      </c>
      <c r="S2842" s="7">
        <f t="shared" si="313"/>
        <v>236.40499999999997</v>
      </c>
      <c r="T2842" s="6">
        <f t="shared" si="314"/>
        <v>1.6638935108153077E-2</v>
      </c>
      <c r="V2842" t="s">
        <v>29</v>
      </c>
    </row>
    <row r="2843" spans="1:22">
      <c r="A2843" s="3">
        <v>45776</v>
      </c>
      <c r="B2843" t="str">
        <f t="shared" si="308"/>
        <v>yyyy-04</v>
      </c>
      <c r="C2843">
        <f t="shared" si="309"/>
        <v>18</v>
      </c>
      <c r="D2843" t="s">
        <v>42</v>
      </c>
      <c r="E2843" t="s">
        <v>43</v>
      </c>
      <c r="F2843" t="s">
        <v>44</v>
      </c>
      <c r="G2843" t="s">
        <v>36</v>
      </c>
      <c r="H2843" t="s">
        <v>37</v>
      </c>
      <c r="I2843" s="5">
        <v>593</v>
      </c>
      <c r="J2843" s="5">
        <v>442</v>
      </c>
      <c r="K2843" s="5">
        <v>37</v>
      </c>
      <c r="L2843" s="5">
        <v>6</v>
      </c>
      <c r="M2843" s="5">
        <v>6</v>
      </c>
      <c r="N2843" s="7">
        <v>1286.4100000000001</v>
      </c>
      <c r="O2843" s="7">
        <f t="shared" si="310"/>
        <v>7718.4600000000009</v>
      </c>
      <c r="P2843" s="4">
        <v>0</v>
      </c>
      <c r="Q2843" s="7">
        <f t="shared" si="311"/>
        <v>0</v>
      </c>
      <c r="R2843" s="7">
        <f t="shared" si="312"/>
        <v>7718.4600000000009</v>
      </c>
      <c r="S2843" s="7">
        <f t="shared" si="313"/>
        <v>1286.4100000000001</v>
      </c>
      <c r="T2843" s="6">
        <f t="shared" si="314"/>
        <v>1.0118043844856661E-2</v>
      </c>
      <c r="V2843" t="s">
        <v>29</v>
      </c>
    </row>
    <row r="2844" spans="1:22">
      <c r="A2844" s="3">
        <v>45776</v>
      </c>
      <c r="B2844" t="str">
        <f t="shared" si="308"/>
        <v>yyyy-04</v>
      </c>
      <c r="C2844">
        <f t="shared" si="309"/>
        <v>18</v>
      </c>
      <c r="D2844" t="s">
        <v>42</v>
      </c>
      <c r="E2844" t="s">
        <v>43</v>
      </c>
      <c r="F2844" t="s">
        <v>46</v>
      </c>
      <c r="G2844" t="s">
        <v>27</v>
      </c>
      <c r="H2844" t="s">
        <v>63</v>
      </c>
      <c r="I2844" s="5">
        <v>310</v>
      </c>
      <c r="J2844" s="5">
        <v>208</v>
      </c>
      <c r="K2844" s="5">
        <v>20</v>
      </c>
      <c r="L2844" s="5">
        <v>4</v>
      </c>
      <c r="M2844" s="5">
        <v>4</v>
      </c>
      <c r="N2844" s="7">
        <v>2134.88</v>
      </c>
      <c r="O2844" s="7">
        <f t="shared" si="310"/>
        <v>8539.52</v>
      </c>
      <c r="P2844" s="4">
        <v>0.05</v>
      </c>
      <c r="Q2844" s="7">
        <f t="shared" si="311"/>
        <v>426.97600000000006</v>
      </c>
      <c r="R2844" s="7">
        <f t="shared" si="312"/>
        <v>8112.5440000000008</v>
      </c>
      <c r="S2844" s="7">
        <f t="shared" si="313"/>
        <v>2028.1360000000002</v>
      </c>
      <c r="T2844" s="6">
        <f t="shared" si="314"/>
        <v>1.2903225806451613E-2</v>
      </c>
      <c r="V2844" t="s">
        <v>29</v>
      </c>
    </row>
    <row r="2845" spans="1:22">
      <c r="A2845" s="3">
        <v>45776</v>
      </c>
      <c r="B2845" t="str">
        <f t="shared" si="308"/>
        <v>yyyy-04</v>
      </c>
      <c r="C2845">
        <f t="shared" si="309"/>
        <v>18</v>
      </c>
      <c r="D2845" t="s">
        <v>42</v>
      </c>
      <c r="E2845" t="s">
        <v>43</v>
      </c>
      <c r="F2845" t="s">
        <v>47</v>
      </c>
      <c r="G2845" t="s">
        <v>36</v>
      </c>
      <c r="H2845" t="s">
        <v>37</v>
      </c>
      <c r="I2845" s="5">
        <v>435</v>
      </c>
      <c r="J2845" s="5">
        <v>358</v>
      </c>
      <c r="K2845" s="5">
        <v>40</v>
      </c>
      <c r="L2845" s="5">
        <v>6</v>
      </c>
      <c r="M2845" s="5">
        <v>6</v>
      </c>
      <c r="N2845" s="7">
        <v>610.70000000000005</v>
      </c>
      <c r="O2845" s="7">
        <f t="shared" si="310"/>
        <v>3664.2000000000003</v>
      </c>
      <c r="P2845" s="4">
        <v>0</v>
      </c>
      <c r="Q2845" s="7">
        <f t="shared" si="311"/>
        <v>0</v>
      </c>
      <c r="R2845" s="7">
        <f t="shared" si="312"/>
        <v>3664.2000000000003</v>
      </c>
      <c r="S2845" s="7">
        <f t="shared" si="313"/>
        <v>610.70000000000005</v>
      </c>
      <c r="T2845" s="6">
        <f t="shared" si="314"/>
        <v>1.3793103448275862E-2</v>
      </c>
      <c r="V2845" t="s">
        <v>29</v>
      </c>
    </row>
    <row r="2846" spans="1:22">
      <c r="A2846" s="3">
        <v>45776</v>
      </c>
      <c r="B2846" t="str">
        <f t="shared" si="308"/>
        <v>yyyy-04</v>
      </c>
      <c r="C2846">
        <f t="shared" si="309"/>
        <v>18</v>
      </c>
      <c r="D2846" t="s">
        <v>42</v>
      </c>
      <c r="E2846" t="s">
        <v>49</v>
      </c>
      <c r="F2846" t="s">
        <v>50</v>
      </c>
      <c r="G2846" t="s">
        <v>36</v>
      </c>
      <c r="H2846" t="s">
        <v>37</v>
      </c>
      <c r="I2846" s="5">
        <v>216</v>
      </c>
      <c r="J2846" s="5">
        <v>164</v>
      </c>
      <c r="K2846" s="5">
        <v>17</v>
      </c>
      <c r="L2846" s="5">
        <v>3</v>
      </c>
      <c r="M2846" s="5">
        <v>3</v>
      </c>
      <c r="N2846" s="7">
        <v>972.79</v>
      </c>
      <c r="O2846" s="7">
        <f t="shared" si="310"/>
        <v>2918.37</v>
      </c>
      <c r="P2846" s="4">
        <v>0</v>
      </c>
      <c r="Q2846" s="7">
        <f t="shared" si="311"/>
        <v>0</v>
      </c>
      <c r="R2846" s="7">
        <f t="shared" si="312"/>
        <v>2918.37</v>
      </c>
      <c r="S2846" s="7">
        <f t="shared" si="313"/>
        <v>972.79</v>
      </c>
      <c r="T2846" s="6">
        <f t="shared" si="314"/>
        <v>1.3888888888888888E-2</v>
      </c>
      <c r="V2846" t="s">
        <v>29</v>
      </c>
    </row>
    <row r="2847" spans="1:22">
      <c r="A2847" s="3">
        <v>45776</v>
      </c>
      <c r="B2847" t="str">
        <f t="shared" si="308"/>
        <v>yyyy-04</v>
      </c>
      <c r="C2847">
        <f t="shared" si="309"/>
        <v>18</v>
      </c>
      <c r="D2847" t="s">
        <v>42</v>
      </c>
      <c r="E2847" t="s">
        <v>51</v>
      </c>
      <c r="F2847" t="s">
        <v>52</v>
      </c>
      <c r="G2847" t="s">
        <v>36</v>
      </c>
      <c r="H2847" t="s">
        <v>37</v>
      </c>
      <c r="I2847" s="5">
        <v>278</v>
      </c>
      <c r="J2847" s="5">
        <v>222</v>
      </c>
      <c r="K2847" s="5">
        <v>17</v>
      </c>
      <c r="L2847" s="5">
        <v>5</v>
      </c>
      <c r="M2847" s="5">
        <v>5</v>
      </c>
      <c r="N2847" s="7">
        <v>600.30999999999995</v>
      </c>
      <c r="O2847" s="7">
        <f t="shared" si="310"/>
        <v>3001.5499999999997</v>
      </c>
      <c r="P2847" s="4">
        <v>0</v>
      </c>
      <c r="Q2847" s="7">
        <f t="shared" si="311"/>
        <v>0</v>
      </c>
      <c r="R2847" s="7">
        <f t="shared" si="312"/>
        <v>3001.5499999999997</v>
      </c>
      <c r="S2847" s="7">
        <f t="shared" si="313"/>
        <v>600.30999999999995</v>
      </c>
      <c r="T2847" s="6">
        <f t="shared" si="314"/>
        <v>1.7985611510791366E-2</v>
      </c>
      <c r="V2847" t="s">
        <v>29</v>
      </c>
    </row>
    <row r="2848" spans="1:22">
      <c r="A2848" s="3">
        <v>45776</v>
      </c>
      <c r="B2848" t="str">
        <f t="shared" si="308"/>
        <v>yyyy-04</v>
      </c>
      <c r="C2848">
        <f t="shared" si="309"/>
        <v>18</v>
      </c>
      <c r="D2848" t="s">
        <v>53</v>
      </c>
      <c r="E2848" t="s">
        <v>54</v>
      </c>
      <c r="F2848" t="s">
        <v>55</v>
      </c>
      <c r="G2848" t="s">
        <v>27</v>
      </c>
      <c r="H2848" t="s">
        <v>28</v>
      </c>
      <c r="I2848" s="5">
        <v>126</v>
      </c>
      <c r="J2848" s="5">
        <v>70</v>
      </c>
      <c r="K2848" s="5">
        <v>9</v>
      </c>
      <c r="L2848" s="5">
        <v>2</v>
      </c>
      <c r="M2848" s="5">
        <v>2</v>
      </c>
      <c r="N2848" s="7">
        <v>1323.45</v>
      </c>
      <c r="O2848" s="7">
        <f t="shared" si="310"/>
        <v>2646.9</v>
      </c>
      <c r="P2848" s="4">
        <v>0</v>
      </c>
      <c r="Q2848" s="7">
        <f t="shared" si="311"/>
        <v>0</v>
      </c>
      <c r="R2848" s="7">
        <f t="shared" si="312"/>
        <v>2646.9</v>
      </c>
      <c r="S2848" s="7">
        <f t="shared" si="313"/>
        <v>1323.45</v>
      </c>
      <c r="T2848" s="6">
        <f t="shared" si="314"/>
        <v>1.5873015873015872E-2</v>
      </c>
      <c r="V2848" t="s">
        <v>29</v>
      </c>
    </row>
    <row r="2849" spans="1:22">
      <c r="A2849" s="3">
        <v>45776</v>
      </c>
      <c r="B2849" t="str">
        <f t="shared" si="308"/>
        <v>yyyy-04</v>
      </c>
      <c r="C2849">
        <f t="shared" si="309"/>
        <v>18</v>
      </c>
      <c r="D2849" t="s">
        <v>53</v>
      </c>
      <c r="E2849" t="s">
        <v>56</v>
      </c>
      <c r="F2849" t="s">
        <v>57</v>
      </c>
      <c r="G2849" t="s">
        <v>27</v>
      </c>
      <c r="H2849" t="s">
        <v>45</v>
      </c>
      <c r="I2849" s="5">
        <v>266</v>
      </c>
      <c r="J2849" s="5">
        <v>173</v>
      </c>
      <c r="K2849" s="5">
        <v>18</v>
      </c>
      <c r="L2849" s="5">
        <v>2</v>
      </c>
      <c r="M2849" s="5">
        <v>2</v>
      </c>
      <c r="N2849" s="7">
        <v>742.15</v>
      </c>
      <c r="O2849" s="7">
        <f t="shared" si="310"/>
        <v>1484.3</v>
      </c>
      <c r="P2849" s="4">
        <v>0</v>
      </c>
      <c r="Q2849" s="7">
        <f t="shared" si="311"/>
        <v>0</v>
      </c>
      <c r="R2849" s="7">
        <f t="shared" si="312"/>
        <v>1484.3</v>
      </c>
      <c r="S2849" s="7">
        <f t="shared" si="313"/>
        <v>742.15</v>
      </c>
      <c r="T2849" s="6">
        <f t="shared" si="314"/>
        <v>7.5187969924812026E-3</v>
      </c>
      <c r="V2849" t="s">
        <v>29</v>
      </c>
    </row>
    <row r="2850" spans="1:22">
      <c r="A2850" s="3">
        <v>45776</v>
      </c>
      <c r="B2850" t="str">
        <f t="shared" si="308"/>
        <v>yyyy-04</v>
      </c>
      <c r="C2850">
        <f t="shared" si="309"/>
        <v>18</v>
      </c>
      <c r="D2850" t="s">
        <v>53</v>
      </c>
      <c r="E2850" t="s">
        <v>56</v>
      </c>
      <c r="F2850" t="s">
        <v>58</v>
      </c>
      <c r="G2850" t="s">
        <v>27</v>
      </c>
      <c r="H2850" t="s">
        <v>45</v>
      </c>
      <c r="I2850" s="5">
        <v>115</v>
      </c>
      <c r="J2850" s="5">
        <v>86</v>
      </c>
      <c r="K2850" s="5">
        <v>5</v>
      </c>
      <c r="L2850" s="5">
        <v>1</v>
      </c>
      <c r="M2850" s="5">
        <v>1</v>
      </c>
      <c r="N2850" s="7">
        <v>903.42</v>
      </c>
      <c r="O2850" s="7">
        <f t="shared" si="310"/>
        <v>903.42</v>
      </c>
      <c r="P2850" s="4">
        <v>0.05</v>
      </c>
      <c r="Q2850" s="7">
        <f t="shared" si="311"/>
        <v>45.170999999999999</v>
      </c>
      <c r="R2850" s="7">
        <f t="shared" si="312"/>
        <v>858.24899999999991</v>
      </c>
      <c r="S2850" s="7">
        <f t="shared" si="313"/>
        <v>858.24899999999991</v>
      </c>
      <c r="T2850" s="6">
        <f t="shared" si="314"/>
        <v>8.6956521739130436E-3</v>
      </c>
      <c r="V2850" t="s">
        <v>29</v>
      </c>
    </row>
    <row r="2851" spans="1:22">
      <c r="A2851" s="3">
        <v>45776</v>
      </c>
      <c r="B2851" t="str">
        <f t="shared" si="308"/>
        <v>yyyy-04</v>
      </c>
      <c r="C2851">
        <f t="shared" si="309"/>
        <v>18</v>
      </c>
      <c r="D2851" t="s">
        <v>53</v>
      </c>
      <c r="E2851" t="s">
        <v>59</v>
      </c>
      <c r="F2851" t="s">
        <v>60</v>
      </c>
      <c r="G2851" t="s">
        <v>27</v>
      </c>
      <c r="H2851" t="s">
        <v>48</v>
      </c>
      <c r="I2851" s="5">
        <v>129</v>
      </c>
      <c r="J2851" s="5">
        <v>75</v>
      </c>
      <c r="K2851" s="5">
        <v>8</v>
      </c>
      <c r="L2851" s="5">
        <v>2</v>
      </c>
      <c r="M2851" s="5">
        <v>2</v>
      </c>
      <c r="N2851" s="7">
        <v>706.7</v>
      </c>
      <c r="O2851" s="7">
        <f t="shared" si="310"/>
        <v>1413.4</v>
      </c>
      <c r="P2851" s="4">
        <v>0</v>
      </c>
      <c r="Q2851" s="7">
        <f t="shared" si="311"/>
        <v>0</v>
      </c>
      <c r="R2851" s="7">
        <f t="shared" si="312"/>
        <v>1413.4</v>
      </c>
      <c r="S2851" s="7">
        <f t="shared" si="313"/>
        <v>706.7</v>
      </c>
      <c r="T2851" s="6">
        <f t="shared" si="314"/>
        <v>1.5503875968992248E-2</v>
      </c>
      <c r="V2851" t="s">
        <v>29</v>
      </c>
    </row>
    <row r="2852" spans="1:22">
      <c r="A2852" s="3">
        <v>45776</v>
      </c>
      <c r="B2852" t="str">
        <f t="shared" si="308"/>
        <v>yyyy-04</v>
      </c>
      <c r="C2852">
        <f t="shared" si="309"/>
        <v>18</v>
      </c>
      <c r="D2852" t="s">
        <v>53</v>
      </c>
      <c r="E2852" t="s">
        <v>61</v>
      </c>
      <c r="F2852" t="s">
        <v>62</v>
      </c>
      <c r="G2852" t="s">
        <v>31</v>
      </c>
      <c r="H2852" t="s">
        <v>32</v>
      </c>
      <c r="I2852" s="5">
        <v>237</v>
      </c>
      <c r="J2852" s="5">
        <v>167</v>
      </c>
      <c r="K2852" s="5">
        <v>15</v>
      </c>
      <c r="L2852" s="5">
        <v>2</v>
      </c>
      <c r="M2852" s="5">
        <v>2</v>
      </c>
      <c r="N2852" s="7">
        <v>479.09</v>
      </c>
      <c r="O2852" s="7">
        <f t="shared" si="310"/>
        <v>958.18</v>
      </c>
      <c r="P2852" s="4">
        <v>0.03</v>
      </c>
      <c r="Q2852" s="7">
        <f t="shared" si="311"/>
        <v>28.745399999999997</v>
      </c>
      <c r="R2852" s="7">
        <f t="shared" si="312"/>
        <v>929.43459999999993</v>
      </c>
      <c r="S2852" s="7">
        <f t="shared" si="313"/>
        <v>464.71729999999997</v>
      </c>
      <c r="T2852" s="6">
        <f t="shared" si="314"/>
        <v>8.4388185654008432E-3</v>
      </c>
      <c r="V2852" t="s">
        <v>29</v>
      </c>
    </row>
    <row r="2853" spans="1:22">
      <c r="A2853" s="3">
        <v>45776</v>
      </c>
      <c r="B2853" t="str">
        <f t="shared" si="308"/>
        <v>yyyy-04</v>
      </c>
      <c r="C2853">
        <f t="shared" si="309"/>
        <v>18</v>
      </c>
      <c r="D2853" t="s">
        <v>53</v>
      </c>
      <c r="E2853" t="s">
        <v>64</v>
      </c>
      <c r="F2853" t="s">
        <v>65</v>
      </c>
      <c r="G2853" t="s">
        <v>36</v>
      </c>
      <c r="H2853" t="s">
        <v>37</v>
      </c>
      <c r="I2853" s="5">
        <v>275</v>
      </c>
      <c r="J2853" s="5">
        <v>203</v>
      </c>
      <c r="K2853" s="5">
        <v>20</v>
      </c>
      <c r="L2853" s="5">
        <v>3</v>
      </c>
      <c r="M2853" s="5">
        <v>3</v>
      </c>
      <c r="N2853" s="7">
        <v>769.38</v>
      </c>
      <c r="O2853" s="7">
        <f t="shared" si="310"/>
        <v>2308.14</v>
      </c>
      <c r="P2853" s="4">
        <v>0.03</v>
      </c>
      <c r="Q2853" s="7">
        <f t="shared" si="311"/>
        <v>69.244199999999992</v>
      </c>
      <c r="R2853" s="7">
        <f t="shared" si="312"/>
        <v>2238.8957999999998</v>
      </c>
      <c r="S2853" s="7">
        <f t="shared" si="313"/>
        <v>746.29859999999996</v>
      </c>
      <c r="T2853" s="6">
        <f t="shared" si="314"/>
        <v>1.090909090909091E-2</v>
      </c>
      <c r="V2853" t="s">
        <v>29</v>
      </c>
    </row>
    <row r="2854" spans="1:22">
      <c r="A2854" s="3">
        <v>45776</v>
      </c>
      <c r="B2854" t="str">
        <f t="shared" si="308"/>
        <v>yyyy-04</v>
      </c>
      <c r="C2854">
        <f t="shared" si="309"/>
        <v>18</v>
      </c>
      <c r="D2854" t="s">
        <v>66</v>
      </c>
      <c r="E2854" t="s">
        <v>67</v>
      </c>
      <c r="F2854" t="s">
        <v>68</v>
      </c>
      <c r="G2854" t="s">
        <v>31</v>
      </c>
      <c r="H2854" t="s">
        <v>32</v>
      </c>
      <c r="I2854" s="5">
        <v>551</v>
      </c>
      <c r="J2854" s="5">
        <v>295</v>
      </c>
      <c r="K2854" s="5">
        <v>26</v>
      </c>
      <c r="L2854" s="5">
        <v>8</v>
      </c>
      <c r="M2854" s="5">
        <v>8</v>
      </c>
      <c r="N2854" s="7">
        <v>699.56</v>
      </c>
      <c r="O2854" s="7">
        <f t="shared" si="310"/>
        <v>5596.48</v>
      </c>
      <c r="P2854" s="4">
        <v>0</v>
      </c>
      <c r="Q2854" s="7">
        <f t="shared" si="311"/>
        <v>0</v>
      </c>
      <c r="R2854" s="7">
        <f t="shared" si="312"/>
        <v>5596.48</v>
      </c>
      <c r="S2854" s="7">
        <f t="shared" si="313"/>
        <v>699.56</v>
      </c>
      <c r="T2854" s="6">
        <f t="shared" si="314"/>
        <v>1.4519056261343012E-2</v>
      </c>
      <c r="V2854" t="s">
        <v>29</v>
      </c>
    </row>
    <row r="2855" spans="1:22">
      <c r="A2855" s="3">
        <v>45776</v>
      </c>
      <c r="B2855" t="str">
        <f t="shared" si="308"/>
        <v>yyyy-04</v>
      </c>
      <c r="C2855">
        <f t="shared" si="309"/>
        <v>18</v>
      </c>
      <c r="D2855" t="s">
        <v>66</v>
      </c>
      <c r="E2855" t="s">
        <v>67</v>
      </c>
      <c r="F2855" t="s">
        <v>69</v>
      </c>
      <c r="G2855" t="s">
        <v>31</v>
      </c>
      <c r="H2855" t="s">
        <v>32</v>
      </c>
      <c r="I2855" s="5">
        <v>354</v>
      </c>
      <c r="J2855" s="5">
        <v>266</v>
      </c>
      <c r="K2855" s="5">
        <v>22</v>
      </c>
      <c r="L2855" s="5">
        <v>7</v>
      </c>
      <c r="M2855" s="5">
        <v>7</v>
      </c>
      <c r="N2855" s="7">
        <v>399.18</v>
      </c>
      <c r="O2855" s="7">
        <f t="shared" si="310"/>
        <v>2794.26</v>
      </c>
      <c r="P2855" s="4">
        <v>0.03</v>
      </c>
      <c r="Q2855" s="7">
        <f t="shared" si="311"/>
        <v>83.827800000000011</v>
      </c>
      <c r="R2855" s="7">
        <f t="shared" si="312"/>
        <v>2710.4322000000002</v>
      </c>
      <c r="S2855" s="7">
        <f t="shared" si="313"/>
        <v>387.20460000000003</v>
      </c>
      <c r="T2855" s="6">
        <f t="shared" si="314"/>
        <v>1.977401129943503E-2</v>
      </c>
      <c r="V2855" t="s">
        <v>29</v>
      </c>
    </row>
    <row r="2856" spans="1:22">
      <c r="A2856" s="3">
        <v>45776</v>
      </c>
      <c r="B2856" t="str">
        <f t="shared" si="308"/>
        <v>yyyy-04</v>
      </c>
      <c r="C2856">
        <f t="shared" si="309"/>
        <v>18</v>
      </c>
      <c r="D2856" t="s">
        <v>66</v>
      </c>
      <c r="E2856" t="s">
        <v>67</v>
      </c>
      <c r="F2856" t="s">
        <v>70</v>
      </c>
      <c r="G2856" t="s">
        <v>31</v>
      </c>
      <c r="H2856" t="s">
        <v>32</v>
      </c>
      <c r="I2856" s="5">
        <v>439</v>
      </c>
      <c r="J2856" s="5">
        <v>320</v>
      </c>
      <c r="K2856" s="5">
        <v>32</v>
      </c>
      <c r="L2856" s="5">
        <v>6</v>
      </c>
      <c r="M2856" s="5">
        <v>6</v>
      </c>
      <c r="N2856" s="7">
        <v>336.04</v>
      </c>
      <c r="O2856" s="7">
        <f t="shared" si="310"/>
        <v>2016.2400000000002</v>
      </c>
      <c r="P2856" s="4">
        <v>0</v>
      </c>
      <c r="Q2856" s="7">
        <f t="shared" si="311"/>
        <v>0</v>
      </c>
      <c r="R2856" s="7">
        <f t="shared" si="312"/>
        <v>2016.2400000000002</v>
      </c>
      <c r="S2856" s="7">
        <f t="shared" si="313"/>
        <v>336.04</v>
      </c>
      <c r="T2856" s="6">
        <f t="shared" si="314"/>
        <v>1.366742596810934E-2</v>
      </c>
      <c r="V2856" t="s">
        <v>29</v>
      </c>
    </row>
    <row r="2857" spans="1:22">
      <c r="A2857" s="3">
        <v>45776</v>
      </c>
      <c r="B2857" t="str">
        <f t="shared" si="308"/>
        <v>yyyy-04</v>
      </c>
      <c r="C2857">
        <f t="shared" si="309"/>
        <v>18</v>
      </c>
      <c r="D2857" t="s">
        <v>66</v>
      </c>
      <c r="E2857" t="s">
        <v>71</v>
      </c>
      <c r="F2857" t="s">
        <v>72</v>
      </c>
      <c r="G2857" t="s">
        <v>27</v>
      </c>
      <c r="H2857" t="s">
        <v>48</v>
      </c>
      <c r="I2857" s="5">
        <v>236</v>
      </c>
      <c r="J2857" s="5">
        <v>156</v>
      </c>
      <c r="K2857" s="5">
        <v>13</v>
      </c>
      <c r="L2857" s="5">
        <v>5</v>
      </c>
      <c r="M2857" s="5">
        <v>5</v>
      </c>
      <c r="N2857" s="7">
        <v>125.74</v>
      </c>
      <c r="O2857" s="7">
        <f t="shared" si="310"/>
        <v>628.69999999999993</v>
      </c>
      <c r="P2857" s="4">
        <v>0</v>
      </c>
      <c r="Q2857" s="7">
        <f t="shared" si="311"/>
        <v>0</v>
      </c>
      <c r="R2857" s="7">
        <f t="shared" si="312"/>
        <v>628.69999999999993</v>
      </c>
      <c r="S2857" s="7">
        <f t="shared" si="313"/>
        <v>125.73999999999998</v>
      </c>
      <c r="T2857" s="6">
        <f t="shared" si="314"/>
        <v>2.1186440677966101E-2</v>
      </c>
      <c r="V2857" t="s">
        <v>29</v>
      </c>
    </row>
    <row r="2858" spans="1:22">
      <c r="A2858" s="3">
        <v>45776</v>
      </c>
      <c r="B2858" t="str">
        <f t="shared" si="308"/>
        <v>yyyy-04</v>
      </c>
      <c r="C2858">
        <f t="shared" si="309"/>
        <v>18</v>
      </c>
      <c r="D2858" t="s">
        <v>66</v>
      </c>
      <c r="E2858" t="s">
        <v>73</v>
      </c>
      <c r="F2858" t="s">
        <v>74</v>
      </c>
      <c r="G2858" t="s">
        <v>36</v>
      </c>
      <c r="H2858" t="s">
        <v>37</v>
      </c>
      <c r="I2858" s="5">
        <v>304</v>
      </c>
      <c r="J2858" s="5">
        <v>223</v>
      </c>
      <c r="K2858" s="5">
        <v>33</v>
      </c>
      <c r="L2858" s="5">
        <v>7</v>
      </c>
      <c r="M2858" s="5">
        <v>7</v>
      </c>
      <c r="N2858" s="7">
        <v>1214.81</v>
      </c>
      <c r="O2858" s="7">
        <f t="shared" si="310"/>
        <v>8503.67</v>
      </c>
      <c r="P2858" s="4">
        <v>7.0000000000000007E-2</v>
      </c>
      <c r="Q2858" s="7">
        <f t="shared" si="311"/>
        <v>595.25690000000009</v>
      </c>
      <c r="R2858" s="7">
        <f t="shared" si="312"/>
        <v>7908.4130999999998</v>
      </c>
      <c r="S2858" s="7">
        <f t="shared" si="313"/>
        <v>1129.7733000000001</v>
      </c>
      <c r="T2858" s="6">
        <f t="shared" si="314"/>
        <v>2.3026315789473683E-2</v>
      </c>
      <c r="U2858" t="s">
        <v>95</v>
      </c>
      <c r="V2858" t="s">
        <v>29</v>
      </c>
    </row>
    <row r="2859" spans="1:22">
      <c r="A2859" s="3">
        <v>45776</v>
      </c>
      <c r="B2859" t="str">
        <f t="shared" si="308"/>
        <v>yyyy-04</v>
      </c>
      <c r="C2859">
        <f t="shared" si="309"/>
        <v>18</v>
      </c>
      <c r="D2859" t="s">
        <v>66</v>
      </c>
      <c r="E2859" t="s">
        <v>71</v>
      </c>
      <c r="F2859" t="s">
        <v>75</v>
      </c>
      <c r="G2859" t="s">
        <v>27</v>
      </c>
      <c r="H2859" t="s">
        <v>28</v>
      </c>
      <c r="I2859" s="5">
        <v>247</v>
      </c>
      <c r="J2859" s="5">
        <v>157</v>
      </c>
      <c r="K2859" s="5">
        <v>11</v>
      </c>
      <c r="L2859" s="5">
        <v>4</v>
      </c>
      <c r="M2859" s="5">
        <v>5</v>
      </c>
      <c r="N2859" s="7">
        <v>38.619999999999997</v>
      </c>
      <c r="O2859" s="7">
        <f t="shared" si="310"/>
        <v>193.1</v>
      </c>
      <c r="P2859" s="4">
        <v>0</v>
      </c>
      <c r="Q2859" s="7">
        <f t="shared" si="311"/>
        <v>0</v>
      </c>
      <c r="R2859" s="7">
        <f t="shared" si="312"/>
        <v>193.1</v>
      </c>
      <c r="S2859" s="7">
        <f t="shared" si="313"/>
        <v>48.274999999999999</v>
      </c>
      <c r="T2859" s="6">
        <f t="shared" si="314"/>
        <v>1.6194331983805668E-2</v>
      </c>
      <c r="V2859" t="s">
        <v>29</v>
      </c>
    </row>
    <row r="2860" spans="1:22">
      <c r="A2860" s="3">
        <v>45776</v>
      </c>
      <c r="B2860" t="str">
        <f t="shared" si="308"/>
        <v>yyyy-04</v>
      </c>
      <c r="C2860">
        <f t="shared" si="309"/>
        <v>18</v>
      </c>
      <c r="D2860" t="s">
        <v>24</v>
      </c>
      <c r="E2860" t="s">
        <v>76</v>
      </c>
      <c r="F2860" t="s">
        <v>77</v>
      </c>
      <c r="G2860" t="s">
        <v>36</v>
      </c>
      <c r="H2860" t="s">
        <v>37</v>
      </c>
      <c r="I2860" s="5">
        <v>629</v>
      </c>
      <c r="J2860" s="5">
        <v>364</v>
      </c>
      <c r="K2860" s="5">
        <v>65</v>
      </c>
      <c r="L2860" s="5">
        <v>15</v>
      </c>
      <c r="M2860" s="5">
        <v>20</v>
      </c>
      <c r="N2860" s="7">
        <v>202.53</v>
      </c>
      <c r="O2860" s="7">
        <f t="shared" si="310"/>
        <v>4050.6</v>
      </c>
      <c r="P2860" s="4">
        <v>0.03</v>
      </c>
      <c r="Q2860" s="7">
        <f t="shared" si="311"/>
        <v>121.51799999999999</v>
      </c>
      <c r="R2860" s="7">
        <f t="shared" si="312"/>
        <v>3929.0819999999999</v>
      </c>
      <c r="S2860" s="7">
        <f t="shared" si="313"/>
        <v>261.93880000000001</v>
      </c>
      <c r="T2860" s="6">
        <f t="shared" si="314"/>
        <v>2.3847376788553261E-2</v>
      </c>
      <c r="V2860" t="s">
        <v>29</v>
      </c>
    </row>
    <row r="2861" spans="1:22">
      <c r="A2861" s="3">
        <v>45777</v>
      </c>
      <c r="B2861" t="str">
        <f t="shared" si="308"/>
        <v>yyyy-04</v>
      </c>
      <c r="C2861">
        <f t="shared" si="309"/>
        <v>18</v>
      </c>
      <c r="D2861" t="s">
        <v>24</v>
      </c>
      <c r="E2861" t="s">
        <v>25</v>
      </c>
      <c r="F2861" t="s">
        <v>26</v>
      </c>
      <c r="G2861" t="s">
        <v>27</v>
      </c>
      <c r="H2861" t="s">
        <v>45</v>
      </c>
      <c r="I2861" s="5">
        <v>1197</v>
      </c>
      <c r="J2861" s="5">
        <v>631</v>
      </c>
      <c r="K2861" s="5">
        <v>69</v>
      </c>
      <c r="L2861" s="5">
        <v>29</v>
      </c>
      <c r="M2861" s="5">
        <v>29</v>
      </c>
      <c r="N2861" s="7">
        <v>984.29</v>
      </c>
      <c r="O2861" s="7">
        <f t="shared" si="310"/>
        <v>28544.41</v>
      </c>
      <c r="P2861" s="4">
        <v>0</v>
      </c>
      <c r="Q2861" s="7">
        <f t="shared" si="311"/>
        <v>0</v>
      </c>
      <c r="R2861" s="7">
        <f t="shared" si="312"/>
        <v>28544.41</v>
      </c>
      <c r="S2861" s="7">
        <f t="shared" si="313"/>
        <v>984.29</v>
      </c>
      <c r="T2861" s="6">
        <f t="shared" si="314"/>
        <v>2.4227234753550542E-2</v>
      </c>
      <c r="V2861" t="s">
        <v>29</v>
      </c>
    </row>
    <row r="2862" spans="1:22">
      <c r="A2862" s="3">
        <v>45777</v>
      </c>
      <c r="B2862" t="str">
        <f t="shared" si="308"/>
        <v>yyyy-04</v>
      </c>
      <c r="C2862">
        <f t="shared" si="309"/>
        <v>18</v>
      </c>
      <c r="D2862" t="s">
        <v>24</v>
      </c>
      <c r="E2862" t="s">
        <v>25</v>
      </c>
      <c r="F2862" t="s">
        <v>30</v>
      </c>
      <c r="G2862" t="s">
        <v>36</v>
      </c>
      <c r="H2862" t="s">
        <v>37</v>
      </c>
      <c r="I2862" s="5">
        <v>1844</v>
      </c>
      <c r="J2862" s="5">
        <v>1159</v>
      </c>
      <c r="K2862" s="5">
        <v>116</v>
      </c>
      <c r="L2862" s="5">
        <v>34</v>
      </c>
      <c r="M2862" s="5">
        <v>34</v>
      </c>
      <c r="N2862" s="7">
        <v>401.39</v>
      </c>
      <c r="O2862" s="7">
        <f t="shared" si="310"/>
        <v>13647.26</v>
      </c>
      <c r="P2862" s="4">
        <v>0</v>
      </c>
      <c r="Q2862" s="7">
        <f t="shared" si="311"/>
        <v>0</v>
      </c>
      <c r="R2862" s="7">
        <f t="shared" si="312"/>
        <v>13647.26</v>
      </c>
      <c r="S2862" s="7">
        <f t="shared" si="313"/>
        <v>401.39</v>
      </c>
      <c r="T2862" s="6">
        <f t="shared" si="314"/>
        <v>1.843817787418655E-2</v>
      </c>
      <c r="V2862" t="s">
        <v>29</v>
      </c>
    </row>
    <row r="2863" spans="1:22">
      <c r="A2863" s="3">
        <v>45777</v>
      </c>
      <c r="B2863" t="str">
        <f t="shared" si="308"/>
        <v>yyyy-04</v>
      </c>
      <c r="C2863">
        <f t="shared" si="309"/>
        <v>18</v>
      </c>
      <c r="D2863" t="s">
        <v>24</v>
      </c>
      <c r="E2863" t="s">
        <v>25</v>
      </c>
      <c r="F2863" t="s">
        <v>33</v>
      </c>
      <c r="G2863" t="s">
        <v>27</v>
      </c>
      <c r="H2863" t="s">
        <v>28</v>
      </c>
      <c r="I2863" s="5">
        <v>1206</v>
      </c>
      <c r="J2863" s="5">
        <v>867</v>
      </c>
      <c r="K2863" s="5">
        <v>86</v>
      </c>
      <c r="L2863" s="5">
        <v>14</v>
      </c>
      <c r="M2863" s="5">
        <v>14</v>
      </c>
      <c r="N2863" s="7">
        <v>1812.99</v>
      </c>
      <c r="O2863" s="7">
        <f t="shared" si="310"/>
        <v>25381.86</v>
      </c>
      <c r="P2863" s="4">
        <v>0</v>
      </c>
      <c r="Q2863" s="7">
        <f t="shared" si="311"/>
        <v>0</v>
      </c>
      <c r="R2863" s="7">
        <f t="shared" si="312"/>
        <v>25381.86</v>
      </c>
      <c r="S2863" s="7">
        <f t="shared" si="313"/>
        <v>1812.99</v>
      </c>
      <c r="T2863" s="6">
        <f t="shared" si="314"/>
        <v>1.1608623548922056E-2</v>
      </c>
      <c r="V2863" t="s">
        <v>78</v>
      </c>
    </row>
    <row r="2864" spans="1:22">
      <c r="A2864" s="3">
        <v>45777</v>
      </c>
      <c r="B2864" t="str">
        <f t="shared" si="308"/>
        <v>yyyy-04</v>
      </c>
      <c r="C2864">
        <f t="shared" si="309"/>
        <v>18</v>
      </c>
      <c r="D2864" t="s">
        <v>24</v>
      </c>
      <c r="E2864" t="s">
        <v>34</v>
      </c>
      <c r="F2864" t="s">
        <v>35</v>
      </c>
      <c r="G2864" t="s">
        <v>36</v>
      </c>
      <c r="H2864" t="s">
        <v>37</v>
      </c>
      <c r="I2864" s="5">
        <v>928</v>
      </c>
      <c r="J2864" s="5">
        <v>525</v>
      </c>
      <c r="K2864" s="5">
        <v>92</v>
      </c>
      <c r="L2864" s="5">
        <v>22</v>
      </c>
      <c r="M2864" s="5">
        <v>22</v>
      </c>
      <c r="N2864" s="7">
        <v>891.38</v>
      </c>
      <c r="O2864" s="7">
        <f t="shared" si="310"/>
        <v>19610.36</v>
      </c>
      <c r="P2864" s="4">
        <v>0</v>
      </c>
      <c r="Q2864" s="7">
        <f t="shared" si="311"/>
        <v>0</v>
      </c>
      <c r="R2864" s="7">
        <f t="shared" si="312"/>
        <v>19610.36</v>
      </c>
      <c r="S2864" s="7">
        <f t="shared" si="313"/>
        <v>891.38</v>
      </c>
      <c r="T2864" s="6">
        <f t="shared" si="314"/>
        <v>2.3706896551724137E-2</v>
      </c>
      <c r="V2864" t="s">
        <v>29</v>
      </c>
    </row>
    <row r="2865" spans="1:22">
      <c r="A2865" s="3">
        <v>45777</v>
      </c>
      <c r="B2865" t="str">
        <f t="shared" si="308"/>
        <v>yyyy-04</v>
      </c>
      <c r="C2865">
        <f t="shared" si="309"/>
        <v>18</v>
      </c>
      <c r="D2865" t="s">
        <v>24</v>
      </c>
      <c r="E2865" t="s">
        <v>38</v>
      </c>
      <c r="F2865" t="s">
        <v>39</v>
      </c>
      <c r="G2865" t="s">
        <v>27</v>
      </c>
      <c r="H2865" t="s">
        <v>63</v>
      </c>
      <c r="I2865" s="5">
        <v>533</v>
      </c>
      <c r="J2865" s="5">
        <v>434</v>
      </c>
      <c r="K2865" s="5">
        <v>60</v>
      </c>
      <c r="L2865" s="5">
        <v>13</v>
      </c>
      <c r="M2865" s="5">
        <v>13</v>
      </c>
      <c r="N2865" s="7">
        <v>323.97000000000003</v>
      </c>
      <c r="O2865" s="7">
        <f t="shared" si="310"/>
        <v>4211.6100000000006</v>
      </c>
      <c r="P2865" s="4">
        <v>0</v>
      </c>
      <c r="Q2865" s="7">
        <f t="shared" si="311"/>
        <v>0</v>
      </c>
      <c r="R2865" s="7">
        <f t="shared" si="312"/>
        <v>4211.6100000000006</v>
      </c>
      <c r="S2865" s="7">
        <f t="shared" si="313"/>
        <v>323.97000000000003</v>
      </c>
      <c r="T2865" s="6">
        <f t="shared" si="314"/>
        <v>2.4390243902439025E-2</v>
      </c>
      <c r="V2865" t="s">
        <v>29</v>
      </c>
    </row>
    <row r="2866" spans="1:22">
      <c r="A2866" s="3">
        <v>45777</v>
      </c>
      <c r="B2866" t="str">
        <f t="shared" si="308"/>
        <v>yyyy-04</v>
      </c>
      <c r="C2866">
        <f t="shared" si="309"/>
        <v>18</v>
      </c>
      <c r="D2866" t="s">
        <v>24</v>
      </c>
      <c r="E2866" t="s">
        <v>40</v>
      </c>
      <c r="F2866" t="s">
        <v>41</v>
      </c>
      <c r="G2866" t="s">
        <v>27</v>
      </c>
      <c r="H2866" t="s">
        <v>63</v>
      </c>
      <c r="I2866" s="5">
        <v>546</v>
      </c>
      <c r="J2866" s="5">
        <v>438</v>
      </c>
      <c r="K2866" s="5">
        <v>60</v>
      </c>
      <c r="L2866" s="5">
        <v>13</v>
      </c>
      <c r="M2866" s="5">
        <v>15</v>
      </c>
      <c r="N2866" s="7">
        <v>181.03</v>
      </c>
      <c r="O2866" s="7">
        <f t="shared" si="310"/>
        <v>2715.45</v>
      </c>
      <c r="P2866" s="4">
        <v>0.05</v>
      </c>
      <c r="Q2866" s="7">
        <f t="shared" si="311"/>
        <v>135.77250000000001</v>
      </c>
      <c r="R2866" s="7">
        <f t="shared" si="312"/>
        <v>2579.6774999999998</v>
      </c>
      <c r="S2866" s="7">
        <f t="shared" si="313"/>
        <v>198.43673076923076</v>
      </c>
      <c r="T2866" s="6">
        <f t="shared" si="314"/>
        <v>2.3809523809523808E-2</v>
      </c>
      <c r="V2866" t="s">
        <v>29</v>
      </c>
    </row>
    <row r="2867" spans="1:22">
      <c r="A2867" s="3">
        <v>45777</v>
      </c>
      <c r="B2867" t="str">
        <f t="shared" si="308"/>
        <v>yyyy-04</v>
      </c>
      <c r="C2867">
        <f t="shared" si="309"/>
        <v>18</v>
      </c>
      <c r="D2867" t="s">
        <v>42</v>
      </c>
      <c r="E2867" t="s">
        <v>43</v>
      </c>
      <c r="F2867" t="s">
        <v>44</v>
      </c>
      <c r="G2867" t="s">
        <v>27</v>
      </c>
      <c r="H2867" t="s">
        <v>28</v>
      </c>
      <c r="I2867" s="5">
        <v>491</v>
      </c>
      <c r="J2867" s="5">
        <v>344</v>
      </c>
      <c r="K2867" s="5">
        <v>25</v>
      </c>
      <c r="L2867" s="5">
        <v>6</v>
      </c>
      <c r="M2867" s="5">
        <v>6</v>
      </c>
      <c r="N2867" s="7">
        <v>1253.17</v>
      </c>
      <c r="O2867" s="7">
        <f t="shared" si="310"/>
        <v>7519.02</v>
      </c>
      <c r="P2867" s="4">
        <v>0</v>
      </c>
      <c r="Q2867" s="7">
        <f t="shared" si="311"/>
        <v>0</v>
      </c>
      <c r="R2867" s="7">
        <f t="shared" si="312"/>
        <v>7519.02</v>
      </c>
      <c r="S2867" s="7">
        <f t="shared" si="313"/>
        <v>1253.17</v>
      </c>
      <c r="T2867" s="6">
        <f t="shared" si="314"/>
        <v>1.2219959266802444E-2</v>
      </c>
      <c r="V2867" t="s">
        <v>78</v>
      </c>
    </row>
    <row r="2868" spans="1:22">
      <c r="A2868" s="3">
        <v>45777</v>
      </c>
      <c r="B2868" t="str">
        <f t="shared" si="308"/>
        <v>yyyy-04</v>
      </c>
      <c r="C2868">
        <f t="shared" si="309"/>
        <v>18</v>
      </c>
      <c r="D2868" t="s">
        <v>42</v>
      </c>
      <c r="E2868" t="s">
        <v>43</v>
      </c>
      <c r="F2868" t="s">
        <v>46</v>
      </c>
      <c r="G2868" t="s">
        <v>27</v>
      </c>
      <c r="H2868" t="s">
        <v>45</v>
      </c>
      <c r="I2868" s="5">
        <v>331</v>
      </c>
      <c r="J2868" s="5">
        <v>232</v>
      </c>
      <c r="K2868" s="5">
        <v>12</v>
      </c>
      <c r="L2868" s="5">
        <v>4</v>
      </c>
      <c r="M2868" s="5">
        <v>4</v>
      </c>
      <c r="N2868" s="7">
        <v>2183.29</v>
      </c>
      <c r="O2868" s="7">
        <f t="shared" si="310"/>
        <v>8733.16</v>
      </c>
      <c r="P2868" s="4">
        <v>0.03</v>
      </c>
      <c r="Q2868" s="7">
        <f t="shared" si="311"/>
        <v>261.9948</v>
      </c>
      <c r="R2868" s="7">
        <f t="shared" si="312"/>
        <v>8471.1651999999995</v>
      </c>
      <c r="S2868" s="7">
        <f t="shared" si="313"/>
        <v>2117.7912999999999</v>
      </c>
      <c r="T2868" s="6">
        <f t="shared" si="314"/>
        <v>1.2084592145015106E-2</v>
      </c>
      <c r="V2868" t="s">
        <v>29</v>
      </c>
    </row>
    <row r="2869" spans="1:22">
      <c r="A2869" s="3">
        <v>45777</v>
      </c>
      <c r="B2869" t="str">
        <f t="shared" si="308"/>
        <v>yyyy-04</v>
      </c>
      <c r="C2869">
        <f t="shared" si="309"/>
        <v>18</v>
      </c>
      <c r="D2869" t="s">
        <v>42</v>
      </c>
      <c r="E2869" t="s">
        <v>43</v>
      </c>
      <c r="F2869" t="s">
        <v>47</v>
      </c>
      <c r="G2869" t="s">
        <v>27</v>
      </c>
      <c r="H2869" t="s">
        <v>45</v>
      </c>
      <c r="I2869" s="5">
        <v>455</v>
      </c>
      <c r="J2869" s="5">
        <v>367</v>
      </c>
      <c r="K2869" s="5">
        <v>36</v>
      </c>
      <c r="L2869" s="5">
        <v>6</v>
      </c>
      <c r="M2869" s="5">
        <v>6</v>
      </c>
      <c r="N2869" s="7">
        <v>591.95000000000005</v>
      </c>
      <c r="O2869" s="7">
        <f t="shared" si="310"/>
        <v>3551.7000000000003</v>
      </c>
      <c r="P2869" s="4">
        <v>0</v>
      </c>
      <c r="Q2869" s="7">
        <f t="shared" si="311"/>
        <v>0</v>
      </c>
      <c r="R2869" s="7">
        <f t="shared" si="312"/>
        <v>3551.7000000000003</v>
      </c>
      <c r="S2869" s="7">
        <f t="shared" si="313"/>
        <v>591.95000000000005</v>
      </c>
      <c r="T2869" s="6">
        <f t="shared" si="314"/>
        <v>1.3186813186813187E-2</v>
      </c>
      <c r="V2869" t="s">
        <v>29</v>
      </c>
    </row>
    <row r="2870" spans="1:22">
      <c r="A2870" s="3">
        <v>45777</v>
      </c>
      <c r="B2870" t="str">
        <f t="shared" si="308"/>
        <v>yyyy-04</v>
      </c>
      <c r="C2870">
        <f t="shared" si="309"/>
        <v>18</v>
      </c>
      <c r="D2870" t="s">
        <v>42</v>
      </c>
      <c r="E2870" t="s">
        <v>49</v>
      </c>
      <c r="F2870" t="s">
        <v>50</v>
      </c>
      <c r="G2870" t="s">
        <v>36</v>
      </c>
      <c r="H2870" t="s">
        <v>37</v>
      </c>
      <c r="I2870" s="5">
        <v>147</v>
      </c>
      <c r="J2870" s="5">
        <v>111</v>
      </c>
      <c r="K2870" s="5">
        <v>7</v>
      </c>
      <c r="L2870" s="5">
        <v>2</v>
      </c>
      <c r="M2870" s="5">
        <v>2</v>
      </c>
      <c r="N2870" s="7">
        <v>1002.23</v>
      </c>
      <c r="O2870" s="7">
        <f t="shared" si="310"/>
        <v>2004.46</v>
      </c>
      <c r="P2870" s="4">
        <v>0</v>
      </c>
      <c r="Q2870" s="7">
        <f t="shared" si="311"/>
        <v>0</v>
      </c>
      <c r="R2870" s="7">
        <f t="shared" si="312"/>
        <v>2004.46</v>
      </c>
      <c r="S2870" s="7">
        <f t="shared" si="313"/>
        <v>1002.23</v>
      </c>
      <c r="T2870" s="6">
        <f t="shared" si="314"/>
        <v>1.3605442176870748E-2</v>
      </c>
      <c r="V2870" t="s">
        <v>29</v>
      </c>
    </row>
    <row r="2871" spans="1:22">
      <c r="A2871" s="3">
        <v>45777</v>
      </c>
      <c r="B2871" t="str">
        <f t="shared" si="308"/>
        <v>yyyy-04</v>
      </c>
      <c r="C2871">
        <f t="shared" si="309"/>
        <v>18</v>
      </c>
      <c r="D2871" t="s">
        <v>42</v>
      </c>
      <c r="E2871" t="s">
        <v>51</v>
      </c>
      <c r="F2871" t="s">
        <v>52</v>
      </c>
      <c r="G2871" t="s">
        <v>27</v>
      </c>
      <c r="H2871" t="s">
        <v>45</v>
      </c>
      <c r="I2871" s="5">
        <v>210</v>
      </c>
      <c r="J2871" s="5">
        <v>134</v>
      </c>
      <c r="K2871" s="5">
        <v>16</v>
      </c>
      <c r="L2871" s="5">
        <v>4</v>
      </c>
      <c r="M2871" s="5">
        <v>4</v>
      </c>
      <c r="N2871" s="7">
        <v>588.44000000000005</v>
      </c>
      <c r="O2871" s="7">
        <f t="shared" si="310"/>
        <v>2353.7600000000002</v>
      </c>
      <c r="P2871" s="4">
        <v>0</v>
      </c>
      <c r="Q2871" s="7">
        <f t="shared" si="311"/>
        <v>0</v>
      </c>
      <c r="R2871" s="7">
        <f t="shared" si="312"/>
        <v>2353.7600000000002</v>
      </c>
      <c r="S2871" s="7">
        <f t="shared" si="313"/>
        <v>588.44000000000005</v>
      </c>
      <c r="T2871" s="6">
        <f t="shared" si="314"/>
        <v>1.9047619047619049E-2</v>
      </c>
      <c r="V2871" t="s">
        <v>29</v>
      </c>
    </row>
    <row r="2872" spans="1:22">
      <c r="A2872" s="3">
        <v>45777</v>
      </c>
      <c r="B2872" t="str">
        <f t="shared" si="308"/>
        <v>yyyy-04</v>
      </c>
      <c r="C2872">
        <f t="shared" si="309"/>
        <v>18</v>
      </c>
      <c r="D2872" t="s">
        <v>53</v>
      </c>
      <c r="E2872" t="s">
        <v>54</v>
      </c>
      <c r="F2872" t="s">
        <v>55</v>
      </c>
      <c r="G2872" t="s">
        <v>31</v>
      </c>
      <c r="H2872" t="s">
        <v>32</v>
      </c>
      <c r="I2872" s="5">
        <v>172</v>
      </c>
      <c r="J2872" s="5">
        <v>121</v>
      </c>
      <c r="K2872" s="5">
        <v>11</v>
      </c>
      <c r="L2872" s="5">
        <v>2</v>
      </c>
      <c r="M2872" s="5">
        <v>2</v>
      </c>
      <c r="N2872" s="7">
        <v>1268.57</v>
      </c>
      <c r="O2872" s="7">
        <f t="shared" si="310"/>
        <v>2537.14</v>
      </c>
      <c r="P2872" s="4">
        <v>0</v>
      </c>
      <c r="Q2872" s="7">
        <f t="shared" si="311"/>
        <v>0</v>
      </c>
      <c r="R2872" s="7">
        <f t="shared" si="312"/>
        <v>2537.14</v>
      </c>
      <c r="S2872" s="7">
        <f t="shared" si="313"/>
        <v>1268.57</v>
      </c>
      <c r="T2872" s="6">
        <f t="shared" si="314"/>
        <v>1.1627906976744186E-2</v>
      </c>
      <c r="V2872" t="s">
        <v>29</v>
      </c>
    </row>
    <row r="2873" spans="1:22">
      <c r="A2873" s="3">
        <v>45777</v>
      </c>
      <c r="B2873" t="str">
        <f t="shared" si="308"/>
        <v>yyyy-04</v>
      </c>
      <c r="C2873">
        <f t="shared" si="309"/>
        <v>18</v>
      </c>
      <c r="D2873" t="s">
        <v>53</v>
      </c>
      <c r="E2873" t="s">
        <v>56</v>
      </c>
      <c r="F2873" t="s">
        <v>57</v>
      </c>
      <c r="G2873" t="s">
        <v>31</v>
      </c>
      <c r="H2873" t="s">
        <v>32</v>
      </c>
      <c r="I2873" s="5">
        <v>277</v>
      </c>
      <c r="J2873" s="5">
        <v>204</v>
      </c>
      <c r="K2873" s="5">
        <v>22</v>
      </c>
      <c r="L2873" s="5">
        <v>3</v>
      </c>
      <c r="M2873" s="5">
        <v>3</v>
      </c>
      <c r="N2873" s="7">
        <v>733.22</v>
      </c>
      <c r="O2873" s="7">
        <f t="shared" si="310"/>
        <v>2199.66</v>
      </c>
      <c r="P2873" s="4">
        <v>0</v>
      </c>
      <c r="Q2873" s="7">
        <f t="shared" si="311"/>
        <v>0</v>
      </c>
      <c r="R2873" s="7">
        <f t="shared" si="312"/>
        <v>2199.66</v>
      </c>
      <c r="S2873" s="7">
        <f t="shared" si="313"/>
        <v>733.21999999999991</v>
      </c>
      <c r="T2873" s="6">
        <f t="shared" si="314"/>
        <v>1.0830324909747292E-2</v>
      </c>
      <c r="V2873" t="s">
        <v>29</v>
      </c>
    </row>
    <row r="2874" spans="1:22">
      <c r="A2874" s="3">
        <v>45777</v>
      </c>
      <c r="B2874" t="str">
        <f t="shared" si="308"/>
        <v>yyyy-04</v>
      </c>
      <c r="C2874">
        <f t="shared" si="309"/>
        <v>18</v>
      </c>
      <c r="D2874" t="s">
        <v>53</v>
      </c>
      <c r="E2874" t="s">
        <v>56</v>
      </c>
      <c r="F2874" t="s">
        <v>58</v>
      </c>
      <c r="G2874" t="s">
        <v>27</v>
      </c>
      <c r="H2874" t="s">
        <v>48</v>
      </c>
      <c r="I2874" s="5">
        <v>166</v>
      </c>
      <c r="J2874" s="5">
        <v>113</v>
      </c>
      <c r="K2874" s="5">
        <v>7</v>
      </c>
      <c r="L2874" s="5">
        <v>2</v>
      </c>
      <c r="M2874" s="5">
        <v>2</v>
      </c>
      <c r="N2874" s="7">
        <v>882.16</v>
      </c>
      <c r="O2874" s="7">
        <f t="shared" si="310"/>
        <v>1764.32</v>
      </c>
      <c r="P2874" s="4">
        <v>0.05</v>
      </c>
      <c r="Q2874" s="7">
        <f t="shared" si="311"/>
        <v>88.216000000000008</v>
      </c>
      <c r="R2874" s="7">
        <f t="shared" si="312"/>
        <v>1676.1039999999998</v>
      </c>
      <c r="S2874" s="7">
        <f t="shared" si="313"/>
        <v>838.05199999999991</v>
      </c>
      <c r="T2874" s="6">
        <f t="shared" si="314"/>
        <v>1.2048192771084338E-2</v>
      </c>
      <c r="V2874" t="s">
        <v>29</v>
      </c>
    </row>
    <row r="2875" spans="1:22">
      <c r="A2875" s="3">
        <v>45777</v>
      </c>
      <c r="B2875" t="str">
        <f t="shared" si="308"/>
        <v>yyyy-04</v>
      </c>
      <c r="C2875">
        <f t="shared" si="309"/>
        <v>18</v>
      </c>
      <c r="D2875" t="s">
        <v>53</v>
      </c>
      <c r="E2875" t="s">
        <v>59</v>
      </c>
      <c r="F2875" t="s">
        <v>60</v>
      </c>
      <c r="G2875" t="s">
        <v>31</v>
      </c>
      <c r="H2875" t="s">
        <v>32</v>
      </c>
      <c r="I2875" s="5">
        <v>168</v>
      </c>
      <c r="J2875" s="5">
        <v>103</v>
      </c>
      <c r="K2875" s="5">
        <v>9</v>
      </c>
      <c r="L2875" s="5">
        <v>2</v>
      </c>
      <c r="M2875" s="5">
        <v>2</v>
      </c>
      <c r="N2875" s="7">
        <v>674.83</v>
      </c>
      <c r="O2875" s="7">
        <f t="shared" si="310"/>
        <v>1349.66</v>
      </c>
      <c r="P2875" s="4">
        <v>0</v>
      </c>
      <c r="Q2875" s="7">
        <f t="shared" si="311"/>
        <v>0</v>
      </c>
      <c r="R2875" s="7">
        <f t="shared" si="312"/>
        <v>1349.66</v>
      </c>
      <c r="S2875" s="7">
        <f t="shared" si="313"/>
        <v>674.83</v>
      </c>
      <c r="T2875" s="6">
        <f t="shared" si="314"/>
        <v>1.1904761904761904E-2</v>
      </c>
      <c r="V2875" t="s">
        <v>29</v>
      </c>
    </row>
    <row r="2876" spans="1:22">
      <c r="A2876" s="3">
        <v>45777</v>
      </c>
      <c r="B2876" t="str">
        <f t="shared" si="308"/>
        <v>yyyy-04</v>
      </c>
      <c r="C2876">
        <f t="shared" si="309"/>
        <v>18</v>
      </c>
      <c r="D2876" t="s">
        <v>53</v>
      </c>
      <c r="E2876" t="s">
        <v>61</v>
      </c>
      <c r="F2876" t="s">
        <v>62</v>
      </c>
      <c r="G2876" t="s">
        <v>36</v>
      </c>
      <c r="H2876" t="s">
        <v>37</v>
      </c>
      <c r="I2876" s="5">
        <v>203</v>
      </c>
      <c r="J2876" s="5">
        <v>116</v>
      </c>
      <c r="K2876" s="5">
        <v>12</v>
      </c>
      <c r="L2876" s="5">
        <v>2</v>
      </c>
      <c r="M2876" s="5">
        <v>2</v>
      </c>
      <c r="N2876" s="7">
        <v>479.12</v>
      </c>
      <c r="O2876" s="7">
        <f t="shared" si="310"/>
        <v>958.24</v>
      </c>
      <c r="P2876" s="4">
        <v>0.05</v>
      </c>
      <c r="Q2876" s="7">
        <f t="shared" si="311"/>
        <v>47.912000000000006</v>
      </c>
      <c r="R2876" s="7">
        <f t="shared" si="312"/>
        <v>910.32799999999997</v>
      </c>
      <c r="S2876" s="7">
        <f t="shared" si="313"/>
        <v>455.16399999999999</v>
      </c>
      <c r="T2876" s="6">
        <f t="shared" si="314"/>
        <v>9.852216748768473E-3</v>
      </c>
      <c r="V2876" t="s">
        <v>29</v>
      </c>
    </row>
    <row r="2877" spans="1:22">
      <c r="A2877" s="3">
        <v>45777</v>
      </c>
      <c r="B2877" t="str">
        <f t="shared" si="308"/>
        <v>yyyy-04</v>
      </c>
      <c r="C2877">
        <f t="shared" si="309"/>
        <v>18</v>
      </c>
      <c r="D2877" t="s">
        <v>53</v>
      </c>
      <c r="E2877" t="s">
        <v>64</v>
      </c>
      <c r="F2877" t="s">
        <v>65</v>
      </c>
      <c r="G2877" t="s">
        <v>36</v>
      </c>
      <c r="H2877" t="s">
        <v>37</v>
      </c>
      <c r="I2877" s="5">
        <v>307</v>
      </c>
      <c r="J2877" s="5">
        <v>242</v>
      </c>
      <c r="K2877" s="5">
        <v>25</v>
      </c>
      <c r="L2877" s="5">
        <v>3</v>
      </c>
      <c r="M2877" s="5">
        <v>3</v>
      </c>
      <c r="N2877" s="7">
        <v>790.09</v>
      </c>
      <c r="O2877" s="7">
        <f t="shared" si="310"/>
        <v>2370.27</v>
      </c>
      <c r="P2877" s="4">
        <v>0</v>
      </c>
      <c r="Q2877" s="7">
        <f t="shared" si="311"/>
        <v>0</v>
      </c>
      <c r="R2877" s="7">
        <f t="shared" si="312"/>
        <v>2370.27</v>
      </c>
      <c r="S2877" s="7">
        <f t="shared" si="313"/>
        <v>790.09</v>
      </c>
      <c r="T2877" s="6">
        <f t="shared" si="314"/>
        <v>9.7719869706840382E-3</v>
      </c>
      <c r="V2877" t="s">
        <v>29</v>
      </c>
    </row>
    <row r="2878" spans="1:22">
      <c r="A2878" s="3">
        <v>45777</v>
      </c>
      <c r="B2878" t="str">
        <f t="shared" si="308"/>
        <v>yyyy-04</v>
      </c>
      <c r="C2878">
        <f t="shared" si="309"/>
        <v>18</v>
      </c>
      <c r="D2878" t="s">
        <v>66</v>
      </c>
      <c r="E2878" t="s">
        <v>67</v>
      </c>
      <c r="F2878" t="s">
        <v>68</v>
      </c>
      <c r="G2878" t="s">
        <v>31</v>
      </c>
      <c r="H2878" t="s">
        <v>32</v>
      </c>
      <c r="I2878" s="5">
        <v>459</v>
      </c>
      <c r="J2878" s="5">
        <v>315</v>
      </c>
      <c r="K2878" s="5">
        <v>41</v>
      </c>
      <c r="L2878" s="5">
        <v>10</v>
      </c>
      <c r="M2878" s="5">
        <v>10</v>
      </c>
      <c r="N2878" s="7">
        <v>688.39</v>
      </c>
      <c r="O2878" s="7">
        <f t="shared" si="310"/>
        <v>6883.9</v>
      </c>
      <c r="P2878" s="4">
        <v>0</v>
      </c>
      <c r="Q2878" s="7">
        <f t="shared" si="311"/>
        <v>0</v>
      </c>
      <c r="R2878" s="7">
        <f t="shared" si="312"/>
        <v>6883.9</v>
      </c>
      <c r="S2878" s="7">
        <f t="shared" si="313"/>
        <v>688.39</v>
      </c>
      <c r="T2878" s="6">
        <f t="shared" si="314"/>
        <v>2.178649237472767E-2</v>
      </c>
      <c r="V2878" t="s">
        <v>29</v>
      </c>
    </row>
    <row r="2879" spans="1:22">
      <c r="A2879" s="3">
        <v>45777</v>
      </c>
      <c r="B2879" t="str">
        <f t="shared" si="308"/>
        <v>yyyy-04</v>
      </c>
      <c r="C2879">
        <f t="shared" si="309"/>
        <v>18</v>
      </c>
      <c r="D2879" t="s">
        <v>66</v>
      </c>
      <c r="E2879" t="s">
        <v>67</v>
      </c>
      <c r="F2879" t="s">
        <v>69</v>
      </c>
      <c r="G2879" t="s">
        <v>27</v>
      </c>
      <c r="H2879" t="s">
        <v>63</v>
      </c>
      <c r="I2879" s="5">
        <v>281</v>
      </c>
      <c r="J2879" s="5">
        <v>163</v>
      </c>
      <c r="K2879" s="5">
        <v>18</v>
      </c>
      <c r="L2879" s="5">
        <v>5</v>
      </c>
      <c r="M2879" s="5">
        <v>5</v>
      </c>
      <c r="N2879" s="7">
        <v>386.42</v>
      </c>
      <c r="O2879" s="7">
        <f t="shared" si="310"/>
        <v>1932.1000000000001</v>
      </c>
      <c r="P2879" s="4">
        <v>0</v>
      </c>
      <c r="Q2879" s="7">
        <f t="shared" si="311"/>
        <v>0</v>
      </c>
      <c r="R2879" s="7">
        <f t="shared" si="312"/>
        <v>1932.1000000000001</v>
      </c>
      <c r="S2879" s="7">
        <f t="shared" si="313"/>
        <v>386.42</v>
      </c>
      <c r="T2879" s="6">
        <f t="shared" si="314"/>
        <v>1.7793594306049824E-2</v>
      </c>
      <c r="V2879" t="s">
        <v>29</v>
      </c>
    </row>
    <row r="2880" spans="1:22">
      <c r="A2880" s="3">
        <v>45777</v>
      </c>
      <c r="B2880" t="str">
        <f t="shared" si="308"/>
        <v>yyyy-04</v>
      </c>
      <c r="C2880">
        <f t="shared" si="309"/>
        <v>18</v>
      </c>
      <c r="D2880" t="s">
        <v>66</v>
      </c>
      <c r="E2880" t="s">
        <v>67</v>
      </c>
      <c r="F2880" t="s">
        <v>70</v>
      </c>
      <c r="G2880" t="s">
        <v>27</v>
      </c>
      <c r="H2880" t="s">
        <v>28</v>
      </c>
      <c r="I2880" s="5">
        <v>387</v>
      </c>
      <c r="J2880" s="5">
        <v>314</v>
      </c>
      <c r="K2880" s="5">
        <v>33</v>
      </c>
      <c r="L2880" s="5">
        <v>7</v>
      </c>
      <c r="M2880" s="5">
        <v>7</v>
      </c>
      <c r="N2880" s="7">
        <v>342.35</v>
      </c>
      <c r="O2880" s="7">
        <f t="shared" si="310"/>
        <v>2396.4500000000003</v>
      </c>
      <c r="P2880" s="4">
        <v>0</v>
      </c>
      <c r="Q2880" s="7">
        <f t="shared" si="311"/>
        <v>0</v>
      </c>
      <c r="R2880" s="7">
        <f t="shared" si="312"/>
        <v>2396.4500000000003</v>
      </c>
      <c r="S2880" s="7">
        <f t="shared" si="313"/>
        <v>342.35</v>
      </c>
      <c r="T2880" s="6">
        <f t="shared" si="314"/>
        <v>1.8087855297157621E-2</v>
      </c>
      <c r="V2880" t="s">
        <v>29</v>
      </c>
    </row>
    <row r="2881" spans="1:22">
      <c r="A2881" s="3">
        <v>45777</v>
      </c>
      <c r="B2881" t="str">
        <f t="shared" si="308"/>
        <v>yyyy-04</v>
      </c>
      <c r="C2881">
        <f t="shared" si="309"/>
        <v>18</v>
      </c>
      <c r="D2881" t="s">
        <v>66</v>
      </c>
      <c r="E2881" t="s">
        <v>71</v>
      </c>
      <c r="F2881" t="s">
        <v>72</v>
      </c>
      <c r="G2881" t="s">
        <v>27</v>
      </c>
      <c r="H2881" t="s">
        <v>63</v>
      </c>
      <c r="I2881" s="5">
        <v>224</v>
      </c>
      <c r="J2881" s="5">
        <v>124</v>
      </c>
      <c r="K2881" s="5">
        <v>14</v>
      </c>
      <c r="L2881" s="5">
        <v>4</v>
      </c>
      <c r="M2881" s="5">
        <v>5</v>
      </c>
      <c r="N2881" s="7">
        <v>124.29</v>
      </c>
      <c r="O2881" s="7">
        <f t="shared" si="310"/>
        <v>621.45000000000005</v>
      </c>
      <c r="P2881" s="4">
        <v>0.03</v>
      </c>
      <c r="Q2881" s="7">
        <f t="shared" si="311"/>
        <v>18.6435</v>
      </c>
      <c r="R2881" s="7">
        <f t="shared" si="312"/>
        <v>602.80650000000003</v>
      </c>
      <c r="S2881" s="7">
        <f t="shared" si="313"/>
        <v>150.70162500000001</v>
      </c>
      <c r="T2881" s="6">
        <f t="shared" si="314"/>
        <v>1.7857142857142856E-2</v>
      </c>
      <c r="V2881" t="s">
        <v>29</v>
      </c>
    </row>
    <row r="2882" spans="1:22">
      <c r="A2882" s="3">
        <v>45777</v>
      </c>
      <c r="B2882" t="str">
        <f t="shared" si="308"/>
        <v>yyyy-04</v>
      </c>
      <c r="C2882">
        <f t="shared" si="309"/>
        <v>18</v>
      </c>
      <c r="D2882" t="s">
        <v>66</v>
      </c>
      <c r="E2882" t="s">
        <v>73</v>
      </c>
      <c r="F2882" t="s">
        <v>74</v>
      </c>
      <c r="G2882" t="s">
        <v>27</v>
      </c>
      <c r="H2882" t="s">
        <v>28</v>
      </c>
      <c r="I2882" s="5">
        <v>230</v>
      </c>
      <c r="J2882" s="5">
        <v>182</v>
      </c>
      <c r="K2882" s="5">
        <v>13</v>
      </c>
      <c r="L2882" s="5">
        <v>6</v>
      </c>
      <c r="M2882" s="5">
        <v>6</v>
      </c>
      <c r="N2882" s="7">
        <v>1222.83</v>
      </c>
      <c r="O2882" s="7">
        <f t="shared" si="310"/>
        <v>7336.98</v>
      </c>
      <c r="P2882" s="4">
        <v>7.0000000000000007E-2</v>
      </c>
      <c r="Q2882" s="7">
        <f t="shared" si="311"/>
        <v>513.58860000000004</v>
      </c>
      <c r="R2882" s="7">
        <f t="shared" si="312"/>
        <v>6823.3913999999995</v>
      </c>
      <c r="S2882" s="7">
        <f t="shared" si="313"/>
        <v>1137.2319</v>
      </c>
      <c r="T2882" s="6">
        <f t="shared" si="314"/>
        <v>2.6086956521739129E-2</v>
      </c>
      <c r="U2882" t="s">
        <v>95</v>
      </c>
      <c r="V2882" t="s">
        <v>29</v>
      </c>
    </row>
    <row r="2883" spans="1:22">
      <c r="A2883" s="3">
        <v>45777</v>
      </c>
      <c r="B2883" t="str">
        <f t="shared" si="308"/>
        <v>yyyy-04</v>
      </c>
      <c r="C2883">
        <f t="shared" si="309"/>
        <v>18</v>
      </c>
      <c r="D2883" t="s">
        <v>66</v>
      </c>
      <c r="E2883" t="s">
        <v>71</v>
      </c>
      <c r="F2883" t="s">
        <v>75</v>
      </c>
      <c r="G2883" t="s">
        <v>27</v>
      </c>
      <c r="H2883" t="s">
        <v>63</v>
      </c>
      <c r="I2883" s="5">
        <v>164</v>
      </c>
      <c r="J2883" s="5">
        <v>129</v>
      </c>
      <c r="K2883" s="5">
        <v>12</v>
      </c>
      <c r="L2883" s="5">
        <v>3</v>
      </c>
      <c r="M2883" s="5">
        <v>3</v>
      </c>
      <c r="N2883" s="7">
        <v>37.92</v>
      </c>
      <c r="O2883" s="7">
        <f t="shared" si="310"/>
        <v>113.76</v>
      </c>
      <c r="P2883" s="4">
        <v>0</v>
      </c>
      <c r="Q2883" s="7">
        <f t="shared" si="311"/>
        <v>0</v>
      </c>
      <c r="R2883" s="7">
        <f t="shared" si="312"/>
        <v>113.76</v>
      </c>
      <c r="S2883" s="7">
        <f t="shared" si="313"/>
        <v>37.92</v>
      </c>
      <c r="T2883" s="6">
        <f t="shared" si="314"/>
        <v>1.8292682926829267E-2</v>
      </c>
      <c r="V2883" t="s">
        <v>29</v>
      </c>
    </row>
    <row r="2884" spans="1:22">
      <c r="A2884" s="3">
        <v>45777</v>
      </c>
      <c r="B2884" t="str">
        <f t="shared" si="308"/>
        <v>yyyy-04</v>
      </c>
      <c r="C2884">
        <f t="shared" si="309"/>
        <v>18</v>
      </c>
      <c r="D2884" t="s">
        <v>24</v>
      </c>
      <c r="E2884" t="s">
        <v>76</v>
      </c>
      <c r="F2884" t="s">
        <v>77</v>
      </c>
      <c r="G2884" t="s">
        <v>27</v>
      </c>
      <c r="H2884" t="s">
        <v>48</v>
      </c>
      <c r="I2884" s="5">
        <v>429</v>
      </c>
      <c r="J2884" s="5">
        <v>293</v>
      </c>
      <c r="K2884" s="5">
        <v>33</v>
      </c>
      <c r="L2884" s="5">
        <v>11</v>
      </c>
      <c r="M2884" s="5">
        <v>14</v>
      </c>
      <c r="N2884" s="7">
        <v>199.78</v>
      </c>
      <c r="O2884" s="7">
        <f t="shared" si="310"/>
        <v>2796.92</v>
      </c>
      <c r="P2884" s="4">
        <v>0.03</v>
      </c>
      <c r="Q2884" s="7">
        <f t="shared" si="311"/>
        <v>83.907600000000002</v>
      </c>
      <c r="R2884" s="7">
        <f t="shared" si="312"/>
        <v>2713.0124000000001</v>
      </c>
      <c r="S2884" s="7">
        <f t="shared" si="313"/>
        <v>246.63749090909093</v>
      </c>
      <c r="T2884" s="6">
        <f t="shared" si="314"/>
        <v>2.564102564102564E-2</v>
      </c>
      <c r="V2884" t="s">
        <v>29</v>
      </c>
    </row>
    <row r="2885" spans="1:22">
      <c r="A2885" s="3">
        <v>45778</v>
      </c>
      <c r="B2885" t="str">
        <f t="shared" ref="B2885:B2948" si="315">TEXT(A2885,"yyyy-mm")</f>
        <v>yyyy-05</v>
      </c>
      <c r="C2885">
        <f t="shared" ref="C2885:C2948" si="316">WEEKNUM(A2885,2)</f>
        <v>18</v>
      </c>
      <c r="D2885" t="s">
        <v>24</v>
      </c>
      <c r="E2885" t="s">
        <v>25</v>
      </c>
      <c r="F2885" t="s">
        <v>26</v>
      </c>
      <c r="G2885" t="s">
        <v>27</v>
      </c>
      <c r="H2885" t="s">
        <v>63</v>
      </c>
      <c r="I2885" s="5">
        <v>1166</v>
      </c>
      <c r="J2885" s="5">
        <v>699</v>
      </c>
      <c r="K2885" s="5">
        <v>99</v>
      </c>
      <c r="L2885" s="5">
        <v>20</v>
      </c>
      <c r="M2885" s="5">
        <v>20</v>
      </c>
      <c r="N2885" s="7">
        <v>1013.87</v>
      </c>
      <c r="O2885" s="7">
        <f t="shared" ref="O2885:O2948" si="317">M2885*N2885</f>
        <v>20277.400000000001</v>
      </c>
      <c r="P2885" s="4">
        <v>0.03</v>
      </c>
      <c r="Q2885" s="7">
        <f t="shared" ref="Q2885:Q2948" si="318">O2885*P2885</f>
        <v>608.322</v>
      </c>
      <c r="R2885" s="7">
        <f t="shared" ref="R2885:R2948" si="319">O2885-Q2885</f>
        <v>19669.078000000001</v>
      </c>
      <c r="S2885" s="7">
        <f t="shared" ref="S2885:S2948" si="320">IFERROR(R2885/L2885,0)</f>
        <v>983.45390000000009</v>
      </c>
      <c r="T2885" s="6">
        <f t="shared" ref="T2885:T2948" si="321">IFERROR(L2885/I2885,0)</f>
        <v>1.7152658662092625E-2</v>
      </c>
      <c r="V2885" t="s">
        <v>78</v>
      </c>
    </row>
    <row r="2886" spans="1:22">
      <c r="A2886" s="3">
        <v>45778</v>
      </c>
      <c r="B2886" t="str">
        <f t="shared" si="315"/>
        <v>yyyy-05</v>
      </c>
      <c r="C2886">
        <f t="shared" si="316"/>
        <v>18</v>
      </c>
      <c r="D2886" t="s">
        <v>24</v>
      </c>
      <c r="E2886" t="s">
        <v>25</v>
      </c>
      <c r="F2886" t="s">
        <v>30</v>
      </c>
      <c r="G2886" t="s">
        <v>31</v>
      </c>
      <c r="H2886" t="s">
        <v>32</v>
      </c>
      <c r="I2886" s="5">
        <v>2248</v>
      </c>
      <c r="J2886" s="5">
        <v>1569</v>
      </c>
      <c r="K2886" s="5">
        <v>159</v>
      </c>
      <c r="L2886" s="5">
        <v>52</v>
      </c>
      <c r="M2886" s="5">
        <v>52</v>
      </c>
      <c r="N2886" s="7">
        <v>384.29</v>
      </c>
      <c r="O2886" s="7">
        <f t="shared" si="317"/>
        <v>19983.080000000002</v>
      </c>
      <c r="P2886" s="4">
        <v>0.03</v>
      </c>
      <c r="Q2886" s="7">
        <f t="shared" si="318"/>
        <v>599.49239999999998</v>
      </c>
      <c r="R2886" s="7">
        <f t="shared" si="319"/>
        <v>19383.587600000003</v>
      </c>
      <c r="S2886" s="7">
        <f t="shared" si="320"/>
        <v>372.76130000000006</v>
      </c>
      <c r="T2886" s="6">
        <f t="shared" si="321"/>
        <v>2.3131672597864767E-2</v>
      </c>
      <c r="V2886" t="s">
        <v>29</v>
      </c>
    </row>
    <row r="2887" spans="1:22">
      <c r="A2887" s="3">
        <v>45778</v>
      </c>
      <c r="B2887" t="str">
        <f t="shared" si="315"/>
        <v>yyyy-05</v>
      </c>
      <c r="C2887">
        <f t="shared" si="316"/>
        <v>18</v>
      </c>
      <c r="D2887" t="s">
        <v>24</v>
      </c>
      <c r="E2887" t="s">
        <v>25</v>
      </c>
      <c r="F2887" t="s">
        <v>33</v>
      </c>
      <c r="G2887" t="s">
        <v>27</v>
      </c>
      <c r="H2887" t="s">
        <v>28</v>
      </c>
      <c r="I2887" s="5">
        <v>1503</v>
      </c>
      <c r="J2887" s="5">
        <v>1203</v>
      </c>
      <c r="K2887" s="5">
        <v>134</v>
      </c>
      <c r="L2887" s="5">
        <v>27</v>
      </c>
      <c r="M2887" s="5">
        <v>27</v>
      </c>
      <c r="N2887" s="7">
        <v>1770.39</v>
      </c>
      <c r="O2887" s="7">
        <f t="shared" si="317"/>
        <v>47800.530000000006</v>
      </c>
      <c r="P2887" s="4">
        <v>0</v>
      </c>
      <c r="Q2887" s="7">
        <f t="shared" si="318"/>
        <v>0</v>
      </c>
      <c r="R2887" s="7">
        <f t="shared" si="319"/>
        <v>47800.530000000006</v>
      </c>
      <c r="S2887" s="7">
        <f t="shared" si="320"/>
        <v>1770.3900000000003</v>
      </c>
      <c r="T2887" s="6">
        <f t="shared" si="321"/>
        <v>1.7964071856287425E-2</v>
      </c>
      <c r="V2887" t="s">
        <v>29</v>
      </c>
    </row>
    <row r="2888" spans="1:22">
      <c r="A2888" s="3">
        <v>45778</v>
      </c>
      <c r="B2888" t="str">
        <f t="shared" si="315"/>
        <v>yyyy-05</v>
      </c>
      <c r="C2888">
        <f t="shared" si="316"/>
        <v>18</v>
      </c>
      <c r="D2888" t="s">
        <v>24</v>
      </c>
      <c r="E2888" t="s">
        <v>34</v>
      </c>
      <c r="F2888" t="s">
        <v>35</v>
      </c>
      <c r="G2888" t="s">
        <v>31</v>
      </c>
      <c r="H2888" t="s">
        <v>32</v>
      </c>
      <c r="I2888" s="5">
        <v>1230</v>
      </c>
      <c r="J2888" s="5">
        <v>884</v>
      </c>
      <c r="K2888" s="5">
        <v>105</v>
      </c>
      <c r="L2888" s="5">
        <v>23</v>
      </c>
      <c r="M2888" s="5">
        <v>23</v>
      </c>
      <c r="N2888" s="7">
        <v>880.34</v>
      </c>
      <c r="O2888" s="7">
        <f t="shared" si="317"/>
        <v>20247.82</v>
      </c>
      <c r="P2888" s="4">
        <v>0</v>
      </c>
      <c r="Q2888" s="7">
        <f t="shared" si="318"/>
        <v>0</v>
      </c>
      <c r="R2888" s="7">
        <f t="shared" si="319"/>
        <v>20247.82</v>
      </c>
      <c r="S2888" s="7">
        <f t="shared" si="320"/>
        <v>880.34</v>
      </c>
      <c r="T2888" s="6">
        <f t="shared" si="321"/>
        <v>1.8699186991869919E-2</v>
      </c>
      <c r="V2888" t="s">
        <v>29</v>
      </c>
    </row>
    <row r="2889" spans="1:22">
      <c r="A2889" s="3">
        <v>45778</v>
      </c>
      <c r="B2889" t="str">
        <f t="shared" si="315"/>
        <v>yyyy-05</v>
      </c>
      <c r="C2889">
        <f t="shared" si="316"/>
        <v>18</v>
      </c>
      <c r="D2889" t="s">
        <v>24</v>
      </c>
      <c r="E2889" t="s">
        <v>38</v>
      </c>
      <c r="F2889" t="s">
        <v>39</v>
      </c>
      <c r="G2889" t="s">
        <v>31</v>
      </c>
      <c r="H2889" t="s">
        <v>32</v>
      </c>
      <c r="I2889" s="5">
        <v>995</v>
      </c>
      <c r="J2889" s="5">
        <v>681</v>
      </c>
      <c r="K2889" s="5">
        <v>51</v>
      </c>
      <c r="L2889" s="5">
        <v>22</v>
      </c>
      <c r="M2889" s="5">
        <v>22</v>
      </c>
      <c r="N2889" s="7">
        <v>335.58</v>
      </c>
      <c r="O2889" s="7">
        <f t="shared" si="317"/>
        <v>7382.7599999999993</v>
      </c>
      <c r="P2889" s="4">
        <v>0</v>
      </c>
      <c r="Q2889" s="7">
        <f t="shared" si="318"/>
        <v>0</v>
      </c>
      <c r="R2889" s="7">
        <f t="shared" si="319"/>
        <v>7382.7599999999993</v>
      </c>
      <c r="S2889" s="7">
        <f t="shared" si="320"/>
        <v>335.58</v>
      </c>
      <c r="T2889" s="6">
        <f t="shared" si="321"/>
        <v>2.2110552763819097E-2</v>
      </c>
      <c r="V2889" t="s">
        <v>29</v>
      </c>
    </row>
    <row r="2890" spans="1:22">
      <c r="A2890" s="3">
        <v>45778</v>
      </c>
      <c r="B2890" t="str">
        <f t="shared" si="315"/>
        <v>yyyy-05</v>
      </c>
      <c r="C2890">
        <f t="shared" si="316"/>
        <v>18</v>
      </c>
      <c r="D2890" t="s">
        <v>24</v>
      </c>
      <c r="E2890" t="s">
        <v>40</v>
      </c>
      <c r="F2890" t="s">
        <v>41</v>
      </c>
      <c r="G2890" t="s">
        <v>27</v>
      </c>
      <c r="H2890" t="s">
        <v>45</v>
      </c>
      <c r="I2890" s="5">
        <v>803</v>
      </c>
      <c r="J2890" s="5">
        <v>493</v>
      </c>
      <c r="K2890" s="5">
        <v>56</v>
      </c>
      <c r="L2890" s="5">
        <v>19</v>
      </c>
      <c r="M2890" s="5">
        <v>25</v>
      </c>
      <c r="N2890" s="7">
        <v>176.48</v>
      </c>
      <c r="O2890" s="7">
        <f t="shared" si="317"/>
        <v>4412</v>
      </c>
      <c r="P2890" s="4">
        <v>0</v>
      </c>
      <c r="Q2890" s="7">
        <f t="shared" si="318"/>
        <v>0</v>
      </c>
      <c r="R2890" s="7">
        <f t="shared" si="319"/>
        <v>4412</v>
      </c>
      <c r="S2890" s="7">
        <f t="shared" si="320"/>
        <v>232.21052631578948</v>
      </c>
      <c r="T2890" s="6">
        <f t="shared" si="321"/>
        <v>2.3661270236612703E-2</v>
      </c>
      <c r="V2890" t="s">
        <v>29</v>
      </c>
    </row>
    <row r="2891" spans="1:22">
      <c r="A2891" s="3">
        <v>45778</v>
      </c>
      <c r="B2891" t="str">
        <f t="shared" si="315"/>
        <v>yyyy-05</v>
      </c>
      <c r="C2891">
        <f t="shared" si="316"/>
        <v>18</v>
      </c>
      <c r="D2891" t="s">
        <v>42</v>
      </c>
      <c r="E2891" t="s">
        <v>43</v>
      </c>
      <c r="F2891" t="s">
        <v>44</v>
      </c>
      <c r="G2891" t="s">
        <v>27</v>
      </c>
      <c r="H2891" t="s">
        <v>45</v>
      </c>
      <c r="I2891" s="5">
        <v>510</v>
      </c>
      <c r="J2891" s="5">
        <v>353</v>
      </c>
      <c r="K2891" s="5">
        <v>34</v>
      </c>
      <c r="L2891" s="5">
        <v>9</v>
      </c>
      <c r="M2891" s="5">
        <v>9</v>
      </c>
      <c r="N2891" s="7">
        <v>1278.73</v>
      </c>
      <c r="O2891" s="7">
        <f t="shared" si="317"/>
        <v>11508.57</v>
      </c>
      <c r="P2891" s="4">
        <v>0</v>
      </c>
      <c r="Q2891" s="7">
        <f t="shared" si="318"/>
        <v>0</v>
      </c>
      <c r="R2891" s="7">
        <f t="shared" si="319"/>
        <v>11508.57</v>
      </c>
      <c r="S2891" s="7">
        <f t="shared" si="320"/>
        <v>1278.73</v>
      </c>
      <c r="T2891" s="6">
        <f t="shared" si="321"/>
        <v>1.7647058823529412E-2</v>
      </c>
      <c r="V2891" t="s">
        <v>29</v>
      </c>
    </row>
    <row r="2892" spans="1:22">
      <c r="A2892" s="3">
        <v>45778</v>
      </c>
      <c r="B2892" t="str">
        <f t="shared" si="315"/>
        <v>yyyy-05</v>
      </c>
      <c r="C2892">
        <f t="shared" si="316"/>
        <v>18</v>
      </c>
      <c r="D2892" t="s">
        <v>42</v>
      </c>
      <c r="E2892" t="s">
        <v>43</v>
      </c>
      <c r="F2892" t="s">
        <v>46</v>
      </c>
      <c r="G2892" t="s">
        <v>27</v>
      </c>
      <c r="H2892" t="s">
        <v>28</v>
      </c>
      <c r="I2892" s="5">
        <v>507</v>
      </c>
      <c r="J2892" s="5">
        <v>287</v>
      </c>
      <c r="K2892" s="5">
        <v>33</v>
      </c>
      <c r="L2892" s="5">
        <v>7</v>
      </c>
      <c r="M2892" s="5">
        <v>7</v>
      </c>
      <c r="N2892" s="7">
        <v>2232.08</v>
      </c>
      <c r="O2892" s="7">
        <f t="shared" si="317"/>
        <v>15624.56</v>
      </c>
      <c r="P2892" s="4">
        <v>0.03</v>
      </c>
      <c r="Q2892" s="7">
        <f t="shared" si="318"/>
        <v>468.73679999999996</v>
      </c>
      <c r="R2892" s="7">
        <f t="shared" si="319"/>
        <v>15155.823199999999</v>
      </c>
      <c r="S2892" s="7">
        <f t="shared" si="320"/>
        <v>2165.1176</v>
      </c>
      <c r="T2892" s="6">
        <f t="shared" si="321"/>
        <v>1.3806706114398421E-2</v>
      </c>
      <c r="V2892" t="s">
        <v>29</v>
      </c>
    </row>
    <row r="2893" spans="1:22">
      <c r="A2893" s="3">
        <v>45778</v>
      </c>
      <c r="B2893" t="str">
        <f t="shared" si="315"/>
        <v>yyyy-05</v>
      </c>
      <c r="C2893">
        <f t="shared" si="316"/>
        <v>18</v>
      </c>
      <c r="D2893" t="s">
        <v>42</v>
      </c>
      <c r="E2893" t="s">
        <v>43</v>
      </c>
      <c r="F2893" t="s">
        <v>47</v>
      </c>
      <c r="G2893" t="s">
        <v>27</v>
      </c>
      <c r="H2893" t="s">
        <v>45</v>
      </c>
      <c r="I2893" s="5">
        <v>571</v>
      </c>
      <c r="J2893" s="5">
        <v>364</v>
      </c>
      <c r="K2893" s="5">
        <v>37</v>
      </c>
      <c r="L2893" s="5">
        <v>9</v>
      </c>
      <c r="M2893" s="5">
        <v>9</v>
      </c>
      <c r="N2893" s="7">
        <v>577.16</v>
      </c>
      <c r="O2893" s="7">
        <f t="shared" si="317"/>
        <v>5194.4399999999996</v>
      </c>
      <c r="P2893" s="4">
        <v>0</v>
      </c>
      <c r="Q2893" s="7">
        <f t="shared" si="318"/>
        <v>0</v>
      </c>
      <c r="R2893" s="7">
        <f t="shared" si="319"/>
        <v>5194.4399999999996</v>
      </c>
      <c r="S2893" s="7">
        <f t="shared" si="320"/>
        <v>577.16</v>
      </c>
      <c r="T2893" s="6">
        <f t="shared" si="321"/>
        <v>1.5761821366024518E-2</v>
      </c>
      <c r="V2893" t="s">
        <v>29</v>
      </c>
    </row>
    <row r="2894" spans="1:22">
      <c r="A2894" s="3">
        <v>45778</v>
      </c>
      <c r="B2894" t="str">
        <f t="shared" si="315"/>
        <v>yyyy-05</v>
      </c>
      <c r="C2894">
        <f t="shared" si="316"/>
        <v>18</v>
      </c>
      <c r="D2894" t="s">
        <v>42</v>
      </c>
      <c r="E2894" t="s">
        <v>49</v>
      </c>
      <c r="F2894" t="s">
        <v>50</v>
      </c>
      <c r="G2894" t="s">
        <v>27</v>
      </c>
      <c r="H2894" t="s">
        <v>45</v>
      </c>
      <c r="I2894" s="5">
        <v>175</v>
      </c>
      <c r="J2894" s="5">
        <v>125</v>
      </c>
      <c r="K2894" s="5">
        <v>13</v>
      </c>
      <c r="L2894" s="5">
        <v>2</v>
      </c>
      <c r="M2894" s="5">
        <v>2</v>
      </c>
      <c r="N2894" s="7">
        <v>966.44</v>
      </c>
      <c r="O2894" s="7">
        <f t="shared" si="317"/>
        <v>1932.88</v>
      </c>
      <c r="P2894" s="4">
        <v>0.05</v>
      </c>
      <c r="Q2894" s="7">
        <f t="shared" si="318"/>
        <v>96.644000000000005</v>
      </c>
      <c r="R2894" s="7">
        <f t="shared" si="319"/>
        <v>1836.2360000000001</v>
      </c>
      <c r="S2894" s="7">
        <f t="shared" si="320"/>
        <v>918.11800000000005</v>
      </c>
      <c r="T2894" s="6">
        <f t="shared" si="321"/>
        <v>1.1428571428571429E-2</v>
      </c>
      <c r="V2894" t="s">
        <v>29</v>
      </c>
    </row>
    <row r="2895" spans="1:22">
      <c r="A2895" s="3">
        <v>45778</v>
      </c>
      <c r="B2895" t="str">
        <f t="shared" si="315"/>
        <v>yyyy-05</v>
      </c>
      <c r="C2895">
        <f t="shared" si="316"/>
        <v>18</v>
      </c>
      <c r="D2895" t="s">
        <v>42</v>
      </c>
      <c r="E2895" t="s">
        <v>51</v>
      </c>
      <c r="F2895" t="s">
        <v>52</v>
      </c>
      <c r="G2895" t="s">
        <v>27</v>
      </c>
      <c r="H2895" t="s">
        <v>28</v>
      </c>
      <c r="I2895" s="5">
        <v>313</v>
      </c>
      <c r="J2895" s="5">
        <v>170</v>
      </c>
      <c r="K2895" s="5">
        <v>15</v>
      </c>
      <c r="L2895" s="5">
        <v>5</v>
      </c>
      <c r="M2895" s="5">
        <v>5</v>
      </c>
      <c r="N2895" s="7">
        <v>581.16999999999996</v>
      </c>
      <c r="O2895" s="7">
        <f t="shared" si="317"/>
        <v>2905.85</v>
      </c>
      <c r="P2895" s="4">
        <v>0</v>
      </c>
      <c r="Q2895" s="7">
        <f t="shared" si="318"/>
        <v>0</v>
      </c>
      <c r="R2895" s="7">
        <f t="shared" si="319"/>
        <v>2905.85</v>
      </c>
      <c r="S2895" s="7">
        <f t="shared" si="320"/>
        <v>581.16999999999996</v>
      </c>
      <c r="T2895" s="6">
        <f t="shared" si="321"/>
        <v>1.5974440894568689E-2</v>
      </c>
      <c r="V2895" t="s">
        <v>29</v>
      </c>
    </row>
    <row r="2896" spans="1:22">
      <c r="A2896" s="3">
        <v>45778</v>
      </c>
      <c r="B2896" t="str">
        <f t="shared" si="315"/>
        <v>yyyy-05</v>
      </c>
      <c r="C2896">
        <f t="shared" si="316"/>
        <v>18</v>
      </c>
      <c r="D2896" t="s">
        <v>53</v>
      </c>
      <c r="E2896" t="s">
        <v>54</v>
      </c>
      <c r="F2896" t="s">
        <v>55</v>
      </c>
      <c r="G2896" t="s">
        <v>27</v>
      </c>
      <c r="H2896" t="s">
        <v>45</v>
      </c>
      <c r="I2896" s="5">
        <v>169</v>
      </c>
      <c r="J2896" s="5">
        <v>107</v>
      </c>
      <c r="K2896" s="5">
        <v>10</v>
      </c>
      <c r="L2896" s="5">
        <v>2</v>
      </c>
      <c r="M2896" s="5">
        <v>2</v>
      </c>
      <c r="N2896" s="7">
        <v>1285.74</v>
      </c>
      <c r="O2896" s="7">
        <f t="shared" si="317"/>
        <v>2571.48</v>
      </c>
      <c r="P2896" s="4">
        <v>0.03</v>
      </c>
      <c r="Q2896" s="7">
        <f t="shared" si="318"/>
        <v>77.144400000000005</v>
      </c>
      <c r="R2896" s="7">
        <f t="shared" si="319"/>
        <v>2494.3355999999999</v>
      </c>
      <c r="S2896" s="7">
        <f t="shared" si="320"/>
        <v>1247.1677999999999</v>
      </c>
      <c r="T2896" s="6">
        <f t="shared" si="321"/>
        <v>1.1834319526627219E-2</v>
      </c>
      <c r="V2896" t="s">
        <v>29</v>
      </c>
    </row>
    <row r="2897" spans="1:22">
      <c r="A2897" s="3">
        <v>45778</v>
      </c>
      <c r="B2897" t="str">
        <f t="shared" si="315"/>
        <v>yyyy-05</v>
      </c>
      <c r="C2897">
        <f t="shared" si="316"/>
        <v>18</v>
      </c>
      <c r="D2897" t="s">
        <v>53</v>
      </c>
      <c r="E2897" t="s">
        <v>56</v>
      </c>
      <c r="F2897" t="s">
        <v>57</v>
      </c>
      <c r="G2897" t="s">
        <v>27</v>
      </c>
      <c r="H2897" t="s">
        <v>45</v>
      </c>
      <c r="I2897" s="5">
        <v>231</v>
      </c>
      <c r="J2897" s="5">
        <v>136</v>
      </c>
      <c r="K2897" s="5">
        <v>15</v>
      </c>
      <c r="L2897" s="5">
        <v>3</v>
      </c>
      <c r="M2897" s="5">
        <v>3</v>
      </c>
      <c r="N2897" s="7">
        <v>761.61</v>
      </c>
      <c r="O2897" s="7">
        <f t="shared" si="317"/>
        <v>2284.83</v>
      </c>
      <c r="P2897" s="4">
        <v>0.05</v>
      </c>
      <c r="Q2897" s="7">
        <f t="shared" si="318"/>
        <v>114.2415</v>
      </c>
      <c r="R2897" s="7">
        <f t="shared" si="319"/>
        <v>2170.5884999999998</v>
      </c>
      <c r="S2897" s="7">
        <f t="shared" si="320"/>
        <v>723.52949999999998</v>
      </c>
      <c r="T2897" s="6">
        <f t="shared" si="321"/>
        <v>1.2987012987012988E-2</v>
      </c>
      <c r="V2897" t="s">
        <v>29</v>
      </c>
    </row>
    <row r="2898" spans="1:22">
      <c r="A2898" s="3">
        <v>45778</v>
      </c>
      <c r="B2898" t="str">
        <f t="shared" si="315"/>
        <v>yyyy-05</v>
      </c>
      <c r="C2898">
        <f t="shared" si="316"/>
        <v>18</v>
      </c>
      <c r="D2898" t="s">
        <v>53</v>
      </c>
      <c r="E2898" t="s">
        <v>56</v>
      </c>
      <c r="F2898" t="s">
        <v>58</v>
      </c>
      <c r="G2898" t="s">
        <v>36</v>
      </c>
      <c r="H2898" t="s">
        <v>37</v>
      </c>
      <c r="I2898" s="5">
        <v>247</v>
      </c>
      <c r="J2898" s="5">
        <v>170</v>
      </c>
      <c r="K2898" s="5">
        <v>12</v>
      </c>
      <c r="L2898" s="5">
        <v>3</v>
      </c>
      <c r="M2898" s="5">
        <v>3</v>
      </c>
      <c r="N2898" s="7">
        <v>864.69</v>
      </c>
      <c r="O2898" s="7">
        <f t="shared" si="317"/>
        <v>2594.0700000000002</v>
      </c>
      <c r="P2898" s="4">
        <v>0</v>
      </c>
      <c r="Q2898" s="7">
        <f t="shared" si="318"/>
        <v>0</v>
      </c>
      <c r="R2898" s="7">
        <f t="shared" si="319"/>
        <v>2594.0700000000002</v>
      </c>
      <c r="S2898" s="7">
        <f t="shared" si="320"/>
        <v>864.69</v>
      </c>
      <c r="T2898" s="6">
        <f t="shared" si="321"/>
        <v>1.2145748987854251E-2</v>
      </c>
      <c r="V2898" t="s">
        <v>29</v>
      </c>
    </row>
    <row r="2899" spans="1:22">
      <c r="A2899" s="3">
        <v>45778</v>
      </c>
      <c r="B2899" t="str">
        <f t="shared" si="315"/>
        <v>yyyy-05</v>
      </c>
      <c r="C2899">
        <f t="shared" si="316"/>
        <v>18</v>
      </c>
      <c r="D2899" t="s">
        <v>53</v>
      </c>
      <c r="E2899" t="s">
        <v>59</v>
      </c>
      <c r="F2899" t="s">
        <v>60</v>
      </c>
      <c r="G2899" t="s">
        <v>27</v>
      </c>
      <c r="H2899" t="s">
        <v>63</v>
      </c>
      <c r="I2899" s="5">
        <v>130</v>
      </c>
      <c r="J2899" s="5">
        <v>92</v>
      </c>
      <c r="K2899" s="5">
        <v>6</v>
      </c>
      <c r="L2899" s="5">
        <v>2</v>
      </c>
      <c r="M2899" s="5">
        <v>2</v>
      </c>
      <c r="N2899" s="7">
        <v>690.46</v>
      </c>
      <c r="O2899" s="7">
        <f t="shared" si="317"/>
        <v>1380.92</v>
      </c>
      <c r="P2899" s="4">
        <v>0.05</v>
      </c>
      <c r="Q2899" s="7">
        <f t="shared" si="318"/>
        <v>69.046000000000006</v>
      </c>
      <c r="R2899" s="7">
        <f t="shared" si="319"/>
        <v>1311.874</v>
      </c>
      <c r="S2899" s="7">
        <f t="shared" si="320"/>
        <v>655.93700000000001</v>
      </c>
      <c r="T2899" s="6">
        <f t="shared" si="321"/>
        <v>1.5384615384615385E-2</v>
      </c>
      <c r="V2899" t="s">
        <v>29</v>
      </c>
    </row>
    <row r="2900" spans="1:22">
      <c r="A2900" s="3">
        <v>45778</v>
      </c>
      <c r="B2900" t="str">
        <f t="shared" si="315"/>
        <v>yyyy-05</v>
      </c>
      <c r="C2900">
        <f t="shared" si="316"/>
        <v>18</v>
      </c>
      <c r="D2900" t="s">
        <v>53</v>
      </c>
      <c r="E2900" t="s">
        <v>61</v>
      </c>
      <c r="F2900" t="s">
        <v>62</v>
      </c>
      <c r="G2900" t="s">
        <v>31</v>
      </c>
      <c r="H2900" t="s">
        <v>32</v>
      </c>
      <c r="I2900" s="5">
        <v>180</v>
      </c>
      <c r="J2900" s="5">
        <v>110</v>
      </c>
      <c r="K2900" s="5">
        <v>8</v>
      </c>
      <c r="L2900" s="5">
        <v>2</v>
      </c>
      <c r="M2900" s="5">
        <v>2</v>
      </c>
      <c r="N2900" s="7">
        <v>499.31</v>
      </c>
      <c r="O2900" s="7">
        <f t="shared" si="317"/>
        <v>998.62</v>
      </c>
      <c r="P2900" s="4">
        <v>0.03</v>
      </c>
      <c r="Q2900" s="7">
        <f t="shared" si="318"/>
        <v>29.958600000000001</v>
      </c>
      <c r="R2900" s="7">
        <f t="shared" si="319"/>
        <v>968.66139999999996</v>
      </c>
      <c r="S2900" s="7">
        <f t="shared" si="320"/>
        <v>484.33069999999998</v>
      </c>
      <c r="T2900" s="6">
        <f t="shared" si="321"/>
        <v>1.1111111111111112E-2</v>
      </c>
      <c r="V2900" t="s">
        <v>29</v>
      </c>
    </row>
    <row r="2901" spans="1:22">
      <c r="A2901" s="3">
        <v>45778</v>
      </c>
      <c r="B2901" t="str">
        <f t="shared" si="315"/>
        <v>yyyy-05</v>
      </c>
      <c r="C2901">
        <f t="shared" si="316"/>
        <v>18</v>
      </c>
      <c r="D2901" t="s">
        <v>53</v>
      </c>
      <c r="E2901" t="s">
        <v>64</v>
      </c>
      <c r="F2901" t="s">
        <v>65</v>
      </c>
      <c r="G2901" t="s">
        <v>27</v>
      </c>
      <c r="H2901" t="s">
        <v>28</v>
      </c>
      <c r="I2901" s="5">
        <v>292</v>
      </c>
      <c r="J2901" s="5">
        <v>237</v>
      </c>
      <c r="K2901" s="5">
        <v>10</v>
      </c>
      <c r="L2901" s="5">
        <v>2</v>
      </c>
      <c r="M2901" s="5">
        <v>2</v>
      </c>
      <c r="N2901" s="7">
        <v>793.52</v>
      </c>
      <c r="O2901" s="7">
        <f t="shared" si="317"/>
        <v>1587.04</v>
      </c>
      <c r="P2901" s="4">
        <v>0.05</v>
      </c>
      <c r="Q2901" s="7">
        <f t="shared" si="318"/>
        <v>79.352000000000004</v>
      </c>
      <c r="R2901" s="7">
        <f t="shared" si="319"/>
        <v>1507.6879999999999</v>
      </c>
      <c r="S2901" s="7">
        <f t="shared" si="320"/>
        <v>753.84399999999994</v>
      </c>
      <c r="T2901" s="6">
        <f t="shared" si="321"/>
        <v>6.8493150684931503E-3</v>
      </c>
      <c r="V2901" t="s">
        <v>78</v>
      </c>
    </row>
    <row r="2902" spans="1:22">
      <c r="A2902" s="3">
        <v>45778</v>
      </c>
      <c r="B2902" t="str">
        <f t="shared" si="315"/>
        <v>yyyy-05</v>
      </c>
      <c r="C2902">
        <f t="shared" si="316"/>
        <v>18</v>
      </c>
      <c r="D2902" t="s">
        <v>66</v>
      </c>
      <c r="E2902" t="s">
        <v>67</v>
      </c>
      <c r="F2902" t="s">
        <v>68</v>
      </c>
      <c r="G2902" t="s">
        <v>31</v>
      </c>
      <c r="H2902" t="s">
        <v>32</v>
      </c>
      <c r="I2902" s="5">
        <v>403</v>
      </c>
      <c r="J2902" s="5">
        <v>261</v>
      </c>
      <c r="K2902" s="5">
        <v>20</v>
      </c>
      <c r="L2902" s="5">
        <v>7</v>
      </c>
      <c r="M2902" s="5">
        <v>7</v>
      </c>
      <c r="N2902" s="7">
        <v>689.96</v>
      </c>
      <c r="O2902" s="7">
        <f t="shared" si="317"/>
        <v>4829.72</v>
      </c>
      <c r="P2902" s="4">
        <v>0</v>
      </c>
      <c r="Q2902" s="7">
        <f t="shared" si="318"/>
        <v>0</v>
      </c>
      <c r="R2902" s="7">
        <f t="shared" si="319"/>
        <v>4829.72</v>
      </c>
      <c r="S2902" s="7">
        <f t="shared" si="320"/>
        <v>689.96</v>
      </c>
      <c r="T2902" s="6">
        <f t="shared" si="321"/>
        <v>1.7369727047146403E-2</v>
      </c>
      <c r="V2902" t="s">
        <v>29</v>
      </c>
    </row>
    <row r="2903" spans="1:22">
      <c r="A2903" s="3">
        <v>45778</v>
      </c>
      <c r="B2903" t="str">
        <f t="shared" si="315"/>
        <v>yyyy-05</v>
      </c>
      <c r="C2903">
        <f t="shared" si="316"/>
        <v>18</v>
      </c>
      <c r="D2903" t="s">
        <v>66</v>
      </c>
      <c r="E2903" t="s">
        <v>67</v>
      </c>
      <c r="F2903" t="s">
        <v>69</v>
      </c>
      <c r="G2903" t="s">
        <v>27</v>
      </c>
      <c r="H2903" t="s">
        <v>45</v>
      </c>
      <c r="I2903" s="5">
        <v>372</v>
      </c>
      <c r="J2903" s="5">
        <v>260</v>
      </c>
      <c r="K2903" s="5">
        <v>21</v>
      </c>
      <c r="L2903" s="5">
        <v>6</v>
      </c>
      <c r="M2903" s="5">
        <v>6</v>
      </c>
      <c r="N2903" s="7">
        <v>400.48</v>
      </c>
      <c r="O2903" s="7">
        <f t="shared" si="317"/>
        <v>2402.88</v>
      </c>
      <c r="P2903" s="4">
        <v>0.05</v>
      </c>
      <c r="Q2903" s="7">
        <f t="shared" si="318"/>
        <v>120.14400000000001</v>
      </c>
      <c r="R2903" s="7">
        <f t="shared" si="319"/>
        <v>2282.7359999999999</v>
      </c>
      <c r="S2903" s="7">
        <f t="shared" si="320"/>
        <v>380.45599999999996</v>
      </c>
      <c r="T2903" s="6">
        <f t="shared" si="321"/>
        <v>1.6129032258064516E-2</v>
      </c>
      <c r="V2903" t="s">
        <v>29</v>
      </c>
    </row>
    <row r="2904" spans="1:22">
      <c r="A2904" s="3">
        <v>45778</v>
      </c>
      <c r="B2904" t="str">
        <f t="shared" si="315"/>
        <v>yyyy-05</v>
      </c>
      <c r="C2904">
        <f t="shared" si="316"/>
        <v>18</v>
      </c>
      <c r="D2904" t="s">
        <v>66</v>
      </c>
      <c r="E2904" t="s">
        <v>67</v>
      </c>
      <c r="F2904" t="s">
        <v>70</v>
      </c>
      <c r="G2904" t="s">
        <v>27</v>
      </c>
      <c r="H2904" t="s">
        <v>28</v>
      </c>
      <c r="I2904" s="5">
        <v>391</v>
      </c>
      <c r="J2904" s="5">
        <v>286</v>
      </c>
      <c r="K2904" s="5">
        <v>20</v>
      </c>
      <c r="L2904" s="5">
        <v>6</v>
      </c>
      <c r="M2904" s="5">
        <v>6</v>
      </c>
      <c r="N2904" s="7">
        <v>348.17</v>
      </c>
      <c r="O2904" s="7">
        <f t="shared" si="317"/>
        <v>2089.02</v>
      </c>
      <c r="P2904" s="4">
        <v>0</v>
      </c>
      <c r="Q2904" s="7">
        <f t="shared" si="318"/>
        <v>0</v>
      </c>
      <c r="R2904" s="7">
        <f t="shared" si="319"/>
        <v>2089.02</v>
      </c>
      <c r="S2904" s="7">
        <f t="shared" si="320"/>
        <v>348.17</v>
      </c>
      <c r="T2904" s="6">
        <f t="shared" si="321"/>
        <v>1.5345268542199489E-2</v>
      </c>
      <c r="V2904" t="s">
        <v>29</v>
      </c>
    </row>
    <row r="2905" spans="1:22">
      <c r="A2905" s="3">
        <v>45778</v>
      </c>
      <c r="B2905" t="str">
        <f t="shared" si="315"/>
        <v>yyyy-05</v>
      </c>
      <c r="C2905">
        <f t="shared" si="316"/>
        <v>18</v>
      </c>
      <c r="D2905" t="s">
        <v>66</v>
      </c>
      <c r="E2905" t="s">
        <v>71</v>
      </c>
      <c r="F2905" t="s">
        <v>72</v>
      </c>
      <c r="G2905" t="s">
        <v>36</v>
      </c>
      <c r="H2905" t="s">
        <v>37</v>
      </c>
      <c r="I2905" s="5">
        <v>320</v>
      </c>
      <c r="J2905" s="5">
        <v>258</v>
      </c>
      <c r="K2905" s="5">
        <v>28</v>
      </c>
      <c r="L2905" s="5">
        <v>6</v>
      </c>
      <c r="M2905" s="5">
        <v>8</v>
      </c>
      <c r="N2905" s="7">
        <v>130.88999999999999</v>
      </c>
      <c r="O2905" s="7">
        <f t="shared" si="317"/>
        <v>1047.1199999999999</v>
      </c>
      <c r="P2905" s="4">
        <v>0</v>
      </c>
      <c r="Q2905" s="7">
        <f t="shared" si="318"/>
        <v>0</v>
      </c>
      <c r="R2905" s="7">
        <f t="shared" si="319"/>
        <v>1047.1199999999999</v>
      </c>
      <c r="S2905" s="7">
        <f t="shared" si="320"/>
        <v>174.51999999999998</v>
      </c>
      <c r="T2905" s="6">
        <f t="shared" si="321"/>
        <v>1.8749999999999999E-2</v>
      </c>
      <c r="V2905" t="s">
        <v>29</v>
      </c>
    </row>
    <row r="2906" spans="1:22">
      <c r="A2906" s="3">
        <v>45778</v>
      </c>
      <c r="B2906" t="str">
        <f t="shared" si="315"/>
        <v>yyyy-05</v>
      </c>
      <c r="C2906">
        <f t="shared" si="316"/>
        <v>18</v>
      </c>
      <c r="D2906" t="s">
        <v>66</v>
      </c>
      <c r="E2906" t="s">
        <v>73</v>
      </c>
      <c r="F2906" t="s">
        <v>74</v>
      </c>
      <c r="G2906" t="s">
        <v>27</v>
      </c>
      <c r="H2906" t="s">
        <v>28</v>
      </c>
      <c r="I2906" s="5">
        <v>213</v>
      </c>
      <c r="J2906" s="5">
        <v>115</v>
      </c>
      <c r="K2906" s="5">
        <v>24</v>
      </c>
      <c r="L2906" s="5">
        <v>5</v>
      </c>
      <c r="M2906" s="5">
        <v>5</v>
      </c>
      <c r="N2906" s="7">
        <v>1160.25</v>
      </c>
      <c r="O2906" s="7">
        <f t="shared" si="317"/>
        <v>5801.25</v>
      </c>
      <c r="P2906" s="4">
        <v>7.0000000000000007E-2</v>
      </c>
      <c r="Q2906" s="7">
        <f t="shared" si="318"/>
        <v>406.08750000000003</v>
      </c>
      <c r="R2906" s="7">
        <f t="shared" si="319"/>
        <v>5395.1625000000004</v>
      </c>
      <c r="S2906" s="7">
        <f t="shared" si="320"/>
        <v>1079.0325</v>
      </c>
      <c r="T2906" s="6">
        <f t="shared" si="321"/>
        <v>2.3474178403755867E-2</v>
      </c>
      <c r="U2906" t="s">
        <v>95</v>
      </c>
      <c r="V2906" t="s">
        <v>29</v>
      </c>
    </row>
    <row r="2907" spans="1:22">
      <c r="A2907" s="3">
        <v>45778</v>
      </c>
      <c r="B2907" t="str">
        <f t="shared" si="315"/>
        <v>yyyy-05</v>
      </c>
      <c r="C2907">
        <f t="shared" si="316"/>
        <v>18</v>
      </c>
      <c r="D2907" t="s">
        <v>66</v>
      </c>
      <c r="E2907" t="s">
        <v>71</v>
      </c>
      <c r="F2907" t="s">
        <v>75</v>
      </c>
      <c r="G2907" t="s">
        <v>27</v>
      </c>
      <c r="H2907" t="s">
        <v>63</v>
      </c>
      <c r="I2907" s="5">
        <v>267</v>
      </c>
      <c r="J2907" s="5">
        <v>199</v>
      </c>
      <c r="K2907" s="5">
        <v>23</v>
      </c>
      <c r="L2907" s="5">
        <v>3</v>
      </c>
      <c r="M2907" s="5">
        <v>4</v>
      </c>
      <c r="N2907" s="7">
        <v>38.82</v>
      </c>
      <c r="O2907" s="7">
        <f t="shared" si="317"/>
        <v>155.28</v>
      </c>
      <c r="P2907" s="4">
        <v>0.03</v>
      </c>
      <c r="Q2907" s="7">
        <f t="shared" si="318"/>
        <v>4.6583999999999994</v>
      </c>
      <c r="R2907" s="7">
        <f t="shared" si="319"/>
        <v>150.6216</v>
      </c>
      <c r="S2907" s="7">
        <f t="shared" si="320"/>
        <v>50.2072</v>
      </c>
      <c r="T2907" s="6">
        <f t="shared" si="321"/>
        <v>1.1235955056179775E-2</v>
      </c>
      <c r="V2907" t="s">
        <v>78</v>
      </c>
    </row>
    <row r="2908" spans="1:22">
      <c r="A2908" s="3">
        <v>45778</v>
      </c>
      <c r="B2908" t="str">
        <f t="shared" si="315"/>
        <v>yyyy-05</v>
      </c>
      <c r="C2908">
        <f t="shared" si="316"/>
        <v>18</v>
      </c>
      <c r="D2908" t="s">
        <v>24</v>
      </c>
      <c r="E2908" t="s">
        <v>76</v>
      </c>
      <c r="F2908" t="s">
        <v>77</v>
      </c>
      <c r="G2908" t="s">
        <v>27</v>
      </c>
      <c r="H2908" t="s">
        <v>45</v>
      </c>
      <c r="I2908" s="5">
        <v>565</v>
      </c>
      <c r="J2908" s="5">
        <v>307</v>
      </c>
      <c r="K2908" s="5">
        <v>25</v>
      </c>
      <c r="L2908" s="5">
        <v>12</v>
      </c>
      <c r="M2908" s="5">
        <v>13</v>
      </c>
      <c r="N2908" s="7">
        <v>192.49</v>
      </c>
      <c r="O2908" s="7">
        <f t="shared" si="317"/>
        <v>2502.37</v>
      </c>
      <c r="P2908" s="4">
        <v>0</v>
      </c>
      <c r="Q2908" s="7">
        <f t="shared" si="318"/>
        <v>0</v>
      </c>
      <c r="R2908" s="7">
        <f t="shared" si="319"/>
        <v>2502.37</v>
      </c>
      <c r="S2908" s="7">
        <f t="shared" si="320"/>
        <v>208.53083333333333</v>
      </c>
      <c r="T2908" s="6">
        <f t="shared" si="321"/>
        <v>2.1238938053097345E-2</v>
      </c>
      <c r="V2908" t="s">
        <v>29</v>
      </c>
    </row>
    <row r="2909" spans="1:22">
      <c r="A2909" s="3">
        <v>45779</v>
      </c>
      <c r="B2909" t="str">
        <f t="shared" si="315"/>
        <v>yyyy-05</v>
      </c>
      <c r="C2909">
        <f t="shared" si="316"/>
        <v>18</v>
      </c>
      <c r="D2909" t="s">
        <v>24</v>
      </c>
      <c r="E2909" t="s">
        <v>25</v>
      </c>
      <c r="F2909" t="s">
        <v>26</v>
      </c>
      <c r="G2909" t="s">
        <v>27</v>
      </c>
      <c r="H2909" t="s">
        <v>45</v>
      </c>
      <c r="I2909" s="5">
        <v>1093</v>
      </c>
      <c r="J2909" s="5">
        <v>827</v>
      </c>
      <c r="K2909" s="5">
        <v>96</v>
      </c>
      <c r="L2909" s="5">
        <v>25</v>
      </c>
      <c r="M2909" s="5">
        <v>25</v>
      </c>
      <c r="N2909" s="7">
        <v>993.18</v>
      </c>
      <c r="O2909" s="7">
        <f t="shared" si="317"/>
        <v>24829.5</v>
      </c>
      <c r="P2909" s="4">
        <v>0</v>
      </c>
      <c r="Q2909" s="7">
        <f t="shared" si="318"/>
        <v>0</v>
      </c>
      <c r="R2909" s="7">
        <f t="shared" si="319"/>
        <v>24829.5</v>
      </c>
      <c r="S2909" s="7">
        <f t="shared" si="320"/>
        <v>993.18</v>
      </c>
      <c r="T2909" s="6">
        <f t="shared" si="321"/>
        <v>2.2872827081427266E-2</v>
      </c>
      <c r="V2909" t="s">
        <v>29</v>
      </c>
    </row>
    <row r="2910" spans="1:22">
      <c r="A2910" s="3">
        <v>45779</v>
      </c>
      <c r="B2910" t="str">
        <f t="shared" si="315"/>
        <v>yyyy-05</v>
      </c>
      <c r="C2910">
        <f t="shared" si="316"/>
        <v>18</v>
      </c>
      <c r="D2910" t="s">
        <v>24</v>
      </c>
      <c r="E2910" t="s">
        <v>25</v>
      </c>
      <c r="F2910" t="s">
        <v>30</v>
      </c>
      <c r="G2910" t="s">
        <v>36</v>
      </c>
      <c r="H2910" t="s">
        <v>37</v>
      </c>
      <c r="I2910" s="5">
        <v>1738</v>
      </c>
      <c r="J2910" s="5">
        <v>969</v>
      </c>
      <c r="K2910" s="5">
        <v>129</v>
      </c>
      <c r="L2910" s="5">
        <v>35</v>
      </c>
      <c r="M2910" s="5">
        <v>35</v>
      </c>
      <c r="N2910" s="7">
        <v>391.7</v>
      </c>
      <c r="O2910" s="7">
        <f t="shared" si="317"/>
        <v>13709.5</v>
      </c>
      <c r="P2910" s="4">
        <v>0.03</v>
      </c>
      <c r="Q2910" s="7">
        <f t="shared" si="318"/>
        <v>411.28499999999997</v>
      </c>
      <c r="R2910" s="7">
        <f t="shared" si="319"/>
        <v>13298.215</v>
      </c>
      <c r="S2910" s="7">
        <f t="shared" si="320"/>
        <v>379.94900000000001</v>
      </c>
      <c r="T2910" s="6">
        <f t="shared" si="321"/>
        <v>2.0138089758342925E-2</v>
      </c>
      <c r="V2910" t="s">
        <v>29</v>
      </c>
    </row>
    <row r="2911" spans="1:22">
      <c r="A2911" s="3">
        <v>45779</v>
      </c>
      <c r="B2911" t="str">
        <f t="shared" si="315"/>
        <v>yyyy-05</v>
      </c>
      <c r="C2911">
        <f t="shared" si="316"/>
        <v>18</v>
      </c>
      <c r="D2911" t="s">
        <v>24</v>
      </c>
      <c r="E2911" t="s">
        <v>25</v>
      </c>
      <c r="F2911" t="s">
        <v>33</v>
      </c>
      <c r="G2911" t="s">
        <v>36</v>
      </c>
      <c r="H2911" t="s">
        <v>37</v>
      </c>
      <c r="I2911" s="5">
        <v>1327</v>
      </c>
      <c r="J2911" s="5">
        <v>1083</v>
      </c>
      <c r="K2911" s="5">
        <v>69</v>
      </c>
      <c r="L2911" s="5">
        <v>26</v>
      </c>
      <c r="M2911" s="5">
        <v>26</v>
      </c>
      <c r="N2911" s="7">
        <v>1787.96</v>
      </c>
      <c r="O2911" s="7">
        <f t="shared" si="317"/>
        <v>46486.96</v>
      </c>
      <c r="P2911" s="4">
        <v>0</v>
      </c>
      <c r="Q2911" s="7">
        <f t="shared" si="318"/>
        <v>0</v>
      </c>
      <c r="R2911" s="7">
        <f t="shared" si="319"/>
        <v>46486.96</v>
      </c>
      <c r="S2911" s="7">
        <f t="shared" si="320"/>
        <v>1787.96</v>
      </c>
      <c r="T2911" s="6">
        <f t="shared" si="321"/>
        <v>1.9593067068575734E-2</v>
      </c>
      <c r="V2911" t="s">
        <v>29</v>
      </c>
    </row>
    <row r="2912" spans="1:22">
      <c r="A2912" s="3">
        <v>45779</v>
      </c>
      <c r="B2912" t="str">
        <f t="shared" si="315"/>
        <v>yyyy-05</v>
      </c>
      <c r="C2912">
        <f t="shared" si="316"/>
        <v>18</v>
      </c>
      <c r="D2912" t="s">
        <v>24</v>
      </c>
      <c r="E2912" t="s">
        <v>34</v>
      </c>
      <c r="F2912" t="s">
        <v>35</v>
      </c>
      <c r="G2912" t="s">
        <v>27</v>
      </c>
      <c r="H2912" t="s">
        <v>45</v>
      </c>
      <c r="I2912" s="5">
        <v>788</v>
      </c>
      <c r="J2912" s="5">
        <v>505</v>
      </c>
      <c r="K2912" s="5">
        <v>55</v>
      </c>
      <c r="L2912" s="5">
        <v>12</v>
      </c>
      <c r="M2912" s="5">
        <v>12</v>
      </c>
      <c r="N2912" s="7">
        <v>903.99</v>
      </c>
      <c r="O2912" s="7">
        <f t="shared" si="317"/>
        <v>10847.880000000001</v>
      </c>
      <c r="P2912" s="4">
        <v>0</v>
      </c>
      <c r="Q2912" s="7">
        <f t="shared" si="318"/>
        <v>0</v>
      </c>
      <c r="R2912" s="7">
        <f t="shared" si="319"/>
        <v>10847.880000000001</v>
      </c>
      <c r="S2912" s="7">
        <f t="shared" si="320"/>
        <v>903.99000000000012</v>
      </c>
      <c r="T2912" s="6">
        <f t="shared" si="321"/>
        <v>1.5228426395939087E-2</v>
      </c>
      <c r="V2912" t="s">
        <v>29</v>
      </c>
    </row>
    <row r="2913" spans="1:22">
      <c r="A2913" s="3">
        <v>45779</v>
      </c>
      <c r="B2913" t="str">
        <f t="shared" si="315"/>
        <v>yyyy-05</v>
      </c>
      <c r="C2913">
        <f t="shared" si="316"/>
        <v>18</v>
      </c>
      <c r="D2913" t="s">
        <v>24</v>
      </c>
      <c r="E2913" t="s">
        <v>38</v>
      </c>
      <c r="F2913" t="s">
        <v>39</v>
      </c>
      <c r="G2913" t="s">
        <v>36</v>
      </c>
      <c r="H2913" t="s">
        <v>37</v>
      </c>
      <c r="I2913" s="5">
        <v>996</v>
      </c>
      <c r="J2913" s="5">
        <v>620</v>
      </c>
      <c r="K2913" s="5">
        <v>69</v>
      </c>
      <c r="L2913" s="5">
        <v>22</v>
      </c>
      <c r="M2913" s="5">
        <v>22</v>
      </c>
      <c r="N2913" s="7">
        <v>323.10000000000002</v>
      </c>
      <c r="O2913" s="7">
        <f t="shared" si="317"/>
        <v>7108.2000000000007</v>
      </c>
      <c r="P2913" s="4">
        <v>0.05</v>
      </c>
      <c r="Q2913" s="7">
        <f t="shared" si="318"/>
        <v>355.41000000000008</v>
      </c>
      <c r="R2913" s="7">
        <f t="shared" si="319"/>
        <v>6752.7900000000009</v>
      </c>
      <c r="S2913" s="7">
        <f t="shared" si="320"/>
        <v>306.94500000000005</v>
      </c>
      <c r="T2913" s="6">
        <f t="shared" si="321"/>
        <v>2.2088353413654619E-2</v>
      </c>
      <c r="V2913" t="s">
        <v>29</v>
      </c>
    </row>
    <row r="2914" spans="1:22">
      <c r="A2914" s="3">
        <v>45779</v>
      </c>
      <c r="B2914" t="str">
        <f t="shared" si="315"/>
        <v>yyyy-05</v>
      </c>
      <c r="C2914">
        <f t="shared" si="316"/>
        <v>18</v>
      </c>
      <c r="D2914" t="s">
        <v>24</v>
      </c>
      <c r="E2914" t="s">
        <v>40</v>
      </c>
      <c r="F2914" t="s">
        <v>41</v>
      </c>
      <c r="G2914" t="s">
        <v>27</v>
      </c>
      <c r="H2914" t="s">
        <v>45</v>
      </c>
      <c r="I2914" s="5">
        <v>498</v>
      </c>
      <c r="J2914" s="5">
        <v>287</v>
      </c>
      <c r="K2914" s="5">
        <v>43</v>
      </c>
      <c r="L2914" s="5">
        <v>12</v>
      </c>
      <c r="M2914" s="5">
        <v>15</v>
      </c>
      <c r="N2914" s="7">
        <v>171.86</v>
      </c>
      <c r="O2914" s="7">
        <f t="shared" si="317"/>
        <v>2577.9</v>
      </c>
      <c r="P2914" s="4">
        <v>0.05</v>
      </c>
      <c r="Q2914" s="7">
        <f t="shared" si="318"/>
        <v>128.89500000000001</v>
      </c>
      <c r="R2914" s="7">
        <f t="shared" si="319"/>
        <v>2449.0050000000001</v>
      </c>
      <c r="S2914" s="7">
        <f t="shared" si="320"/>
        <v>204.08375000000001</v>
      </c>
      <c r="T2914" s="6">
        <f t="shared" si="321"/>
        <v>2.4096385542168676E-2</v>
      </c>
      <c r="V2914" t="s">
        <v>29</v>
      </c>
    </row>
    <row r="2915" spans="1:22">
      <c r="A2915" s="3">
        <v>45779</v>
      </c>
      <c r="B2915" t="str">
        <f t="shared" si="315"/>
        <v>yyyy-05</v>
      </c>
      <c r="C2915">
        <f t="shared" si="316"/>
        <v>18</v>
      </c>
      <c r="D2915" t="s">
        <v>42</v>
      </c>
      <c r="E2915" t="s">
        <v>43</v>
      </c>
      <c r="F2915" t="s">
        <v>44</v>
      </c>
      <c r="G2915" t="s">
        <v>27</v>
      </c>
      <c r="H2915" t="s">
        <v>45</v>
      </c>
      <c r="I2915" s="5">
        <v>484</v>
      </c>
      <c r="J2915" s="5">
        <v>317</v>
      </c>
      <c r="K2915" s="5">
        <v>26</v>
      </c>
      <c r="L2915" s="5">
        <v>7</v>
      </c>
      <c r="M2915" s="5">
        <v>7</v>
      </c>
      <c r="N2915" s="7">
        <v>1270.27</v>
      </c>
      <c r="O2915" s="7">
        <f t="shared" si="317"/>
        <v>8891.89</v>
      </c>
      <c r="P2915" s="4">
        <v>0.03</v>
      </c>
      <c r="Q2915" s="7">
        <f t="shared" si="318"/>
        <v>266.75669999999997</v>
      </c>
      <c r="R2915" s="7">
        <f t="shared" si="319"/>
        <v>8625.1332999999995</v>
      </c>
      <c r="S2915" s="7">
        <f t="shared" si="320"/>
        <v>1232.1618999999998</v>
      </c>
      <c r="T2915" s="6">
        <f t="shared" si="321"/>
        <v>1.4462809917355372E-2</v>
      </c>
      <c r="V2915" t="s">
        <v>29</v>
      </c>
    </row>
    <row r="2916" spans="1:22">
      <c r="A2916" s="3">
        <v>45779</v>
      </c>
      <c r="B2916" t="str">
        <f t="shared" si="315"/>
        <v>yyyy-05</v>
      </c>
      <c r="C2916">
        <f t="shared" si="316"/>
        <v>18</v>
      </c>
      <c r="D2916" t="s">
        <v>42</v>
      </c>
      <c r="E2916" t="s">
        <v>43</v>
      </c>
      <c r="F2916" t="s">
        <v>46</v>
      </c>
      <c r="G2916" t="s">
        <v>27</v>
      </c>
      <c r="H2916" t="s">
        <v>63</v>
      </c>
      <c r="I2916" s="5">
        <v>420</v>
      </c>
      <c r="J2916" s="5">
        <v>271</v>
      </c>
      <c r="K2916" s="5">
        <v>31</v>
      </c>
      <c r="L2916" s="5">
        <v>6</v>
      </c>
      <c r="M2916" s="5">
        <v>6</v>
      </c>
      <c r="N2916" s="7">
        <v>2147.79</v>
      </c>
      <c r="O2916" s="7">
        <f t="shared" si="317"/>
        <v>12886.74</v>
      </c>
      <c r="P2916" s="4">
        <v>0</v>
      </c>
      <c r="Q2916" s="7">
        <f t="shared" si="318"/>
        <v>0</v>
      </c>
      <c r="R2916" s="7">
        <f t="shared" si="319"/>
        <v>12886.74</v>
      </c>
      <c r="S2916" s="7">
        <f t="shared" si="320"/>
        <v>2147.79</v>
      </c>
      <c r="T2916" s="6">
        <f t="shared" si="321"/>
        <v>1.4285714285714285E-2</v>
      </c>
      <c r="V2916" t="s">
        <v>29</v>
      </c>
    </row>
    <row r="2917" spans="1:22">
      <c r="A2917" s="3">
        <v>45779</v>
      </c>
      <c r="B2917" t="str">
        <f t="shared" si="315"/>
        <v>yyyy-05</v>
      </c>
      <c r="C2917">
        <f t="shared" si="316"/>
        <v>18</v>
      </c>
      <c r="D2917" t="s">
        <v>42</v>
      </c>
      <c r="E2917" t="s">
        <v>43</v>
      </c>
      <c r="F2917" t="s">
        <v>47</v>
      </c>
      <c r="G2917" t="s">
        <v>27</v>
      </c>
      <c r="H2917" t="s">
        <v>45</v>
      </c>
      <c r="I2917" s="5">
        <v>475</v>
      </c>
      <c r="J2917" s="5">
        <v>294</v>
      </c>
      <c r="K2917" s="5">
        <v>21</v>
      </c>
      <c r="L2917" s="5">
        <v>7</v>
      </c>
      <c r="M2917" s="5">
        <v>7</v>
      </c>
      <c r="N2917" s="7">
        <v>587.89</v>
      </c>
      <c r="O2917" s="7">
        <f t="shared" si="317"/>
        <v>4115.2299999999996</v>
      </c>
      <c r="P2917" s="4">
        <v>0</v>
      </c>
      <c r="Q2917" s="7">
        <f t="shared" si="318"/>
        <v>0</v>
      </c>
      <c r="R2917" s="7">
        <f t="shared" si="319"/>
        <v>4115.2299999999996</v>
      </c>
      <c r="S2917" s="7">
        <f t="shared" si="320"/>
        <v>587.89</v>
      </c>
      <c r="T2917" s="6">
        <f t="shared" si="321"/>
        <v>1.4736842105263158E-2</v>
      </c>
      <c r="V2917" t="s">
        <v>29</v>
      </c>
    </row>
    <row r="2918" spans="1:22">
      <c r="A2918" s="3">
        <v>45779</v>
      </c>
      <c r="B2918" t="str">
        <f t="shared" si="315"/>
        <v>yyyy-05</v>
      </c>
      <c r="C2918">
        <f t="shared" si="316"/>
        <v>18</v>
      </c>
      <c r="D2918" t="s">
        <v>42</v>
      </c>
      <c r="E2918" t="s">
        <v>49</v>
      </c>
      <c r="F2918" t="s">
        <v>50</v>
      </c>
      <c r="G2918" t="s">
        <v>31</v>
      </c>
      <c r="H2918" t="s">
        <v>32</v>
      </c>
      <c r="I2918" s="5">
        <v>226</v>
      </c>
      <c r="J2918" s="5">
        <v>141</v>
      </c>
      <c r="K2918" s="5">
        <v>13</v>
      </c>
      <c r="L2918" s="5">
        <v>4</v>
      </c>
      <c r="M2918" s="5">
        <v>4</v>
      </c>
      <c r="N2918" s="7">
        <v>1014.41</v>
      </c>
      <c r="O2918" s="7">
        <f t="shared" si="317"/>
        <v>4057.64</v>
      </c>
      <c r="P2918" s="4">
        <v>0</v>
      </c>
      <c r="Q2918" s="7">
        <f t="shared" si="318"/>
        <v>0</v>
      </c>
      <c r="R2918" s="7">
        <f t="shared" si="319"/>
        <v>4057.64</v>
      </c>
      <c r="S2918" s="7">
        <f t="shared" si="320"/>
        <v>1014.41</v>
      </c>
      <c r="T2918" s="6">
        <f t="shared" si="321"/>
        <v>1.7699115044247787E-2</v>
      </c>
      <c r="V2918" t="s">
        <v>29</v>
      </c>
    </row>
    <row r="2919" spans="1:22">
      <c r="A2919" s="3">
        <v>45779</v>
      </c>
      <c r="B2919" t="str">
        <f t="shared" si="315"/>
        <v>yyyy-05</v>
      </c>
      <c r="C2919">
        <f t="shared" si="316"/>
        <v>18</v>
      </c>
      <c r="D2919" t="s">
        <v>42</v>
      </c>
      <c r="E2919" t="s">
        <v>51</v>
      </c>
      <c r="F2919" t="s">
        <v>52</v>
      </c>
      <c r="G2919" t="s">
        <v>27</v>
      </c>
      <c r="H2919" t="s">
        <v>45</v>
      </c>
      <c r="I2919" s="5">
        <v>236</v>
      </c>
      <c r="J2919" s="5">
        <v>129</v>
      </c>
      <c r="K2919" s="5">
        <v>16</v>
      </c>
      <c r="L2919" s="5">
        <v>4</v>
      </c>
      <c r="M2919" s="5">
        <v>4</v>
      </c>
      <c r="N2919" s="7">
        <v>593.96</v>
      </c>
      <c r="O2919" s="7">
        <f t="shared" si="317"/>
        <v>2375.84</v>
      </c>
      <c r="P2919" s="4">
        <v>0</v>
      </c>
      <c r="Q2919" s="7">
        <f t="shared" si="318"/>
        <v>0</v>
      </c>
      <c r="R2919" s="7">
        <f t="shared" si="319"/>
        <v>2375.84</v>
      </c>
      <c r="S2919" s="7">
        <f t="shared" si="320"/>
        <v>593.96</v>
      </c>
      <c r="T2919" s="6">
        <f t="shared" si="321"/>
        <v>1.6949152542372881E-2</v>
      </c>
      <c r="V2919" t="s">
        <v>29</v>
      </c>
    </row>
    <row r="2920" spans="1:22">
      <c r="A2920" s="3">
        <v>45779</v>
      </c>
      <c r="B2920" t="str">
        <f t="shared" si="315"/>
        <v>yyyy-05</v>
      </c>
      <c r="C2920">
        <f t="shared" si="316"/>
        <v>18</v>
      </c>
      <c r="D2920" t="s">
        <v>53</v>
      </c>
      <c r="E2920" t="s">
        <v>54</v>
      </c>
      <c r="F2920" t="s">
        <v>55</v>
      </c>
      <c r="G2920" t="s">
        <v>27</v>
      </c>
      <c r="H2920" t="s">
        <v>45</v>
      </c>
      <c r="I2920" s="5">
        <v>110</v>
      </c>
      <c r="J2920" s="5">
        <v>68</v>
      </c>
      <c r="K2920" s="5">
        <v>4</v>
      </c>
      <c r="L2920" s="5">
        <v>1</v>
      </c>
      <c r="M2920" s="5">
        <v>1</v>
      </c>
      <c r="N2920" s="7">
        <v>1295.1400000000001</v>
      </c>
      <c r="O2920" s="7">
        <f t="shared" si="317"/>
        <v>1295.1400000000001</v>
      </c>
      <c r="P2920" s="4">
        <v>0</v>
      </c>
      <c r="Q2920" s="7">
        <f t="shared" si="318"/>
        <v>0</v>
      </c>
      <c r="R2920" s="7">
        <f t="shared" si="319"/>
        <v>1295.1400000000001</v>
      </c>
      <c r="S2920" s="7">
        <f t="shared" si="320"/>
        <v>1295.1400000000001</v>
      </c>
      <c r="T2920" s="6">
        <f t="shared" si="321"/>
        <v>9.0909090909090905E-3</v>
      </c>
      <c r="V2920" t="s">
        <v>29</v>
      </c>
    </row>
    <row r="2921" spans="1:22">
      <c r="A2921" s="3">
        <v>45779</v>
      </c>
      <c r="B2921" t="str">
        <f t="shared" si="315"/>
        <v>yyyy-05</v>
      </c>
      <c r="C2921">
        <f t="shared" si="316"/>
        <v>18</v>
      </c>
      <c r="D2921" t="s">
        <v>53</v>
      </c>
      <c r="E2921" t="s">
        <v>56</v>
      </c>
      <c r="F2921" t="s">
        <v>57</v>
      </c>
      <c r="G2921" t="s">
        <v>27</v>
      </c>
      <c r="H2921" t="s">
        <v>28</v>
      </c>
      <c r="I2921" s="5">
        <v>221</v>
      </c>
      <c r="J2921" s="5">
        <v>168</v>
      </c>
      <c r="K2921" s="5">
        <v>15</v>
      </c>
      <c r="L2921" s="5">
        <v>2</v>
      </c>
      <c r="M2921" s="5">
        <v>2</v>
      </c>
      <c r="N2921" s="7">
        <v>733</v>
      </c>
      <c r="O2921" s="7">
        <f t="shared" si="317"/>
        <v>1466</v>
      </c>
      <c r="P2921" s="4">
        <v>0</v>
      </c>
      <c r="Q2921" s="7">
        <f t="shared" si="318"/>
        <v>0</v>
      </c>
      <c r="R2921" s="7">
        <f t="shared" si="319"/>
        <v>1466</v>
      </c>
      <c r="S2921" s="7">
        <f t="shared" si="320"/>
        <v>733</v>
      </c>
      <c r="T2921" s="6">
        <f t="shared" si="321"/>
        <v>9.0497737556561094E-3</v>
      </c>
      <c r="V2921" t="s">
        <v>29</v>
      </c>
    </row>
    <row r="2922" spans="1:22">
      <c r="A2922" s="3">
        <v>45779</v>
      </c>
      <c r="B2922" t="str">
        <f t="shared" si="315"/>
        <v>yyyy-05</v>
      </c>
      <c r="C2922">
        <f t="shared" si="316"/>
        <v>18</v>
      </c>
      <c r="D2922" t="s">
        <v>53</v>
      </c>
      <c r="E2922" t="s">
        <v>56</v>
      </c>
      <c r="F2922" t="s">
        <v>58</v>
      </c>
      <c r="G2922" t="s">
        <v>31</v>
      </c>
      <c r="H2922" t="s">
        <v>32</v>
      </c>
      <c r="I2922" s="5">
        <v>308</v>
      </c>
      <c r="J2922" s="5">
        <v>217</v>
      </c>
      <c r="K2922" s="5">
        <v>25</v>
      </c>
      <c r="L2922" s="5">
        <v>3</v>
      </c>
      <c r="M2922" s="5">
        <v>3</v>
      </c>
      <c r="N2922" s="7">
        <v>865.73</v>
      </c>
      <c r="O2922" s="7">
        <f t="shared" si="317"/>
        <v>2597.19</v>
      </c>
      <c r="P2922" s="4">
        <v>0</v>
      </c>
      <c r="Q2922" s="7">
        <f t="shared" si="318"/>
        <v>0</v>
      </c>
      <c r="R2922" s="7">
        <f t="shared" si="319"/>
        <v>2597.19</v>
      </c>
      <c r="S2922" s="7">
        <f t="shared" si="320"/>
        <v>865.73</v>
      </c>
      <c r="T2922" s="6">
        <f t="shared" si="321"/>
        <v>9.74025974025974E-3</v>
      </c>
      <c r="V2922" t="s">
        <v>29</v>
      </c>
    </row>
    <row r="2923" spans="1:22">
      <c r="A2923" s="3">
        <v>45779</v>
      </c>
      <c r="B2923" t="str">
        <f t="shared" si="315"/>
        <v>yyyy-05</v>
      </c>
      <c r="C2923">
        <f t="shared" si="316"/>
        <v>18</v>
      </c>
      <c r="D2923" t="s">
        <v>53</v>
      </c>
      <c r="E2923" t="s">
        <v>59</v>
      </c>
      <c r="F2923" t="s">
        <v>60</v>
      </c>
      <c r="G2923" t="s">
        <v>27</v>
      </c>
      <c r="H2923" t="s">
        <v>63</v>
      </c>
      <c r="I2923" s="5">
        <v>120</v>
      </c>
      <c r="J2923" s="5">
        <v>66</v>
      </c>
      <c r="K2923" s="5">
        <v>9</v>
      </c>
      <c r="L2923" s="5">
        <v>2</v>
      </c>
      <c r="M2923" s="5">
        <v>2</v>
      </c>
      <c r="N2923" s="7">
        <v>701.92</v>
      </c>
      <c r="O2923" s="7">
        <f t="shared" si="317"/>
        <v>1403.84</v>
      </c>
      <c r="P2923" s="4">
        <v>0</v>
      </c>
      <c r="Q2923" s="7">
        <f t="shared" si="318"/>
        <v>0</v>
      </c>
      <c r="R2923" s="7">
        <f t="shared" si="319"/>
        <v>1403.84</v>
      </c>
      <c r="S2923" s="7">
        <f t="shared" si="320"/>
        <v>701.92</v>
      </c>
      <c r="T2923" s="6">
        <f t="shared" si="321"/>
        <v>1.6666666666666666E-2</v>
      </c>
      <c r="V2923" t="s">
        <v>29</v>
      </c>
    </row>
    <row r="2924" spans="1:22">
      <c r="A2924" s="3">
        <v>45779</v>
      </c>
      <c r="B2924" t="str">
        <f t="shared" si="315"/>
        <v>yyyy-05</v>
      </c>
      <c r="C2924">
        <f t="shared" si="316"/>
        <v>18</v>
      </c>
      <c r="D2924" t="s">
        <v>53</v>
      </c>
      <c r="E2924" t="s">
        <v>61</v>
      </c>
      <c r="F2924" t="s">
        <v>62</v>
      </c>
      <c r="G2924" t="s">
        <v>27</v>
      </c>
      <c r="H2924" t="s">
        <v>28</v>
      </c>
      <c r="I2924" s="5">
        <v>171</v>
      </c>
      <c r="J2924" s="5">
        <v>98</v>
      </c>
      <c r="K2924" s="5">
        <v>6</v>
      </c>
      <c r="L2924" s="5">
        <v>2</v>
      </c>
      <c r="M2924" s="5">
        <v>2</v>
      </c>
      <c r="N2924" s="7">
        <v>495.25</v>
      </c>
      <c r="O2924" s="7">
        <f t="shared" si="317"/>
        <v>990.5</v>
      </c>
      <c r="P2924" s="4">
        <v>0.05</v>
      </c>
      <c r="Q2924" s="7">
        <f t="shared" si="318"/>
        <v>49.525000000000006</v>
      </c>
      <c r="R2924" s="7">
        <f t="shared" si="319"/>
        <v>940.97500000000002</v>
      </c>
      <c r="S2924" s="7">
        <f t="shared" si="320"/>
        <v>470.48750000000001</v>
      </c>
      <c r="T2924" s="6">
        <f t="shared" si="321"/>
        <v>1.1695906432748537E-2</v>
      </c>
      <c r="V2924" t="s">
        <v>29</v>
      </c>
    </row>
    <row r="2925" spans="1:22">
      <c r="A2925" s="3">
        <v>45779</v>
      </c>
      <c r="B2925" t="str">
        <f t="shared" si="315"/>
        <v>yyyy-05</v>
      </c>
      <c r="C2925">
        <f t="shared" si="316"/>
        <v>18</v>
      </c>
      <c r="D2925" t="s">
        <v>53</v>
      </c>
      <c r="E2925" t="s">
        <v>64</v>
      </c>
      <c r="F2925" t="s">
        <v>65</v>
      </c>
      <c r="G2925" t="s">
        <v>27</v>
      </c>
      <c r="H2925" t="s">
        <v>45</v>
      </c>
      <c r="I2925" s="5">
        <v>175</v>
      </c>
      <c r="J2925" s="5">
        <v>113</v>
      </c>
      <c r="K2925" s="5">
        <v>11</v>
      </c>
      <c r="L2925" s="5">
        <v>1</v>
      </c>
      <c r="M2925" s="5">
        <v>1</v>
      </c>
      <c r="N2925" s="7">
        <v>787.94</v>
      </c>
      <c r="O2925" s="7">
        <f t="shared" si="317"/>
        <v>787.94</v>
      </c>
      <c r="P2925" s="4">
        <v>0</v>
      </c>
      <c r="Q2925" s="7">
        <f t="shared" si="318"/>
        <v>0</v>
      </c>
      <c r="R2925" s="7">
        <f t="shared" si="319"/>
        <v>787.94</v>
      </c>
      <c r="S2925" s="7">
        <f t="shared" si="320"/>
        <v>787.94</v>
      </c>
      <c r="T2925" s="6">
        <f t="shared" si="321"/>
        <v>5.7142857142857143E-3</v>
      </c>
      <c r="V2925" t="s">
        <v>29</v>
      </c>
    </row>
    <row r="2926" spans="1:22">
      <c r="A2926" s="3">
        <v>45779</v>
      </c>
      <c r="B2926" t="str">
        <f t="shared" si="315"/>
        <v>yyyy-05</v>
      </c>
      <c r="C2926">
        <f t="shared" si="316"/>
        <v>18</v>
      </c>
      <c r="D2926" t="s">
        <v>66</v>
      </c>
      <c r="E2926" t="s">
        <v>67</v>
      </c>
      <c r="F2926" t="s">
        <v>68</v>
      </c>
      <c r="G2926" t="s">
        <v>27</v>
      </c>
      <c r="H2926" t="s">
        <v>45</v>
      </c>
      <c r="I2926" s="5">
        <v>321</v>
      </c>
      <c r="J2926" s="5">
        <v>253</v>
      </c>
      <c r="K2926" s="5">
        <v>26</v>
      </c>
      <c r="L2926" s="5">
        <v>7</v>
      </c>
      <c r="M2926" s="5">
        <v>7</v>
      </c>
      <c r="N2926" s="7">
        <v>679.28</v>
      </c>
      <c r="O2926" s="7">
        <f t="shared" si="317"/>
        <v>4754.96</v>
      </c>
      <c r="P2926" s="4">
        <v>0</v>
      </c>
      <c r="Q2926" s="7">
        <f t="shared" si="318"/>
        <v>0</v>
      </c>
      <c r="R2926" s="7">
        <f t="shared" si="319"/>
        <v>4754.96</v>
      </c>
      <c r="S2926" s="7">
        <f t="shared" si="320"/>
        <v>679.28</v>
      </c>
      <c r="T2926" s="6">
        <f t="shared" si="321"/>
        <v>2.1806853582554516E-2</v>
      </c>
      <c r="V2926" t="s">
        <v>29</v>
      </c>
    </row>
    <row r="2927" spans="1:22">
      <c r="A2927" s="3">
        <v>45779</v>
      </c>
      <c r="B2927" t="str">
        <f t="shared" si="315"/>
        <v>yyyy-05</v>
      </c>
      <c r="C2927">
        <f t="shared" si="316"/>
        <v>18</v>
      </c>
      <c r="D2927" t="s">
        <v>66</v>
      </c>
      <c r="E2927" t="s">
        <v>67</v>
      </c>
      <c r="F2927" t="s">
        <v>69</v>
      </c>
      <c r="G2927" t="s">
        <v>36</v>
      </c>
      <c r="H2927" t="s">
        <v>37</v>
      </c>
      <c r="I2927" s="5">
        <v>512</v>
      </c>
      <c r="J2927" s="5">
        <v>335</v>
      </c>
      <c r="K2927" s="5">
        <v>28</v>
      </c>
      <c r="L2927" s="5">
        <v>6</v>
      </c>
      <c r="M2927" s="5">
        <v>6</v>
      </c>
      <c r="N2927" s="7">
        <v>392.62</v>
      </c>
      <c r="O2927" s="7">
        <f t="shared" si="317"/>
        <v>2355.7200000000003</v>
      </c>
      <c r="P2927" s="4">
        <v>0</v>
      </c>
      <c r="Q2927" s="7">
        <f t="shared" si="318"/>
        <v>0</v>
      </c>
      <c r="R2927" s="7">
        <f t="shared" si="319"/>
        <v>2355.7200000000003</v>
      </c>
      <c r="S2927" s="7">
        <f t="shared" si="320"/>
        <v>392.62000000000006</v>
      </c>
      <c r="T2927" s="6">
        <f t="shared" si="321"/>
        <v>1.171875E-2</v>
      </c>
      <c r="V2927" t="s">
        <v>78</v>
      </c>
    </row>
    <row r="2928" spans="1:22">
      <c r="A2928" s="3">
        <v>45779</v>
      </c>
      <c r="B2928" t="str">
        <f t="shared" si="315"/>
        <v>yyyy-05</v>
      </c>
      <c r="C2928">
        <f t="shared" si="316"/>
        <v>18</v>
      </c>
      <c r="D2928" t="s">
        <v>66</v>
      </c>
      <c r="E2928" t="s">
        <v>67</v>
      </c>
      <c r="F2928" t="s">
        <v>70</v>
      </c>
      <c r="G2928" t="s">
        <v>27</v>
      </c>
      <c r="H2928" t="s">
        <v>45</v>
      </c>
      <c r="I2928" s="5">
        <v>271</v>
      </c>
      <c r="J2928" s="5">
        <v>168</v>
      </c>
      <c r="K2928" s="5">
        <v>19</v>
      </c>
      <c r="L2928" s="5">
        <v>4</v>
      </c>
      <c r="M2928" s="5">
        <v>4</v>
      </c>
      <c r="N2928" s="7">
        <v>347.31</v>
      </c>
      <c r="O2928" s="7">
        <f t="shared" si="317"/>
        <v>1389.24</v>
      </c>
      <c r="P2928" s="4">
        <v>0</v>
      </c>
      <c r="Q2928" s="7">
        <f t="shared" si="318"/>
        <v>0</v>
      </c>
      <c r="R2928" s="7">
        <f t="shared" si="319"/>
        <v>1389.24</v>
      </c>
      <c r="S2928" s="7">
        <f t="shared" si="320"/>
        <v>347.31</v>
      </c>
      <c r="T2928" s="6">
        <f t="shared" si="321"/>
        <v>1.4760147601476014E-2</v>
      </c>
      <c r="V2928" t="s">
        <v>29</v>
      </c>
    </row>
    <row r="2929" spans="1:22">
      <c r="A2929" s="3">
        <v>45779</v>
      </c>
      <c r="B2929" t="str">
        <f t="shared" si="315"/>
        <v>yyyy-05</v>
      </c>
      <c r="C2929">
        <f t="shared" si="316"/>
        <v>18</v>
      </c>
      <c r="D2929" t="s">
        <v>66</v>
      </c>
      <c r="E2929" t="s">
        <v>71</v>
      </c>
      <c r="F2929" t="s">
        <v>72</v>
      </c>
      <c r="G2929" t="s">
        <v>27</v>
      </c>
      <c r="H2929" t="s">
        <v>48</v>
      </c>
      <c r="I2929" s="5">
        <v>200</v>
      </c>
      <c r="J2929" s="5">
        <v>161</v>
      </c>
      <c r="K2929" s="5">
        <v>15</v>
      </c>
      <c r="L2929" s="5">
        <v>4</v>
      </c>
      <c r="M2929" s="5">
        <v>5</v>
      </c>
      <c r="N2929" s="7">
        <v>124.21</v>
      </c>
      <c r="O2929" s="7">
        <f t="shared" si="317"/>
        <v>621.04999999999995</v>
      </c>
      <c r="P2929" s="4">
        <v>0</v>
      </c>
      <c r="Q2929" s="7">
        <f t="shared" si="318"/>
        <v>0</v>
      </c>
      <c r="R2929" s="7">
        <f t="shared" si="319"/>
        <v>621.04999999999995</v>
      </c>
      <c r="S2929" s="7">
        <f t="shared" si="320"/>
        <v>155.26249999999999</v>
      </c>
      <c r="T2929" s="6">
        <f t="shared" si="321"/>
        <v>0.02</v>
      </c>
      <c r="V2929" t="s">
        <v>29</v>
      </c>
    </row>
    <row r="2930" spans="1:22">
      <c r="A2930" s="3">
        <v>45779</v>
      </c>
      <c r="B2930" t="str">
        <f t="shared" si="315"/>
        <v>yyyy-05</v>
      </c>
      <c r="C2930">
        <f t="shared" si="316"/>
        <v>18</v>
      </c>
      <c r="D2930" t="s">
        <v>66</v>
      </c>
      <c r="E2930" t="s">
        <v>73</v>
      </c>
      <c r="F2930" t="s">
        <v>74</v>
      </c>
      <c r="G2930" t="s">
        <v>36</v>
      </c>
      <c r="H2930" t="s">
        <v>37</v>
      </c>
      <c r="I2930" s="5">
        <v>278</v>
      </c>
      <c r="J2930" s="5">
        <v>224</v>
      </c>
      <c r="K2930" s="5">
        <v>20</v>
      </c>
      <c r="L2930" s="5">
        <v>7</v>
      </c>
      <c r="M2930" s="5">
        <v>7</v>
      </c>
      <c r="N2930" s="7">
        <v>1158.74</v>
      </c>
      <c r="O2930" s="7">
        <f t="shared" si="317"/>
        <v>8111.18</v>
      </c>
      <c r="P2930" s="4">
        <v>7.0000000000000007E-2</v>
      </c>
      <c r="Q2930" s="7">
        <f t="shared" si="318"/>
        <v>567.78260000000012</v>
      </c>
      <c r="R2930" s="7">
        <f t="shared" si="319"/>
        <v>7543.3973999999998</v>
      </c>
      <c r="S2930" s="7">
        <f t="shared" si="320"/>
        <v>1077.6281999999999</v>
      </c>
      <c r="T2930" s="6">
        <f t="shared" si="321"/>
        <v>2.5179856115107913E-2</v>
      </c>
      <c r="U2930" t="s">
        <v>95</v>
      </c>
      <c r="V2930" t="s">
        <v>29</v>
      </c>
    </row>
    <row r="2931" spans="1:22">
      <c r="A2931" s="3">
        <v>45779</v>
      </c>
      <c r="B2931" t="str">
        <f t="shared" si="315"/>
        <v>yyyy-05</v>
      </c>
      <c r="C2931">
        <f t="shared" si="316"/>
        <v>18</v>
      </c>
      <c r="D2931" t="s">
        <v>66</v>
      </c>
      <c r="E2931" t="s">
        <v>71</v>
      </c>
      <c r="F2931" t="s">
        <v>75</v>
      </c>
      <c r="G2931" t="s">
        <v>27</v>
      </c>
      <c r="H2931" t="s">
        <v>45</v>
      </c>
      <c r="I2931" s="5">
        <v>368</v>
      </c>
      <c r="J2931" s="5">
        <v>275</v>
      </c>
      <c r="K2931" s="5">
        <v>22</v>
      </c>
      <c r="L2931" s="5">
        <v>8</v>
      </c>
      <c r="M2931" s="5">
        <v>10</v>
      </c>
      <c r="N2931" s="7">
        <v>37.840000000000003</v>
      </c>
      <c r="O2931" s="7">
        <f t="shared" si="317"/>
        <v>378.40000000000003</v>
      </c>
      <c r="P2931" s="4">
        <v>0.05</v>
      </c>
      <c r="Q2931" s="7">
        <f t="shared" si="318"/>
        <v>18.920000000000002</v>
      </c>
      <c r="R2931" s="7">
        <f t="shared" si="319"/>
        <v>359.48</v>
      </c>
      <c r="S2931" s="7">
        <f t="shared" si="320"/>
        <v>44.935000000000002</v>
      </c>
      <c r="T2931" s="6">
        <f t="shared" si="321"/>
        <v>2.1739130434782608E-2</v>
      </c>
      <c r="V2931" t="s">
        <v>29</v>
      </c>
    </row>
    <row r="2932" spans="1:22">
      <c r="A2932" s="3">
        <v>45779</v>
      </c>
      <c r="B2932" t="str">
        <f t="shared" si="315"/>
        <v>yyyy-05</v>
      </c>
      <c r="C2932">
        <f t="shared" si="316"/>
        <v>18</v>
      </c>
      <c r="D2932" t="s">
        <v>24</v>
      </c>
      <c r="E2932" t="s">
        <v>76</v>
      </c>
      <c r="F2932" t="s">
        <v>77</v>
      </c>
      <c r="G2932" t="s">
        <v>31</v>
      </c>
      <c r="H2932" t="s">
        <v>32</v>
      </c>
      <c r="I2932" s="5">
        <v>705</v>
      </c>
      <c r="J2932" s="5">
        <v>524</v>
      </c>
      <c r="K2932" s="5">
        <v>67</v>
      </c>
      <c r="L2932" s="5">
        <v>17</v>
      </c>
      <c r="M2932" s="5">
        <v>21</v>
      </c>
      <c r="N2932" s="7">
        <v>201.32</v>
      </c>
      <c r="O2932" s="7">
        <f t="shared" si="317"/>
        <v>4227.72</v>
      </c>
      <c r="P2932" s="4">
        <v>0</v>
      </c>
      <c r="Q2932" s="7">
        <f t="shared" si="318"/>
        <v>0</v>
      </c>
      <c r="R2932" s="7">
        <f t="shared" si="319"/>
        <v>4227.72</v>
      </c>
      <c r="S2932" s="7">
        <f t="shared" si="320"/>
        <v>248.68941176470591</v>
      </c>
      <c r="T2932" s="6">
        <f t="shared" si="321"/>
        <v>2.4113475177304965E-2</v>
      </c>
      <c r="V2932" t="s">
        <v>29</v>
      </c>
    </row>
    <row r="2933" spans="1:22">
      <c r="A2933" s="3">
        <v>45780</v>
      </c>
      <c r="B2933" t="str">
        <f t="shared" si="315"/>
        <v>yyyy-05</v>
      </c>
      <c r="C2933">
        <f t="shared" si="316"/>
        <v>18</v>
      </c>
      <c r="D2933" t="s">
        <v>24</v>
      </c>
      <c r="E2933" t="s">
        <v>25</v>
      </c>
      <c r="F2933" t="s">
        <v>26</v>
      </c>
      <c r="G2933" t="s">
        <v>27</v>
      </c>
      <c r="H2933" t="s">
        <v>45</v>
      </c>
      <c r="I2933" s="5">
        <v>1609</v>
      </c>
      <c r="J2933" s="5">
        <v>1292</v>
      </c>
      <c r="K2933" s="5">
        <v>101</v>
      </c>
      <c r="L2933" s="5">
        <v>31</v>
      </c>
      <c r="M2933" s="5">
        <v>31</v>
      </c>
      <c r="N2933" s="7">
        <v>995.44</v>
      </c>
      <c r="O2933" s="7">
        <f t="shared" si="317"/>
        <v>30858.640000000003</v>
      </c>
      <c r="P2933" s="4">
        <v>0</v>
      </c>
      <c r="Q2933" s="7">
        <f t="shared" si="318"/>
        <v>0</v>
      </c>
      <c r="R2933" s="7">
        <f t="shared" si="319"/>
        <v>30858.640000000003</v>
      </c>
      <c r="S2933" s="7">
        <f t="shared" si="320"/>
        <v>995.44</v>
      </c>
      <c r="T2933" s="6">
        <f t="shared" si="321"/>
        <v>1.9266625233064015E-2</v>
      </c>
      <c r="V2933" t="s">
        <v>29</v>
      </c>
    </row>
    <row r="2934" spans="1:22">
      <c r="A2934" s="3">
        <v>45780</v>
      </c>
      <c r="B2934" t="str">
        <f t="shared" si="315"/>
        <v>yyyy-05</v>
      </c>
      <c r="C2934">
        <f t="shared" si="316"/>
        <v>18</v>
      </c>
      <c r="D2934" t="s">
        <v>24</v>
      </c>
      <c r="E2934" t="s">
        <v>25</v>
      </c>
      <c r="F2934" t="s">
        <v>30</v>
      </c>
      <c r="G2934" t="s">
        <v>36</v>
      </c>
      <c r="H2934" t="s">
        <v>37</v>
      </c>
      <c r="I2934" s="5">
        <v>2168</v>
      </c>
      <c r="J2934" s="5">
        <v>1321</v>
      </c>
      <c r="K2934" s="5">
        <v>140</v>
      </c>
      <c r="L2934" s="5">
        <v>42</v>
      </c>
      <c r="M2934" s="5">
        <v>42</v>
      </c>
      <c r="N2934" s="7">
        <v>402.96</v>
      </c>
      <c r="O2934" s="7">
        <f t="shared" si="317"/>
        <v>16924.32</v>
      </c>
      <c r="P2934" s="4">
        <v>0.05</v>
      </c>
      <c r="Q2934" s="7">
        <f t="shared" si="318"/>
        <v>846.21600000000001</v>
      </c>
      <c r="R2934" s="7">
        <f t="shared" si="319"/>
        <v>16078.103999999999</v>
      </c>
      <c r="S2934" s="7">
        <f t="shared" si="320"/>
        <v>382.81200000000001</v>
      </c>
      <c r="T2934" s="6">
        <f t="shared" si="321"/>
        <v>1.9372693726937271E-2</v>
      </c>
      <c r="V2934" t="s">
        <v>29</v>
      </c>
    </row>
    <row r="2935" spans="1:22">
      <c r="A2935" s="3">
        <v>45780</v>
      </c>
      <c r="B2935" t="str">
        <f t="shared" si="315"/>
        <v>yyyy-05</v>
      </c>
      <c r="C2935">
        <f t="shared" si="316"/>
        <v>18</v>
      </c>
      <c r="D2935" t="s">
        <v>24</v>
      </c>
      <c r="E2935" t="s">
        <v>25</v>
      </c>
      <c r="F2935" t="s">
        <v>33</v>
      </c>
      <c r="G2935" t="s">
        <v>27</v>
      </c>
      <c r="H2935" t="s">
        <v>48</v>
      </c>
      <c r="I2935" s="5">
        <v>1493</v>
      </c>
      <c r="J2935" s="5">
        <v>1039</v>
      </c>
      <c r="K2935" s="5">
        <v>84</v>
      </c>
      <c r="L2935" s="5">
        <v>24</v>
      </c>
      <c r="M2935" s="5">
        <v>24</v>
      </c>
      <c r="N2935" s="7">
        <v>1767.48</v>
      </c>
      <c r="O2935" s="7">
        <f t="shared" si="317"/>
        <v>42419.520000000004</v>
      </c>
      <c r="P2935" s="4">
        <v>0</v>
      </c>
      <c r="Q2935" s="7">
        <f t="shared" si="318"/>
        <v>0</v>
      </c>
      <c r="R2935" s="7">
        <f t="shared" si="319"/>
        <v>42419.520000000004</v>
      </c>
      <c r="S2935" s="7">
        <f t="shared" si="320"/>
        <v>1767.4800000000002</v>
      </c>
      <c r="T2935" s="6">
        <f t="shared" si="321"/>
        <v>1.6075016744809108E-2</v>
      </c>
      <c r="V2935" t="s">
        <v>29</v>
      </c>
    </row>
    <row r="2936" spans="1:22">
      <c r="A2936" s="3">
        <v>45780</v>
      </c>
      <c r="B2936" t="str">
        <f t="shared" si="315"/>
        <v>yyyy-05</v>
      </c>
      <c r="C2936">
        <f t="shared" si="316"/>
        <v>18</v>
      </c>
      <c r="D2936" t="s">
        <v>24</v>
      </c>
      <c r="E2936" t="s">
        <v>34</v>
      </c>
      <c r="F2936" t="s">
        <v>35</v>
      </c>
      <c r="G2936" t="s">
        <v>31</v>
      </c>
      <c r="H2936" t="s">
        <v>32</v>
      </c>
      <c r="I2936" s="5">
        <v>1126</v>
      </c>
      <c r="J2936" s="5">
        <v>682</v>
      </c>
      <c r="K2936" s="5">
        <v>70</v>
      </c>
      <c r="L2936" s="5">
        <v>18</v>
      </c>
      <c r="M2936" s="5">
        <v>18</v>
      </c>
      <c r="N2936" s="7">
        <v>881.33</v>
      </c>
      <c r="O2936" s="7">
        <f t="shared" si="317"/>
        <v>15863.94</v>
      </c>
      <c r="P2936" s="4">
        <v>0.03</v>
      </c>
      <c r="Q2936" s="7">
        <f t="shared" si="318"/>
        <v>475.91820000000001</v>
      </c>
      <c r="R2936" s="7">
        <f t="shared" si="319"/>
        <v>15388.0218</v>
      </c>
      <c r="S2936" s="7">
        <f t="shared" si="320"/>
        <v>854.89010000000007</v>
      </c>
      <c r="T2936" s="6">
        <f t="shared" si="321"/>
        <v>1.5985790408525755E-2</v>
      </c>
      <c r="V2936" t="s">
        <v>29</v>
      </c>
    </row>
    <row r="2937" spans="1:22">
      <c r="A2937" s="3">
        <v>45780</v>
      </c>
      <c r="B2937" t="str">
        <f t="shared" si="315"/>
        <v>yyyy-05</v>
      </c>
      <c r="C2937">
        <f t="shared" si="316"/>
        <v>18</v>
      </c>
      <c r="D2937" t="s">
        <v>24</v>
      </c>
      <c r="E2937" t="s">
        <v>38</v>
      </c>
      <c r="F2937" t="s">
        <v>39</v>
      </c>
      <c r="G2937" t="s">
        <v>27</v>
      </c>
      <c r="H2937" t="s">
        <v>45</v>
      </c>
      <c r="I2937" s="5">
        <v>828</v>
      </c>
      <c r="J2937" s="5">
        <v>625</v>
      </c>
      <c r="K2937" s="5">
        <v>67</v>
      </c>
      <c r="L2937" s="5">
        <v>19</v>
      </c>
      <c r="M2937" s="5">
        <v>19</v>
      </c>
      <c r="N2937" s="7">
        <v>328.93</v>
      </c>
      <c r="O2937" s="7">
        <f t="shared" si="317"/>
        <v>6249.67</v>
      </c>
      <c r="P2937" s="4">
        <v>0</v>
      </c>
      <c r="Q2937" s="7">
        <f t="shared" si="318"/>
        <v>0</v>
      </c>
      <c r="R2937" s="7">
        <f t="shared" si="319"/>
        <v>6249.67</v>
      </c>
      <c r="S2937" s="7">
        <f t="shared" si="320"/>
        <v>328.93</v>
      </c>
      <c r="T2937" s="6">
        <f t="shared" si="321"/>
        <v>2.2946859903381644E-2</v>
      </c>
      <c r="V2937" t="s">
        <v>29</v>
      </c>
    </row>
    <row r="2938" spans="1:22">
      <c r="A2938" s="3">
        <v>45780</v>
      </c>
      <c r="B2938" t="str">
        <f t="shared" si="315"/>
        <v>yyyy-05</v>
      </c>
      <c r="C2938">
        <f t="shared" si="316"/>
        <v>18</v>
      </c>
      <c r="D2938" t="s">
        <v>24</v>
      </c>
      <c r="E2938" t="s">
        <v>40</v>
      </c>
      <c r="F2938" t="s">
        <v>41</v>
      </c>
      <c r="G2938" t="s">
        <v>36</v>
      </c>
      <c r="H2938" t="s">
        <v>37</v>
      </c>
      <c r="I2938" s="5">
        <v>881</v>
      </c>
      <c r="J2938" s="5">
        <v>553</v>
      </c>
      <c r="K2938" s="5">
        <v>79</v>
      </c>
      <c r="L2938" s="5">
        <v>21</v>
      </c>
      <c r="M2938" s="5">
        <v>22</v>
      </c>
      <c r="N2938" s="7">
        <v>175.34</v>
      </c>
      <c r="O2938" s="7">
        <f t="shared" si="317"/>
        <v>3857.48</v>
      </c>
      <c r="P2938" s="4">
        <v>0</v>
      </c>
      <c r="Q2938" s="7">
        <f t="shared" si="318"/>
        <v>0</v>
      </c>
      <c r="R2938" s="7">
        <f t="shared" si="319"/>
        <v>3857.48</v>
      </c>
      <c r="S2938" s="7">
        <f t="shared" si="320"/>
        <v>183.68952380952382</v>
      </c>
      <c r="T2938" s="6">
        <f t="shared" si="321"/>
        <v>2.383654937570942E-2</v>
      </c>
      <c r="V2938" t="s">
        <v>29</v>
      </c>
    </row>
    <row r="2939" spans="1:22">
      <c r="A2939" s="3">
        <v>45780</v>
      </c>
      <c r="B2939" t="str">
        <f t="shared" si="315"/>
        <v>yyyy-05</v>
      </c>
      <c r="C2939">
        <f t="shared" si="316"/>
        <v>18</v>
      </c>
      <c r="D2939" t="s">
        <v>42</v>
      </c>
      <c r="E2939" t="s">
        <v>43</v>
      </c>
      <c r="F2939" t="s">
        <v>44</v>
      </c>
      <c r="G2939" t="s">
        <v>27</v>
      </c>
      <c r="H2939" t="s">
        <v>45</v>
      </c>
      <c r="I2939" s="5">
        <v>510</v>
      </c>
      <c r="J2939" s="5">
        <v>313</v>
      </c>
      <c r="K2939" s="5">
        <v>30</v>
      </c>
      <c r="L2939" s="5">
        <v>9</v>
      </c>
      <c r="M2939" s="5">
        <v>9</v>
      </c>
      <c r="N2939" s="7">
        <v>1285.44</v>
      </c>
      <c r="O2939" s="7">
        <f t="shared" si="317"/>
        <v>11568.960000000001</v>
      </c>
      <c r="P2939" s="4">
        <v>0</v>
      </c>
      <c r="Q2939" s="7">
        <f t="shared" si="318"/>
        <v>0</v>
      </c>
      <c r="R2939" s="7">
        <f t="shared" si="319"/>
        <v>11568.960000000001</v>
      </c>
      <c r="S2939" s="7">
        <f t="shared" si="320"/>
        <v>1285.44</v>
      </c>
      <c r="T2939" s="6">
        <f t="shared" si="321"/>
        <v>1.7647058823529412E-2</v>
      </c>
      <c r="V2939" t="s">
        <v>29</v>
      </c>
    </row>
    <row r="2940" spans="1:22">
      <c r="A2940" s="3">
        <v>45780</v>
      </c>
      <c r="B2940" t="str">
        <f t="shared" si="315"/>
        <v>yyyy-05</v>
      </c>
      <c r="C2940">
        <f t="shared" si="316"/>
        <v>18</v>
      </c>
      <c r="D2940" t="s">
        <v>42</v>
      </c>
      <c r="E2940" t="s">
        <v>43</v>
      </c>
      <c r="F2940" t="s">
        <v>46</v>
      </c>
      <c r="G2940" t="s">
        <v>36</v>
      </c>
      <c r="H2940" t="s">
        <v>37</v>
      </c>
      <c r="I2940" s="5">
        <v>519</v>
      </c>
      <c r="J2940" s="5">
        <v>297</v>
      </c>
      <c r="K2940" s="5">
        <v>26</v>
      </c>
      <c r="L2940" s="5">
        <v>6</v>
      </c>
      <c r="M2940" s="5">
        <v>6</v>
      </c>
      <c r="N2940" s="7">
        <v>2212.33</v>
      </c>
      <c r="O2940" s="7">
        <f t="shared" si="317"/>
        <v>13273.98</v>
      </c>
      <c r="P2940" s="4">
        <v>0</v>
      </c>
      <c r="Q2940" s="7">
        <f t="shared" si="318"/>
        <v>0</v>
      </c>
      <c r="R2940" s="7">
        <f t="shared" si="319"/>
        <v>13273.98</v>
      </c>
      <c r="S2940" s="7">
        <f t="shared" si="320"/>
        <v>2212.33</v>
      </c>
      <c r="T2940" s="6">
        <f t="shared" si="321"/>
        <v>1.1560693641618497E-2</v>
      </c>
      <c r="V2940" t="s">
        <v>29</v>
      </c>
    </row>
    <row r="2941" spans="1:22">
      <c r="A2941" s="3">
        <v>45780</v>
      </c>
      <c r="B2941" t="str">
        <f t="shared" si="315"/>
        <v>yyyy-05</v>
      </c>
      <c r="C2941">
        <f t="shared" si="316"/>
        <v>18</v>
      </c>
      <c r="D2941" t="s">
        <v>42</v>
      </c>
      <c r="E2941" t="s">
        <v>43</v>
      </c>
      <c r="F2941" t="s">
        <v>47</v>
      </c>
      <c r="G2941" t="s">
        <v>27</v>
      </c>
      <c r="H2941" t="s">
        <v>48</v>
      </c>
      <c r="I2941" s="5">
        <v>568</v>
      </c>
      <c r="J2941" s="5">
        <v>347</v>
      </c>
      <c r="K2941" s="5">
        <v>30</v>
      </c>
      <c r="L2941" s="5">
        <v>6</v>
      </c>
      <c r="M2941" s="5">
        <v>6</v>
      </c>
      <c r="N2941" s="7">
        <v>591.80999999999995</v>
      </c>
      <c r="O2941" s="7">
        <f t="shared" si="317"/>
        <v>3550.8599999999997</v>
      </c>
      <c r="P2941" s="4">
        <v>0</v>
      </c>
      <c r="Q2941" s="7">
        <f t="shared" si="318"/>
        <v>0</v>
      </c>
      <c r="R2941" s="7">
        <f t="shared" si="319"/>
        <v>3550.8599999999997</v>
      </c>
      <c r="S2941" s="7">
        <f t="shared" si="320"/>
        <v>591.80999999999995</v>
      </c>
      <c r="T2941" s="6">
        <f t="shared" si="321"/>
        <v>1.0563380281690141E-2</v>
      </c>
      <c r="V2941" t="s">
        <v>29</v>
      </c>
    </row>
    <row r="2942" spans="1:22">
      <c r="A2942" s="3">
        <v>45780</v>
      </c>
      <c r="B2942" t="str">
        <f t="shared" si="315"/>
        <v>yyyy-05</v>
      </c>
      <c r="C2942">
        <f t="shared" si="316"/>
        <v>18</v>
      </c>
      <c r="D2942" t="s">
        <v>42</v>
      </c>
      <c r="E2942" t="s">
        <v>49</v>
      </c>
      <c r="F2942" t="s">
        <v>50</v>
      </c>
      <c r="G2942" t="s">
        <v>27</v>
      </c>
      <c r="H2942" t="s">
        <v>63</v>
      </c>
      <c r="I2942" s="5">
        <v>125</v>
      </c>
      <c r="J2942" s="5">
        <v>69</v>
      </c>
      <c r="K2942" s="5">
        <v>5</v>
      </c>
      <c r="L2942" s="5">
        <v>1</v>
      </c>
      <c r="M2942" s="5">
        <v>1</v>
      </c>
      <c r="N2942" s="7">
        <v>972.75</v>
      </c>
      <c r="O2942" s="7">
        <f t="shared" si="317"/>
        <v>972.75</v>
      </c>
      <c r="P2942" s="4">
        <v>0.05</v>
      </c>
      <c r="Q2942" s="7">
        <f t="shared" si="318"/>
        <v>48.637500000000003</v>
      </c>
      <c r="R2942" s="7">
        <f t="shared" si="319"/>
        <v>924.11249999999995</v>
      </c>
      <c r="S2942" s="7">
        <f t="shared" si="320"/>
        <v>924.11249999999995</v>
      </c>
      <c r="T2942" s="6">
        <f t="shared" si="321"/>
        <v>8.0000000000000002E-3</v>
      </c>
      <c r="V2942" t="s">
        <v>78</v>
      </c>
    </row>
    <row r="2943" spans="1:22">
      <c r="A2943" s="3">
        <v>45780</v>
      </c>
      <c r="B2943" t="str">
        <f t="shared" si="315"/>
        <v>yyyy-05</v>
      </c>
      <c r="C2943">
        <f t="shared" si="316"/>
        <v>18</v>
      </c>
      <c r="D2943" t="s">
        <v>42</v>
      </c>
      <c r="E2943" t="s">
        <v>51</v>
      </c>
      <c r="F2943" t="s">
        <v>52</v>
      </c>
      <c r="G2943" t="s">
        <v>36</v>
      </c>
      <c r="H2943" t="s">
        <v>37</v>
      </c>
      <c r="I2943" s="5">
        <v>459</v>
      </c>
      <c r="J2943" s="5">
        <v>276</v>
      </c>
      <c r="K2943" s="5">
        <v>19</v>
      </c>
      <c r="L2943" s="5">
        <v>7</v>
      </c>
      <c r="M2943" s="5">
        <v>7</v>
      </c>
      <c r="N2943" s="7">
        <v>588.16999999999996</v>
      </c>
      <c r="O2943" s="7">
        <f t="shared" si="317"/>
        <v>4117.1899999999996</v>
      </c>
      <c r="P2943" s="4">
        <v>0</v>
      </c>
      <c r="Q2943" s="7">
        <f t="shared" si="318"/>
        <v>0</v>
      </c>
      <c r="R2943" s="7">
        <f t="shared" si="319"/>
        <v>4117.1899999999996</v>
      </c>
      <c r="S2943" s="7">
        <f t="shared" si="320"/>
        <v>588.16999999999996</v>
      </c>
      <c r="T2943" s="6">
        <f t="shared" si="321"/>
        <v>1.5250544662309368E-2</v>
      </c>
      <c r="V2943" t="s">
        <v>29</v>
      </c>
    </row>
    <row r="2944" spans="1:22">
      <c r="A2944" s="3">
        <v>45780</v>
      </c>
      <c r="B2944" t="str">
        <f t="shared" si="315"/>
        <v>yyyy-05</v>
      </c>
      <c r="C2944">
        <f t="shared" si="316"/>
        <v>18</v>
      </c>
      <c r="D2944" t="s">
        <v>53</v>
      </c>
      <c r="E2944" t="s">
        <v>54</v>
      </c>
      <c r="F2944" t="s">
        <v>55</v>
      </c>
      <c r="G2944" t="s">
        <v>27</v>
      </c>
      <c r="H2944" t="s">
        <v>63</v>
      </c>
      <c r="I2944" s="5">
        <v>177</v>
      </c>
      <c r="J2944" s="5">
        <v>97</v>
      </c>
      <c r="K2944" s="5">
        <v>10</v>
      </c>
      <c r="L2944" s="5">
        <v>2</v>
      </c>
      <c r="M2944" s="5">
        <v>2</v>
      </c>
      <c r="N2944" s="7">
        <v>1285.06</v>
      </c>
      <c r="O2944" s="7">
        <f t="shared" si="317"/>
        <v>2570.12</v>
      </c>
      <c r="P2944" s="4">
        <v>0</v>
      </c>
      <c r="Q2944" s="7">
        <f t="shared" si="318"/>
        <v>0</v>
      </c>
      <c r="R2944" s="7">
        <f t="shared" si="319"/>
        <v>2570.12</v>
      </c>
      <c r="S2944" s="7">
        <f t="shared" si="320"/>
        <v>1285.06</v>
      </c>
      <c r="T2944" s="6">
        <f t="shared" si="321"/>
        <v>1.1299435028248588E-2</v>
      </c>
      <c r="V2944" t="s">
        <v>29</v>
      </c>
    </row>
    <row r="2945" spans="1:22">
      <c r="A2945" s="3">
        <v>45780</v>
      </c>
      <c r="B2945" t="str">
        <f t="shared" si="315"/>
        <v>yyyy-05</v>
      </c>
      <c r="C2945">
        <f t="shared" si="316"/>
        <v>18</v>
      </c>
      <c r="D2945" t="s">
        <v>53</v>
      </c>
      <c r="E2945" t="s">
        <v>56</v>
      </c>
      <c r="F2945" t="s">
        <v>57</v>
      </c>
      <c r="G2945" t="s">
        <v>31</v>
      </c>
      <c r="H2945" t="s">
        <v>32</v>
      </c>
      <c r="I2945" s="5">
        <v>270</v>
      </c>
      <c r="J2945" s="5">
        <v>192</v>
      </c>
      <c r="K2945" s="5">
        <v>10</v>
      </c>
      <c r="L2945" s="5">
        <v>3</v>
      </c>
      <c r="M2945" s="5">
        <v>3</v>
      </c>
      <c r="N2945" s="7">
        <v>735.52</v>
      </c>
      <c r="O2945" s="7">
        <f t="shared" si="317"/>
        <v>2206.56</v>
      </c>
      <c r="P2945" s="4">
        <v>0.03</v>
      </c>
      <c r="Q2945" s="7">
        <f t="shared" si="318"/>
        <v>66.196799999999996</v>
      </c>
      <c r="R2945" s="7">
        <f t="shared" si="319"/>
        <v>2140.3631999999998</v>
      </c>
      <c r="S2945" s="7">
        <f t="shared" si="320"/>
        <v>713.45439999999996</v>
      </c>
      <c r="T2945" s="6">
        <f t="shared" si="321"/>
        <v>1.1111111111111112E-2</v>
      </c>
      <c r="V2945" t="s">
        <v>29</v>
      </c>
    </row>
    <row r="2946" spans="1:22">
      <c r="A2946" s="3">
        <v>45780</v>
      </c>
      <c r="B2946" t="str">
        <f t="shared" si="315"/>
        <v>yyyy-05</v>
      </c>
      <c r="C2946">
        <f t="shared" si="316"/>
        <v>18</v>
      </c>
      <c r="D2946" t="s">
        <v>53</v>
      </c>
      <c r="E2946" t="s">
        <v>56</v>
      </c>
      <c r="F2946" t="s">
        <v>58</v>
      </c>
      <c r="G2946" t="s">
        <v>36</v>
      </c>
      <c r="H2946" t="s">
        <v>37</v>
      </c>
      <c r="I2946" s="5">
        <v>238</v>
      </c>
      <c r="J2946" s="5">
        <v>180</v>
      </c>
      <c r="K2946" s="5">
        <v>19</v>
      </c>
      <c r="L2946" s="5">
        <v>2</v>
      </c>
      <c r="M2946" s="5">
        <v>2</v>
      </c>
      <c r="N2946" s="7">
        <v>889.25</v>
      </c>
      <c r="O2946" s="7">
        <f t="shared" si="317"/>
        <v>1778.5</v>
      </c>
      <c r="P2946" s="4">
        <v>0.03</v>
      </c>
      <c r="Q2946" s="7">
        <f t="shared" si="318"/>
        <v>53.354999999999997</v>
      </c>
      <c r="R2946" s="7">
        <f t="shared" si="319"/>
        <v>1725.145</v>
      </c>
      <c r="S2946" s="7">
        <f t="shared" si="320"/>
        <v>862.57249999999999</v>
      </c>
      <c r="T2946" s="6">
        <f t="shared" si="321"/>
        <v>8.4033613445378148E-3</v>
      </c>
      <c r="V2946" t="s">
        <v>78</v>
      </c>
    </row>
    <row r="2947" spans="1:22">
      <c r="A2947" s="3">
        <v>45780</v>
      </c>
      <c r="B2947" t="str">
        <f t="shared" si="315"/>
        <v>yyyy-05</v>
      </c>
      <c r="C2947">
        <f t="shared" si="316"/>
        <v>18</v>
      </c>
      <c r="D2947" t="s">
        <v>53</v>
      </c>
      <c r="E2947" t="s">
        <v>59</v>
      </c>
      <c r="F2947" t="s">
        <v>60</v>
      </c>
      <c r="G2947" t="s">
        <v>27</v>
      </c>
      <c r="H2947" t="s">
        <v>28</v>
      </c>
      <c r="I2947" s="5">
        <v>144</v>
      </c>
      <c r="J2947" s="5">
        <v>92</v>
      </c>
      <c r="K2947" s="5">
        <v>8</v>
      </c>
      <c r="L2947" s="5">
        <v>1</v>
      </c>
      <c r="M2947" s="5">
        <v>1</v>
      </c>
      <c r="N2947" s="7">
        <v>709.17</v>
      </c>
      <c r="O2947" s="7">
        <f t="shared" si="317"/>
        <v>709.17</v>
      </c>
      <c r="P2947" s="4">
        <v>0</v>
      </c>
      <c r="Q2947" s="7">
        <f t="shared" si="318"/>
        <v>0</v>
      </c>
      <c r="R2947" s="7">
        <f t="shared" si="319"/>
        <v>709.17</v>
      </c>
      <c r="S2947" s="7">
        <f t="shared" si="320"/>
        <v>709.17</v>
      </c>
      <c r="T2947" s="6">
        <f t="shared" si="321"/>
        <v>6.9444444444444441E-3</v>
      </c>
      <c r="V2947" t="s">
        <v>29</v>
      </c>
    </row>
    <row r="2948" spans="1:22">
      <c r="A2948" s="3">
        <v>45780</v>
      </c>
      <c r="B2948" t="str">
        <f t="shared" si="315"/>
        <v>yyyy-05</v>
      </c>
      <c r="C2948">
        <f t="shared" si="316"/>
        <v>18</v>
      </c>
      <c r="D2948" t="s">
        <v>53</v>
      </c>
      <c r="E2948" t="s">
        <v>61</v>
      </c>
      <c r="F2948" t="s">
        <v>62</v>
      </c>
      <c r="G2948" t="s">
        <v>27</v>
      </c>
      <c r="H2948" t="s">
        <v>28</v>
      </c>
      <c r="I2948" s="5">
        <v>201</v>
      </c>
      <c r="J2948" s="5">
        <v>130</v>
      </c>
      <c r="K2948" s="5">
        <v>12</v>
      </c>
      <c r="L2948" s="5">
        <v>2</v>
      </c>
      <c r="M2948" s="5">
        <v>2</v>
      </c>
      <c r="N2948" s="7">
        <v>507.85</v>
      </c>
      <c r="O2948" s="7">
        <f t="shared" si="317"/>
        <v>1015.7</v>
      </c>
      <c r="P2948" s="4">
        <v>0</v>
      </c>
      <c r="Q2948" s="7">
        <f t="shared" si="318"/>
        <v>0</v>
      </c>
      <c r="R2948" s="7">
        <f t="shared" si="319"/>
        <v>1015.7</v>
      </c>
      <c r="S2948" s="7">
        <f t="shared" si="320"/>
        <v>507.85</v>
      </c>
      <c r="T2948" s="6">
        <f t="shared" si="321"/>
        <v>9.9502487562189053E-3</v>
      </c>
      <c r="V2948" t="s">
        <v>29</v>
      </c>
    </row>
    <row r="2949" spans="1:22">
      <c r="A2949" s="3">
        <v>45780</v>
      </c>
      <c r="B2949" t="str">
        <f t="shared" ref="B2949:B3012" si="322">TEXT(A2949,"yyyy-mm")</f>
        <v>yyyy-05</v>
      </c>
      <c r="C2949">
        <f t="shared" ref="C2949:C3012" si="323">WEEKNUM(A2949,2)</f>
        <v>18</v>
      </c>
      <c r="D2949" t="s">
        <v>53</v>
      </c>
      <c r="E2949" t="s">
        <v>64</v>
      </c>
      <c r="F2949" t="s">
        <v>65</v>
      </c>
      <c r="G2949" t="s">
        <v>36</v>
      </c>
      <c r="H2949" t="s">
        <v>37</v>
      </c>
      <c r="I2949" s="5">
        <v>245</v>
      </c>
      <c r="J2949" s="5">
        <v>188</v>
      </c>
      <c r="K2949" s="5">
        <v>18</v>
      </c>
      <c r="L2949" s="5">
        <v>3</v>
      </c>
      <c r="M2949" s="5">
        <v>3</v>
      </c>
      <c r="N2949" s="7">
        <v>779.24</v>
      </c>
      <c r="O2949" s="7">
        <f t="shared" ref="O2949:O3012" si="324">M2949*N2949</f>
        <v>2337.7200000000003</v>
      </c>
      <c r="P2949" s="4">
        <v>0</v>
      </c>
      <c r="Q2949" s="7">
        <f t="shared" ref="Q2949:Q3012" si="325">O2949*P2949</f>
        <v>0</v>
      </c>
      <c r="R2949" s="7">
        <f t="shared" ref="R2949:R3012" si="326">O2949-Q2949</f>
        <v>2337.7200000000003</v>
      </c>
      <c r="S2949" s="7">
        <f t="shared" ref="S2949:S3012" si="327">IFERROR(R2949/L2949,0)</f>
        <v>779.24000000000012</v>
      </c>
      <c r="T2949" s="6">
        <f t="shared" ref="T2949:T3012" si="328">IFERROR(L2949/I2949,0)</f>
        <v>1.2244897959183673E-2</v>
      </c>
      <c r="V2949" t="s">
        <v>29</v>
      </c>
    </row>
    <row r="2950" spans="1:22">
      <c r="A2950" s="3">
        <v>45780</v>
      </c>
      <c r="B2950" t="str">
        <f t="shared" si="322"/>
        <v>yyyy-05</v>
      </c>
      <c r="C2950">
        <f t="shared" si="323"/>
        <v>18</v>
      </c>
      <c r="D2950" t="s">
        <v>66</v>
      </c>
      <c r="E2950" t="s">
        <v>67</v>
      </c>
      <c r="F2950" t="s">
        <v>68</v>
      </c>
      <c r="G2950" t="s">
        <v>27</v>
      </c>
      <c r="H2950" t="s">
        <v>63</v>
      </c>
      <c r="I2950" s="5">
        <v>323</v>
      </c>
      <c r="J2950" s="5">
        <v>240</v>
      </c>
      <c r="K2950" s="5">
        <v>29</v>
      </c>
      <c r="L2950" s="5">
        <v>7</v>
      </c>
      <c r="M2950" s="5">
        <v>7</v>
      </c>
      <c r="N2950" s="7">
        <v>676.26</v>
      </c>
      <c r="O2950" s="7">
        <f t="shared" si="324"/>
        <v>4733.82</v>
      </c>
      <c r="P2950" s="4">
        <v>0.05</v>
      </c>
      <c r="Q2950" s="7">
        <f t="shared" si="325"/>
        <v>236.691</v>
      </c>
      <c r="R2950" s="7">
        <f t="shared" si="326"/>
        <v>4497.1289999999999</v>
      </c>
      <c r="S2950" s="7">
        <f t="shared" si="327"/>
        <v>642.447</v>
      </c>
      <c r="T2950" s="6">
        <f t="shared" si="328"/>
        <v>2.1671826625386997E-2</v>
      </c>
      <c r="V2950" t="s">
        <v>29</v>
      </c>
    </row>
    <row r="2951" spans="1:22">
      <c r="A2951" s="3">
        <v>45780</v>
      </c>
      <c r="B2951" t="str">
        <f t="shared" si="322"/>
        <v>yyyy-05</v>
      </c>
      <c r="C2951">
        <f t="shared" si="323"/>
        <v>18</v>
      </c>
      <c r="D2951" t="s">
        <v>66</v>
      </c>
      <c r="E2951" t="s">
        <v>67</v>
      </c>
      <c r="F2951" t="s">
        <v>69</v>
      </c>
      <c r="G2951" t="s">
        <v>36</v>
      </c>
      <c r="H2951" t="s">
        <v>37</v>
      </c>
      <c r="I2951" s="5">
        <v>572</v>
      </c>
      <c r="J2951" s="5">
        <v>335</v>
      </c>
      <c r="K2951" s="5">
        <v>41</v>
      </c>
      <c r="L2951" s="5">
        <v>13</v>
      </c>
      <c r="M2951" s="5">
        <v>13</v>
      </c>
      <c r="N2951" s="7">
        <v>383.93</v>
      </c>
      <c r="O2951" s="7">
        <f t="shared" si="324"/>
        <v>4991.09</v>
      </c>
      <c r="P2951" s="4">
        <v>0</v>
      </c>
      <c r="Q2951" s="7">
        <f t="shared" si="325"/>
        <v>0</v>
      </c>
      <c r="R2951" s="7">
        <f t="shared" si="326"/>
        <v>4991.09</v>
      </c>
      <c r="S2951" s="7">
        <f t="shared" si="327"/>
        <v>383.93</v>
      </c>
      <c r="T2951" s="6">
        <f t="shared" si="328"/>
        <v>2.2727272727272728E-2</v>
      </c>
      <c r="V2951" t="s">
        <v>29</v>
      </c>
    </row>
    <row r="2952" spans="1:22">
      <c r="A2952" s="3">
        <v>45780</v>
      </c>
      <c r="B2952" t="str">
        <f t="shared" si="322"/>
        <v>yyyy-05</v>
      </c>
      <c r="C2952">
        <f t="shared" si="323"/>
        <v>18</v>
      </c>
      <c r="D2952" t="s">
        <v>66</v>
      </c>
      <c r="E2952" t="s">
        <v>67</v>
      </c>
      <c r="F2952" t="s">
        <v>70</v>
      </c>
      <c r="G2952" t="s">
        <v>36</v>
      </c>
      <c r="H2952" t="s">
        <v>37</v>
      </c>
      <c r="I2952" s="5">
        <v>481</v>
      </c>
      <c r="J2952" s="5">
        <v>308</v>
      </c>
      <c r="K2952" s="5">
        <v>27</v>
      </c>
      <c r="L2952" s="5">
        <v>7</v>
      </c>
      <c r="M2952" s="5">
        <v>7</v>
      </c>
      <c r="N2952" s="7">
        <v>335.69</v>
      </c>
      <c r="O2952" s="7">
        <f t="shared" si="324"/>
        <v>2349.83</v>
      </c>
      <c r="P2952" s="4">
        <v>0</v>
      </c>
      <c r="Q2952" s="7">
        <f t="shared" si="325"/>
        <v>0</v>
      </c>
      <c r="R2952" s="7">
        <f t="shared" si="326"/>
        <v>2349.83</v>
      </c>
      <c r="S2952" s="7">
        <f t="shared" si="327"/>
        <v>335.69</v>
      </c>
      <c r="T2952" s="6">
        <f t="shared" si="328"/>
        <v>1.4553014553014554E-2</v>
      </c>
      <c r="V2952" t="s">
        <v>29</v>
      </c>
    </row>
    <row r="2953" spans="1:22">
      <c r="A2953" s="3">
        <v>45780</v>
      </c>
      <c r="B2953" t="str">
        <f t="shared" si="322"/>
        <v>yyyy-05</v>
      </c>
      <c r="C2953">
        <f t="shared" si="323"/>
        <v>18</v>
      </c>
      <c r="D2953" t="s">
        <v>66</v>
      </c>
      <c r="E2953" t="s">
        <v>71</v>
      </c>
      <c r="F2953" t="s">
        <v>72</v>
      </c>
      <c r="G2953" t="s">
        <v>27</v>
      </c>
      <c r="H2953" t="s">
        <v>48</v>
      </c>
      <c r="I2953" s="5">
        <v>353</v>
      </c>
      <c r="J2953" s="5">
        <v>246</v>
      </c>
      <c r="K2953" s="5">
        <v>26</v>
      </c>
      <c r="L2953" s="5">
        <v>7</v>
      </c>
      <c r="M2953" s="5">
        <v>8</v>
      </c>
      <c r="N2953" s="7">
        <v>128.46</v>
      </c>
      <c r="O2953" s="7">
        <f t="shared" si="324"/>
        <v>1027.68</v>
      </c>
      <c r="P2953" s="4">
        <v>0</v>
      </c>
      <c r="Q2953" s="7">
        <f t="shared" si="325"/>
        <v>0</v>
      </c>
      <c r="R2953" s="7">
        <f t="shared" si="326"/>
        <v>1027.68</v>
      </c>
      <c r="S2953" s="7">
        <f t="shared" si="327"/>
        <v>146.81142857142859</v>
      </c>
      <c r="T2953" s="6">
        <f t="shared" si="328"/>
        <v>1.9830028328611898E-2</v>
      </c>
      <c r="V2953" t="s">
        <v>29</v>
      </c>
    </row>
    <row r="2954" spans="1:22">
      <c r="A2954" s="3">
        <v>45780</v>
      </c>
      <c r="B2954" t="str">
        <f t="shared" si="322"/>
        <v>yyyy-05</v>
      </c>
      <c r="C2954">
        <f t="shared" si="323"/>
        <v>18</v>
      </c>
      <c r="D2954" t="s">
        <v>66</v>
      </c>
      <c r="E2954" t="s">
        <v>73</v>
      </c>
      <c r="F2954" t="s">
        <v>74</v>
      </c>
      <c r="G2954" t="s">
        <v>27</v>
      </c>
      <c r="H2954" t="s">
        <v>63</v>
      </c>
      <c r="I2954" s="5">
        <v>188</v>
      </c>
      <c r="J2954" s="5">
        <v>137</v>
      </c>
      <c r="K2954" s="5">
        <v>16</v>
      </c>
      <c r="L2954" s="5">
        <v>4</v>
      </c>
      <c r="M2954" s="5">
        <v>4</v>
      </c>
      <c r="N2954" s="7">
        <v>1208.46</v>
      </c>
      <c r="O2954" s="7">
        <f t="shared" si="324"/>
        <v>4833.84</v>
      </c>
      <c r="P2954" s="4">
        <v>7.0000000000000007E-2</v>
      </c>
      <c r="Q2954" s="7">
        <f t="shared" si="325"/>
        <v>338.36880000000002</v>
      </c>
      <c r="R2954" s="7">
        <f t="shared" si="326"/>
        <v>4495.4712</v>
      </c>
      <c r="S2954" s="7">
        <f t="shared" si="327"/>
        <v>1123.8678</v>
      </c>
      <c r="T2954" s="6">
        <f t="shared" si="328"/>
        <v>2.1276595744680851E-2</v>
      </c>
      <c r="U2954" t="s">
        <v>95</v>
      </c>
      <c r="V2954" t="s">
        <v>29</v>
      </c>
    </row>
    <row r="2955" spans="1:22">
      <c r="A2955" s="3">
        <v>45780</v>
      </c>
      <c r="B2955" t="str">
        <f t="shared" si="322"/>
        <v>yyyy-05</v>
      </c>
      <c r="C2955">
        <f t="shared" si="323"/>
        <v>18</v>
      </c>
      <c r="D2955" t="s">
        <v>66</v>
      </c>
      <c r="E2955" t="s">
        <v>71</v>
      </c>
      <c r="F2955" t="s">
        <v>75</v>
      </c>
      <c r="G2955" t="s">
        <v>27</v>
      </c>
      <c r="H2955" t="s">
        <v>28</v>
      </c>
      <c r="I2955" s="5">
        <v>413</v>
      </c>
      <c r="J2955" s="5">
        <v>269</v>
      </c>
      <c r="K2955" s="5">
        <v>32</v>
      </c>
      <c r="L2955" s="5">
        <v>7</v>
      </c>
      <c r="M2955" s="5">
        <v>9</v>
      </c>
      <c r="N2955" s="7">
        <v>38.58</v>
      </c>
      <c r="O2955" s="7">
        <f t="shared" si="324"/>
        <v>347.21999999999997</v>
      </c>
      <c r="P2955" s="4">
        <v>0</v>
      </c>
      <c r="Q2955" s="7">
        <f t="shared" si="325"/>
        <v>0</v>
      </c>
      <c r="R2955" s="7">
        <f t="shared" si="326"/>
        <v>347.21999999999997</v>
      </c>
      <c r="S2955" s="7">
        <f t="shared" si="327"/>
        <v>49.60285714285714</v>
      </c>
      <c r="T2955" s="6">
        <f t="shared" si="328"/>
        <v>1.6949152542372881E-2</v>
      </c>
      <c r="V2955" t="s">
        <v>29</v>
      </c>
    </row>
    <row r="2956" spans="1:22">
      <c r="A2956" s="3">
        <v>45780</v>
      </c>
      <c r="B2956" t="str">
        <f t="shared" si="322"/>
        <v>yyyy-05</v>
      </c>
      <c r="C2956">
        <f t="shared" si="323"/>
        <v>18</v>
      </c>
      <c r="D2956" t="s">
        <v>24</v>
      </c>
      <c r="E2956" t="s">
        <v>76</v>
      </c>
      <c r="F2956" t="s">
        <v>77</v>
      </c>
      <c r="G2956" t="s">
        <v>31</v>
      </c>
      <c r="H2956" t="s">
        <v>32</v>
      </c>
      <c r="I2956" s="5">
        <v>533</v>
      </c>
      <c r="J2956" s="5">
        <v>393</v>
      </c>
      <c r="K2956" s="5">
        <v>24</v>
      </c>
      <c r="L2956" s="5">
        <v>11</v>
      </c>
      <c r="M2956" s="5">
        <v>12</v>
      </c>
      <c r="N2956" s="7">
        <v>197.42</v>
      </c>
      <c r="O2956" s="7">
        <f t="shared" si="324"/>
        <v>2369.04</v>
      </c>
      <c r="P2956" s="4">
        <v>0.05</v>
      </c>
      <c r="Q2956" s="7">
        <f t="shared" si="325"/>
        <v>118.452</v>
      </c>
      <c r="R2956" s="7">
        <f t="shared" si="326"/>
        <v>2250.5879999999997</v>
      </c>
      <c r="S2956" s="7">
        <f t="shared" si="327"/>
        <v>204.59890909090907</v>
      </c>
      <c r="T2956" s="6">
        <f t="shared" si="328"/>
        <v>2.0637898686679174E-2</v>
      </c>
      <c r="V2956" t="s">
        <v>29</v>
      </c>
    </row>
    <row r="2957" spans="1:22">
      <c r="A2957" s="3">
        <v>45781</v>
      </c>
      <c r="B2957" t="str">
        <f t="shared" si="322"/>
        <v>yyyy-05</v>
      </c>
      <c r="C2957">
        <f t="shared" si="323"/>
        <v>18</v>
      </c>
      <c r="D2957" t="s">
        <v>24</v>
      </c>
      <c r="E2957" t="s">
        <v>25</v>
      </c>
      <c r="F2957" t="s">
        <v>26</v>
      </c>
      <c r="G2957" t="s">
        <v>31</v>
      </c>
      <c r="H2957" t="s">
        <v>32</v>
      </c>
      <c r="I2957" s="5">
        <v>2231</v>
      </c>
      <c r="J2957" s="5">
        <v>1233</v>
      </c>
      <c r="K2957" s="5">
        <v>77</v>
      </c>
      <c r="L2957" s="5">
        <v>38</v>
      </c>
      <c r="M2957" s="5">
        <v>38</v>
      </c>
      <c r="N2957" s="7">
        <v>961.86</v>
      </c>
      <c r="O2957" s="7">
        <f t="shared" si="324"/>
        <v>36550.68</v>
      </c>
      <c r="P2957" s="4">
        <v>0</v>
      </c>
      <c r="Q2957" s="7">
        <f t="shared" si="325"/>
        <v>0</v>
      </c>
      <c r="R2957" s="7">
        <f t="shared" si="326"/>
        <v>36550.68</v>
      </c>
      <c r="S2957" s="7">
        <f t="shared" si="327"/>
        <v>961.86</v>
      </c>
      <c r="T2957" s="6">
        <f t="shared" si="328"/>
        <v>1.7032720753025549E-2</v>
      </c>
      <c r="V2957" t="s">
        <v>29</v>
      </c>
    </row>
    <row r="2958" spans="1:22">
      <c r="A2958" s="3">
        <v>45781</v>
      </c>
      <c r="B2958" t="str">
        <f t="shared" si="322"/>
        <v>yyyy-05</v>
      </c>
      <c r="C2958">
        <f t="shared" si="323"/>
        <v>18</v>
      </c>
      <c r="D2958" t="s">
        <v>24</v>
      </c>
      <c r="E2958" t="s">
        <v>25</v>
      </c>
      <c r="F2958" t="s">
        <v>30</v>
      </c>
      <c r="G2958" t="s">
        <v>36</v>
      </c>
      <c r="H2958" t="s">
        <v>37</v>
      </c>
      <c r="I2958" s="5">
        <v>2295</v>
      </c>
      <c r="J2958" s="5">
        <v>1645</v>
      </c>
      <c r="K2958" s="5">
        <v>158</v>
      </c>
      <c r="L2958" s="5">
        <v>59</v>
      </c>
      <c r="M2958" s="5">
        <v>59</v>
      </c>
      <c r="N2958" s="7">
        <v>399.14</v>
      </c>
      <c r="O2958" s="7">
        <f t="shared" si="324"/>
        <v>23549.26</v>
      </c>
      <c r="P2958" s="4">
        <v>0</v>
      </c>
      <c r="Q2958" s="7">
        <f t="shared" si="325"/>
        <v>0</v>
      </c>
      <c r="R2958" s="7">
        <f t="shared" si="326"/>
        <v>23549.26</v>
      </c>
      <c r="S2958" s="7">
        <f t="shared" si="327"/>
        <v>399.14</v>
      </c>
      <c r="T2958" s="6">
        <f t="shared" si="328"/>
        <v>2.570806100217865E-2</v>
      </c>
      <c r="V2958" t="s">
        <v>29</v>
      </c>
    </row>
    <row r="2959" spans="1:22">
      <c r="A2959" s="3">
        <v>45781</v>
      </c>
      <c r="B2959" t="str">
        <f t="shared" si="322"/>
        <v>yyyy-05</v>
      </c>
      <c r="C2959">
        <f t="shared" si="323"/>
        <v>18</v>
      </c>
      <c r="D2959" t="s">
        <v>24</v>
      </c>
      <c r="E2959" t="s">
        <v>25</v>
      </c>
      <c r="F2959" t="s">
        <v>33</v>
      </c>
      <c r="G2959" t="s">
        <v>31</v>
      </c>
      <c r="H2959" t="s">
        <v>32</v>
      </c>
      <c r="I2959" s="5">
        <v>2145</v>
      </c>
      <c r="J2959" s="5">
        <v>1626</v>
      </c>
      <c r="K2959" s="5">
        <v>257</v>
      </c>
      <c r="L2959" s="5">
        <v>53</v>
      </c>
      <c r="M2959" s="5">
        <v>53</v>
      </c>
      <c r="N2959" s="7">
        <v>1831.01</v>
      </c>
      <c r="O2959" s="7">
        <f t="shared" si="324"/>
        <v>97043.53</v>
      </c>
      <c r="P2959" s="4">
        <v>0</v>
      </c>
      <c r="Q2959" s="7">
        <f t="shared" si="325"/>
        <v>0</v>
      </c>
      <c r="R2959" s="7">
        <f t="shared" si="326"/>
        <v>97043.53</v>
      </c>
      <c r="S2959" s="7">
        <f t="shared" si="327"/>
        <v>1831.01</v>
      </c>
      <c r="T2959" s="6">
        <f t="shared" si="328"/>
        <v>2.4708624708624709E-2</v>
      </c>
      <c r="V2959" t="s">
        <v>29</v>
      </c>
    </row>
    <row r="2960" spans="1:22">
      <c r="A2960" s="3">
        <v>45781</v>
      </c>
      <c r="B2960" t="str">
        <f t="shared" si="322"/>
        <v>yyyy-05</v>
      </c>
      <c r="C2960">
        <f t="shared" si="323"/>
        <v>18</v>
      </c>
      <c r="D2960" t="s">
        <v>24</v>
      </c>
      <c r="E2960" t="s">
        <v>34</v>
      </c>
      <c r="F2960" t="s">
        <v>35</v>
      </c>
      <c r="G2960" t="s">
        <v>31</v>
      </c>
      <c r="H2960" t="s">
        <v>32</v>
      </c>
      <c r="I2960" s="5">
        <v>432</v>
      </c>
      <c r="J2960" s="5">
        <v>285</v>
      </c>
      <c r="K2960" s="5">
        <v>8</v>
      </c>
      <c r="L2960" s="5">
        <v>0</v>
      </c>
      <c r="M2960" s="5">
        <v>0</v>
      </c>
      <c r="N2960" s="7">
        <v>886.61</v>
      </c>
      <c r="O2960" s="7">
        <f t="shared" si="324"/>
        <v>0</v>
      </c>
      <c r="P2960" s="4">
        <v>0.05</v>
      </c>
      <c r="Q2960" s="7">
        <f t="shared" si="325"/>
        <v>0</v>
      </c>
      <c r="R2960" s="7">
        <f t="shared" si="326"/>
        <v>0</v>
      </c>
      <c r="S2960" s="7">
        <f t="shared" si="327"/>
        <v>0</v>
      </c>
      <c r="T2960" s="6">
        <f t="shared" si="328"/>
        <v>0</v>
      </c>
      <c r="V2960" t="s">
        <v>81</v>
      </c>
    </row>
    <row r="2961" spans="1:22">
      <c r="A2961" s="3">
        <v>45781</v>
      </c>
      <c r="B2961" t="str">
        <f t="shared" si="322"/>
        <v>yyyy-05</v>
      </c>
      <c r="C2961">
        <f t="shared" si="323"/>
        <v>18</v>
      </c>
      <c r="D2961" t="s">
        <v>24</v>
      </c>
      <c r="E2961" t="s">
        <v>38</v>
      </c>
      <c r="F2961" t="s">
        <v>39</v>
      </c>
      <c r="G2961" t="s">
        <v>36</v>
      </c>
      <c r="H2961" t="s">
        <v>37</v>
      </c>
      <c r="I2961" s="5">
        <v>1175</v>
      </c>
      <c r="J2961" s="5">
        <v>920</v>
      </c>
      <c r="K2961" s="5">
        <v>99</v>
      </c>
      <c r="L2961" s="5">
        <v>20</v>
      </c>
      <c r="M2961" s="5">
        <v>20</v>
      </c>
      <c r="N2961" s="7">
        <v>333.55</v>
      </c>
      <c r="O2961" s="7">
        <f t="shared" si="324"/>
        <v>6671</v>
      </c>
      <c r="P2961" s="4">
        <v>0</v>
      </c>
      <c r="Q2961" s="7">
        <f t="shared" si="325"/>
        <v>0</v>
      </c>
      <c r="R2961" s="7">
        <f t="shared" si="326"/>
        <v>6671</v>
      </c>
      <c r="S2961" s="7">
        <f t="shared" si="327"/>
        <v>333.55</v>
      </c>
      <c r="T2961" s="6">
        <f t="shared" si="328"/>
        <v>1.7021276595744681E-2</v>
      </c>
      <c r="V2961" t="s">
        <v>29</v>
      </c>
    </row>
    <row r="2962" spans="1:22">
      <c r="A2962" s="3">
        <v>45781</v>
      </c>
      <c r="B2962" t="str">
        <f t="shared" si="322"/>
        <v>yyyy-05</v>
      </c>
      <c r="C2962">
        <f t="shared" si="323"/>
        <v>18</v>
      </c>
      <c r="D2962" t="s">
        <v>24</v>
      </c>
      <c r="E2962" t="s">
        <v>40</v>
      </c>
      <c r="F2962" t="s">
        <v>41</v>
      </c>
      <c r="G2962" t="s">
        <v>36</v>
      </c>
      <c r="H2962" t="s">
        <v>37</v>
      </c>
      <c r="I2962" s="5">
        <v>955</v>
      </c>
      <c r="J2962" s="5">
        <v>706</v>
      </c>
      <c r="K2962" s="5">
        <v>57</v>
      </c>
      <c r="L2962" s="5">
        <v>23</v>
      </c>
      <c r="M2962" s="5">
        <v>29</v>
      </c>
      <c r="N2962" s="7">
        <v>176.03</v>
      </c>
      <c r="O2962" s="7">
        <f t="shared" si="324"/>
        <v>5104.87</v>
      </c>
      <c r="P2962" s="4">
        <v>0.03</v>
      </c>
      <c r="Q2962" s="7">
        <f t="shared" si="325"/>
        <v>153.14609999999999</v>
      </c>
      <c r="R2962" s="7">
        <f t="shared" si="326"/>
        <v>4951.7239</v>
      </c>
      <c r="S2962" s="7">
        <f t="shared" si="327"/>
        <v>215.29234347826088</v>
      </c>
      <c r="T2962" s="6">
        <f t="shared" si="328"/>
        <v>2.4083769633507852E-2</v>
      </c>
      <c r="V2962" t="s">
        <v>29</v>
      </c>
    </row>
    <row r="2963" spans="1:22">
      <c r="A2963" s="3">
        <v>45781</v>
      </c>
      <c r="B2963" t="str">
        <f t="shared" si="322"/>
        <v>yyyy-05</v>
      </c>
      <c r="C2963">
        <f t="shared" si="323"/>
        <v>18</v>
      </c>
      <c r="D2963" t="s">
        <v>42</v>
      </c>
      <c r="E2963" t="s">
        <v>43</v>
      </c>
      <c r="F2963" t="s">
        <v>44</v>
      </c>
      <c r="G2963" t="s">
        <v>27</v>
      </c>
      <c r="H2963" t="s">
        <v>63</v>
      </c>
      <c r="I2963" s="5">
        <v>450</v>
      </c>
      <c r="J2963" s="5">
        <v>261</v>
      </c>
      <c r="K2963" s="5">
        <v>24</v>
      </c>
      <c r="L2963" s="5">
        <v>8</v>
      </c>
      <c r="M2963" s="5">
        <v>8</v>
      </c>
      <c r="N2963" s="7">
        <v>1260.01</v>
      </c>
      <c r="O2963" s="7">
        <f t="shared" si="324"/>
        <v>10080.08</v>
      </c>
      <c r="P2963" s="4">
        <v>0</v>
      </c>
      <c r="Q2963" s="7">
        <f t="shared" si="325"/>
        <v>0</v>
      </c>
      <c r="R2963" s="7">
        <f t="shared" si="326"/>
        <v>10080.08</v>
      </c>
      <c r="S2963" s="7">
        <f t="shared" si="327"/>
        <v>1260.01</v>
      </c>
      <c r="T2963" s="6">
        <f t="shared" si="328"/>
        <v>1.7777777777777778E-2</v>
      </c>
      <c r="V2963" t="s">
        <v>29</v>
      </c>
    </row>
    <row r="2964" spans="1:22">
      <c r="A2964" s="3">
        <v>45781</v>
      </c>
      <c r="B2964" t="str">
        <f t="shared" si="322"/>
        <v>yyyy-05</v>
      </c>
      <c r="C2964">
        <f t="shared" si="323"/>
        <v>18</v>
      </c>
      <c r="D2964" t="s">
        <v>42</v>
      </c>
      <c r="E2964" t="s">
        <v>43</v>
      </c>
      <c r="F2964" t="s">
        <v>46</v>
      </c>
      <c r="G2964" t="s">
        <v>27</v>
      </c>
      <c r="H2964" t="s">
        <v>48</v>
      </c>
      <c r="I2964" s="5">
        <v>492</v>
      </c>
      <c r="J2964" s="5">
        <v>272</v>
      </c>
      <c r="K2964" s="5">
        <v>27</v>
      </c>
      <c r="L2964" s="5">
        <v>7</v>
      </c>
      <c r="M2964" s="5">
        <v>7</v>
      </c>
      <c r="N2964" s="7">
        <v>2240.14</v>
      </c>
      <c r="O2964" s="7">
        <f t="shared" si="324"/>
        <v>15680.98</v>
      </c>
      <c r="P2964" s="4">
        <v>0</v>
      </c>
      <c r="Q2964" s="7">
        <f t="shared" si="325"/>
        <v>0</v>
      </c>
      <c r="R2964" s="7">
        <f t="shared" si="326"/>
        <v>15680.98</v>
      </c>
      <c r="S2964" s="7">
        <f t="shared" si="327"/>
        <v>2240.14</v>
      </c>
      <c r="T2964" s="6">
        <f t="shared" si="328"/>
        <v>1.4227642276422764E-2</v>
      </c>
      <c r="V2964" t="s">
        <v>29</v>
      </c>
    </row>
    <row r="2965" spans="1:22">
      <c r="A2965" s="3">
        <v>45781</v>
      </c>
      <c r="B2965" t="str">
        <f t="shared" si="322"/>
        <v>yyyy-05</v>
      </c>
      <c r="C2965">
        <f t="shared" si="323"/>
        <v>18</v>
      </c>
      <c r="D2965" t="s">
        <v>42</v>
      </c>
      <c r="E2965" t="s">
        <v>43</v>
      </c>
      <c r="F2965" t="s">
        <v>47</v>
      </c>
      <c r="G2965" t="s">
        <v>27</v>
      </c>
      <c r="H2965" t="s">
        <v>48</v>
      </c>
      <c r="I2965" s="5">
        <v>373</v>
      </c>
      <c r="J2965" s="5">
        <v>230</v>
      </c>
      <c r="K2965" s="5">
        <v>27</v>
      </c>
      <c r="L2965" s="5">
        <v>7</v>
      </c>
      <c r="M2965" s="5">
        <v>7</v>
      </c>
      <c r="N2965" s="7">
        <v>607.91</v>
      </c>
      <c r="O2965" s="7">
        <f t="shared" si="324"/>
        <v>4255.37</v>
      </c>
      <c r="P2965" s="4">
        <v>0.03</v>
      </c>
      <c r="Q2965" s="7">
        <f t="shared" si="325"/>
        <v>127.66109999999999</v>
      </c>
      <c r="R2965" s="7">
        <f t="shared" si="326"/>
        <v>4127.7088999999996</v>
      </c>
      <c r="S2965" s="7">
        <f t="shared" si="327"/>
        <v>589.67269999999996</v>
      </c>
      <c r="T2965" s="6">
        <f t="shared" si="328"/>
        <v>1.876675603217158E-2</v>
      </c>
      <c r="V2965" t="s">
        <v>29</v>
      </c>
    </row>
    <row r="2966" spans="1:22">
      <c r="A2966" s="3">
        <v>45781</v>
      </c>
      <c r="B2966" t="str">
        <f t="shared" si="322"/>
        <v>yyyy-05</v>
      </c>
      <c r="C2966">
        <f t="shared" si="323"/>
        <v>18</v>
      </c>
      <c r="D2966" t="s">
        <v>42</v>
      </c>
      <c r="E2966" t="s">
        <v>49</v>
      </c>
      <c r="F2966" t="s">
        <v>50</v>
      </c>
      <c r="G2966" t="s">
        <v>27</v>
      </c>
      <c r="H2966" t="s">
        <v>45</v>
      </c>
      <c r="I2966" s="5">
        <v>198</v>
      </c>
      <c r="J2966" s="5">
        <v>153</v>
      </c>
      <c r="K2966" s="5">
        <v>14</v>
      </c>
      <c r="L2966" s="5">
        <v>3</v>
      </c>
      <c r="M2966" s="5">
        <v>3</v>
      </c>
      <c r="N2966" s="7">
        <v>964.89</v>
      </c>
      <c r="O2966" s="7">
        <f t="shared" si="324"/>
        <v>2894.67</v>
      </c>
      <c r="P2966" s="4">
        <v>0</v>
      </c>
      <c r="Q2966" s="7">
        <f t="shared" si="325"/>
        <v>0</v>
      </c>
      <c r="R2966" s="7">
        <f t="shared" si="326"/>
        <v>2894.67</v>
      </c>
      <c r="S2966" s="7">
        <f t="shared" si="327"/>
        <v>964.89</v>
      </c>
      <c r="T2966" s="6">
        <f t="shared" si="328"/>
        <v>1.5151515151515152E-2</v>
      </c>
      <c r="V2966" t="s">
        <v>29</v>
      </c>
    </row>
    <row r="2967" spans="1:22">
      <c r="A2967" s="3">
        <v>45781</v>
      </c>
      <c r="B2967" t="str">
        <f t="shared" si="322"/>
        <v>yyyy-05</v>
      </c>
      <c r="C2967">
        <f t="shared" si="323"/>
        <v>18</v>
      </c>
      <c r="D2967" t="s">
        <v>42</v>
      </c>
      <c r="E2967" t="s">
        <v>51</v>
      </c>
      <c r="F2967" t="s">
        <v>52</v>
      </c>
      <c r="G2967" t="s">
        <v>27</v>
      </c>
      <c r="H2967" t="s">
        <v>45</v>
      </c>
      <c r="I2967" s="5">
        <v>301</v>
      </c>
      <c r="J2967" s="5">
        <v>164</v>
      </c>
      <c r="K2967" s="5">
        <v>13</v>
      </c>
      <c r="L2967" s="5">
        <v>4</v>
      </c>
      <c r="M2967" s="5">
        <v>4</v>
      </c>
      <c r="N2967" s="7">
        <v>575.70000000000005</v>
      </c>
      <c r="O2967" s="7">
        <f t="shared" si="324"/>
        <v>2302.8000000000002</v>
      </c>
      <c r="P2967" s="4">
        <v>0.03</v>
      </c>
      <c r="Q2967" s="7">
        <f t="shared" si="325"/>
        <v>69.084000000000003</v>
      </c>
      <c r="R2967" s="7">
        <f t="shared" si="326"/>
        <v>2233.7160000000003</v>
      </c>
      <c r="S2967" s="7">
        <f t="shared" si="327"/>
        <v>558.42900000000009</v>
      </c>
      <c r="T2967" s="6">
        <f t="shared" si="328"/>
        <v>1.3289036544850499E-2</v>
      </c>
      <c r="V2967" t="s">
        <v>29</v>
      </c>
    </row>
    <row r="2968" spans="1:22">
      <c r="A2968" s="3">
        <v>45781</v>
      </c>
      <c r="B2968" t="str">
        <f t="shared" si="322"/>
        <v>yyyy-05</v>
      </c>
      <c r="C2968">
        <f t="shared" si="323"/>
        <v>18</v>
      </c>
      <c r="D2968" t="s">
        <v>53</v>
      </c>
      <c r="E2968" t="s">
        <v>54</v>
      </c>
      <c r="F2968" t="s">
        <v>55</v>
      </c>
      <c r="G2968" t="s">
        <v>36</v>
      </c>
      <c r="H2968" t="s">
        <v>37</v>
      </c>
      <c r="I2968" s="5">
        <v>184</v>
      </c>
      <c r="J2968" s="5">
        <v>142</v>
      </c>
      <c r="K2968" s="5">
        <v>12</v>
      </c>
      <c r="L2968" s="5">
        <v>2</v>
      </c>
      <c r="M2968" s="5">
        <v>2</v>
      </c>
      <c r="N2968" s="7">
        <v>1281.69</v>
      </c>
      <c r="O2968" s="7">
        <f t="shared" si="324"/>
        <v>2563.38</v>
      </c>
      <c r="P2968" s="4">
        <v>0</v>
      </c>
      <c r="Q2968" s="7">
        <f t="shared" si="325"/>
        <v>0</v>
      </c>
      <c r="R2968" s="7">
        <f t="shared" si="326"/>
        <v>2563.38</v>
      </c>
      <c r="S2968" s="7">
        <f t="shared" si="327"/>
        <v>1281.69</v>
      </c>
      <c r="T2968" s="6">
        <f t="shared" si="328"/>
        <v>1.0869565217391304E-2</v>
      </c>
      <c r="V2968" t="s">
        <v>29</v>
      </c>
    </row>
    <row r="2969" spans="1:22">
      <c r="A2969" s="3">
        <v>45781</v>
      </c>
      <c r="B2969" t="str">
        <f t="shared" si="322"/>
        <v>yyyy-05</v>
      </c>
      <c r="C2969">
        <f t="shared" si="323"/>
        <v>18</v>
      </c>
      <c r="D2969" t="s">
        <v>53</v>
      </c>
      <c r="E2969" t="s">
        <v>56</v>
      </c>
      <c r="F2969" t="s">
        <v>57</v>
      </c>
      <c r="G2969" t="s">
        <v>27</v>
      </c>
      <c r="H2969" t="s">
        <v>63</v>
      </c>
      <c r="I2969" s="5">
        <v>186</v>
      </c>
      <c r="J2969" s="5">
        <v>148</v>
      </c>
      <c r="K2969" s="5">
        <v>14</v>
      </c>
      <c r="L2969" s="5">
        <v>3</v>
      </c>
      <c r="M2969" s="5">
        <v>3</v>
      </c>
      <c r="N2969" s="7">
        <v>749.18</v>
      </c>
      <c r="O2969" s="7">
        <f t="shared" si="324"/>
        <v>2247.54</v>
      </c>
      <c r="P2969" s="4">
        <v>0</v>
      </c>
      <c r="Q2969" s="7">
        <f t="shared" si="325"/>
        <v>0</v>
      </c>
      <c r="R2969" s="7">
        <f t="shared" si="326"/>
        <v>2247.54</v>
      </c>
      <c r="S2969" s="7">
        <f t="shared" si="327"/>
        <v>749.18</v>
      </c>
      <c r="T2969" s="6">
        <f t="shared" si="328"/>
        <v>1.6129032258064516E-2</v>
      </c>
      <c r="V2969" t="s">
        <v>29</v>
      </c>
    </row>
    <row r="2970" spans="1:22">
      <c r="A2970" s="3">
        <v>45781</v>
      </c>
      <c r="B2970" t="str">
        <f t="shared" si="322"/>
        <v>yyyy-05</v>
      </c>
      <c r="C2970">
        <f t="shared" si="323"/>
        <v>18</v>
      </c>
      <c r="D2970" t="s">
        <v>53</v>
      </c>
      <c r="E2970" t="s">
        <v>56</v>
      </c>
      <c r="F2970" t="s">
        <v>58</v>
      </c>
      <c r="G2970" t="s">
        <v>31</v>
      </c>
      <c r="H2970" t="s">
        <v>32</v>
      </c>
      <c r="I2970" s="5">
        <v>245</v>
      </c>
      <c r="J2970" s="5">
        <v>167</v>
      </c>
      <c r="K2970" s="5">
        <v>20</v>
      </c>
      <c r="L2970" s="5">
        <v>2</v>
      </c>
      <c r="M2970" s="5">
        <v>2</v>
      </c>
      <c r="N2970" s="7">
        <v>911.55</v>
      </c>
      <c r="O2970" s="7">
        <f t="shared" si="324"/>
        <v>1823.1</v>
      </c>
      <c r="P2970" s="4">
        <v>0</v>
      </c>
      <c r="Q2970" s="7">
        <f t="shared" si="325"/>
        <v>0</v>
      </c>
      <c r="R2970" s="7">
        <f t="shared" si="326"/>
        <v>1823.1</v>
      </c>
      <c r="S2970" s="7">
        <f t="shared" si="327"/>
        <v>911.55</v>
      </c>
      <c r="T2970" s="6">
        <f t="shared" si="328"/>
        <v>8.1632653061224497E-3</v>
      </c>
      <c r="V2970" t="s">
        <v>29</v>
      </c>
    </row>
    <row r="2971" spans="1:22">
      <c r="A2971" s="3">
        <v>45781</v>
      </c>
      <c r="B2971" t="str">
        <f t="shared" si="322"/>
        <v>yyyy-05</v>
      </c>
      <c r="C2971">
        <f t="shared" si="323"/>
        <v>18</v>
      </c>
      <c r="D2971" t="s">
        <v>53</v>
      </c>
      <c r="E2971" t="s">
        <v>59</v>
      </c>
      <c r="F2971" t="s">
        <v>60</v>
      </c>
      <c r="G2971" t="s">
        <v>31</v>
      </c>
      <c r="H2971" t="s">
        <v>32</v>
      </c>
      <c r="I2971" s="5">
        <v>228</v>
      </c>
      <c r="J2971" s="5">
        <v>132</v>
      </c>
      <c r="K2971" s="5">
        <v>14</v>
      </c>
      <c r="L2971" s="5">
        <v>3</v>
      </c>
      <c r="M2971" s="5">
        <v>3</v>
      </c>
      <c r="N2971" s="7">
        <v>683.25</v>
      </c>
      <c r="O2971" s="7">
        <f t="shared" si="324"/>
        <v>2049.75</v>
      </c>
      <c r="P2971" s="4">
        <v>0</v>
      </c>
      <c r="Q2971" s="7">
        <f t="shared" si="325"/>
        <v>0</v>
      </c>
      <c r="R2971" s="7">
        <f t="shared" si="326"/>
        <v>2049.75</v>
      </c>
      <c r="S2971" s="7">
        <f t="shared" si="327"/>
        <v>683.25</v>
      </c>
      <c r="T2971" s="6">
        <f t="shared" si="328"/>
        <v>1.3157894736842105E-2</v>
      </c>
      <c r="V2971" t="s">
        <v>29</v>
      </c>
    </row>
    <row r="2972" spans="1:22">
      <c r="A2972" s="3">
        <v>45781</v>
      </c>
      <c r="B2972" t="str">
        <f t="shared" si="322"/>
        <v>yyyy-05</v>
      </c>
      <c r="C2972">
        <f t="shared" si="323"/>
        <v>18</v>
      </c>
      <c r="D2972" t="s">
        <v>53</v>
      </c>
      <c r="E2972" t="s">
        <v>61</v>
      </c>
      <c r="F2972" t="s">
        <v>62</v>
      </c>
      <c r="G2972" t="s">
        <v>27</v>
      </c>
      <c r="H2972" t="s">
        <v>48</v>
      </c>
      <c r="I2972" s="5">
        <v>180</v>
      </c>
      <c r="J2972" s="5">
        <v>94</v>
      </c>
      <c r="K2972" s="5">
        <v>8</v>
      </c>
      <c r="L2972" s="5">
        <v>2</v>
      </c>
      <c r="M2972" s="5">
        <v>2</v>
      </c>
      <c r="N2972" s="7">
        <v>508.12</v>
      </c>
      <c r="O2972" s="7">
        <f t="shared" si="324"/>
        <v>1016.24</v>
      </c>
      <c r="P2972" s="4">
        <v>0</v>
      </c>
      <c r="Q2972" s="7">
        <f t="shared" si="325"/>
        <v>0</v>
      </c>
      <c r="R2972" s="7">
        <f t="shared" si="326"/>
        <v>1016.24</v>
      </c>
      <c r="S2972" s="7">
        <f t="shared" si="327"/>
        <v>508.12</v>
      </c>
      <c r="T2972" s="6">
        <f t="shared" si="328"/>
        <v>1.1111111111111112E-2</v>
      </c>
      <c r="V2972" t="s">
        <v>29</v>
      </c>
    </row>
    <row r="2973" spans="1:22">
      <c r="A2973" s="3">
        <v>45781</v>
      </c>
      <c r="B2973" t="str">
        <f t="shared" si="322"/>
        <v>yyyy-05</v>
      </c>
      <c r="C2973">
        <f t="shared" si="323"/>
        <v>18</v>
      </c>
      <c r="D2973" t="s">
        <v>53</v>
      </c>
      <c r="E2973" t="s">
        <v>64</v>
      </c>
      <c r="F2973" t="s">
        <v>65</v>
      </c>
      <c r="G2973" t="s">
        <v>31</v>
      </c>
      <c r="H2973" t="s">
        <v>32</v>
      </c>
      <c r="I2973" s="5">
        <v>297</v>
      </c>
      <c r="J2973" s="5">
        <v>198</v>
      </c>
      <c r="K2973" s="5">
        <v>16</v>
      </c>
      <c r="L2973" s="5">
        <v>4</v>
      </c>
      <c r="M2973" s="5">
        <v>4</v>
      </c>
      <c r="N2973" s="7">
        <v>786.98</v>
      </c>
      <c r="O2973" s="7">
        <f t="shared" si="324"/>
        <v>3147.92</v>
      </c>
      <c r="P2973" s="4">
        <v>0</v>
      </c>
      <c r="Q2973" s="7">
        <f t="shared" si="325"/>
        <v>0</v>
      </c>
      <c r="R2973" s="7">
        <f t="shared" si="326"/>
        <v>3147.92</v>
      </c>
      <c r="S2973" s="7">
        <f t="shared" si="327"/>
        <v>786.98</v>
      </c>
      <c r="T2973" s="6">
        <f t="shared" si="328"/>
        <v>1.3468013468013467E-2</v>
      </c>
      <c r="V2973" t="s">
        <v>29</v>
      </c>
    </row>
    <row r="2974" spans="1:22">
      <c r="A2974" s="3">
        <v>45781</v>
      </c>
      <c r="B2974" t="str">
        <f t="shared" si="322"/>
        <v>yyyy-05</v>
      </c>
      <c r="C2974">
        <f t="shared" si="323"/>
        <v>18</v>
      </c>
      <c r="D2974" t="s">
        <v>66</v>
      </c>
      <c r="E2974" t="s">
        <v>67</v>
      </c>
      <c r="F2974" t="s">
        <v>68</v>
      </c>
      <c r="G2974" t="s">
        <v>27</v>
      </c>
      <c r="H2974" t="s">
        <v>63</v>
      </c>
      <c r="I2974" s="5">
        <v>270</v>
      </c>
      <c r="J2974" s="5">
        <v>163</v>
      </c>
      <c r="K2974" s="5">
        <v>18</v>
      </c>
      <c r="L2974" s="5">
        <v>5</v>
      </c>
      <c r="M2974" s="5">
        <v>5</v>
      </c>
      <c r="N2974" s="7">
        <v>698.58</v>
      </c>
      <c r="O2974" s="7">
        <f t="shared" si="324"/>
        <v>3492.9</v>
      </c>
      <c r="P2974" s="4">
        <v>0</v>
      </c>
      <c r="Q2974" s="7">
        <f t="shared" si="325"/>
        <v>0</v>
      </c>
      <c r="R2974" s="7">
        <f t="shared" si="326"/>
        <v>3492.9</v>
      </c>
      <c r="S2974" s="7">
        <f t="shared" si="327"/>
        <v>698.58</v>
      </c>
      <c r="T2974" s="6">
        <f t="shared" si="328"/>
        <v>1.8518518518518517E-2</v>
      </c>
      <c r="V2974" t="s">
        <v>29</v>
      </c>
    </row>
    <row r="2975" spans="1:22">
      <c r="A2975" s="3">
        <v>45781</v>
      </c>
      <c r="B2975" t="str">
        <f t="shared" si="322"/>
        <v>yyyy-05</v>
      </c>
      <c r="C2975">
        <f t="shared" si="323"/>
        <v>18</v>
      </c>
      <c r="D2975" t="s">
        <v>66</v>
      </c>
      <c r="E2975" t="s">
        <v>67</v>
      </c>
      <c r="F2975" t="s">
        <v>69</v>
      </c>
      <c r="G2975" t="s">
        <v>31</v>
      </c>
      <c r="H2975" t="s">
        <v>32</v>
      </c>
      <c r="I2975" s="5">
        <v>536</v>
      </c>
      <c r="J2975" s="5">
        <v>416</v>
      </c>
      <c r="K2975" s="5">
        <v>38</v>
      </c>
      <c r="L2975" s="5">
        <v>8</v>
      </c>
      <c r="M2975" s="5">
        <v>8</v>
      </c>
      <c r="N2975" s="7">
        <v>402.09</v>
      </c>
      <c r="O2975" s="7">
        <f t="shared" si="324"/>
        <v>3216.72</v>
      </c>
      <c r="P2975" s="4">
        <v>0</v>
      </c>
      <c r="Q2975" s="7">
        <f t="shared" si="325"/>
        <v>0</v>
      </c>
      <c r="R2975" s="7">
        <f t="shared" si="326"/>
        <v>3216.72</v>
      </c>
      <c r="S2975" s="7">
        <f t="shared" si="327"/>
        <v>402.09</v>
      </c>
      <c r="T2975" s="6">
        <f t="shared" si="328"/>
        <v>1.4925373134328358E-2</v>
      </c>
      <c r="V2975" t="s">
        <v>29</v>
      </c>
    </row>
    <row r="2976" spans="1:22">
      <c r="A2976" s="3">
        <v>45781</v>
      </c>
      <c r="B2976" t="str">
        <f t="shared" si="322"/>
        <v>yyyy-05</v>
      </c>
      <c r="C2976">
        <f t="shared" si="323"/>
        <v>18</v>
      </c>
      <c r="D2976" t="s">
        <v>66</v>
      </c>
      <c r="E2976" t="s">
        <v>67</v>
      </c>
      <c r="F2976" t="s">
        <v>70</v>
      </c>
      <c r="G2976" t="s">
        <v>36</v>
      </c>
      <c r="H2976" t="s">
        <v>37</v>
      </c>
      <c r="I2976" s="5">
        <v>535</v>
      </c>
      <c r="J2976" s="5">
        <v>296</v>
      </c>
      <c r="K2976" s="5">
        <v>32</v>
      </c>
      <c r="L2976" s="5">
        <v>10</v>
      </c>
      <c r="M2976" s="5">
        <v>10</v>
      </c>
      <c r="N2976" s="7">
        <v>354.02</v>
      </c>
      <c r="O2976" s="7">
        <f t="shared" si="324"/>
        <v>3540.2</v>
      </c>
      <c r="P2976" s="4">
        <v>0</v>
      </c>
      <c r="Q2976" s="7">
        <f t="shared" si="325"/>
        <v>0</v>
      </c>
      <c r="R2976" s="7">
        <f t="shared" si="326"/>
        <v>3540.2</v>
      </c>
      <c r="S2976" s="7">
        <f t="shared" si="327"/>
        <v>354.02</v>
      </c>
      <c r="T2976" s="6">
        <f t="shared" si="328"/>
        <v>1.8691588785046728E-2</v>
      </c>
      <c r="V2976" t="s">
        <v>29</v>
      </c>
    </row>
    <row r="2977" spans="1:22">
      <c r="A2977" s="3">
        <v>45781</v>
      </c>
      <c r="B2977" t="str">
        <f t="shared" si="322"/>
        <v>yyyy-05</v>
      </c>
      <c r="C2977">
        <f t="shared" si="323"/>
        <v>18</v>
      </c>
      <c r="D2977" t="s">
        <v>66</v>
      </c>
      <c r="E2977" t="s">
        <v>71</v>
      </c>
      <c r="F2977" t="s">
        <v>72</v>
      </c>
      <c r="G2977" t="s">
        <v>27</v>
      </c>
      <c r="H2977" t="s">
        <v>45</v>
      </c>
      <c r="I2977" s="5">
        <v>268</v>
      </c>
      <c r="J2977" s="5">
        <v>205</v>
      </c>
      <c r="K2977" s="5">
        <v>24</v>
      </c>
      <c r="L2977" s="5">
        <v>5</v>
      </c>
      <c r="M2977" s="5">
        <v>6</v>
      </c>
      <c r="N2977" s="7">
        <v>128.83000000000001</v>
      </c>
      <c r="O2977" s="7">
        <f t="shared" si="324"/>
        <v>772.98</v>
      </c>
      <c r="P2977" s="4">
        <v>0.03</v>
      </c>
      <c r="Q2977" s="7">
        <f t="shared" si="325"/>
        <v>23.189399999999999</v>
      </c>
      <c r="R2977" s="7">
        <f t="shared" si="326"/>
        <v>749.79060000000004</v>
      </c>
      <c r="S2977" s="7">
        <f t="shared" si="327"/>
        <v>149.95812000000001</v>
      </c>
      <c r="T2977" s="6">
        <f t="shared" si="328"/>
        <v>1.8656716417910446E-2</v>
      </c>
      <c r="V2977" t="s">
        <v>29</v>
      </c>
    </row>
    <row r="2978" spans="1:22">
      <c r="A2978" s="3">
        <v>45781</v>
      </c>
      <c r="B2978" t="str">
        <f t="shared" si="322"/>
        <v>yyyy-05</v>
      </c>
      <c r="C2978">
        <f t="shared" si="323"/>
        <v>18</v>
      </c>
      <c r="D2978" t="s">
        <v>66</v>
      </c>
      <c r="E2978" t="s">
        <v>73</v>
      </c>
      <c r="F2978" t="s">
        <v>74</v>
      </c>
      <c r="G2978" t="s">
        <v>31</v>
      </c>
      <c r="H2978" t="s">
        <v>32</v>
      </c>
      <c r="I2978" s="5">
        <v>370</v>
      </c>
      <c r="J2978" s="5">
        <v>285</v>
      </c>
      <c r="K2978" s="5">
        <v>45</v>
      </c>
      <c r="L2978" s="5">
        <v>11</v>
      </c>
      <c r="M2978" s="5">
        <v>11</v>
      </c>
      <c r="N2978" s="7">
        <v>1200.1500000000001</v>
      </c>
      <c r="O2978" s="7">
        <f t="shared" si="324"/>
        <v>13201.650000000001</v>
      </c>
      <c r="P2978" s="4">
        <v>7.0000000000000007E-2</v>
      </c>
      <c r="Q2978" s="7">
        <f t="shared" si="325"/>
        <v>924.11550000000022</v>
      </c>
      <c r="R2978" s="7">
        <f t="shared" si="326"/>
        <v>12277.534500000002</v>
      </c>
      <c r="S2978" s="7">
        <f t="shared" si="327"/>
        <v>1116.1395000000002</v>
      </c>
      <c r="T2978" s="6">
        <f t="shared" si="328"/>
        <v>2.9729729729729731E-2</v>
      </c>
      <c r="U2978" t="s">
        <v>95</v>
      </c>
      <c r="V2978" t="s">
        <v>29</v>
      </c>
    </row>
    <row r="2979" spans="1:22">
      <c r="A2979" s="3">
        <v>45781</v>
      </c>
      <c r="B2979" t="str">
        <f t="shared" si="322"/>
        <v>yyyy-05</v>
      </c>
      <c r="C2979">
        <f t="shared" si="323"/>
        <v>18</v>
      </c>
      <c r="D2979" t="s">
        <v>66</v>
      </c>
      <c r="E2979" t="s">
        <v>71</v>
      </c>
      <c r="F2979" t="s">
        <v>75</v>
      </c>
      <c r="G2979" t="s">
        <v>31</v>
      </c>
      <c r="H2979" t="s">
        <v>32</v>
      </c>
      <c r="I2979" s="5">
        <v>406</v>
      </c>
      <c r="J2979" s="5">
        <v>234</v>
      </c>
      <c r="K2979" s="5">
        <v>22</v>
      </c>
      <c r="L2979" s="5">
        <v>9</v>
      </c>
      <c r="M2979" s="5">
        <v>12</v>
      </c>
      <c r="N2979" s="7">
        <v>38.520000000000003</v>
      </c>
      <c r="O2979" s="7">
        <f t="shared" si="324"/>
        <v>462.24</v>
      </c>
      <c r="P2979" s="4">
        <v>0</v>
      </c>
      <c r="Q2979" s="7">
        <f t="shared" si="325"/>
        <v>0</v>
      </c>
      <c r="R2979" s="7">
        <f t="shared" si="326"/>
        <v>462.24</v>
      </c>
      <c r="S2979" s="7">
        <f t="shared" si="327"/>
        <v>51.36</v>
      </c>
      <c r="T2979" s="6">
        <f t="shared" si="328"/>
        <v>2.2167487684729065E-2</v>
      </c>
      <c r="V2979" t="s">
        <v>29</v>
      </c>
    </row>
    <row r="2980" spans="1:22">
      <c r="A2980" s="3">
        <v>45781</v>
      </c>
      <c r="B2980" t="str">
        <f t="shared" si="322"/>
        <v>yyyy-05</v>
      </c>
      <c r="C2980">
        <f t="shared" si="323"/>
        <v>18</v>
      </c>
      <c r="D2980" t="s">
        <v>24</v>
      </c>
      <c r="E2980" t="s">
        <v>76</v>
      </c>
      <c r="F2980" t="s">
        <v>77</v>
      </c>
      <c r="G2980" t="s">
        <v>31</v>
      </c>
      <c r="H2980" t="s">
        <v>32</v>
      </c>
      <c r="I2980" s="5">
        <v>916</v>
      </c>
      <c r="J2980" s="5">
        <v>495</v>
      </c>
      <c r="K2980" s="5">
        <v>75</v>
      </c>
      <c r="L2980" s="5">
        <v>16</v>
      </c>
      <c r="M2980" s="5">
        <v>21</v>
      </c>
      <c r="N2980" s="7">
        <v>195.11</v>
      </c>
      <c r="O2980" s="7">
        <f t="shared" si="324"/>
        <v>4097.3100000000004</v>
      </c>
      <c r="P2980" s="4">
        <v>0</v>
      </c>
      <c r="Q2980" s="7">
        <f t="shared" si="325"/>
        <v>0</v>
      </c>
      <c r="R2980" s="7">
        <f t="shared" si="326"/>
        <v>4097.3100000000004</v>
      </c>
      <c r="S2980" s="7">
        <f t="shared" si="327"/>
        <v>256.08187500000003</v>
      </c>
      <c r="T2980" s="6">
        <f t="shared" si="328"/>
        <v>1.7467248908296942E-2</v>
      </c>
      <c r="V2980" t="s">
        <v>29</v>
      </c>
    </row>
    <row r="2981" spans="1:22">
      <c r="A2981" s="3">
        <v>45782</v>
      </c>
      <c r="B2981" t="str">
        <f t="shared" si="322"/>
        <v>yyyy-05</v>
      </c>
      <c r="C2981">
        <f t="shared" si="323"/>
        <v>19</v>
      </c>
      <c r="D2981" t="s">
        <v>24</v>
      </c>
      <c r="E2981" t="s">
        <v>25</v>
      </c>
      <c r="F2981" t="s">
        <v>26</v>
      </c>
      <c r="G2981" t="s">
        <v>31</v>
      </c>
      <c r="H2981" t="s">
        <v>32</v>
      </c>
      <c r="I2981" s="5">
        <v>2050</v>
      </c>
      <c r="J2981" s="5">
        <v>1429</v>
      </c>
      <c r="K2981" s="5">
        <v>138</v>
      </c>
      <c r="L2981" s="5">
        <v>63</v>
      </c>
      <c r="M2981" s="5">
        <v>63</v>
      </c>
      <c r="N2981" s="7">
        <v>986.34</v>
      </c>
      <c r="O2981" s="7">
        <f t="shared" si="324"/>
        <v>62139.420000000006</v>
      </c>
      <c r="P2981" s="4">
        <v>0.14000000000000001</v>
      </c>
      <c r="Q2981" s="7">
        <f t="shared" si="325"/>
        <v>8699.5188000000016</v>
      </c>
      <c r="R2981" s="7">
        <f t="shared" si="326"/>
        <v>53439.901200000008</v>
      </c>
      <c r="S2981" s="7">
        <f t="shared" si="327"/>
        <v>848.25240000000008</v>
      </c>
      <c r="T2981" s="6">
        <f t="shared" si="328"/>
        <v>3.073170731707317E-2</v>
      </c>
      <c r="U2981" t="s">
        <v>96</v>
      </c>
      <c r="V2981" t="s">
        <v>29</v>
      </c>
    </row>
    <row r="2982" spans="1:22">
      <c r="A2982" s="3">
        <v>45782</v>
      </c>
      <c r="B2982" t="str">
        <f t="shared" si="322"/>
        <v>yyyy-05</v>
      </c>
      <c r="C2982">
        <f t="shared" si="323"/>
        <v>19</v>
      </c>
      <c r="D2982" t="s">
        <v>24</v>
      </c>
      <c r="E2982" t="s">
        <v>25</v>
      </c>
      <c r="F2982" t="s">
        <v>30</v>
      </c>
      <c r="G2982" t="s">
        <v>27</v>
      </c>
      <c r="H2982" t="s">
        <v>45</v>
      </c>
      <c r="I2982" s="5">
        <v>1573</v>
      </c>
      <c r="J2982" s="5">
        <v>886</v>
      </c>
      <c r="K2982" s="5">
        <v>179</v>
      </c>
      <c r="L2982" s="5">
        <v>47</v>
      </c>
      <c r="M2982" s="5">
        <v>47</v>
      </c>
      <c r="N2982" s="7">
        <v>406.83</v>
      </c>
      <c r="O2982" s="7">
        <f t="shared" si="324"/>
        <v>19121.009999999998</v>
      </c>
      <c r="P2982" s="4">
        <v>0.14000000000000001</v>
      </c>
      <c r="Q2982" s="7">
        <f t="shared" si="325"/>
        <v>2676.9414000000002</v>
      </c>
      <c r="R2982" s="7">
        <f t="shared" si="326"/>
        <v>16444.068599999999</v>
      </c>
      <c r="S2982" s="7">
        <f t="shared" si="327"/>
        <v>349.87379999999996</v>
      </c>
      <c r="T2982" s="6">
        <f t="shared" si="328"/>
        <v>2.9879211697393517E-2</v>
      </c>
      <c r="U2982" t="s">
        <v>96</v>
      </c>
      <c r="V2982" t="s">
        <v>29</v>
      </c>
    </row>
    <row r="2983" spans="1:22">
      <c r="A2983" s="3">
        <v>45782</v>
      </c>
      <c r="B2983" t="str">
        <f t="shared" si="322"/>
        <v>yyyy-05</v>
      </c>
      <c r="C2983">
        <f t="shared" si="323"/>
        <v>19</v>
      </c>
      <c r="D2983" t="s">
        <v>24</v>
      </c>
      <c r="E2983" t="s">
        <v>25</v>
      </c>
      <c r="F2983" t="s">
        <v>33</v>
      </c>
      <c r="G2983" t="s">
        <v>27</v>
      </c>
      <c r="H2983" t="s">
        <v>28</v>
      </c>
      <c r="I2983" s="5">
        <v>1721</v>
      </c>
      <c r="J2983" s="5">
        <v>1342</v>
      </c>
      <c r="K2983" s="5">
        <v>93</v>
      </c>
      <c r="L2983" s="5">
        <v>46</v>
      </c>
      <c r="M2983" s="5">
        <v>46</v>
      </c>
      <c r="N2983" s="7">
        <v>1752.87</v>
      </c>
      <c r="O2983" s="7">
        <f t="shared" si="324"/>
        <v>80632.01999999999</v>
      </c>
      <c r="P2983" s="4">
        <v>0.14000000000000001</v>
      </c>
      <c r="Q2983" s="7">
        <f t="shared" si="325"/>
        <v>11288.4828</v>
      </c>
      <c r="R2983" s="7">
        <f t="shared" si="326"/>
        <v>69343.537199999992</v>
      </c>
      <c r="S2983" s="7">
        <f t="shared" si="327"/>
        <v>1507.4681999999998</v>
      </c>
      <c r="T2983" s="6">
        <f t="shared" si="328"/>
        <v>2.6728646135967461E-2</v>
      </c>
      <c r="U2983" t="s">
        <v>96</v>
      </c>
      <c r="V2983" t="s">
        <v>29</v>
      </c>
    </row>
    <row r="2984" spans="1:22">
      <c r="A2984" s="3">
        <v>45782</v>
      </c>
      <c r="B2984" t="str">
        <f t="shared" si="322"/>
        <v>yyyy-05</v>
      </c>
      <c r="C2984">
        <f t="shared" si="323"/>
        <v>19</v>
      </c>
      <c r="D2984" t="s">
        <v>24</v>
      </c>
      <c r="E2984" t="s">
        <v>34</v>
      </c>
      <c r="F2984" t="s">
        <v>35</v>
      </c>
      <c r="G2984" t="s">
        <v>27</v>
      </c>
      <c r="H2984" t="s">
        <v>45</v>
      </c>
      <c r="I2984" s="5">
        <v>861</v>
      </c>
      <c r="J2984" s="5">
        <v>537</v>
      </c>
      <c r="K2984" s="5">
        <v>56</v>
      </c>
      <c r="L2984" s="5">
        <v>15</v>
      </c>
      <c r="M2984" s="5">
        <v>15</v>
      </c>
      <c r="N2984" s="7">
        <v>901.12</v>
      </c>
      <c r="O2984" s="7">
        <f t="shared" si="324"/>
        <v>13516.8</v>
      </c>
      <c r="P2984" s="4">
        <v>0</v>
      </c>
      <c r="Q2984" s="7">
        <f t="shared" si="325"/>
        <v>0</v>
      </c>
      <c r="R2984" s="7">
        <f t="shared" si="326"/>
        <v>13516.8</v>
      </c>
      <c r="S2984" s="7">
        <f t="shared" si="327"/>
        <v>901.12</v>
      </c>
      <c r="T2984" s="6">
        <f t="shared" si="328"/>
        <v>1.7421602787456445E-2</v>
      </c>
      <c r="V2984" t="s">
        <v>29</v>
      </c>
    </row>
    <row r="2985" spans="1:22">
      <c r="A2985" s="3">
        <v>45782</v>
      </c>
      <c r="B2985" t="str">
        <f t="shared" si="322"/>
        <v>yyyy-05</v>
      </c>
      <c r="C2985">
        <f t="shared" si="323"/>
        <v>19</v>
      </c>
      <c r="D2985" t="s">
        <v>24</v>
      </c>
      <c r="E2985" t="s">
        <v>38</v>
      </c>
      <c r="F2985" t="s">
        <v>39</v>
      </c>
      <c r="G2985" t="s">
        <v>31</v>
      </c>
      <c r="H2985" t="s">
        <v>32</v>
      </c>
      <c r="I2985" s="5">
        <v>930</v>
      </c>
      <c r="J2985" s="5">
        <v>704</v>
      </c>
      <c r="K2985" s="5">
        <v>54</v>
      </c>
      <c r="L2985" s="5">
        <v>15</v>
      </c>
      <c r="M2985" s="5">
        <v>15</v>
      </c>
      <c r="N2985" s="7">
        <v>327.12</v>
      </c>
      <c r="O2985" s="7">
        <f t="shared" si="324"/>
        <v>4906.8</v>
      </c>
      <c r="P2985" s="4">
        <v>0</v>
      </c>
      <c r="Q2985" s="7">
        <f t="shared" si="325"/>
        <v>0</v>
      </c>
      <c r="R2985" s="7">
        <f t="shared" si="326"/>
        <v>4906.8</v>
      </c>
      <c r="S2985" s="7">
        <f t="shared" si="327"/>
        <v>327.12</v>
      </c>
      <c r="T2985" s="6">
        <f t="shared" si="328"/>
        <v>1.6129032258064516E-2</v>
      </c>
      <c r="V2985" t="s">
        <v>29</v>
      </c>
    </row>
    <row r="2986" spans="1:22">
      <c r="A2986" s="3">
        <v>45782</v>
      </c>
      <c r="B2986" t="str">
        <f t="shared" si="322"/>
        <v>yyyy-05</v>
      </c>
      <c r="C2986">
        <f t="shared" si="323"/>
        <v>19</v>
      </c>
      <c r="D2986" t="s">
        <v>24</v>
      </c>
      <c r="E2986" t="s">
        <v>40</v>
      </c>
      <c r="F2986" t="s">
        <v>41</v>
      </c>
      <c r="G2986" t="s">
        <v>36</v>
      </c>
      <c r="H2986" t="s">
        <v>37</v>
      </c>
      <c r="I2986" s="5">
        <v>1100</v>
      </c>
      <c r="J2986" s="5">
        <v>736</v>
      </c>
      <c r="K2986" s="5">
        <v>110</v>
      </c>
      <c r="L2986" s="5">
        <v>23</v>
      </c>
      <c r="M2986" s="5">
        <v>29</v>
      </c>
      <c r="N2986" s="7">
        <v>178.32</v>
      </c>
      <c r="O2986" s="7">
        <f t="shared" si="324"/>
        <v>5171.28</v>
      </c>
      <c r="P2986" s="4">
        <v>0.05</v>
      </c>
      <c r="Q2986" s="7">
        <f t="shared" si="325"/>
        <v>258.56400000000002</v>
      </c>
      <c r="R2986" s="7">
        <f t="shared" si="326"/>
        <v>4912.7159999999994</v>
      </c>
      <c r="S2986" s="7">
        <f t="shared" si="327"/>
        <v>213.59634782608694</v>
      </c>
      <c r="T2986" s="6">
        <f t="shared" si="328"/>
        <v>2.0909090909090908E-2</v>
      </c>
      <c r="V2986" t="s">
        <v>29</v>
      </c>
    </row>
    <row r="2987" spans="1:22">
      <c r="A2987" s="3">
        <v>45782</v>
      </c>
      <c r="B2987" t="str">
        <f t="shared" si="322"/>
        <v>yyyy-05</v>
      </c>
      <c r="C2987">
        <f t="shared" si="323"/>
        <v>19</v>
      </c>
      <c r="D2987" t="s">
        <v>42</v>
      </c>
      <c r="E2987" t="s">
        <v>43</v>
      </c>
      <c r="F2987" t="s">
        <v>44</v>
      </c>
      <c r="G2987" t="s">
        <v>31</v>
      </c>
      <c r="H2987" t="s">
        <v>32</v>
      </c>
      <c r="I2987" s="5">
        <v>613</v>
      </c>
      <c r="J2987" s="5">
        <v>324</v>
      </c>
      <c r="K2987" s="5">
        <v>27</v>
      </c>
      <c r="L2987" s="5">
        <v>8</v>
      </c>
      <c r="M2987" s="5">
        <v>8</v>
      </c>
      <c r="N2987" s="7">
        <v>1291.71</v>
      </c>
      <c r="O2987" s="7">
        <f t="shared" si="324"/>
        <v>10333.68</v>
      </c>
      <c r="P2987" s="4">
        <v>0</v>
      </c>
      <c r="Q2987" s="7">
        <f t="shared" si="325"/>
        <v>0</v>
      </c>
      <c r="R2987" s="7">
        <f t="shared" si="326"/>
        <v>10333.68</v>
      </c>
      <c r="S2987" s="7">
        <f t="shared" si="327"/>
        <v>1291.71</v>
      </c>
      <c r="T2987" s="6">
        <f t="shared" si="328"/>
        <v>1.3050570962479609E-2</v>
      </c>
      <c r="V2987" t="s">
        <v>29</v>
      </c>
    </row>
    <row r="2988" spans="1:22">
      <c r="A2988" s="3">
        <v>45782</v>
      </c>
      <c r="B2988" t="str">
        <f t="shared" si="322"/>
        <v>yyyy-05</v>
      </c>
      <c r="C2988">
        <f t="shared" si="323"/>
        <v>19</v>
      </c>
      <c r="D2988" t="s">
        <v>42</v>
      </c>
      <c r="E2988" t="s">
        <v>43</v>
      </c>
      <c r="F2988" t="s">
        <v>46</v>
      </c>
      <c r="G2988" t="s">
        <v>31</v>
      </c>
      <c r="H2988" t="s">
        <v>32</v>
      </c>
      <c r="I2988" s="5">
        <v>637</v>
      </c>
      <c r="J2988" s="5">
        <v>469</v>
      </c>
      <c r="K2988" s="5">
        <v>33</v>
      </c>
      <c r="L2988" s="5">
        <v>7</v>
      </c>
      <c r="M2988" s="5">
        <v>7</v>
      </c>
      <c r="N2988" s="7">
        <v>2182.4</v>
      </c>
      <c r="O2988" s="7">
        <f t="shared" si="324"/>
        <v>15276.800000000001</v>
      </c>
      <c r="P2988" s="4">
        <v>0</v>
      </c>
      <c r="Q2988" s="7">
        <f t="shared" si="325"/>
        <v>0</v>
      </c>
      <c r="R2988" s="7">
        <f t="shared" si="326"/>
        <v>15276.800000000001</v>
      </c>
      <c r="S2988" s="7">
        <f t="shared" si="327"/>
        <v>2182.4</v>
      </c>
      <c r="T2988" s="6">
        <f t="shared" si="328"/>
        <v>1.098901098901099E-2</v>
      </c>
      <c r="V2988" t="s">
        <v>29</v>
      </c>
    </row>
    <row r="2989" spans="1:22">
      <c r="A2989" s="3">
        <v>45782</v>
      </c>
      <c r="B2989" t="str">
        <f t="shared" si="322"/>
        <v>yyyy-05</v>
      </c>
      <c r="C2989">
        <f t="shared" si="323"/>
        <v>19</v>
      </c>
      <c r="D2989" t="s">
        <v>42</v>
      </c>
      <c r="E2989" t="s">
        <v>43</v>
      </c>
      <c r="F2989" t="s">
        <v>47</v>
      </c>
      <c r="G2989" t="s">
        <v>31</v>
      </c>
      <c r="H2989" t="s">
        <v>32</v>
      </c>
      <c r="I2989" s="5">
        <v>580</v>
      </c>
      <c r="J2989" s="5">
        <v>382</v>
      </c>
      <c r="K2989" s="5">
        <v>32</v>
      </c>
      <c r="L2989" s="5">
        <v>9</v>
      </c>
      <c r="M2989" s="5">
        <v>9</v>
      </c>
      <c r="N2989" s="7">
        <v>602.5</v>
      </c>
      <c r="O2989" s="7">
        <f t="shared" si="324"/>
        <v>5422.5</v>
      </c>
      <c r="P2989" s="4">
        <v>0.05</v>
      </c>
      <c r="Q2989" s="7">
        <f t="shared" si="325"/>
        <v>271.125</v>
      </c>
      <c r="R2989" s="7">
        <f t="shared" si="326"/>
        <v>5151.375</v>
      </c>
      <c r="S2989" s="7">
        <f t="shared" si="327"/>
        <v>572.375</v>
      </c>
      <c r="T2989" s="6">
        <f t="shared" si="328"/>
        <v>1.5517241379310345E-2</v>
      </c>
      <c r="V2989" t="s">
        <v>29</v>
      </c>
    </row>
    <row r="2990" spans="1:22">
      <c r="A2990" s="3">
        <v>45782</v>
      </c>
      <c r="B2990" t="str">
        <f t="shared" si="322"/>
        <v>yyyy-05</v>
      </c>
      <c r="C2990">
        <f t="shared" si="323"/>
        <v>19</v>
      </c>
      <c r="D2990" t="s">
        <v>42</v>
      </c>
      <c r="E2990" t="s">
        <v>49</v>
      </c>
      <c r="F2990" t="s">
        <v>50</v>
      </c>
      <c r="G2990" t="s">
        <v>36</v>
      </c>
      <c r="H2990" t="s">
        <v>37</v>
      </c>
      <c r="I2990" s="5">
        <v>175</v>
      </c>
      <c r="J2990" s="5">
        <v>114</v>
      </c>
      <c r="K2990" s="5">
        <v>7</v>
      </c>
      <c r="L2990" s="5">
        <v>2</v>
      </c>
      <c r="M2990" s="5">
        <v>2</v>
      </c>
      <c r="N2990" s="7">
        <v>978.5</v>
      </c>
      <c r="O2990" s="7">
        <f t="shared" si="324"/>
        <v>1957</v>
      </c>
      <c r="P2990" s="4">
        <v>0</v>
      </c>
      <c r="Q2990" s="7">
        <f t="shared" si="325"/>
        <v>0</v>
      </c>
      <c r="R2990" s="7">
        <f t="shared" si="326"/>
        <v>1957</v>
      </c>
      <c r="S2990" s="7">
        <f t="shared" si="327"/>
        <v>978.5</v>
      </c>
      <c r="T2990" s="6">
        <f t="shared" si="328"/>
        <v>1.1428571428571429E-2</v>
      </c>
      <c r="V2990" t="s">
        <v>29</v>
      </c>
    </row>
    <row r="2991" spans="1:22">
      <c r="A2991" s="3">
        <v>45782</v>
      </c>
      <c r="B2991" t="str">
        <f t="shared" si="322"/>
        <v>yyyy-05</v>
      </c>
      <c r="C2991">
        <f t="shared" si="323"/>
        <v>19</v>
      </c>
      <c r="D2991" t="s">
        <v>42</v>
      </c>
      <c r="E2991" t="s">
        <v>51</v>
      </c>
      <c r="F2991" t="s">
        <v>52</v>
      </c>
      <c r="G2991" t="s">
        <v>27</v>
      </c>
      <c r="H2991" t="s">
        <v>63</v>
      </c>
      <c r="I2991" s="5">
        <v>218</v>
      </c>
      <c r="J2991" s="5">
        <v>156</v>
      </c>
      <c r="K2991" s="5">
        <v>18</v>
      </c>
      <c r="L2991" s="5">
        <v>4</v>
      </c>
      <c r="M2991" s="5">
        <v>4</v>
      </c>
      <c r="N2991" s="7">
        <v>592.02</v>
      </c>
      <c r="O2991" s="7">
        <f t="shared" si="324"/>
        <v>2368.08</v>
      </c>
      <c r="P2991" s="4">
        <v>0.05</v>
      </c>
      <c r="Q2991" s="7">
        <f t="shared" si="325"/>
        <v>118.404</v>
      </c>
      <c r="R2991" s="7">
        <f t="shared" si="326"/>
        <v>2249.6759999999999</v>
      </c>
      <c r="S2991" s="7">
        <f t="shared" si="327"/>
        <v>562.41899999999998</v>
      </c>
      <c r="T2991" s="6">
        <f t="shared" si="328"/>
        <v>1.834862385321101E-2</v>
      </c>
      <c r="V2991" t="s">
        <v>29</v>
      </c>
    </row>
    <row r="2992" spans="1:22">
      <c r="A2992" s="3">
        <v>45782</v>
      </c>
      <c r="B2992" t="str">
        <f t="shared" si="322"/>
        <v>yyyy-05</v>
      </c>
      <c r="C2992">
        <f t="shared" si="323"/>
        <v>19</v>
      </c>
      <c r="D2992" t="s">
        <v>53</v>
      </c>
      <c r="E2992" t="s">
        <v>54</v>
      </c>
      <c r="F2992" t="s">
        <v>55</v>
      </c>
      <c r="G2992" t="s">
        <v>31</v>
      </c>
      <c r="H2992" t="s">
        <v>32</v>
      </c>
      <c r="I2992" s="5">
        <v>195</v>
      </c>
      <c r="J2992" s="5">
        <v>117</v>
      </c>
      <c r="K2992" s="5">
        <v>13</v>
      </c>
      <c r="L2992" s="5">
        <v>3</v>
      </c>
      <c r="M2992" s="5">
        <v>3</v>
      </c>
      <c r="N2992" s="7">
        <v>1282.21</v>
      </c>
      <c r="O2992" s="7">
        <f t="shared" si="324"/>
        <v>3846.63</v>
      </c>
      <c r="P2992" s="4">
        <v>0</v>
      </c>
      <c r="Q2992" s="7">
        <f t="shared" si="325"/>
        <v>0</v>
      </c>
      <c r="R2992" s="7">
        <f t="shared" si="326"/>
        <v>3846.63</v>
      </c>
      <c r="S2992" s="7">
        <f t="shared" si="327"/>
        <v>1282.21</v>
      </c>
      <c r="T2992" s="6">
        <f t="shared" si="328"/>
        <v>1.5384615384615385E-2</v>
      </c>
      <c r="V2992" t="s">
        <v>29</v>
      </c>
    </row>
    <row r="2993" spans="1:22">
      <c r="A2993" s="3">
        <v>45782</v>
      </c>
      <c r="B2993" t="str">
        <f t="shared" si="322"/>
        <v>yyyy-05</v>
      </c>
      <c r="C2993">
        <f t="shared" si="323"/>
        <v>19</v>
      </c>
      <c r="D2993" t="s">
        <v>53</v>
      </c>
      <c r="E2993" t="s">
        <v>56</v>
      </c>
      <c r="F2993" t="s">
        <v>57</v>
      </c>
      <c r="G2993" t="s">
        <v>27</v>
      </c>
      <c r="H2993" t="s">
        <v>48</v>
      </c>
      <c r="I2993" s="5">
        <v>171</v>
      </c>
      <c r="J2993" s="5">
        <v>95</v>
      </c>
      <c r="K2993" s="5">
        <v>11</v>
      </c>
      <c r="L2993" s="5">
        <v>1</v>
      </c>
      <c r="M2993" s="5">
        <v>1</v>
      </c>
      <c r="N2993" s="7">
        <v>757.63</v>
      </c>
      <c r="O2993" s="7">
        <f t="shared" si="324"/>
        <v>757.63</v>
      </c>
      <c r="P2993" s="4">
        <v>0</v>
      </c>
      <c r="Q2993" s="7">
        <f t="shared" si="325"/>
        <v>0</v>
      </c>
      <c r="R2993" s="7">
        <f t="shared" si="326"/>
        <v>757.63</v>
      </c>
      <c r="S2993" s="7">
        <f t="shared" si="327"/>
        <v>757.63</v>
      </c>
      <c r="T2993" s="6">
        <f t="shared" si="328"/>
        <v>5.8479532163742687E-3</v>
      </c>
      <c r="V2993" t="s">
        <v>29</v>
      </c>
    </row>
    <row r="2994" spans="1:22">
      <c r="A2994" s="3">
        <v>45782</v>
      </c>
      <c r="B2994" t="str">
        <f t="shared" si="322"/>
        <v>yyyy-05</v>
      </c>
      <c r="C2994">
        <f t="shared" si="323"/>
        <v>19</v>
      </c>
      <c r="D2994" t="s">
        <v>53</v>
      </c>
      <c r="E2994" t="s">
        <v>56</v>
      </c>
      <c r="F2994" t="s">
        <v>58</v>
      </c>
      <c r="G2994" t="s">
        <v>27</v>
      </c>
      <c r="H2994" t="s">
        <v>28</v>
      </c>
      <c r="I2994" s="5">
        <v>292</v>
      </c>
      <c r="J2994" s="5">
        <v>191</v>
      </c>
      <c r="K2994" s="5">
        <v>18</v>
      </c>
      <c r="L2994" s="5">
        <v>4</v>
      </c>
      <c r="M2994" s="5">
        <v>4</v>
      </c>
      <c r="N2994" s="7">
        <v>916.49</v>
      </c>
      <c r="O2994" s="7">
        <f t="shared" si="324"/>
        <v>3665.96</v>
      </c>
      <c r="P2994" s="4">
        <v>0.05</v>
      </c>
      <c r="Q2994" s="7">
        <f t="shared" si="325"/>
        <v>183.298</v>
      </c>
      <c r="R2994" s="7">
        <f t="shared" si="326"/>
        <v>3482.6620000000003</v>
      </c>
      <c r="S2994" s="7">
        <f t="shared" si="327"/>
        <v>870.66550000000007</v>
      </c>
      <c r="T2994" s="6">
        <f t="shared" si="328"/>
        <v>1.3698630136986301E-2</v>
      </c>
      <c r="V2994" t="s">
        <v>29</v>
      </c>
    </row>
    <row r="2995" spans="1:22">
      <c r="A2995" s="3">
        <v>45782</v>
      </c>
      <c r="B2995" t="str">
        <f t="shared" si="322"/>
        <v>yyyy-05</v>
      </c>
      <c r="C2995">
        <f t="shared" si="323"/>
        <v>19</v>
      </c>
      <c r="D2995" t="s">
        <v>53</v>
      </c>
      <c r="E2995" t="s">
        <v>59</v>
      </c>
      <c r="F2995" t="s">
        <v>60</v>
      </c>
      <c r="G2995" t="s">
        <v>36</v>
      </c>
      <c r="H2995" t="s">
        <v>37</v>
      </c>
      <c r="I2995" s="5">
        <v>185</v>
      </c>
      <c r="J2995" s="5">
        <v>130</v>
      </c>
      <c r="K2995" s="5">
        <v>9</v>
      </c>
      <c r="L2995" s="5">
        <v>2</v>
      </c>
      <c r="M2995" s="5">
        <v>2</v>
      </c>
      <c r="N2995" s="7">
        <v>695.35</v>
      </c>
      <c r="O2995" s="7">
        <f t="shared" si="324"/>
        <v>1390.7</v>
      </c>
      <c r="P2995" s="4">
        <v>0</v>
      </c>
      <c r="Q2995" s="7">
        <f t="shared" si="325"/>
        <v>0</v>
      </c>
      <c r="R2995" s="7">
        <f t="shared" si="326"/>
        <v>1390.7</v>
      </c>
      <c r="S2995" s="7">
        <f t="shared" si="327"/>
        <v>695.35</v>
      </c>
      <c r="T2995" s="6">
        <f t="shared" si="328"/>
        <v>1.0810810810810811E-2</v>
      </c>
      <c r="V2995" t="s">
        <v>29</v>
      </c>
    </row>
    <row r="2996" spans="1:22">
      <c r="A2996" s="3">
        <v>45782</v>
      </c>
      <c r="B2996" t="str">
        <f t="shared" si="322"/>
        <v>yyyy-05</v>
      </c>
      <c r="C2996">
        <f t="shared" si="323"/>
        <v>19</v>
      </c>
      <c r="D2996" t="s">
        <v>53</v>
      </c>
      <c r="E2996" t="s">
        <v>61</v>
      </c>
      <c r="F2996" t="s">
        <v>62</v>
      </c>
      <c r="G2996" t="s">
        <v>27</v>
      </c>
      <c r="H2996" t="s">
        <v>48</v>
      </c>
      <c r="I2996" s="5">
        <v>146</v>
      </c>
      <c r="J2996" s="5">
        <v>81</v>
      </c>
      <c r="K2996" s="5">
        <v>10</v>
      </c>
      <c r="L2996" s="5">
        <v>1</v>
      </c>
      <c r="M2996" s="5">
        <v>1</v>
      </c>
      <c r="N2996" s="7">
        <v>493.19</v>
      </c>
      <c r="O2996" s="7">
        <f t="shared" si="324"/>
        <v>493.19</v>
      </c>
      <c r="P2996" s="4">
        <v>0</v>
      </c>
      <c r="Q2996" s="7">
        <f t="shared" si="325"/>
        <v>0</v>
      </c>
      <c r="R2996" s="7">
        <f t="shared" si="326"/>
        <v>493.19</v>
      </c>
      <c r="S2996" s="7">
        <f t="shared" si="327"/>
        <v>493.19</v>
      </c>
      <c r="T2996" s="6">
        <f t="shared" si="328"/>
        <v>6.8493150684931503E-3</v>
      </c>
      <c r="V2996" t="s">
        <v>29</v>
      </c>
    </row>
    <row r="2997" spans="1:22">
      <c r="A2997" s="3">
        <v>45782</v>
      </c>
      <c r="B2997" t="str">
        <f t="shared" si="322"/>
        <v>yyyy-05</v>
      </c>
      <c r="C2997">
        <f t="shared" si="323"/>
        <v>19</v>
      </c>
      <c r="D2997" t="s">
        <v>53</v>
      </c>
      <c r="E2997" t="s">
        <v>64</v>
      </c>
      <c r="F2997" t="s">
        <v>65</v>
      </c>
      <c r="G2997" t="s">
        <v>36</v>
      </c>
      <c r="H2997" t="s">
        <v>37</v>
      </c>
      <c r="I2997" s="5">
        <v>230</v>
      </c>
      <c r="J2997" s="5">
        <v>143</v>
      </c>
      <c r="K2997" s="5">
        <v>11</v>
      </c>
      <c r="L2997" s="5">
        <v>2</v>
      </c>
      <c r="M2997" s="5">
        <v>2</v>
      </c>
      <c r="N2997" s="7">
        <v>775.02</v>
      </c>
      <c r="O2997" s="7">
        <f t="shared" si="324"/>
        <v>1550.04</v>
      </c>
      <c r="P2997" s="4">
        <v>0</v>
      </c>
      <c r="Q2997" s="7">
        <f t="shared" si="325"/>
        <v>0</v>
      </c>
      <c r="R2997" s="7">
        <f t="shared" si="326"/>
        <v>1550.04</v>
      </c>
      <c r="S2997" s="7">
        <f t="shared" si="327"/>
        <v>775.02</v>
      </c>
      <c r="T2997" s="6">
        <f t="shared" si="328"/>
        <v>8.6956521739130436E-3</v>
      </c>
      <c r="V2997" t="s">
        <v>29</v>
      </c>
    </row>
    <row r="2998" spans="1:22">
      <c r="A2998" s="3">
        <v>45782</v>
      </c>
      <c r="B2998" t="str">
        <f t="shared" si="322"/>
        <v>yyyy-05</v>
      </c>
      <c r="C2998">
        <f t="shared" si="323"/>
        <v>19</v>
      </c>
      <c r="D2998" t="s">
        <v>66</v>
      </c>
      <c r="E2998" t="s">
        <v>67</v>
      </c>
      <c r="F2998" t="s">
        <v>68</v>
      </c>
      <c r="G2998" t="s">
        <v>27</v>
      </c>
      <c r="H2998" t="s">
        <v>45</v>
      </c>
      <c r="I2998" s="5">
        <v>313</v>
      </c>
      <c r="J2998" s="5">
        <v>195</v>
      </c>
      <c r="K2998" s="5">
        <v>28</v>
      </c>
      <c r="L2998" s="5">
        <v>7</v>
      </c>
      <c r="M2998" s="5">
        <v>7</v>
      </c>
      <c r="N2998" s="7">
        <v>695.36</v>
      </c>
      <c r="O2998" s="7">
        <f t="shared" si="324"/>
        <v>4867.5200000000004</v>
      </c>
      <c r="P2998" s="4">
        <v>0</v>
      </c>
      <c r="Q2998" s="7">
        <f t="shared" si="325"/>
        <v>0</v>
      </c>
      <c r="R2998" s="7">
        <f t="shared" si="326"/>
        <v>4867.5200000000004</v>
      </c>
      <c r="S2998" s="7">
        <f t="shared" si="327"/>
        <v>695.36</v>
      </c>
      <c r="T2998" s="6">
        <f t="shared" si="328"/>
        <v>2.2364217252396165E-2</v>
      </c>
      <c r="V2998" t="s">
        <v>29</v>
      </c>
    </row>
    <row r="2999" spans="1:22">
      <c r="A2999" s="3">
        <v>45782</v>
      </c>
      <c r="B2999" t="str">
        <f t="shared" si="322"/>
        <v>yyyy-05</v>
      </c>
      <c r="C2999">
        <f t="shared" si="323"/>
        <v>19</v>
      </c>
      <c r="D2999" t="s">
        <v>66</v>
      </c>
      <c r="E2999" t="s">
        <v>67</v>
      </c>
      <c r="F2999" t="s">
        <v>69</v>
      </c>
      <c r="G2999" t="s">
        <v>27</v>
      </c>
      <c r="H2999" t="s">
        <v>28</v>
      </c>
      <c r="I2999" s="5">
        <v>309</v>
      </c>
      <c r="J2999" s="5">
        <v>231</v>
      </c>
      <c r="K2999" s="5">
        <v>23</v>
      </c>
      <c r="L2999" s="5">
        <v>4</v>
      </c>
      <c r="M2999" s="5">
        <v>4</v>
      </c>
      <c r="N2999" s="7">
        <v>400.49</v>
      </c>
      <c r="O2999" s="7">
        <f t="shared" si="324"/>
        <v>1601.96</v>
      </c>
      <c r="P2999" s="4">
        <v>0</v>
      </c>
      <c r="Q2999" s="7">
        <f t="shared" si="325"/>
        <v>0</v>
      </c>
      <c r="R2999" s="7">
        <f t="shared" si="326"/>
        <v>1601.96</v>
      </c>
      <c r="S2999" s="7">
        <f t="shared" si="327"/>
        <v>400.49</v>
      </c>
      <c r="T2999" s="6">
        <f t="shared" si="328"/>
        <v>1.2944983818770227E-2</v>
      </c>
      <c r="V2999" t="s">
        <v>29</v>
      </c>
    </row>
    <row r="3000" spans="1:22">
      <c r="A3000" s="3">
        <v>45782</v>
      </c>
      <c r="B3000" t="str">
        <f t="shared" si="322"/>
        <v>yyyy-05</v>
      </c>
      <c r="C3000">
        <f t="shared" si="323"/>
        <v>19</v>
      </c>
      <c r="D3000" t="s">
        <v>66</v>
      </c>
      <c r="E3000" t="s">
        <v>67</v>
      </c>
      <c r="F3000" t="s">
        <v>70</v>
      </c>
      <c r="G3000" t="s">
        <v>31</v>
      </c>
      <c r="H3000" t="s">
        <v>32</v>
      </c>
      <c r="I3000" s="5">
        <v>565</v>
      </c>
      <c r="J3000" s="5">
        <v>365</v>
      </c>
      <c r="K3000" s="5">
        <v>27</v>
      </c>
      <c r="L3000" s="5">
        <v>9</v>
      </c>
      <c r="M3000" s="5">
        <v>9</v>
      </c>
      <c r="N3000" s="7">
        <v>346.51</v>
      </c>
      <c r="O3000" s="7">
        <f t="shared" si="324"/>
        <v>3118.59</v>
      </c>
      <c r="P3000" s="4">
        <v>0.05</v>
      </c>
      <c r="Q3000" s="7">
        <f t="shared" si="325"/>
        <v>155.92950000000002</v>
      </c>
      <c r="R3000" s="7">
        <f t="shared" si="326"/>
        <v>2962.6605</v>
      </c>
      <c r="S3000" s="7">
        <f t="shared" si="327"/>
        <v>329.18450000000001</v>
      </c>
      <c r="T3000" s="6">
        <f t="shared" si="328"/>
        <v>1.5929203539823009E-2</v>
      </c>
      <c r="V3000" t="s">
        <v>29</v>
      </c>
    </row>
    <row r="3001" spans="1:22">
      <c r="A3001" s="3">
        <v>45782</v>
      </c>
      <c r="B3001" t="str">
        <f t="shared" si="322"/>
        <v>yyyy-05</v>
      </c>
      <c r="C3001">
        <f t="shared" si="323"/>
        <v>19</v>
      </c>
      <c r="D3001" t="s">
        <v>66</v>
      </c>
      <c r="E3001" t="s">
        <v>71</v>
      </c>
      <c r="F3001" t="s">
        <v>72</v>
      </c>
      <c r="G3001" t="s">
        <v>31</v>
      </c>
      <c r="H3001" t="s">
        <v>32</v>
      </c>
      <c r="I3001" s="5">
        <v>473</v>
      </c>
      <c r="J3001" s="5">
        <v>300</v>
      </c>
      <c r="K3001" s="5">
        <v>28</v>
      </c>
      <c r="L3001" s="5">
        <v>7</v>
      </c>
      <c r="M3001" s="5">
        <v>9</v>
      </c>
      <c r="N3001" s="7">
        <v>126.98</v>
      </c>
      <c r="O3001" s="7">
        <f t="shared" si="324"/>
        <v>1142.82</v>
      </c>
      <c r="P3001" s="4">
        <v>0</v>
      </c>
      <c r="Q3001" s="7">
        <f t="shared" si="325"/>
        <v>0</v>
      </c>
      <c r="R3001" s="7">
        <f t="shared" si="326"/>
        <v>1142.82</v>
      </c>
      <c r="S3001" s="7">
        <f t="shared" si="327"/>
        <v>163.26</v>
      </c>
      <c r="T3001" s="6">
        <f t="shared" si="328"/>
        <v>1.4799154334038054E-2</v>
      </c>
      <c r="V3001" t="s">
        <v>29</v>
      </c>
    </row>
    <row r="3002" spans="1:22">
      <c r="A3002" s="3">
        <v>45782</v>
      </c>
      <c r="B3002" t="str">
        <f t="shared" si="322"/>
        <v>yyyy-05</v>
      </c>
      <c r="C3002">
        <f t="shared" si="323"/>
        <v>19</v>
      </c>
      <c r="D3002" t="s">
        <v>66</v>
      </c>
      <c r="E3002" t="s">
        <v>73</v>
      </c>
      <c r="F3002" t="s">
        <v>74</v>
      </c>
      <c r="G3002" t="s">
        <v>36</v>
      </c>
      <c r="H3002" t="s">
        <v>37</v>
      </c>
      <c r="I3002" s="5">
        <v>224</v>
      </c>
      <c r="J3002" s="5">
        <v>129</v>
      </c>
      <c r="K3002" s="5">
        <v>21</v>
      </c>
      <c r="L3002" s="5">
        <v>5</v>
      </c>
      <c r="M3002" s="5">
        <v>5</v>
      </c>
      <c r="N3002" s="7">
        <v>1199.25</v>
      </c>
      <c r="O3002" s="7">
        <f t="shared" si="324"/>
        <v>5996.25</v>
      </c>
      <c r="P3002" s="4">
        <v>0</v>
      </c>
      <c r="Q3002" s="7">
        <f t="shared" si="325"/>
        <v>0</v>
      </c>
      <c r="R3002" s="7">
        <f t="shared" si="326"/>
        <v>5996.25</v>
      </c>
      <c r="S3002" s="7">
        <f t="shared" si="327"/>
        <v>1199.25</v>
      </c>
      <c r="T3002" s="6">
        <f t="shared" si="328"/>
        <v>2.2321428571428572E-2</v>
      </c>
      <c r="V3002" t="s">
        <v>29</v>
      </c>
    </row>
    <row r="3003" spans="1:22">
      <c r="A3003" s="3">
        <v>45782</v>
      </c>
      <c r="B3003" t="str">
        <f t="shared" si="322"/>
        <v>yyyy-05</v>
      </c>
      <c r="C3003">
        <f t="shared" si="323"/>
        <v>19</v>
      </c>
      <c r="D3003" t="s">
        <v>66</v>
      </c>
      <c r="E3003" t="s">
        <v>71</v>
      </c>
      <c r="F3003" t="s">
        <v>75</v>
      </c>
      <c r="G3003" t="s">
        <v>31</v>
      </c>
      <c r="H3003" t="s">
        <v>32</v>
      </c>
      <c r="I3003" s="5">
        <v>453</v>
      </c>
      <c r="J3003" s="5">
        <v>313</v>
      </c>
      <c r="K3003" s="5">
        <v>32</v>
      </c>
      <c r="L3003" s="5">
        <v>8</v>
      </c>
      <c r="M3003" s="5">
        <v>9</v>
      </c>
      <c r="N3003" s="7">
        <v>39.700000000000003</v>
      </c>
      <c r="O3003" s="7">
        <f t="shared" si="324"/>
        <v>357.3</v>
      </c>
      <c r="P3003" s="4">
        <v>0</v>
      </c>
      <c r="Q3003" s="7">
        <f t="shared" si="325"/>
        <v>0</v>
      </c>
      <c r="R3003" s="7">
        <f t="shared" si="326"/>
        <v>357.3</v>
      </c>
      <c r="S3003" s="7">
        <f t="shared" si="327"/>
        <v>44.662500000000001</v>
      </c>
      <c r="T3003" s="6">
        <f t="shared" si="328"/>
        <v>1.7660044150110375E-2</v>
      </c>
      <c r="V3003" t="s">
        <v>29</v>
      </c>
    </row>
    <row r="3004" spans="1:22">
      <c r="A3004" s="3">
        <v>45782</v>
      </c>
      <c r="B3004" t="str">
        <f t="shared" si="322"/>
        <v>yyyy-05</v>
      </c>
      <c r="C3004">
        <f t="shared" si="323"/>
        <v>19</v>
      </c>
      <c r="D3004" t="s">
        <v>24</v>
      </c>
      <c r="E3004" t="s">
        <v>76</v>
      </c>
      <c r="F3004" t="s">
        <v>77</v>
      </c>
      <c r="G3004" t="s">
        <v>27</v>
      </c>
      <c r="H3004" t="s">
        <v>28</v>
      </c>
      <c r="I3004" s="5">
        <v>600</v>
      </c>
      <c r="J3004" s="5">
        <v>342</v>
      </c>
      <c r="K3004" s="5">
        <v>48</v>
      </c>
      <c r="L3004" s="5">
        <v>10</v>
      </c>
      <c r="M3004" s="5">
        <v>13</v>
      </c>
      <c r="N3004" s="7">
        <v>193.62</v>
      </c>
      <c r="O3004" s="7">
        <f t="shared" si="324"/>
        <v>2517.06</v>
      </c>
      <c r="P3004" s="4">
        <v>0</v>
      </c>
      <c r="Q3004" s="7">
        <f t="shared" si="325"/>
        <v>0</v>
      </c>
      <c r="R3004" s="7">
        <f t="shared" si="326"/>
        <v>2517.06</v>
      </c>
      <c r="S3004" s="7">
        <f t="shared" si="327"/>
        <v>251.70599999999999</v>
      </c>
      <c r="T3004" s="6">
        <f t="shared" si="328"/>
        <v>1.6666666666666666E-2</v>
      </c>
      <c r="V3004" t="s">
        <v>29</v>
      </c>
    </row>
    <row r="3005" spans="1:22">
      <c r="A3005" s="3">
        <v>45783</v>
      </c>
      <c r="B3005" t="str">
        <f t="shared" si="322"/>
        <v>yyyy-05</v>
      </c>
      <c r="C3005">
        <f t="shared" si="323"/>
        <v>19</v>
      </c>
      <c r="D3005" t="s">
        <v>24</v>
      </c>
      <c r="E3005" t="s">
        <v>25</v>
      </c>
      <c r="F3005" t="s">
        <v>26</v>
      </c>
      <c r="G3005" t="s">
        <v>27</v>
      </c>
      <c r="H3005" t="s">
        <v>28</v>
      </c>
      <c r="I3005" s="5">
        <v>1636</v>
      </c>
      <c r="J3005" s="5">
        <v>1054</v>
      </c>
      <c r="K3005" s="5">
        <v>114</v>
      </c>
      <c r="L3005" s="5">
        <v>45</v>
      </c>
      <c r="M3005" s="5">
        <v>45</v>
      </c>
      <c r="N3005" s="7">
        <v>1015.84</v>
      </c>
      <c r="O3005" s="7">
        <f t="shared" si="324"/>
        <v>45712.800000000003</v>
      </c>
      <c r="P3005" s="4">
        <v>0.14000000000000001</v>
      </c>
      <c r="Q3005" s="7">
        <f t="shared" si="325"/>
        <v>6399.7920000000013</v>
      </c>
      <c r="R3005" s="7">
        <f t="shared" si="326"/>
        <v>39313.008000000002</v>
      </c>
      <c r="S3005" s="7">
        <f t="shared" si="327"/>
        <v>873.62240000000008</v>
      </c>
      <c r="T3005" s="6">
        <f t="shared" si="328"/>
        <v>2.7506112469437651E-2</v>
      </c>
      <c r="U3005" t="s">
        <v>96</v>
      </c>
      <c r="V3005" t="s">
        <v>29</v>
      </c>
    </row>
    <row r="3006" spans="1:22">
      <c r="A3006" s="3">
        <v>45783</v>
      </c>
      <c r="B3006" t="str">
        <f t="shared" si="322"/>
        <v>yyyy-05</v>
      </c>
      <c r="C3006">
        <f t="shared" si="323"/>
        <v>19</v>
      </c>
      <c r="D3006" t="s">
        <v>24</v>
      </c>
      <c r="E3006" t="s">
        <v>25</v>
      </c>
      <c r="F3006" t="s">
        <v>30</v>
      </c>
      <c r="G3006" t="s">
        <v>27</v>
      </c>
      <c r="H3006" t="s">
        <v>28</v>
      </c>
      <c r="I3006" s="5">
        <v>1697</v>
      </c>
      <c r="J3006" s="5">
        <v>1254</v>
      </c>
      <c r="K3006" s="5">
        <v>112</v>
      </c>
      <c r="L3006" s="5">
        <v>47</v>
      </c>
      <c r="M3006" s="5">
        <v>47</v>
      </c>
      <c r="N3006" s="7">
        <v>398.71</v>
      </c>
      <c r="O3006" s="7">
        <f t="shared" si="324"/>
        <v>18739.37</v>
      </c>
      <c r="P3006" s="4">
        <v>0.14000000000000001</v>
      </c>
      <c r="Q3006" s="7">
        <f t="shared" si="325"/>
        <v>2623.5118000000002</v>
      </c>
      <c r="R3006" s="7">
        <f t="shared" si="326"/>
        <v>16115.858199999999</v>
      </c>
      <c r="S3006" s="7">
        <f t="shared" si="327"/>
        <v>342.89059999999995</v>
      </c>
      <c r="T3006" s="6">
        <f t="shared" si="328"/>
        <v>2.7695934001178549E-2</v>
      </c>
      <c r="U3006" t="s">
        <v>96</v>
      </c>
      <c r="V3006" t="s">
        <v>29</v>
      </c>
    </row>
    <row r="3007" spans="1:22">
      <c r="A3007" s="3">
        <v>45783</v>
      </c>
      <c r="B3007" t="str">
        <f t="shared" si="322"/>
        <v>yyyy-05</v>
      </c>
      <c r="C3007">
        <f t="shared" si="323"/>
        <v>19</v>
      </c>
      <c r="D3007" t="s">
        <v>24</v>
      </c>
      <c r="E3007" t="s">
        <v>25</v>
      </c>
      <c r="F3007" t="s">
        <v>33</v>
      </c>
      <c r="G3007" t="s">
        <v>31</v>
      </c>
      <c r="H3007" t="s">
        <v>32</v>
      </c>
      <c r="I3007" s="5">
        <v>2148</v>
      </c>
      <c r="J3007" s="5">
        <v>1210</v>
      </c>
      <c r="K3007" s="5">
        <v>116</v>
      </c>
      <c r="L3007" s="5">
        <v>48</v>
      </c>
      <c r="M3007" s="5">
        <v>48</v>
      </c>
      <c r="N3007" s="7">
        <v>1779.11</v>
      </c>
      <c r="O3007" s="7">
        <f t="shared" si="324"/>
        <v>85397.28</v>
      </c>
      <c r="P3007" s="4">
        <v>0.14000000000000001</v>
      </c>
      <c r="Q3007" s="7">
        <f t="shared" si="325"/>
        <v>11955.619200000001</v>
      </c>
      <c r="R3007" s="7">
        <f t="shared" si="326"/>
        <v>73441.660799999998</v>
      </c>
      <c r="S3007" s="7">
        <f t="shared" si="327"/>
        <v>1530.0346</v>
      </c>
      <c r="T3007" s="6">
        <f t="shared" si="328"/>
        <v>2.23463687150838E-2</v>
      </c>
      <c r="U3007" t="s">
        <v>96</v>
      </c>
      <c r="V3007" t="s">
        <v>29</v>
      </c>
    </row>
    <row r="3008" spans="1:22">
      <c r="A3008" s="3">
        <v>45783</v>
      </c>
      <c r="B3008" t="str">
        <f t="shared" si="322"/>
        <v>yyyy-05</v>
      </c>
      <c r="C3008">
        <f t="shared" si="323"/>
        <v>19</v>
      </c>
      <c r="D3008" t="s">
        <v>24</v>
      </c>
      <c r="E3008" t="s">
        <v>34</v>
      </c>
      <c r="F3008" t="s">
        <v>35</v>
      </c>
      <c r="G3008" t="s">
        <v>27</v>
      </c>
      <c r="H3008" t="s">
        <v>48</v>
      </c>
      <c r="I3008" s="5">
        <v>740</v>
      </c>
      <c r="J3008" s="5">
        <v>582</v>
      </c>
      <c r="K3008" s="5">
        <v>62</v>
      </c>
      <c r="L3008" s="5">
        <v>13</v>
      </c>
      <c r="M3008" s="5">
        <v>13</v>
      </c>
      <c r="N3008" s="7">
        <v>881.18</v>
      </c>
      <c r="O3008" s="7">
        <f t="shared" si="324"/>
        <v>11455.34</v>
      </c>
      <c r="P3008" s="4">
        <v>0</v>
      </c>
      <c r="Q3008" s="7">
        <f t="shared" si="325"/>
        <v>0</v>
      </c>
      <c r="R3008" s="7">
        <f t="shared" si="326"/>
        <v>11455.34</v>
      </c>
      <c r="S3008" s="7">
        <f t="shared" si="327"/>
        <v>881.18000000000006</v>
      </c>
      <c r="T3008" s="6">
        <f t="shared" si="328"/>
        <v>1.7567567567567569E-2</v>
      </c>
      <c r="V3008" t="s">
        <v>29</v>
      </c>
    </row>
    <row r="3009" spans="1:22">
      <c r="A3009" s="3">
        <v>45783</v>
      </c>
      <c r="B3009" t="str">
        <f t="shared" si="322"/>
        <v>yyyy-05</v>
      </c>
      <c r="C3009">
        <f t="shared" si="323"/>
        <v>19</v>
      </c>
      <c r="D3009" t="s">
        <v>24</v>
      </c>
      <c r="E3009" t="s">
        <v>38</v>
      </c>
      <c r="F3009" t="s">
        <v>39</v>
      </c>
      <c r="G3009" t="s">
        <v>27</v>
      </c>
      <c r="H3009" t="s">
        <v>28</v>
      </c>
      <c r="I3009" s="5">
        <v>1006</v>
      </c>
      <c r="J3009" s="5">
        <v>758</v>
      </c>
      <c r="K3009" s="5">
        <v>104</v>
      </c>
      <c r="L3009" s="5">
        <v>24</v>
      </c>
      <c r="M3009" s="5">
        <v>24</v>
      </c>
      <c r="N3009" s="7">
        <v>322.99</v>
      </c>
      <c r="O3009" s="7">
        <f t="shared" si="324"/>
        <v>7751.76</v>
      </c>
      <c r="P3009" s="4">
        <v>0</v>
      </c>
      <c r="Q3009" s="7">
        <f t="shared" si="325"/>
        <v>0</v>
      </c>
      <c r="R3009" s="7">
        <f t="shared" si="326"/>
        <v>7751.76</v>
      </c>
      <c r="S3009" s="7">
        <f t="shared" si="327"/>
        <v>322.99</v>
      </c>
      <c r="T3009" s="6">
        <f t="shared" si="328"/>
        <v>2.3856858846918488E-2</v>
      </c>
      <c r="V3009" t="s">
        <v>29</v>
      </c>
    </row>
    <row r="3010" spans="1:22">
      <c r="A3010" s="3">
        <v>45783</v>
      </c>
      <c r="B3010" t="str">
        <f t="shared" si="322"/>
        <v>yyyy-05</v>
      </c>
      <c r="C3010">
        <f t="shared" si="323"/>
        <v>19</v>
      </c>
      <c r="D3010" t="s">
        <v>24</v>
      </c>
      <c r="E3010" t="s">
        <v>40</v>
      </c>
      <c r="F3010" t="s">
        <v>41</v>
      </c>
      <c r="G3010" t="s">
        <v>27</v>
      </c>
      <c r="H3010" t="s">
        <v>63</v>
      </c>
      <c r="I3010" s="5">
        <v>620</v>
      </c>
      <c r="J3010" s="5">
        <v>323</v>
      </c>
      <c r="K3010" s="5">
        <v>37</v>
      </c>
      <c r="L3010" s="5">
        <v>11</v>
      </c>
      <c r="M3010" s="5">
        <v>13</v>
      </c>
      <c r="N3010" s="7">
        <v>173.26</v>
      </c>
      <c r="O3010" s="7">
        <f t="shared" si="324"/>
        <v>2252.38</v>
      </c>
      <c r="P3010" s="4">
        <v>0</v>
      </c>
      <c r="Q3010" s="7">
        <f t="shared" si="325"/>
        <v>0</v>
      </c>
      <c r="R3010" s="7">
        <f t="shared" si="326"/>
        <v>2252.38</v>
      </c>
      <c r="S3010" s="7">
        <f t="shared" si="327"/>
        <v>204.7618181818182</v>
      </c>
      <c r="T3010" s="6">
        <f t="shared" si="328"/>
        <v>1.7741935483870968E-2</v>
      </c>
      <c r="V3010" t="s">
        <v>29</v>
      </c>
    </row>
    <row r="3011" spans="1:22">
      <c r="A3011" s="3">
        <v>45783</v>
      </c>
      <c r="B3011" t="str">
        <f t="shared" si="322"/>
        <v>yyyy-05</v>
      </c>
      <c r="C3011">
        <f t="shared" si="323"/>
        <v>19</v>
      </c>
      <c r="D3011" t="s">
        <v>42</v>
      </c>
      <c r="E3011" t="s">
        <v>43</v>
      </c>
      <c r="F3011" t="s">
        <v>44</v>
      </c>
      <c r="G3011" t="s">
        <v>36</v>
      </c>
      <c r="H3011" t="s">
        <v>37</v>
      </c>
      <c r="I3011" s="5">
        <v>721</v>
      </c>
      <c r="J3011" s="5">
        <v>497</v>
      </c>
      <c r="K3011" s="5">
        <v>37</v>
      </c>
      <c r="L3011" s="5">
        <v>11</v>
      </c>
      <c r="M3011" s="5">
        <v>11</v>
      </c>
      <c r="N3011" s="7">
        <v>1299.94</v>
      </c>
      <c r="O3011" s="7">
        <f t="shared" si="324"/>
        <v>14299.34</v>
      </c>
      <c r="P3011" s="4">
        <v>0</v>
      </c>
      <c r="Q3011" s="7">
        <f t="shared" si="325"/>
        <v>0</v>
      </c>
      <c r="R3011" s="7">
        <f t="shared" si="326"/>
        <v>14299.34</v>
      </c>
      <c r="S3011" s="7">
        <f t="shared" si="327"/>
        <v>1299.94</v>
      </c>
      <c r="T3011" s="6">
        <f t="shared" si="328"/>
        <v>1.5256588072122053E-2</v>
      </c>
      <c r="V3011" t="s">
        <v>29</v>
      </c>
    </row>
    <row r="3012" spans="1:22">
      <c r="A3012" s="3">
        <v>45783</v>
      </c>
      <c r="B3012" t="str">
        <f t="shared" si="322"/>
        <v>yyyy-05</v>
      </c>
      <c r="C3012">
        <f t="shared" si="323"/>
        <v>19</v>
      </c>
      <c r="D3012" t="s">
        <v>42</v>
      </c>
      <c r="E3012" t="s">
        <v>43</v>
      </c>
      <c r="F3012" t="s">
        <v>46</v>
      </c>
      <c r="G3012" t="s">
        <v>31</v>
      </c>
      <c r="H3012" t="s">
        <v>32</v>
      </c>
      <c r="I3012" s="5">
        <v>454</v>
      </c>
      <c r="J3012" s="5">
        <v>254</v>
      </c>
      <c r="K3012" s="5">
        <v>29</v>
      </c>
      <c r="L3012" s="5">
        <v>5</v>
      </c>
      <c r="M3012" s="5">
        <v>5</v>
      </c>
      <c r="N3012" s="7">
        <v>2115.5500000000002</v>
      </c>
      <c r="O3012" s="7">
        <f t="shared" si="324"/>
        <v>10577.75</v>
      </c>
      <c r="P3012" s="4">
        <v>0.05</v>
      </c>
      <c r="Q3012" s="7">
        <f t="shared" si="325"/>
        <v>528.88750000000005</v>
      </c>
      <c r="R3012" s="7">
        <f t="shared" si="326"/>
        <v>10048.862499999999</v>
      </c>
      <c r="S3012" s="7">
        <f t="shared" si="327"/>
        <v>2009.7724999999998</v>
      </c>
      <c r="T3012" s="6">
        <f t="shared" si="328"/>
        <v>1.1013215859030838E-2</v>
      </c>
      <c r="V3012" t="s">
        <v>29</v>
      </c>
    </row>
    <row r="3013" spans="1:22">
      <c r="A3013" s="3">
        <v>45783</v>
      </c>
      <c r="B3013" t="str">
        <f t="shared" ref="B3013:B3076" si="329">TEXT(A3013,"yyyy-mm")</f>
        <v>yyyy-05</v>
      </c>
      <c r="C3013">
        <f t="shared" ref="C3013:C3076" si="330">WEEKNUM(A3013,2)</f>
        <v>19</v>
      </c>
      <c r="D3013" t="s">
        <v>42</v>
      </c>
      <c r="E3013" t="s">
        <v>43</v>
      </c>
      <c r="F3013" t="s">
        <v>47</v>
      </c>
      <c r="G3013" t="s">
        <v>27</v>
      </c>
      <c r="H3013" t="s">
        <v>48</v>
      </c>
      <c r="I3013" s="5">
        <v>482</v>
      </c>
      <c r="J3013" s="5">
        <v>394</v>
      </c>
      <c r="K3013" s="5">
        <v>40</v>
      </c>
      <c r="L3013" s="5">
        <v>8</v>
      </c>
      <c r="M3013" s="5">
        <v>8</v>
      </c>
      <c r="N3013" s="7">
        <v>598.83000000000004</v>
      </c>
      <c r="O3013" s="7">
        <f t="shared" ref="O3013:O3076" si="331">M3013*N3013</f>
        <v>4790.6400000000003</v>
      </c>
      <c r="P3013" s="4">
        <v>0.03</v>
      </c>
      <c r="Q3013" s="7">
        <f t="shared" ref="Q3013:Q3076" si="332">O3013*P3013</f>
        <v>143.7192</v>
      </c>
      <c r="R3013" s="7">
        <f t="shared" ref="R3013:R3076" si="333">O3013-Q3013</f>
        <v>4646.9207999999999</v>
      </c>
      <c r="S3013" s="7">
        <f t="shared" ref="S3013:S3076" si="334">IFERROR(R3013/L3013,0)</f>
        <v>580.86509999999998</v>
      </c>
      <c r="T3013" s="6">
        <f t="shared" ref="T3013:T3076" si="335">IFERROR(L3013/I3013,0)</f>
        <v>1.6597510373443983E-2</v>
      </c>
      <c r="V3013" t="s">
        <v>29</v>
      </c>
    </row>
    <row r="3014" spans="1:22">
      <c r="A3014" s="3">
        <v>45783</v>
      </c>
      <c r="B3014" t="str">
        <f t="shared" si="329"/>
        <v>yyyy-05</v>
      </c>
      <c r="C3014">
        <f t="shared" si="330"/>
        <v>19</v>
      </c>
      <c r="D3014" t="s">
        <v>42</v>
      </c>
      <c r="E3014" t="s">
        <v>49</v>
      </c>
      <c r="F3014" t="s">
        <v>50</v>
      </c>
      <c r="G3014" t="s">
        <v>27</v>
      </c>
      <c r="H3014" t="s">
        <v>28</v>
      </c>
      <c r="I3014" s="5">
        <v>151</v>
      </c>
      <c r="J3014" s="5">
        <v>114</v>
      </c>
      <c r="K3014" s="5">
        <v>9</v>
      </c>
      <c r="L3014" s="5">
        <v>2</v>
      </c>
      <c r="M3014" s="5">
        <v>2</v>
      </c>
      <c r="N3014" s="7">
        <v>1008.57</v>
      </c>
      <c r="O3014" s="7">
        <f t="shared" si="331"/>
        <v>2017.14</v>
      </c>
      <c r="P3014" s="4">
        <v>0</v>
      </c>
      <c r="Q3014" s="7">
        <f t="shared" si="332"/>
        <v>0</v>
      </c>
      <c r="R3014" s="7">
        <f t="shared" si="333"/>
        <v>2017.14</v>
      </c>
      <c r="S3014" s="7">
        <f t="shared" si="334"/>
        <v>1008.57</v>
      </c>
      <c r="T3014" s="6">
        <f t="shared" si="335"/>
        <v>1.3245033112582781E-2</v>
      </c>
      <c r="V3014" t="s">
        <v>29</v>
      </c>
    </row>
    <row r="3015" spans="1:22">
      <c r="A3015" s="3">
        <v>45783</v>
      </c>
      <c r="B3015" t="str">
        <f t="shared" si="329"/>
        <v>yyyy-05</v>
      </c>
      <c r="C3015">
        <f t="shared" si="330"/>
        <v>19</v>
      </c>
      <c r="D3015" t="s">
        <v>42</v>
      </c>
      <c r="E3015" t="s">
        <v>51</v>
      </c>
      <c r="F3015" t="s">
        <v>52</v>
      </c>
      <c r="G3015" t="s">
        <v>27</v>
      </c>
      <c r="H3015" t="s">
        <v>45</v>
      </c>
      <c r="I3015" s="5">
        <v>280</v>
      </c>
      <c r="J3015" s="5">
        <v>214</v>
      </c>
      <c r="K3015" s="5">
        <v>17</v>
      </c>
      <c r="L3015" s="5">
        <v>3</v>
      </c>
      <c r="M3015" s="5">
        <v>3</v>
      </c>
      <c r="N3015" s="7">
        <v>599</v>
      </c>
      <c r="O3015" s="7">
        <f t="shared" si="331"/>
        <v>1797</v>
      </c>
      <c r="P3015" s="4">
        <v>0</v>
      </c>
      <c r="Q3015" s="7">
        <f t="shared" si="332"/>
        <v>0</v>
      </c>
      <c r="R3015" s="7">
        <f t="shared" si="333"/>
        <v>1797</v>
      </c>
      <c r="S3015" s="7">
        <f t="shared" si="334"/>
        <v>599</v>
      </c>
      <c r="T3015" s="6">
        <f t="shared" si="335"/>
        <v>1.0714285714285714E-2</v>
      </c>
      <c r="V3015" t="s">
        <v>29</v>
      </c>
    </row>
    <row r="3016" spans="1:22">
      <c r="A3016" s="3">
        <v>45783</v>
      </c>
      <c r="B3016" t="str">
        <f t="shared" si="329"/>
        <v>yyyy-05</v>
      </c>
      <c r="C3016">
        <f t="shared" si="330"/>
        <v>19</v>
      </c>
      <c r="D3016" t="s">
        <v>53</v>
      </c>
      <c r="E3016" t="s">
        <v>54</v>
      </c>
      <c r="F3016" t="s">
        <v>55</v>
      </c>
      <c r="G3016" t="s">
        <v>36</v>
      </c>
      <c r="H3016" t="s">
        <v>37</v>
      </c>
      <c r="I3016" s="5">
        <v>174</v>
      </c>
      <c r="J3016" s="5">
        <v>90</v>
      </c>
      <c r="K3016" s="5">
        <v>8</v>
      </c>
      <c r="L3016" s="5">
        <v>2</v>
      </c>
      <c r="M3016" s="5">
        <v>2</v>
      </c>
      <c r="N3016" s="7">
        <v>1247.56</v>
      </c>
      <c r="O3016" s="7">
        <f t="shared" si="331"/>
        <v>2495.12</v>
      </c>
      <c r="P3016" s="4">
        <v>0</v>
      </c>
      <c r="Q3016" s="7">
        <f t="shared" si="332"/>
        <v>0</v>
      </c>
      <c r="R3016" s="7">
        <f t="shared" si="333"/>
        <v>2495.12</v>
      </c>
      <c r="S3016" s="7">
        <f t="shared" si="334"/>
        <v>1247.56</v>
      </c>
      <c r="T3016" s="6">
        <f t="shared" si="335"/>
        <v>1.1494252873563218E-2</v>
      </c>
      <c r="V3016" t="s">
        <v>29</v>
      </c>
    </row>
    <row r="3017" spans="1:22">
      <c r="A3017" s="3">
        <v>45783</v>
      </c>
      <c r="B3017" t="str">
        <f t="shared" si="329"/>
        <v>yyyy-05</v>
      </c>
      <c r="C3017">
        <f t="shared" si="330"/>
        <v>19</v>
      </c>
      <c r="D3017" t="s">
        <v>53</v>
      </c>
      <c r="E3017" t="s">
        <v>56</v>
      </c>
      <c r="F3017" t="s">
        <v>57</v>
      </c>
      <c r="G3017" t="s">
        <v>31</v>
      </c>
      <c r="H3017" t="s">
        <v>32</v>
      </c>
      <c r="I3017" s="5">
        <v>315</v>
      </c>
      <c r="J3017" s="5">
        <v>194</v>
      </c>
      <c r="K3017" s="5">
        <v>8</v>
      </c>
      <c r="L3017" s="5">
        <v>3</v>
      </c>
      <c r="M3017" s="5">
        <v>3</v>
      </c>
      <c r="N3017" s="7">
        <v>749.65</v>
      </c>
      <c r="O3017" s="7">
        <f t="shared" si="331"/>
        <v>2248.9499999999998</v>
      </c>
      <c r="P3017" s="4">
        <v>0</v>
      </c>
      <c r="Q3017" s="7">
        <f t="shared" si="332"/>
        <v>0</v>
      </c>
      <c r="R3017" s="7">
        <f t="shared" si="333"/>
        <v>2248.9499999999998</v>
      </c>
      <c r="S3017" s="7">
        <f t="shared" si="334"/>
        <v>749.65</v>
      </c>
      <c r="T3017" s="6">
        <f t="shared" si="335"/>
        <v>9.5238095238095247E-3</v>
      </c>
      <c r="V3017" t="s">
        <v>78</v>
      </c>
    </row>
    <row r="3018" spans="1:22">
      <c r="A3018" s="3">
        <v>45783</v>
      </c>
      <c r="B3018" t="str">
        <f t="shared" si="329"/>
        <v>yyyy-05</v>
      </c>
      <c r="C3018">
        <f t="shared" si="330"/>
        <v>19</v>
      </c>
      <c r="D3018" t="s">
        <v>53</v>
      </c>
      <c r="E3018" t="s">
        <v>56</v>
      </c>
      <c r="F3018" t="s">
        <v>58</v>
      </c>
      <c r="G3018" t="s">
        <v>27</v>
      </c>
      <c r="H3018" t="s">
        <v>45</v>
      </c>
      <c r="I3018" s="5">
        <v>213</v>
      </c>
      <c r="J3018" s="5">
        <v>116</v>
      </c>
      <c r="K3018" s="5">
        <v>9</v>
      </c>
      <c r="L3018" s="5">
        <v>3</v>
      </c>
      <c r="M3018" s="5">
        <v>3</v>
      </c>
      <c r="N3018" s="7">
        <v>877.69</v>
      </c>
      <c r="O3018" s="7">
        <f t="shared" si="331"/>
        <v>2633.07</v>
      </c>
      <c r="P3018" s="4">
        <v>0.05</v>
      </c>
      <c r="Q3018" s="7">
        <f t="shared" si="332"/>
        <v>131.65350000000001</v>
      </c>
      <c r="R3018" s="7">
        <f t="shared" si="333"/>
        <v>2501.4165000000003</v>
      </c>
      <c r="S3018" s="7">
        <f t="shared" si="334"/>
        <v>833.80550000000005</v>
      </c>
      <c r="T3018" s="6">
        <f t="shared" si="335"/>
        <v>1.4084507042253521E-2</v>
      </c>
      <c r="V3018" t="s">
        <v>29</v>
      </c>
    </row>
    <row r="3019" spans="1:22">
      <c r="A3019" s="3">
        <v>45783</v>
      </c>
      <c r="B3019" t="str">
        <f t="shared" si="329"/>
        <v>yyyy-05</v>
      </c>
      <c r="C3019">
        <f t="shared" si="330"/>
        <v>19</v>
      </c>
      <c r="D3019" t="s">
        <v>53</v>
      </c>
      <c r="E3019" t="s">
        <v>59</v>
      </c>
      <c r="F3019" t="s">
        <v>60</v>
      </c>
      <c r="G3019" t="s">
        <v>36</v>
      </c>
      <c r="H3019" t="s">
        <v>37</v>
      </c>
      <c r="I3019" s="5">
        <v>216</v>
      </c>
      <c r="J3019" s="5">
        <v>116</v>
      </c>
      <c r="K3019" s="5">
        <v>8</v>
      </c>
      <c r="L3019" s="5">
        <v>3</v>
      </c>
      <c r="M3019" s="5">
        <v>3</v>
      </c>
      <c r="N3019" s="7">
        <v>707.71</v>
      </c>
      <c r="O3019" s="7">
        <f t="shared" si="331"/>
        <v>2123.13</v>
      </c>
      <c r="P3019" s="4">
        <v>0.03</v>
      </c>
      <c r="Q3019" s="7">
        <f t="shared" si="332"/>
        <v>63.693899999999999</v>
      </c>
      <c r="R3019" s="7">
        <f t="shared" si="333"/>
        <v>2059.4360999999999</v>
      </c>
      <c r="S3019" s="7">
        <f t="shared" si="334"/>
        <v>686.4787</v>
      </c>
      <c r="T3019" s="6">
        <f t="shared" si="335"/>
        <v>1.3888888888888888E-2</v>
      </c>
      <c r="V3019" t="s">
        <v>29</v>
      </c>
    </row>
    <row r="3020" spans="1:22">
      <c r="A3020" s="3">
        <v>45783</v>
      </c>
      <c r="B3020" t="str">
        <f t="shared" si="329"/>
        <v>yyyy-05</v>
      </c>
      <c r="C3020">
        <f t="shared" si="330"/>
        <v>19</v>
      </c>
      <c r="D3020" t="s">
        <v>53</v>
      </c>
      <c r="E3020" t="s">
        <v>61</v>
      </c>
      <c r="F3020" t="s">
        <v>62</v>
      </c>
      <c r="G3020" t="s">
        <v>36</v>
      </c>
      <c r="H3020" t="s">
        <v>37</v>
      </c>
      <c r="I3020" s="5">
        <v>242</v>
      </c>
      <c r="J3020" s="5">
        <v>133</v>
      </c>
      <c r="K3020" s="5">
        <v>11</v>
      </c>
      <c r="L3020" s="5">
        <v>2</v>
      </c>
      <c r="M3020" s="5">
        <v>2</v>
      </c>
      <c r="N3020" s="7">
        <v>486.61</v>
      </c>
      <c r="O3020" s="7">
        <f t="shared" si="331"/>
        <v>973.22</v>
      </c>
      <c r="P3020" s="4">
        <v>0.05</v>
      </c>
      <c r="Q3020" s="7">
        <f t="shared" si="332"/>
        <v>48.661000000000001</v>
      </c>
      <c r="R3020" s="7">
        <f t="shared" si="333"/>
        <v>924.55899999999997</v>
      </c>
      <c r="S3020" s="7">
        <f t="shared" si="334"/>
        <v>462.27949999999998</v>
      </c>
      <c r="T3020" s="6">
        <f t="shared" si="335"/>
        <v>8.2644628099173556E-3</v>
      </c>
      <c r="V3020" t="s">
        <v>78</v>
      </c>
    </row>
    <row r="3021" spans="1:22">
      <c r="A3021" s="3">
        <v>45783</v>
      </c>
      <c r="B3021" t="str">
        <f t="shared" si="329"/>
        <v>yyyy-05</v>
      </c>
      <c r="C3021">
        <f t="shared" si="330"/>
        <v>19</v>
      </c>
      <c r="D3021" t="s">
        <v>53</v>
      </c>
      <c r="E3021" t="s">
        <v>64</v>
      </c>
      <c r="F3021" t="s">
        <v>65</v>
      </c>
      <c r="G3021" t="s">
        <v>31</v>
      </c>
      <c r="H3021" t="s">
        <v>32</v>
      </c>
      <c r="I3021" s="5">
        <v>265</v>
      </c>
      <c r="J3021" s="5">
        <v>181</v>
      </c>
      <c r="K3021" s="5">
        <v>15</v>
      </c>
      <c r="L3021" s="5">
        <v>3</v>
      </c>
      <c r="M3021" s="5">
        <v>3</v>
      </c>
      <c r="N3021" s="7">
        <v>812.05</v>
      </c>
      <c r="O3021" s="7">
        <f t="shared" si="331"/>
        <v>2436.1499999999996</v>
      </c>
      <c r="P3021" s="4">
        <v>0</v>
      </c>
      <c r="Q3021" s="7">
        <f t="shared" si="332"/>
        <v>0</v>
      </c>
      <c r="R3021" s="7">
        <f t="shared" si="333"/>
        <v>2436.1499999999996</v>
      </c>
      <c r="S3021" s="7">
        <f t="shared" si="334"/>
        <v>812.04999999999984</v>
      </c>
      <c r="T3021" s="6">
        <f t="shared" si="335"/>
        <v>1.1320754716981131E-2</v>
      </c>
      <c r="V3021" t="s">
        <v>29</v>
      </c>
    </row>
    <row r="3022" spans="1:22">
      <c r="A3022" s="3">
        <v>45783</v>
      </c>
      <c r="B3022" t="str">
        <f t="shared" si="329"/>
        <v>yyyy-05</v>
      </c>
      <c r="C3022">
        <f t="shared" si="330"/>
        <v>19</v>
      </c>
      <c r="D3022" t="s">
        <v>66</v>
      </c>
      <c r="E3022" t="s">
        <v>67</v>
      </c>
      <c r="F3022" t="s">
        <v>68</v>
      </c>
      <c r="G3022" t="s">
        <v>31</v>
      </c>
      <c r="H3022" t="s">
        <v>32</v>
      </c>
      <c r="I3022" s="5">
        <v>446</v>
      </c>
      <c r="J3022" s="5">
        <v>283</v>
      </c>
      <c r="K3022" s="5">
        <v>24</v>
      </c>
      <c r="L3022" s="5">
        <v>10</v>
      </c>
      <c r="M3022" s="5">
        <v>10</v>
      </c>
      <c r="N3022" s="7">
        <v>694.33</v>
      </c>
      <c r="O3022" s="7">
        <f t="shared" si="331"/>
        <v>6943.3</v>
      </c>
      <c r="P3022" s="4">
        <v>0</v>
      </c>
      <c r="Q3022" s="7">
        <f t="shared" si="332"/>
        <v>0</v>
      </c>
      <c r="R3022" s="7">
        <f t="shared" si="333"/>
        <v>6943.3</v>
      </c>
      <c r="S3022" s="7">
        <f t="shared" si="334"/>
        <v>694.33</v>
      </c>
      <c r="T3022" s="6">
        <f t="shared" si="335"/>
        <v>2.2421524663677129E-2</v>
      </c>
      <c r="V3022" t="s">
        <v>29</v>
      </c>
    </row>
    <row r="3023" spans="1:22">
      <c r="A3023" s="3">
        <v>45783</v>
      </c>
      <c r="B3023" t="str">
        <f t="shared" si="329"/>
        <v>yyyy-05</v>
      </c>
      <c r="C3023">
        <f t="shared" si="330"/>
        <v>19</v>
      </c>
      <c r="D3023" t="s">
        <v>66</v>
      </c>
      <c r="E3023" t="s">
        <v>67</v>
      </c>
      <c r="F3023" t="s">
        <v>69</v>
      </c>
      <c r="G3023" t="s">
        <v>36</v>
      </c>
      <c r="H3023" t="s">
        <v>37</v>
      </c>
      <c r="I3023" s="5">
        <v>329</v>
      </c>
      <c r="J3023" s="5">
        <v>259</v>
      </c>
      <c r="K3023" s="5">
        <v>30</v>
      </c>
      <c r="L3023" s="5">
        <v>6</v>
      </c>
      <c r="M3023" s="5">
        <v>6</v>
      </c>
      <c r="N3023" s="7">
        <v>386.26</v>
      </c>
      <c r="O3023" s="7">
        <f t="shared" si="331"/>
        <v>2317.56</v>
      </c>
      <c r="P3023" s="4">
        <v>0.05</v>
      </c>
      <c r="Q3023" s="7">
        <f t="shared" si="332"/>
        <v>115.878</v>
      </c>
      <c r="R3023" s="7">
        <f t="shared" si="333"/>
        <v>2201.6819999999998</v>
      </c>
      <c r="S3023" s="7">
        <f t="shared" si="334"/>
        <v>366.94699999999995</v>
      </c>
      <c r="T3023" s="6">
        <f t="shared" si="335"/>
        <v>1.82370820668693E-2</v>
      </c>
      <c r="V3023" t="s">
        <v>29</v>
      </c>
    </row>
    <row r="3024" spans="1:22">
      <c r="A3024" s="3">
        <v>45783</v>
      </c>
      <c r="B3024" t="str">
        <f t="shared" si="329"/>
        <v>yyyy-05</v>
      </c>
      <c r="C3024">
        <f t="shared" si="330"/>
        <v>19</v>
      </c>
      <c r="D3024" t="s">
        <v>66</v>
      </c>
      <c r="E3024" t="s">
        <v>67</v>
      </c>
      <c r="F3024" t="s">
        <v>70</v>
      </c>
      <c r="G3024" t="s">
        <v>27</v>
      </c>
      <c r="H3024" t="s">
        <v>28</v>
      </c>
      <c r="I3024" s="5">
        <v>442</v>
      </c>
      <c r="J3024" s="5">
        <v>302</v>
      </c>
      <c r="K3024" s="5">
        <v>27</v>
      </c>
      <c r="L3024" s="5">
        <v>8</v>
      </c>
      <c r="M3024" s="5">
        <v>8</v>
      </c>
      <c r="N3024" s="7">
        <v>335.19</v>
      </c>
      <c r="O3024" s="7">
        <f t="shared" si="331"/>
        <v>2681.52</v>
      </c>
      <c r="P3024" s="4">
        <v>0</v>
      </c>
      <c r="Q3024" s="7">
        <f t="shared" si="332"/>
        <v>0</v>
      </c>
      <c r="R3024" s="7">
        <f t="shared" si="333"/>
        <v>2681.52</v>
      </c>
      <c r="S3024" s="7">
        <f t="shared" si="334"/>
        <v>335.19</v>
      </c>
      <c r="T3024" s="6">
        <f t="shared" si="335"/>
        <v>1.8099547511312219E-2</v>
      </c>
      <c r="V3024" t="s">
        <v>29</v>
      </c>
    </row>
    <row r="3025" spans="1:22">
      <c r="A3025" s="3">
        <v>45783</v>
      </c>
      <c r="B3025" t="str">
        <f t="shared" si="329"/>
        <v>yyyy-05</v>
      </c>
      <c r="C3025">
        <f t="shared" si="330"/>
        <v>19</v>
      </c>
      <c r="D3025" t="s">
        <v>66</v>
      </c>
      <c r="E3025" t="s">
        <v>71</v>
      </c>
      <c r="F3025" t="s">
        <v>72</v>
      </c>
      <c r="G3025" t="s">
        <v>36</v>
      </c>
      <c r="H3025" t="s">
        <v>37</v>
      </c>
      <c r="I3025" s="5">
        <v>314</v>
      </c>
      <c r="J3025" s="5">
        <v>245</v>
      </c>
      <c r="K3025" s="5">
        <v>22</v>
      </c>
      <c r="L3025" s="5">
        <v>6</v>
      </c>
      <c r="M3025" s="5">
        <v>7</v>
      </c>
      <c r="N3025" s="7">
        <v>128.26</v>
      </c>
      <c r="O3025" s="7">
        <f t="shared" si="331"/>
        <v>897.81999999999994</v>
      </c>
      <c r="P3025" s="4">
        <v>0.05</v>
      </c>
      <c r="Q3025" s="7">
        <f t="shared" si="332"/>
        <v>44.890999999999998</v>
      </c>
      <c r="R3025" s="7">
        <f t="shared" si="333"/>
        <v>852.92899999999997</v>
      </c>
      <c r="S3025" s="7">
        <f t="shared" si="334"/>
        <v>142.15483333333333</v>
      </c>
      <c r="T3025" s="6">
        <f t="shared" si="335"/>
        <v>1.9108280254777069E-2</v>
      </c>
      <c r="V3025" t="s">
        <v>29</v>
      </c>
    </row>
    <row r="3026" spans="1:22">
      <c r="A3026" s="3">
        <v>45783</v>
      </c>
      <c r="B3026" t="str">
        <f t="shared" si="329"/>
        <v>yyyy-05</v>
      </c>
      <c r="C3026">
        <f t="shared" si="330"/>
        <v>19</v>
      </c>
      <c r="D3026" t="s">
        <v>66</v>
      </c>
      <c r="E3026" t="s">
        <v>73</v>
      </c>
      <c r="F3026" t="s">
        <v>74</v>
      </c>
      <c r="G3026" t="s">
        <v>31</v>
      </c>
      <c r="H3026" t="s">
        <v>32</v>
      </c>
      <c r="I3026" s="5">
        <v>295</v>
      </c>
      <c r="J3026" s="5">
        <v>219</v>
      </c>
      <c r="K3026" s="5">
        <v>21</v>
      </c>
      <c r="L3026" s="5">
        <v>5</v>
      </c>
      <c r="M3026" s="5">
        <v>5</v>
      </c>
      <c r="N3026" s="7">
        <v>1220.79</v>
      </c>
      <c r="O3026" s="7">
        <f t="shared" si="331"/>
        <v>6103.95</v>
      </c>
      <c r="P3026" s="4">
        <v>0.03</v>
      </c>
      <c r="Q3026" s="7">
        <f t="shared" si="332"/>
        <v>183.11849999999998</v>
      </c>
      <c r="R3026" s="7">
        <f t="shared" si="333"/>
        <v>5920.8315000000002</v>
      </c>
      <c r="S3026" s="7">
        <f t="shared" si="334"/>
        <v>1184.1663000000001</v>
      </c>
      <c r="T3026" s="6">
        <f t="shared" si="335"/>
        <v>1.6949152542372881E-2</v>
      </c>
      <c r="V3026" t="s">
        <v>29</v>
      </c>
    </row>
    <row r="3027" spans="1:22">
      <c r="A3027" s="3">
        <v>45783</v>
      </c>
      <c r="B3027" t="str">
        <f t="shared" si="329"/>
        <v>yyyy-05</v>
      </c>
      <c r="C3027">
        <f t="shared" si="330"/>
        <v>19</v>
      </c>
      <c r="D3027" t="s">
        <v>66</v>
      </c>
      <c r="E3027" t="s">
        <v>71</v>
      </c>
      <c r="F3027" t="s">
        <v>75</v>
      </c>
      <c r="G3027" t="s">
        <v>36</v>
      </c>
      <c r="H3027" t="s">
        <v>37</v>
      </c>
      <c r="I3027" s="5">
        <v>286</v>
      </c>
      <c r="J3027" s="5">
        <v>215</v>
      </c>
      <c r="K3027" s="5">
        <v>21</v>
      </c>
      <c r="L3027" s="5">
        <v>6</v>
      </c>
      <c r="M3027" s="5">
        <v>6</v>
      </c>
      <c r="N3027" s="7">
        <v>38.69</v>
      </c>
      <c r="O3027" s="7">
        <f t="shared" si="331"/>
        <v>232.14</v>
      </c>
      <c r="P3027" s="4">
        <v>0</v>
      </c>
      <c r="Q3027" s="7">
        <f t="shared" si="332"/>
        <v>0</v>
      </c>
      <c r="R3027" s="7">
        <f t="shared" si="333"/>
        <v>232.14</v>
      </c>
      <c r="S3027" s="7">
        <f t="shared" si="334"/>
        <v>38.69</v>
      </c>
      <c r="T3027" s="6">
        <f t="shared" si="335"/>
        <v>2.097902097902098E-2</v>
      </c>
      <c r="V3027" t="s">
        <v>29</v>
      </c>
    </row>
    <row r="3028" spans="1:22">
      <c r="A3028" s="3">
        <v>45783</v>
      </c>
      <c r="B3028" t="str">
        <f t="shared" si="329"/>
        <v>yyyy-05</v>
      </c>
      <c r="C3028">
        <f t="shared" si="330"/>
        <v>19</v>
      </c>
      <c r="D3028" t="s">
        <v>24</v>
      </c>
      <c r="E3028" t="s">
        <v>76</v>
      </c>
      <c r="F3028" t="s">
        <v>77</v>
      </c>
      <c r="G3028" t="s">
        <v>27</v>
      </c>
      <c r="H3028" t="s">
        <v>63</v>
      </c>
      <c r="I3028" s="5">
        <v>373</v>
      </c>
      <c r="J3028" s="5">
        <v>287</v>
      </c>
      <c r="K3028" s="5">
        <v>30</v>
      </c>
      <c r="L3028" s="5">
        <v>6</v>
      </c>
      <c r="M3028" s="5">
        <v>7</v>
      </c>
      <c r="N3028" s="7">
        <v>192.03</v>
      </c>
      <c r="O3028" s="7">
        <f t="shared" si="331"/>
        <v>1344.21</v>
      </c>
      <c r="P3028" s="4">
        <v>0</v>
      </c>
      <c r="Q3028" s="7">
        <f t="shared" si="332"/>
        <v>0</v>
      </c>
      <c r="R3028" s="7">
        <f t="shared" si="333"/>
        <v>1344.21</v>
      </c>
      <c r="S3028" s="7">
        <f t="shared" si="334"/>
        <v>224.035</v>
      </c>
      <c r="T3028" s="6">
        <f t="shared" si="335"/>
        <v>1.6085790884718499E-2</v>
      </c>
      <c r="V3028" t="s">
        <v>29</v>
      </c>
    </row>
    <row r="3029" spans="1:22">
      <c r="A3029" s="3">
        <v>45784</v>
      </c>
      <c r="B3029" t="str">
        <f t="shared" si="329"/>
        <v>yyyy-05</v>
      </c>
      <c r="C3029">
        <f t="shared" si="330"/>
        <v>19</v>
      </c>
      <c r="D3029" t="s">
        <v>24</v>
      </c>
      <c r="E3029" t="s">
        <v>25</v>
      </c>
      <c r="F3029" t="s">
        <v>26</v>
      </c>
      <c r="G3029" t="s">
        <v>27</v>
      </c>
      <c r="H3029" t="s">
        <v>28</v>
      </c>
      <c r="I3029" s="5">
        <v>1873</v>
      </c>
      <c r="J3029" s="5">
        <v>1456</v>
      </c>
      <c r="K3029" s="5">
        <v>188</v>
      </c>
      <c r="L3029" s="5">
        <v>46</v>
      </c>
      <c r="M3029" s="5">
        <v>46</v>
      </c>
      <c r="N3029" s="7">
        <v>1006.5</v>
      </c>
      <c r="O3029" s="7">
        <f t="shared" si="331"/>
        <v>46299</v>
      </c>
      <c r="P3029" s="4">
        <v>0.14000000000000001</v>
      </c>
      <c r="Q3029" s="7">
        <f t="shared" si="332"/>
        <v>6481.8600000000006</v>
      </c>
      <c r="R3029" s="7">
        <f t="shared" si="333"/>
        <v>39817.14</v>
      </c>
      <c r="S3029" s="7">
        <f t="shared" si="334"/>
        <v>865.59</v>
      </c>
      <c r="T3029" s="6">
        <f t="shared" si="335"/>
        <v>2.4559530165509876E-2</v>
      </c>
      <c r="U3029" t="s">
        <v>96</v>
      </c>
      <c r="V3029" t="s">
        <v>29</v>
      </c>
    </row>
    <row r="3030" spans="1:22">
      <c r="A3030" s="3">
        <v>45784</v>
      </c>
      <c r="B3030" t="str">
        <f t="shared" si="329"/>
        <v>yyyy-05</v>
      </c>
      <c r="C3030">
        <f t="shared" si="330"/>
        <v>19</v>
      </c>
      <c r="D3030" t="s">
        <v>24</v>
      </c>
      <c r="E3030" t="s">
        <v>25</v>
      </c>
      <c r="F3030" t="s">
        <v>30</v>
      </c>
      <c r="G3030" t="s">
        <v>36</v>
      </c>
      <c r="H3030" t="s">
        <v>37</v>
      </c>
      <c r="I3030" s="5">
        <v>1630</v>
      </c>
      <c r="J3030" s="5">
        <v>1131</v>
      </c>
      <c r="K3030" s="5">
        <v>109</v>
      </c>
      <c r="L3030" s="5">
        <v>40</v>
      </c>
      <c r="M3030" s="5">
        <v>40</v>
      </c>
      <c r="N3030" s="7">
        <v>392.27</v>
      </c>
      <c r="O3030" s="7">
        <f t="shared" si="331"/>
        <v>15690.8</v>
      </c>
      <c r="P3030" s="4">
        <v>0.14000000000000001</v>
      </c>
      <c r="Q3030" s="7">
        <f t="shared" si="332"/>
        <v>2196.712</v>
      </c>
      <c r="R3030" s="7">
        <f t="shared" si="333"/>
        <v>13494.088</v>
      </c>
      <c r="S3030" s="7">
        <f t="shared" si="334"/>
        <v>337.35219999999998</v>
      </c>
      <c r="T3030" s="6">
        <f t="shared" si="335"/>
        <v>2.4539877300613498E-2</v>
      </c>
      <c r="U3030" t="s">
        <v>96</v>
      </c>
      <c r="V3030" t="s">
        <v>29</v>
      </c>
    </row>
    <row r="3031" spans="1:22">
      <c r="A3031" s="3">
        <v>45784</v>
      </c>
      <c r="B3031" t="str">
        <f t="shared" si="329"/>
        <v>yyyy-05</v>
      </c>
      <c r="C3031">
        <f t="shared" si="330"/>
        <v>19</v>
      </c>
      <c r="D3031" t="s">
        <v>24</v>
      </c>
      <c r="E3031" t="s">
        <v>25</v>
      </c>
      <c r="F3031" t="s">
        <v>33</v>
      </c>
      <c r="G3031" t="s">
        <v>36</v>
      </c>
      <c r="H3031" t="s">
        <v>37</v>
      </c>
      <c r="I3031" s="5">
        <v>1980</v>
      </c>
      <c r="J3031" s="5">
        <v>1072</v>
      </c>
      <c r="K3031" s="5">
        <v>127</v>
      </c>
      <c r="L3031" s="5">
        <v>33</v>
      </c>
      <c r="M3031" s="5">
        <v>33</v>
      </c>
      <c r="N3031" s="7">
        <v>1812.5</v>
      </c>
      <c r="O3031" s="7">
        <f t="shared" si="331"/>
        <v>59812.5</v>
      </c>
      <c r="P3031" s="4">
        <v>0.14000000000000001</v>
      </c>
      <c r="Q3031" s="7">
        <f t="shared" si="332"/>
        <v>8373.75</v>
      </c>
      <c r="R3031" s="7">
        <f t="shared" si="333"/>
        <v>51438.75</v>
      </c>
      <c r="S3031" s="7">
        <f t="shared" si="334"/>
        <v>1558.75</v>
      </c>
      <c r="T3031" s="6">
        <f t="shared" si="335"/>
        <v>1.6666666666666666E-2</v>
      </c>
      <c r="U3031" t="s">
        <v>96</v>
      </c>
      <c r="V3031" t="s">
        <v>78</v>
      </c>
    </row>
    <row r="3032" spans="1:22">
      <c r="A3032" s="3">
        <v>45784</v>
      </c>
      <c r="B3032" t="str">
        <f t="shared" si="329"/>
        <v>yyyy-05</v>
      </c>
      <c r="C3032">
        <f t="shared" si="330"/>
        <v>19</v>
      </c>
      <c r="D3032" t="s">
        <v>24</v>
      </c>
      <c r="E3032" t="s">
        <v>34</v>
      </c>
      <c r="F3032" t="s">
        <v>35</v>
      </c>
      <c r="G3032" t="s">
        <v>36</v>
      </c>
      <c r="H3032" t="s">
        <v>37</v>
      </c>
      <c r="I3032" s="5">
        <v>1084</v>
      </c>
      <c r="J3032" s="5">
        <v>874</v>
      </c>
      <c r="K3032" s="5">
        <v>92</v>
      </c>
      <c r="L3032" s="5">
        <v>21</v>
      </c>
      <c r="M3032" s="5">
        <v>21</v>
      </c>
      <c r="N3032" s="7">
        <v>910.61</v>
      </c>
      <c r="O3032" s="7">
        <f t="shared" si="331"/>
        <v>19122.810000000001</v>
      </c>
      <c r="P3032" s="4">
        <v>0</v>
      </c>
      <c r="Q3032" s="7">
        <f t="shared" si="332"/>
        <v>0</v>
      </c>
      <c r="R3032" s="7">
        <f t="shared" si="333"/>
        <v>19122.810000000001</v>
      </c>
      <c r="S3032" s="7">
        <f t="shared" si="334"/>
        <v>910.61</v>
      </c>
      <c r="T3032" s="6">
        <f t="shared" si="335"/>
        <v>1.9372693726937271E-2</v>
      </c>
      <c r="V3032" t="s">
        <v>29</v>
      </c>
    </row>
    <row r="3033" spans="1:22">
      <c r="A3033" s="3">
        <v>45784</v>
      </c>
      <c r="B3033" t="str">
        <f t="shared" si="329"/>
        <v>yyyy-05</v>
      </c>
      <c r="C3033">
        <f t="shared" si="330"/>
        <v>19</v>
      </c>
      <c r="D3033" t="s">
        <v>24</v>
      </c>
      <c r="E3033" t="s">
        <v>38</v>
      </c>
      <c r="F3033" t="s">
        <v>39</v>
      </c>
      <c r="G3033" t="s">
        <v>36</v>
      </c>
      <c r="H3033" t="s">
        <v>37</v>
      </c>
      <c r="I3033" s="5">
        <v>1058</v>
      </c>
      <c r="J3033" s="5">
        <v>832</v>
      </c>
      <c r="K3033" s="5">
        <v>78</v>
      </c>
      <c r="L3033" s="5">
        <v>23</v>
      </c>
      <c r="M3033" s="5">
        <v>23</v>
      </c>
      <c r="N3033" s="7">
        <v>327.76</v>
      </c>
      <c r="O3033" s="7">
        <f t="shared" si="331"/>
        <v>7538.48</v>
      </c>
      <c r="P3033" s="4">
        <v>0</v>
      </c>
      <c r="Q3033" s="7">
        <f t="shared" si="332"/>
        <v>0</v>
      </c>
      <c r="R3033" s="7">
        <f t="shared" si="333"/>
        <v>7538.48</v>
      </c>
      <c r="S3033" s="7">
        <f t="shared" si="334"/>
        <v>327.76</v>
      </c>
      <c r="T3033" s="6">
        <f t="shared" si="335"/>
        <v>2.1739130434782608E-2</v>
      </c>
      <c r="V3033" t="s">
        <v>29</v>
      </c>
    </row>
    <row r="3034" spans="1:22">
      <c r="A3034" s="3">
        <v>45784</v>
      </c>
      <c r="B3034" t="str">
        <f t="shared" si="329"/>
        <v>yyyy-05</v>
      </c>
      <c r="C3034">
        <f t="shared" si="330"/>
        <v>19</v>
      </c>
      <c r="D3034" t="s">
        <v>24</v>
      </c>
      <c r="E3034" t="s">
        <v>40</v>
      </c>
      <c r="F3034" t="s">
        <v>41</v>
      </c>
      <c r="G3034" t="s">
        <v>27</v>
      </c>
      <c r="H3034" t="s">
        <v>48</v>
      </c>
      <c r="I3034" s="5">
        <v>776</v>
      </c>
      <c r="J3034" s="5">
        <v>484</v>
      </c>
      <c r="K3034" s="5">
        <v>62</v>
      </c>
      <c r="L3034" s="5">
        <v>15</v>
      </c>
      <c r="M3034" s="5">
        <v>20</v>
      </c>
      <c r="N3034" s="7">
        <v>181.15</v>
      </c>
      <c r="O3034" s="7">
        <f t="shared" si="331"/>
        <v>3623</v>
      </c>
      <c r="P3034" s="4">
        <v>0</v>
      </c>
      <c r="Q3034" s="7">
        <f t="shared" si="332"/>
        <v>0</v>
      </c>
      <c r="R3034" s="7">
        <f t="shared" si="333"/>
        <v>3623</v>
      </c>
      <c r="S3034" s="7">
        <f t="shared" si="334"/>
        <v>241.53333333333333</v>
      </c>
      <c r="T3034" s="6">
        <f t="shared" si="335"/>
        <v>1.9329896907216496E-2</v>
      </c>
      <c r="V3034" t="s">
        <v>29</v>
      </c>
    </row>
    <row r="3035" spans="1:22">
      <c r="A3035" s="3">
        <v>45784</v>
      </c>
      <c r="B3035" t="str">
        <f t="shared" si="329"/>
        <v>yyyy-05</v>
      </c>
      <c r="C3035">
        <f t="shared" si="330"/>
        <v>19</v>
      </c>
      <c r="D3035" t="s">
        <v>42</v>
      </c>
      <c r="E3035" t="s">
        <v>43</v>
      </c>
      <c r="F3035" t="s">
        <v>44</v>
      </c>
      <c r="G3035" t="s">
        <v>27</v>
      </c>
      <c r="H3035" t="s">
        <v>28</v>
      </c>
      <c r="I3035" s="5">
        <v>411</v>
      </c>
      <c r="J3035" s="5">
        <v>242</v>
      </c>
      <c r="K3035" s="5">
        <v>28</v>
      </c>
      <c r="L3035" s="5">
        <v>7</v>
      </c>
      <c r="M3035" s="5">
        <v>7</v>
      </c>
      <c r="N3035" s="7">
        <v>1256.81</v>
      </c>
      <c r="O3035" s="7">
        <f t="shared" si="331"/>
        <v>8797.67</v>
      </c>
      <c r="P3035" s="4">
        <v>0</v>
      </c>
      <c r="Q3035" s="7">
        <f t="shared" si="332"/>
        <v>0</v>
      </c>
      <c r="R3035" s="7">
        <f t="shared" si="333"/>
        <v>8797.67</v>
      </c>
      <c r="S3035" s="7">
        <f t="shared" si="334"/>
        <v>1256.81</v>
      </c>
      <c r="T3035" s="6">
        <f t="shared" si="335"/>
        <v>1.7031630170316302E-2</v>
      </c>
      <c r="V3035" t="s">
        <v>29</v>
      </c>
    </row>
    <row r="3036" spans="1:22">
      <c r="A3036" s="3">
        <v>45784</v>
      </c>
      <c r="B3036" t="str">
        <f t="shared" si="329"/>
        <v>yyyy-05</v>
      </c>
      <c r="C3036">
        <f t="shared" si="330"/>
        <v>19</v>
      </c>
      <c r="D3036" t="s">
        <v>42</v>
      </c>
      <c r="E3036" t="s">
        <v>43</v>
      </c>
      <c r="F3036" t="s">
        <v>46</v>
      </c>
      <c r="G3036" t="s">
        <v>36</v>
      </c>
      <c r="H3036" t="s">
        <v>37</v>
      </c>
      <c r="I3036" s="5">
        <v>519</v>
      </c>
      <c r="J3036" s="5">
        <v>370</v>
      </c>
      <c r="K3036" s="5">
        <v>30</v>
      </c>
      <c r="L3036" s="5">
        <v>8</v>
      </c>
      <c r="M3036" s="5">
        <v>8</v>
      </c>
      <c r="N3036" s="7">
        <v>2119.7199999999998</v>
      </c>
      <c r="O3036" s="7">
        <f t="shared" si="331"/>
        <v>16957.759999999998</v>
      </c>
      <c r="P3036" s="4">
        <v>0</v>
      </c>
      <c r="Q3036" s="7">
        <f t="shared" si="332"/>
        <v>0</v>
      </c>
      <c r="R3036" s="7">
        <f t="shared" si="333"/>
        <v>16957.759999999998</v>
      </c>
      <c r="S3036" s="7">
        <f t="shared" si="334"/>
        <v>2119.7199999999998</v>
      </c>
      <c r="T3036" s="6">
        <f t="shared" si="335"/>
        <v>1.5414258188824663E-2</v>
      </c>
      <c r="V3036" t="s">
        <v>29</v>
      </c>
    </row>
    <row r="3037" spans="1:22">
      <c r="A3037" s="3">
        <v>45784</v>
      </c>
      <c r="B3037" t="str">
        <f t="shared" si="329"/>
        <v>yyyy-05</v>
      </c>
      <c r="C3037">
        <f t="shared" si="330"/>
        <v>19</v>
      </c>
      <c r="D3037" t="s">
        <v>42</v>
      </c>
      <c r="E3037" t="s">
        <v>43</v>
      </c>
      <c r="F3037" t="s">
        <v>47</v>
      </c>
      <c r="G3037" t="s">
        <v>27</v>
      </c>
      <c r="H3037" t="s">
        <v>45</v>
      </c>
      <c r="I3037" s="5">
        <v>431</v>
      </c>
      <c r="J3037" s="5">
        <v>246</v>
      </c>
      <c r="K3037" s="5">
        <v>26</v>
      </c>
      <c r="L3037" s="5">
        <v>6</v>
      </c>
      <c r="M3037" s="5">
        <v>6</v>
      </c>
      <c r="N3037" s="7">
        <v>580.01</v>
      </c>
      <c r="O3037" s="7">
        <f t="shared" si="331"/>
        <v>3480.06</v>
      </c>
      <c r="P3037" s="4">
        <v>0</v>
      </c>
      <c r="Q3037" s="7">
        <f t="shared" si="332"/>
        <v>0</v>
      </c>
      <c r="R3037" s="7">
        <f t="shared" si="333"/>
        <v>3480.06</v>
      </c>
      <c r="S3037" s="7">
        <f t="shared" si="334"/>
        <v>580.01</v>
      </c>
      <c r="T3037" s="6">
        <f t="shared" si="335"/>
        <v>1.3921113689095127E-2</v>
      </c>
      <c r="V3037" t="s">
        <v>29</v>
      </c>
    </row>
    <row r="3038" spans="1:22">
      <c r="A3038" s="3">
        <v>45784</v>
      </c>
      <c r="B3038" t="str">
        <f t="shared" si="329"/>
        <v>yyyy-05</v>
      </c>
      <c r="C3038">
        <f t="shared" si="330"/>
        <v>19</v>
      </c>
      <c r="D3038" t="s">
        <v>42</v>
      </c>
      <c r="E3038" t="s">
        <v>49</v>
      </c>
      <c r="F3038" t="s">
        <v>50</v>
      </c>
      <c r="G3038" t="s">
        <v>36</v>
      </c>
      <c r="H3038" t="s">
        <v>37</v>
      </c>
      <c r="I3038" s="5">
        <v>197</v>
      </c>
      <c r="J3038" s="5">
        <v>104</v>
      </c>
      <c r="K3038" s="5">
        <v>11</v>
      </c>
      <c r="L3038" s="5">
        <v>3</v>
      </c>
      <c r="M3038" s="5">
        <v>3</v>
      </c>
      <c r="N3038" s="7">
        <v>1004.62</v>
      </c>
      <c r="O3038" s="7">
        <f t="shared" si="331"/>
        <v>3013.86</v>
      </c>
      <c r="P3038" s="4">
        <v>0.03</v>
      </c>
      <c r="Q3038" s="7">
        <f t="shared" si="332"/>
        <v>90.415800000000004</v>
      </c>
      <c r="R3038" s="7">
        <f t="shared" si="333"/>
        <v>2923.4441999999999</v>
      </c>
      <c r="S3038" s="7">
        <f t="shared" si="334"/>
        <v>974.48140000000001</v>
      </c>
      <c r="T3038" s="6">
        <f t="shared" si="335"/>
        <v>1.5228426395939087E-2</v>
      </c>
      <c r="V3038" t="s">
        <v>29</v>
      </c>
    </row>
    <row r="3039" spans="1:22">
      <c r="A3039" s="3">
        <v>45784</v>
      </c>
      <c r="B3039" t="str">
        <f t="shared" si="329"/>
        <v>yyyy-05</v>
      </c>
      <c r="C3039">
        <f t="shared" si="330"/>
        <v>19</v>
      </c>
      <c r="D3039" t="s">
        <v>42</v>
      </c>
      <c r="E3039" t="s">
        <v>51</v>
      </c>
      <c r="F3039" t="s">
        <v>52</v>
      </c>
      <c r="G3039" t="s">
        <v>27</v>
      </c>
      <c r="H3039" t="s">
        <v>45</v>
      </c>
      <c r="I3039" s="5">
        <v>253</v>
      </c>
      <c r="J3039" s="5">
        <v>139</v>
      </c>
      <c r="K3039" s="5">
        <v>10</v>
      </c>
      <c r="L3039" s="5">
        <v>3</v>
      </c>
      <c r="M3039" s="5">
        <v>3</v>
      </c>
      <c r="N3039" s="7">
        <v>600.58000000000004</v>
      </c>
      <c r="O3039" s="7">
        <f t="shared" si="331"/>
        <v>1801.7400000000002</v>
      </c>
      <c r="P3039" s="4">
        <v>0</v>
      </c>
      <c r="Q3039" s="7">
        <f t="shared" si="332"/>
        <v>0</v>
      </c>
      <c r="R3039" s="7">
        <f t="shared" si="333"/>
        <v>1801.7400000000002</v>
      </c>
      <c r="S3039" s="7">
        <f t="shared" si="334"/>
        <v>600.58000000000004</v>
      </c>
      <c r="T3039" s="6">
        <f t="shared" si="335"/>
        <v>1.1857707509881422E-2</v>
      </c>
      <c r="V3039" t="s">
        <v>29</v>
      </c>
    </row>
    <row r="3040" spans="1:22">
      <c r="A3040" s="3">
        <v>45784</v>
      </c>
      <c r="B3040" t="str">
        <f t="shared" si="329"/>
        <v>yyyy-05</v>
      </c>
      <c r="C3040">
        <f t="shared" si="330"/>
        <v>19</v>
      </c>
      <c r="D3040" t="s">
        <v>53</v>
      </c>
      <c r="E3040" t="s">
        <v>54</v>
      </c>
      <c r="F3040" t="s">
        <v>55</v>
      </c>
      <c r="G3040" t="s">
        <v>27</v>
      </c>
      <c r="H3040" t="s">
        <v>45</v>
      </c>
      <c r="I3040" s="5">
        <v>169</v>
      </c>
      <c r="J3040" s="5">
        <v>108</v>
      </c>
      <c r="K3040" s="5">
        <v>13</v>
      </c>
      <c r="L3040" s="5">
        <v>2</v>
      </c>
      <c r="M3040" s="5">
        <v>2</v>
      </c>
      <c r="N3040" s="7">
        <v>1272.6199999999999</v>
      </c>
      <c r="O3040" s="7">
        <f t="shared" si="331"/>
        <v>2545.2399999999998</v>
      </c>
      <c r="P3040" s="4">
        <v>0</v>
      </c>
      <c r="Q3040" s="7">
        <f t="shared" si="332"/>
        <v>0</v>
      </c>
      <c r="R3040" s="7">
        <f t="shared" si="333"/>
        <v>2545.2399999999998</v>
      </c>
      <c r="S3040" s="7">
        <f t="shared" si="334"/>
        <v>1272.6199999999999</v>
      </c>
      <c r="T3040" s="6">
        <f t="shared" si="335"/>
        <v>1.1834319526627219E-2</v>
      </c>
      <c r="V3040" t="s">
        <v>29</v>
      </c>
    </row>
    <row r="3041" spans="1:22">
      <c r="A3041" s="3">
        <v>45784</v>
      </c>
      <c r="B3041" t="str">
        <f t="shared" si="329"/>
        <v>yyyy-05</v>
      </c>
      <c r="C3041">
        <f t="shared" si="330"/>
        <v>19</v>
      </c>
      <c r="D3041" t="s">
        <v>53</v>
      </c>
      <c r="E3041" t="s">
        <v>56</v>
      </c>
      <c r="F3041" t="s">
        <v>57</v>
      </c>
      <c r="G3041" t="s">
        <v>27</v>
      </c>
      <c r="H3041" t="s">
        <v>28</v>
      </c>
      <c r="I3041" s="5">
        <v>197</v>
      </c>
      <c r="J3041" s="5">
        <v>110</v>
      </c>
      <c r="K3041" s="5">
        <v>13</v>
      </c>
      <c r="L3041" s="5">
        <v>2</v>
      </c>
      <c r="M3041" s="5">
        <v>2</v>
      </c>
      <c r="N3041" s="7">
        <v>746.49</v>
      </c>
      <c r="O3041" s="7">
        <f t="shared" si="331"/>
        <v>1492.98</v>
      </c>
      <c r="P3041" s="4">
        <v>0</v>
      </c>
      <c r="Q3041" s="7">
        <f t="shared" si="332"/>
        <v>0</v>
      </c>
      <c r="R3041" s="7">
        <f t="shared" si="333"/>
        <v>1492.98</v>
      </c>
      <c r="S3041" s="7">
        <f t="shared" si="334"/>
        <v>746.49</v>
      </c>
      <c r="T3041" s="6">
        <f t="shared" si="335"/>
        <v>1.015228426395939E-2</v>
      </c>
      <c r="V3041" t="s">
        <v>29</v>
      </c>
    </row>
    <row r="3042" spans="1:22">
      <c r="A3042" s="3">
        <v>45784</v>
      </c>
      <c r="B3042" t="str">
        <f t="shared" si="329"/>
        <v>yyyy-05</v>
      </c>
      <c r="C3042">
        <f t="shared" si="330"/>
        <v>19</v>
      </c>
      <c r="D3042" t="s">
        <v>53</v>
      </c>
      <c r="E3042" t="s">
        <v>56</v>
      </c>
      <c r="F3042" t="s">
        <v>58</v>
      </c>
      <c r="G3042" t="s">
        <v>27</v>
      </c>
      <c r="H3042" t="s">
        <v>63</v>
      </c>
      <c r="I3042" s="5">
        <v>138</v>
      </c>
      <c r="J3042" s="5">
        <v>84</v>
      </c>
      <c r="K3042" s="5">
        <v>5</v>
      </c>
      <c r="L3042" s="5">
        <v>1</v>
      </c>
      <c r="M3042" s="5">
        <v>1</v>
      </c>
      <c r="N3042" s="7">
        <v>905.86</v>
      </c>
      <c r="O3042" s="7">
        <f t="shared" si="331"/>
        <v>905.86</v>
      </c>
      <c r="P3042" s="4">
        <v>0</v>
      </c>
      <c r="Q3042" s="7">
        <f t="shared" si="332"/>
        <v>0</v>
      </c>
      <c r="R3042" s="7">
        <f t="shared" si="333"/>
        <v>905.86</v>
      </c>
      <c r="S3042" s="7">
        <f t="shared" si="334"/>
        <v>905.86</v>
      </c>
      <c r="T3042" s="6">
        <f t="shared" si="335"/>
        <v>7.246376811594203E-3</v>
      </c>
      <c r="V3042" t="s">
        <v>29</v>
      </c>
    </row>
    <row r="3043" spans="1:22">
      <c r="A3043" s="3">
        <v>45784</v>
      </c>
      <c r="B3043" t="str">
        <f t="shared" si="329"/>
        <v>yyyy-05</v>
      </c>
      <c r="C3043">
        <f t="shared" si="330"/>
        <v>19</v>
      </c>
      <c r="D3043" t="s">
        <v>53</v>
      </c>
      <c r="E3043" t="s">
        <v>59</v>
      </c>
      <c r="F3043" t="s">
        <v>60</v>
      </c>
      <c r="G3043" t="s">
        <v>27</v>
      </c>
      <c r="H3043" t="s">
        <v>45</v>
      </c>
      <c r="I3043" s="5">
        <v>129</v>
      </c>
      <c r="J3043" s="5">
        <v>86</v>
      </c>
      <c r="K3043" s="5">
        <v>10</v>
      </c>
      <c r="L3043" s="5">
        <v>1</v>
      </c>
      <c r="M3043" s="5">
        <v>1</v>
      </c>
      <c r="N3043" s="7">
        <v>681.49</v>
      </c>
      <c r="O3043" s="7">
        <f t="shared" si="331"/>
        <v>681.49</v>
      </c>
      <c r="P3043" s="4">
        <v>0</v>
      </c>
      <c r="Q3043" s="7">
        <f t="shared" si="332"/>
        <v>0</v>
      </c>
      <c r="R3043" s="7">
        <f t="shared" si="333"/>
        <v>681.49</v>
      </c>
      <c r="S3043" s="7">
        <f t="shared" si="334"/>
        <v>681.49</v>
      </c>
      <c r="T3043" s="6">
        <f t="shared" si="335"/>
        <v>7.7519379844961239E-3</v>
      </c>
      <c r="V3043" t="s">
        <v>29</v>
      </c>
    </row>
    <row r="3044" spans="1:22">
      <c r="A3044" s="3">
        <v>45784</v>
      </c>
      <c r="B3044" t="str">
        <f t="shared" si="329"/>
        <v>yyyy-05</v>
      </c>
      <c r="C3044">
        <f t="shared" si="330"/>
        <v>19</v>
      </c>
      <c r="D3044" t="s">
        <v>53</v>
      </c>
      <c r="E3044" t="s">
        <v>61</v>
      </c>
      <c r="F3044" t="s">
        <v>62</v>
      </c>
      <c r="G3044" t="s">
        <v>27</v>
      </c>
      <c r="H3044" t="s">
        <v>28</v>
      </c>
      <c r="I3044" s="5">
        <v>125</v>
      </c>
      <c r="J3044" s="5">
        <v>94</v>
      </c>
      <c r="K3044" s="5">
        <v>9</v>
      </c>
      <c r="L3044" s="5">
        <v>1</v>
      </c>
      <c r="M3044" s="5">
        <v>1</v>
      </c>
      <c r="N3044" s="7">
        <v>486.11</v>
      </c>
      <c r="O3044" s="7">
        <f t="shared" si="331"/>
        <v>486.11</v>
      </c>
      <c r="P3044" s="4">
        <v>0</v>
      </c>
      <c r="Q3044" s="7">
        <f t="shared" si="332"/>
        <v>0</v>
      </c>
      <c r="R3044" s="7">
        <f t="shared" si="333"/>
        <v>486.11</v>
      </c>
      <c r="S3044" s="7">
        <f t="shared" si="334"/>
        <v>486.11</v>
      </c>
      <c r="T3044" s="6">
        <f t="shared" si="335"/>
        <v>8.0000000000000002E-3</v>
      </c>
      <c r="V3044" t="s">
        <v>29</v>
      </c>
    </row>
    <row r="3045" spans="1:22">
      <c r="A3045" s="3">
        <v>45784</v>
      </c>
      <c r="B3045" t="str">
        <f t="shared" si="329"/>
        <v>yyyy-05</v>
      </c>
      <c r="C3045">
        <f t="shared" si="330"/>
        <v>19</v>
      </c>
      <c r="D3045" t="s">
        <v>53</v>
      </c>
      <c r="E3045" t="s">
        <v>64</v>
      </c>
      <c r="F3045" t="s">
        <v>65</v>
      </c>
      <c r="G3045" t="s">
        <v>36</v>
      </c>
      <c r="H3045" t="s">
        <v>37</v>
      </c>
      <c r="I3045" s="5">
        <v>276</v>
      </c>
      <c r="J3045" s="5">
        <v>192</v>
      </c>
      <c r="K3045" s="5">
        <v>14</v>
      </c>
      <c r="L3045" s="5">
        <v>3</v>
      </c>
      <c r="M3045" s="5">
        <v>3</v>
      </c>
      <c r="N3045" s="7">
        <v>807.43</v>
      </c>
      <c r="O3045" s="7">
        <f t="shared" si="331"/>
        <v>2422.29</v>
      </c>
      <c r="P3045" s="4">
        <v>0</v>
      </c>
      <c r="Q3045" s="7">
        <f t="shared" si="332"/>
        <v>0</v>
      </c>
      <c r="R3045" s="7">
        <f t="shared" si="333"/>
        <v>2422.29</v>
      </c>
      <c r="S3045" s="7">
        <f t="shared" si="334"/>
        <v>807.43</v>
      </c>
      <c r="T3045" s="6">
        <f t="shared" si="335"/>
        <v>1.0869565217391304E-2</v>
      </c>
      <c r="V3045" t="s">
        <v>29</v>
      </c>
    </row>
    <row r="3046" spans="1:22">
      <c r="A3046" s="3">
        <v>45784</v>
      </c>
      <c r="B3046" t="str">
        <f t="shared" si="329"/>
        <v>yyyy-05</v>
      </c>
      <c r="C3046">
        <f t="shared" si="330"/>
        <v>19</v>
      </c>
      <c r="D3046" t="s">
        <v>66</v>
      </c>
      <c r="E3046" t="s">
        <v>67</v>
      </c>
      <c r="F3046" t="s">
        <v>68</v>
      </c>
      <c r="G3046" t="s">
        <v>36</v>
      </c>
      <c r="H3046" t="s">
        <v>37</v>
      </c>
      <c r="I3046" s="5">
        <v>498</v>
      </c>
      <c r="J3046" s="5">
        <v>281</v>
      </c>
      <c r="K3046" s="5">
        <v>28</v>
      </c>
      <c r="L3046" s="5">
        <v>9</v>
      </c>
      <c r="M3046" s="5">
        <v>9</v>
      </c>
      <c r="N3046" s="7">
        <v>684.67</v>
      </c>
      <c r="O3046" s="7">
        <f t="shared" si="331"/>
        <v>6162.03</v>
      </c>
      <c r="P3046" s="4">
        <v>0.05</v>
      </c>
      <c r="Q3046" s="7">
        <f t="shared" si="332"/>
        <v>308.10149999999999</v>
      </c>
      <c r="R3046" s="7">
        <f t="shared" si="333"/>
        <v>5853.9285</v>
      </c>
      <c r="S3046" s="7">
        <f t="shared" si="334"/>
        <v>650.43650000000002</v>
      </c>
      <c r="T3046" s="6">
        <f t="shared" si="335"/>
        <v>1.8072289156626505E-2</v>
      </c>
      <c r="V3046" t="s">
        <v>29</v>
      </c>
    </row>
    <row r="3047" spans="1:22">
      <c r="A3047" s="3">
        <v>45784</v>
      </c>
      <c r="B3047" t="str">
        <f t="shared" si="329"/>
        <v>yyyy-05</v>
      </c>
      <c r="C3047">
        <f t="shared" si="330"/>
        <v>19</v>
      </c>
      <c r="D3047" t="s">
        <v>66</v>
      </c>
      <c r="E3047" t="s">
        <v>67</v>
      </c>
      <c r="F3047" t="s">
        <v>69</v>
      </c>
      <c r="G3047" t="s">
        <v>36</v>
      </c>
      <c r="H3047" t="s">
        <v>37</v>
      </c>
      <c r="I3047" s="5">
        <v>412</v>
      </c>
      <c r="J3047" s="5">
        <v>230</v>
      </c>
      <c r="K3047" s="5">
        <v>30</v>
      </c>
      <c r="L3047" s="5">
        <v>8</v>
      </c>
      <c r="M3047" s="5">
        <v>8</v>
      </c>
      <c r="N3047" s="7">
        <v>400.99</v>
      </c>
      <c r="O3047" s="7">
        <f t="shared" si="331"/>
        <v>3207.92</v>
      </c>
      <c r="P3047" s="4">
        <v>0</v>
      </c>
      <c r="Q3047" s="7">
        <f t="shared" si="332"/>
        <v>0</v>
      </c>
      <c r="R3047" s="7">
        <f t="shared" si="333"/>
        <v>3207.92</v>
      </c>
      <c r="S3047" s="7">
        <f t="shared" si="334"/>
        <v>400.99</v>
      </c>
      <c r="T3047" s="6">
        <f t="shared" si="335"/>
        <v>1.9417475728155338E-2</v>
      </c>
      <c r="V3047" t="s">
        <v>29</v>
      </c>
    </row>
    <row r="3048" spans="1:22">
      <c r="A3048" s="3">
        <v>45784</v>
      </c>
      <c r="B3048" t="str">
        <f t="shared" si="329"/>
        <v>yyyy-05</v>
      </c>
      <c r="C3048">
        <f t="shared" si="330"/>
        <v>19</v>
      </c>
      <c r="D3048" t="s">
        <v>66</v>
      </c>
      <c r="E3048" t="s">
        <v>67</v>
      </c>
      <c r="F3048" t="s">
        <v>70</v>
      </c>
      <c r="G3048" t="s">
        <v>27</v>
      </c>
      <c r="H3048" t="s">
        <v>45</v>
      </c>
      <c r="I3048" s="5">
        <v>432</v>
      </c>
      <c r="J3048" s="5">
        <v>333</v>
      </c>
      <c r="K3048" s="5">
        <v>30</v>
      </c>
      <c r="L3048" s="5">
        <v>7</v>
      </c>
      <c r="M3048" s="5">
        <v>7</v>
      </c>
      <c r="N3048" s="7">
        <v>341.44</v>
      </c>
      <c r="O3048" s="7">
        <f t="shared" si="331"/>
        <v>2390.08</v>
      </c>
      <c r="P3048" s="4">
        <v>0</v>
      </c>
      <c r="Q3048" s="7">
        <f t="shared" si="332"/>
        <v>0</v>
      </c>
      <c r="R3048" s="7">
        <f t="shared" si="333"/>
        <v>2390.08</v>
      </c>
      <c r="S3048" s="7">
        <f t="shared" si="334"/>
        <v>341.44</v>
      </c>
      <c r="T3048" s="6">
        <f t="shared" si="335"/>
        <v>1.6203703703703703E-2</v>
      </c>
      <c r="V3048" t="s">
        <v>29</v>
      </c>
    </row>
    <row r="3049" spans="1:22">
      <c r="A3049" s="3">
        <v>45784</v>
      </c>
      <c r="B3049" t="str">
        <f t="shared" si="329"/>
        <v>yyyy-05</v>
      </c>
      <c r="C3049">
        <f t="shared" si="330"/>
        <v>19</v>
      </c>
      <c r="D3049" t="s">
        <v>66</v>
      </c>
      <c r="E3049" t="s">
        <v>71</v>
      </c>
      <c r="F3049" t="s">
        <v>72</v>
      </c>
      <c r="G3049" t="s">
        <v>31</v>
      </c>
      <c r="H3049" t="s">
        <v>32</v>
      </c>
      <c r="I3049" s="5">
        <v>475</v>
      </c>
      <c r="J3049" s="5">
        <v>278</v>
      </c>
      <c r="K3049" s="5">
        <v>38</v>
      </c>
      <c r="L3049" s="5">
        <v>10</v>
      </c>
      <c r="M3049" s="5">
        <v>13</v>
      </c>
      <c r="N3049" s="7">
        <v>126.52</v>
      </c>
      <c r="O3049" s="7">
        <f t="shared" si="331"/>
        <v>1644.76</v>
      </c>
      <c r="P3049" s="4">
        <v>0.03</v>
      </c>
      <c r="Q3049" s="7">
        <f t="shared" si="332"/>
        <v>49.342799999999997</v>
      </c>
      <c r="R3049" s="7">
        <f t="shared" si="333"/>
        <v>1595.4172000000001</v>
      </c>
      <c r="S3049" s="7">
        <f t="shared" si="334"/>
        <v>159.54172</v>
      </c>
      <c r="T3049" s="6">
        <f t="shared" si="335"/>
        <v>2.1052631578947368E-2</v>
      </c>
      <c r="V3049" t="s">
        <v>29</v>
      </c>
    </row>
    <row r="3050" spans="1:22">
      <c r="A3050" s="3">
        <v>45784</v>
      </c>
      <c r="B3050" t="str">
        <f t="shared" si="329"/>
        <v>yyyy-05</v>
      </c>
      <c r="C3050">
        <f t="shared" si="330"/>
        <v>19</v>
      </c>
      <c r="D3050" t="s">
        <v>66</v>
      </c>
      <c r="E3050" t="s">
        <v>73</v>
      </c>
      <c r="F3050" t="s">
        <v>74</v>
      </c>
      <c r="G3050" t="s">
        <v>27</v>
      </c>
      <c r="H3050" t="s">
        <v>28</v>
      </c>
      <c r="I3050" s="5">
        <v>232</v>
      </c>
      <c r="J3050" s="5">
        <v>144</v>
      </c>
      <c r="K3050" s="5">
        <v>18</v>
      </c>
      <c r="L3050" s="5">
        <v>4</v>
      </c>
      <c r="M3050" s="5">
        <v>4</v>
      </c>
      <c r="N3050" s="7">
        <v>1158.1300000000001</v>
      </c>
      <c r="O3050" s="7">
        <f t="shared" si="331"/>
        <v>4632.5200000000004</v>
      </c>
      <c r="P3050" s="4">
        <v>0.03</v>
      </c>
      <c r="Q3050" s="7">
        <f t="shared" si="332"/>
        <v>138.97560000000001</v>
      </c>
      <c r="R3050" s="7">
        <f t="shared" si="333"/>
        <v>4493.5444000000007</v>
      </c>
      <c r="S3050" s="7">
        <f t="shared" si="334"/>
        <v>1123.3861000000002</v>
      </c>
      <c r="T3050" s="6">
        <f t="shared" si="335"/>
        <v>1.7241379310344827E-2</v>
      </c>
      <c r="V3050" t="s">
        <v>29</v>
      </c>
    </row>
    <row r="3051" spans="1:22">
      <c r="A3051" s="3">
        <v>45784</v>
      </c>
      <c r="B3051" t="str">
        <f t="shared" si="329"/>
        <v>yyyy-05</v>
      </c>
      <c r="C3051">
        <f t="shared" si="330"/>
        <v>19</v>
      </c>
      <c r="D3051" t="s">
        <v>66</v>
      </c>
      <c r="E3051" t="s">
        <v>71</v>
      </c>
      <c r="F3051" t="s">
        <v>75</v>
      </c>
      <c r="G3051" t="s">
        <v>31</v>
      </c>
      <c r="H3051" t="s">
        <v>32</v>
      </c>
      <c r="I3051" s="5">
        <v>427</v>
      </c>
      <c r="J3051" s="5">
        <v>305</v>
      </c>
      <c r="K3051" s="5">
        <v>24</v>
      </c>
      <c r="L3051" s="5">
        <v>9</v>
      </c>
      <c r="M3051" s="5">
        <v>10</v>
      </c>
      <c r="N3051" s="7">
        <v>38.17</v>
      </c>
      <c r="O3051" s="7">
        <f t="shared" si="331"/>
        <v>381.70000000000005</v>
      </c>
      <c r="P3051" s="4">
        <v>0</v>
      </c>
      <c r="Q3051" s="7">
        <f t="shared" si="332"/>
        <v>0</v>
      </c>
      <c r="R3051" s="7">
        <f t="shared" si="333"/>
        <v>381.70000000000005</v>
      </c>
      <c r="S3051" s="7">
        <f t="shared" si="334"/>
        <v>42.411111111111119</v>
      </c>
      <c r="T3051" s="6">
        <f t="shared" si="335"/>
        <v>2.1077283372365339E-2</v>
      </c>
      <c r="V3051" t="s">
        <v>29</v>
      </c>
    </row>
    <row r="3052" spans="1:22">
      <c r="A3052" s="3">
        <v>45784</v>
      </c>
      <c r="B3052" t="str">
        <f t="shared" si="329"/>
        <v>yyyy-05</v>
      </c>
      <c r="C3052">
        <f t="shared" si="330"/>
        <v>19</v>
      </c>
      <c r="D3052" t="s">
        <v>24</v>
      </c>
      <c r="E3052" t="s">
        <v>76</v>
      </c>
      <c r="F3052" t="s">
        <v>77</v>
      </c>
      <c r="G3052" t="s">
        <v>27</v>
      </c>
      <c r="H3052" t="s">
        <v>48</v>
      </c>
      <c r="I3052" s="5">
        <v>535</v>
      </c>
      <c r="J3052" s="5">
        <v>357</v>
      </c>
      <c r="K3052" s="5">
        <v>39</v>
      </c>
      <c r="L3052" s="5">
        <v>10</v>
      </c>
      <c r="M3052" s="5">
        <v>11</v>
      </c>
      <c r="N3052" s="7">
        <v>200.82</v>
      </c>
      <c r="O3052" s="7">
        <f t="shared" si="331"/>
        <v>2209.02</v>
      </c>
      <c r="P3052" s="4">
        <v>0</v>
      </c>
      <c r="Q3052" s="7">
        <f t="shared" si="332"/>
        <v>0</v>
      </c>
      <c r="R3052" s="7">
        <f t="shared" si="333"/>
        <v>2209.02</v>
      </c>
      <c r="S3052" s="7">
        <f t="shared" si="334"/>
        <v>220.90199999999999</v>
      </c>
      <c r="T3052" s="6">
        <f t="shared" si="335"/>
        <v>1.8691588785046728E-2</v>
      </c>
      <c r="V3052" t="s">
        <v>29</v>
      </c>
    </row>
    <row r="3053" spans="1:22">
      <c r="A3053" s="3">
        <v>45785</v>
      </c>
      <c r="B3053" t="str">
        <f t="shared" si="329"/>
        <v>yyyy-05</v>
      </c>
      <c r="C3053">
        <f t="shared" si="330"/>
        <v>19</v>
      </c>
      <c r="D3053" t="s">
        <v>24</v>
      </c>
      <c r="E3053" t="s">
        <v>25</v>
      </c>
      <c r="F3053" t="s">
        <v>26</v>
      </c>
      <c r="G3053" t="s">
        <v>31</v>
      </c>
      <c r="H3053" t="s">
        <v>32</v>
      </c>
      <c r="I3053" s="5">
        <v>1810</v>
      </c>
      <c r="J3053" s="5">
        <v>981</v>
      </c>
      <c r="K3053" s="5">
        <v>93</v>
      </c>
      <c r="L3053" s="5">
        <v>34</v>
      </c>
      <c r="M3053" s="5">
        <v>34</v>
      </c>
      <c r="N3053" s="7">
        <v>964.78</v>
      </c>
      <c r="O3053" s="7">
        <f t="shared" si="331"/>
        <v>32802.519999999997</v>
      </c>
      <c r="P3053" s="4">
        <v>0.14000000000000001</v>
      </c>
      <c r="Q3053" s="7">
        <f t="shared" si="332"/>
        <v>4592.3527999999997</v>
      </c>
      <c r="R3053" s="7">
        <f t="shared" si="333"/>
        <v>28210.167199999996</v>
      </c>
      <c r="S3053" s="7">
        <f t="shared" si="334"/>
        <v>829.71079999999984</v>
      </c>
      <c r="T3053" s="6">
        <f t="shared" si="335"/>
        <v>1.8784530386740331E-2</v>
      </c>
      <c r="U3053" t="s">
        <v>96</v>
      </c>
      <c r="V3053" t="s">
        <v>29</v>
      </c>
    </row>
    <row r="3054" spans="1:22">
      <c r="A3054" s="3">
        <v>45785</v>
      </c>
      <c r="B3054" t="str">
        <f t="shared" si="329"/>
        <v>yyyy-05</v>
      </c>
      <c r="C3054">
        <f t="shared" si="330"/>
        <v>19</v>
      </c>
      <c r="D3054" t="s">
        <v>24</v>
      </c>
      <c r="E3054" t="s">
        <v>25</v>
      </c>
      <c r="F3054" t="s">
        <v>30</v>
      </c>
      <c r="G3054" t="s">
        <v>31</v>
      </c>
      <c r="H3054" t="s">
        <v>32</v>
      </c>
      <c r="I3054" s="5">
        <v>2172</v>
      </c>
      <c r="J3054" s="5">
        <v>1375</v>
      </c>
      <c r="K3054" s="5">
        <v>180</v>
      </c>
      <c r="L3054" s="5">
        <v>50</v>
      </c>
      <c r="M3054" s="5">
        <v>50</v>
      </c>
      <c r="N3054" s="7">
        <v>402.29</v>
      </c>
      <c r="O3054" s="7">
        <f t="shared" si="331"/>
        <v>20114.5</v>
      </c>
      <c r="P3054" s="4">
        <v>0.14000000000000001</v>
      </c>
      <c r="Q3054" s="7">
        <f t="shared" si="332"/>
        <v>2816.03</v>
      </c>
      <c r="R3054" s="7">
        <f t="shared" si="333"/>
        <v>17298.47</v>
      </c>
      <c r="S3054" s="7">
        <f t="shared" si="334"/>
        <v>345.96940000000001</v>
      </c>
      <c r="T3054" s="6">
        <f t="shared" si="335"/>
        <v>2.3020257826887661E-2</v>
      </c>
      <c r="U3054" t="s">
        <v>96</v>
      </c>
      <c r="V3054" t="s">
        <v>29</v>
      </c>
    </row>
    <row r="3055" spans="1:22">
      <c r="A3055" s="3">
        <v>45785</v>
      </c>
      <c r="B3055" t="str">
        <f t="shared" si="329"/>
        <v>yyyy-05</v>
      </c>
      <c r="C3055">
        <f t="shared" si="330"/>
        <v>19</v>
      </c>
      <c r="D3055" t="s">
        <v>24</v>
      </c>
      <c r="E3055" t="s">
        <v>25</v>
      </c>
      <c r="F3055" t="s">
        <v>33</v>
      </c>
      <c r="G3055" t="s">
        <v>27</v>
      </c>
      <c r="H3055" t="s">
        <v>63</v>
      </c>
      <c r="I3055" s="5">
        <v>1233</v>
      </c>
      <c r="J3055" s="5">
        <v>699</v>
      </c>
      <c r="K3055" s="5">
        <v>165</v>
      </c>
      <c r="L3055" s="5">
        <v>37</v>
      </c>
      <c r="M3055" s="5">
        <v>37</v>
      </c>
      <c r="N3055" s="7">
        <v>1829.18</v>
      </c>
      <c r="O3055" s="7">
        <f t="shared" si="331"/>
        <v>67679.66</v>
      </c>
      <c r="P3055" s="4">
        <v>0.14000000000000001</v>
      </c>
      <c r="Q3055" s="7">
        <f t="shared" si="332"/>
        <v>9475.1524000000009</v>
      </c>
      <c r="R3055" s="7">
        <f t="shared" si="333"/>
        <v>58204.507600000004</v>
      </c>
      <c r="S3055" s="7">
        <f t="shared" si="334"/>
        <v>1573.0948000000001</v>
      </c>
      <c r="T3055" s="6">
        <f t="shared" si="335"/>
        <v>3.0008110300081103E-2</v>
      </c>
      <c r="U3055" t="s">
        <v>96</v>
      </c>
      <c r="V3055" t="s">
        <v>29</v>
      </c>
    </row>
    <row r="3056" spans="1:22">
      <c r="A3056" s="3">
        <v>45785</v>
      </c>
      <c r="B3056" t="str">
        <f t="shared" si="329"/>
        <v>yyyy-05</v>
      </c>
      <c r="C3056">
        <f t="shared" si="330"/>
        <v>19</v>
      </c>
      <c r="D3056" t="s">
        <v>24</v>
      </c>
      <c r="E3056" t="s">
        <v>34</v>
      </c>
      <c r="F3056" t="s">
        <v>35</v>
      </c>
      <c r="G3056" t="s">
        <v>36</v>
      </c>
      <c r="H3056" t="s">
        <v>37</v>
      </c>
      <c r="I3056" s="5">
        <v>1140</v>
      </c>
      <c r="J3056" s="5">
        <v>812</v>
      </c>
      <c r="K3056" s="5">
        <v>50</v>
      </c>
      <c r="L3056" s="5">
        <v>16</v>
      </c>
      <c r="M3056" s="5">
        <v>16</v>
      </c>
      <c r="N3056" s="7">
        <v>880.34</v>
      </c>
      <c r="O3056" s="7">
        <f t="shared" si="331"/>
        <v>14085.44</v>
      </c>
      <c r="P3056" s="4">
        <v>0</v>
      </c>
      <c r="Q3056" s="7">
        <f t="shared" si="332"/>
        <v>0</v>
      </c>
      <c r="R3056" s="7">
        <f t="shared" si="333"/>
        <v>14085.44</v>
      </c>
      <c r="S3056" s="7">
        <f t="shared" si="334"/>
        <v>880.34</v>
      </c>
      <c r="T3056" s="6">
        <f t="shared" si="335"/>
        <v>1.4035087719298246E-2</v>
      </c>
      <c r="V3056" t="s">
        <v>78</v>
      </c>
    </row>
    <row r="3057" spans="1:22">
      <c r="A3057" s="3">
        <v>45785</v>
      </c>
      <c r="B3057" t="str">
        <f t="shared" si="329"/>
        <v>yyyy-05</v>
      </c>
      <c r="C3057">
        <f t="shared" si="330"/>
        <v>19</v>
      </c>
      <c r="D3057" t="s">
        <v>24</v>
      </c>
      <c r="E3057" t="s">
        <v>38</v>
      </c>
      <c r="F3057" t="s">
        <v>39</v>
      </c>
      <c r="G3057" t="s">
        <v>27</v>
      </c>
      <c r="H3057" t="s">
        <v>28</v>
      </c>
      <c r="I3057" s="5">
        <v>884</v>
      </c>
      <c r="J3057" s="5">
        <v>484</v>
      </c>
      <c r="K3057" s="5">
        <v>79</v>
      </c>
      <c r="L3057" s="5">
        <v>16</v>
      </c>
      <c r="M3057" s="5">
        <v>16</v>
      </c>
      <c r="N3057" s="7">
        <v>322.66000000000003</v>
      </c>
      <c r="O3057" s="7">
        <f t="shared" si="331"/>
        <v>5162.5600000000004</v>
      </c>
      <c r="P3057" s="4">
        <v>0</v>
      </c>
      <c r="Q3057" s="7">
        <f t="shared" si="332"/>
        <v>0</v>
      </c>
      <c r="R3057" s="7">
        <f t="shared" si="333"/>
        <v>5162.5600000000004</v>
      </c>
      <c r="S3057" s="7">
        <f t="shared" si="334"/>
        <v>322.66000000000003</v>
      </c>
      <c r="T3057" s="6">
        <f t="shared" si="335"/>
        <v>1.8099547511312219E-2</v>
      </c>
      <c r="V3057" t="s">
        <v>29</v>
      </c>
    </row>
    <row r="3058" spans="1:22">
      <c r="A3058" s="3">
        <v>45785</v>
      </c>
      <c r="B3058" t="str">
        <f t="shared" si="329"/>
        <v>yyyy-05</v>
      </c>
      <c r="C3058">
        <f t="shared" si="330"/>
        <v>19</v>
      </c>
      <c r="D3058" t="s">
        <v>24</v>
      </c>
      <c r="E3058" t="s">
        <v>40</v>
      </c>
      <c r="F3058" t="s">
        <v>41</v>
      </c>
      <c r="G3058" t="s">
        <v>31</v>
      </c>
      <c r="H3058" t="s">
        <v>32</v>
      </c>
      <c r="I3058" s="5">
        <v>860</v>
      </c>
      <c r="J3058" s="5">
        <v>641</v>
      </c>
      <c r="K3058" s="5">
        <v>78</v>
      </c>
      <c r="L3058" s="5">
        <v>16</v>
      </c>
      <c r="M3058" s="5">
        <v>21</v>
      </c>
      <c r="N3058" s="7">
        <v>178.46</v>
      </c>
      <c r="O3058" s="7">
        <f t="shared" si="331"/>
        <v>3747.6600000000003</v>
      </c>
      <c r="P3058" s="4">
        <v>0.05</v>
      </c>
      <c r="Q3058" s="7">
        <f t="shared" si="332"/>
        <v>187.38300000000004</v>
      </c>
      <c r="R3058" s="7">
        <f t="shared" si="333"/>
        <v>3560.277</v>
      </c>
      <c r="S3058" s="7">
        <f t="shared" si="334"/>
        <v>222.5173125</v>
      </c>
      <c r="T3058" s="6">
        <f t="shared" si="335"/>
        <v>1.8604651162790697E-2</v>
      </c>
      <c r="V3058" t="s">
        <v>29</v>
      </c>
    </row>
    <row r="3059" spans="1:22">
      <c r="A3059" s="3">
        <v>45785</v>
      </c>
      <c r="B3059" t="str">
        <f t="shared" si="329"/>
        <v>yyyy-05</v>
      </c>
      <c r="C3059">
        <f t="shared" si="330"/>
        <v>19</v>
      </c>
      <c r="D3059" t="s">
        <v>42</v>
      </c>
      <c r="E3059" t="s">
        <v>43</v>
      </c>
      <c r="F3059" t="s">
        <v>44</v>
      </c>
      <c r="G3059" t="s">
        <v>27</v>
      </c>
      <c r="H3059" t="s">
        <v>48</v>
      </c>
      <c r="I3059" s="5">
        <v>311</v>
      </c>
      <c r="J3059" s="5">
        <v>196</v>
      </c>
      <c r="K3059" s="5">
        <v>28</v>
      </c>
      <c r="L3059" s="5">
        <v>6</v>
      </c>
      <c r="M3059" s="5">
        <v>6</v>
      </c>
      <c r="N3059" s="7">
        <v>1309.2</v>
      </c>
      <c r="O3059" s="7">
        <f t="shared" si="331"/>
        <v>7855.2000000000007</v>
      </c>
      <c r="P3059" s="4">
        <v>0</v>
      </c>
      <c r="Q3059" s="7">
        <f t="shared" si="332"/>
        <v>0</v>
      </c>
      <c r="R3059" s="7">
        <f t="shared" si="333"/>
        <v>7855.2000000000007</v>
      </c>
      <c r="S3059" s="7">
        <f t="shared" si="334"/>
        <v>1309.2</v>
      </c>
      <c r="T3059" s="6">
        <f t="shared" si="335"/>
        <v>1.9292604501607719E-2</v>
      </c>
      <c r="V3059" t="s">
        <v>29</v>
      </c>
    </row>
    <row r="3060" spans="1:22">
      <c r="A3060" s="3">
        <v>45785</v>
      </c>
      <c r="B3060" t="str">
        <f t="shared" si="329"/>
        <v>yyyy-05</v>
      </c>
      <c r="C3060">
        <f t="shared" si="330"/>
        <v>19</v>
      </c>
      <c r="D3060" t="s">
        <v>42</v>
      </c>
      <c r="E3060" t="s">
        <v>43</v>
      </c>
      <c r="F3060" t="s">
        <v>46</v>
      </c>
      <c r="G3060" t="s">
        <v>31</v>
      </c>
      <c r="H3060" t="s">
        <v>32</v>
      </c>
      <c r="I3060" s="5">
        <v>638</v>
      </c>
      <c r="J3060" s="5">
        <v>357</v>
      </c>
      <c r="K3060" s="5">
        <v>38</v>
      </c>
      <c r="L3060" s="5">
        <v>8</v>
      </c>
      <c r="M3060" s="5">
        <v>8</v>
      </c>
      <c r="N3060" s="7">
        <v>2167.85</v>
      </c>
      <c r="O3060" s="7">
        <f t="shared" si="331"/>
        <v>17342.8</v>
      </c>
      <c r="P3060" s="4">
        <v>0.03</v>
      </c>
      <c r="Q3060" s="7">
        <f t="shared" si="332"/>
        <v>520.28399999999999</v>
      </c>
      <c r="R3060" s="7">
        <f t="shared" si="333"/>
        <v>16822.516</v>
      </c>
      <c r="S3060" s="7">
        <f t="shared" si="334"/>
        <v>2102.8145</v>
      </c>
      <c r="T3060" s="6">
        <f t="shared" si="335"/>
        <v>1.2539184952978056E-2</v>
      </c>
      <c r="V3060" t="s">
        <v>29</v>
      </c>
    </row>
    <row r="3061" spans="1:22">
      <c r="A3061" s="3">
        <v>45785</v>
      </c>
      <c r="B3061" t="str">
        <f t="shared" si="329"/>
        <v>yyyy-05</v>
      </c>
      <c r="C3061">
        <f t="shared" si="330"/>
        <v>19</v>
      </c>
      <c r="D3061" t="s">
        <v>42</v>
      </c>
      <c r="E3061" t="s">
        <v>43</v>
      </c>
      <c r="F3061" t="s">
        <v>47</v>
      </c>
      <c r="G3061" t="s">
        <v>27</v>
      </c>
      <c r="H3061" t="s">
        <v>45</v>
      </c>
      <c r="I3061" s="5">
        <v>578</v>
      </c>
      <c r="J3061" s="5">
        <v>396</v>
      </c>
      <c r="K3061" s="5">
        <v>39</v>
      </c>
      <c r="L3061" s="5">
        <v>8</v>
      </c>
      <c r="M3061" s="5">
        <v>8</v>
      </c>
      <c r="N3061" s="7">
        <v>586.39</v>
      </c>
      <c r="O3061" s="7">
        <f t="shared" si="331"/>
        <v>4691.12</v>
      </c>
      <c r="P3061" s="4">
        <v>0</v>
      </c>
      <c r="Q3061" s="7">
        <f t="shared" si="332"/>
        <v>0</v>
      </c>
      <c r="R3061" s="7">
        <f t="shared" si="333"/>
        <v>4691.12</v>
      </c>
      <c r="S3061" s="7">
        <f t="shared" si="334"/>
        <v>586.39</v>
      </c>
      <c r="T3061" s="6">
        <f t="shared" si="335"/>
        <v>1.384083044982699E-2</v>
      </c>
      <c r="V3061" t="s">
        <v>29</v>
      </c>
    </row>
    <row r="3062" spans="1:22">
      <c r="A3062" s="3">
        <v>45785</v>
      </c>
      <c r="B3062" t="str">
        <f t="shared" si="329"/>
        <v>yyyy-05</v>
      </c>
      <c r="C3062">
        <f t="shared" si="330"/>
        <v>19</v>
      </c>
      <c r="D3062" t="s">
        <v>42</v>
      </c>
      <c r="E3062" t="s">
        <v>49</v>
      </c>
      <c r="F3062" t="s">
        <v>50</v>
      </c>
      <c r="G3062" t="s">
        <v>31</v>
      </c>
      <c r="H3062" t="s">
        <v>32</v>
      </c>
      <c r="I3062" s="5">
        <v>222</v>
      </c>
      <c r="J3062" s="5">
        <v>180</v>
      </c>
      <c r="K3062" s="5">
        <v>9</v>
      </c>
      <c r="L3062" s="5">
        <v>3</v>
      </c>
      <c r="M3062" s="5">
        <v>3</v>
      </c>
      <c r="N3062" s="7">
        <v>995.43</v>
      </c>
      <c r="O3062" s="7">
        <f t="shared" si="331"/>
        <v>2986.29</v>
      </c>
      <c r="P3062" s="4">
        <v>0</v>
      </c>
      <c r="Q3062" s="7">
        <f t="shared" si="332"/>
        <v>0</v>
      </c>
      <c r="R3062" s="7">
        <f t="shared" si="333"/>
        <v>2986.29</v>
      </c>
      <c r="S3062" s="7">
        <f t="shared" si="334"/>
        <v>995.43</v>
      </c>
      <c r="T3062" s="6">
        <f t="shared" si="335"/>
        <v>1.3513513513513514E-2</v>
      </c>
      <c r="V3062" t="s">
        <v>29</v>
      </c>
    </row>
    <row r="3063" spans="1:22">
      <c r="A3063" s="3">
        <v>45785</v>
      </c>
      <c r="B3063" t="str">
        <f t="shared" si="329"/>
        <v>yyyy-05</v>
      </c>
      <c r="C3063">
        <f t="shared" si="330"/>
        <v>19</v>
      </c>
      <c r="D3063" t="s">
        <v>42</v>
      </c>
      <c r="E3063" t="s">
        <v>51</v>
      </c>
      <c r="F3063" t="s">
        <v>52</v>
      </c>
      <c r="G3063" t="s">
        <v>27</v>
      </c>
      <c r="H3063" t="s">
        <v>28</v>
      </c>
      <c r="I3063" s="5">
        <v>268</v>
      </c>
      <c r="J3063" s="5">
        <v>176</v>
      </c>
      <c r="K3063" s="5">
        <v>17</v>
      </c>
      <c r="L3063" s="5">
        <v>5</v>
      </c>
      <c r="M3063" s="5">
        <v>5</v>
      </c>
      <c r="N3063" s="7">
        <v>599.94000000000005</v>
      </c>
      <c r="O3063" s="7">
        <f t="shared" si="331"/>
        <v>2999.7000000000003</v>
      </c>
      <c r="P3063" s="4">
        <v>0.03</v>
      </c>
      <c r="Q3063" s="7">
        <f t="shared" si="332"/>
        <v>89.991</v>
      </c>
      <c r="R3063" s="7">
        <f t="shared" si="333"/>
        <v>2909.7090000000003</v>
      </c>
      <c r="S3063" s="7">
        <f t="shared" si="334"/>
        <v>581.94180000000006</v>
      </c>
      <c r="T3063" s="6">
        <f t="shared" si="335"/>
        <v>1.8656716417910446E-2</v>
      </c>
      <c r="V3063" t="s">
        <v>29</v>
      </c>
    </row>
    <row r="3064" spans="1:22">
      <c r="A3064" s="3">
        <v>45785</v>
      </c>
      <c r="B3064" t="str">
        <f t="shared" si="329"/>
        <v>yyyy-05</v>
      </c>
      <c r="C3064">
        <f t="shared" si="330"/>
        <v>19</v>
      </c>
      <c r="D3064" t="s">
        <v>53</v>
      </c>
      <c r="E3064" t="s">
        <v>54</v>
      </c>
      <c r="F3064" t="s">
        <v>55</v>
      </c>
      <c r="G3064" t="s">
        <v>36</v>
      </c>
      <c r="H3064" t="s">
        <v>37</v>
      </c>
      <c r="I3064" s="5">
        <v>184</v>
      </c>
      <c r="J3064" s="5">
        <v>139</v>
      </c>
      <c r="K3064" s="5">
        <v>16</v>
      </c>
      <c r="L3064" s="5">
        <v>1</v>
      </c>
      <c r="M3064" s="5">
        <v>1</v>
      </c>
      <c r="N3064" s="7">
        <v>1306.69</v>
      </c>
      <c r="O3064" s="7">
        <f t="shared" si="331"/>
        <v>1306.69</v>
      </c>
      <c r="P3064" s="4">
        <v>0.03</v>
      </c>
      <c r="Q3064" s="7">
        <f t="shared" si="332"/>
        <v>39.200699999999998</v>
      </c>
      <c r="R3064" s="7">
        <f t="shared" si="333"/>
        <v>1267.4893</v>
      </c>
      <c r="S3064" s="7">
        <f t="shared" si="334"/>
        <v>1267.4893</v>
      </c>
      <c r="T3064" s="6">
        <f t="shared" si="335"/>
        <v>5.434782608695652E-3</v>
      </c>
      <c r="V3064" t="s">
        <v>78</v>
      </c>
    </row>
    <row r="3065" spans="1:22">
      <c r="A3065" s="3">
        <v>45785</v>
      </c>
      <c r="B3065" t="str">
        <f t="shared" si="329"/>
        <v>yyyy-05</v>
      </c>
      <c r="C3065">
        <f t="shared" si="330"/>
        <v>19</v>
      </c>
      <c r="D3065" t="s">
        <v>53</v>
      </c>
      <c r="E3065" t="s">
        <v>56</v>
      </c>
      <c r="F3065" t="s">
        <v>57</v>
      </c>
      <c r="G3065" t="s">
        <v>36</v>
      </c>
      <c r="H3065" t="s">
        <v>37</v>
      </c>
      <c r="I3065" s="5">
        <v>241</v>
      </c>
      <c r="J3065" s="5">
        <v>161</v>
      </c>
      <c r="K3065" s="5">
        <v>11</v>
      </c>
      <c r="L3065" s="5">
        <v>3</v>
      </c>
      <c r="M3065" s="5">
        <v>3</v>
      </c>
      <c r="N3065" s="7">
        <v>745.73</v>
      </c>
      <c r="O3065" s="7">
        <f t="shared" si="331"/>
        <v>2237.19</v>
      </c>
      <c r="P3065" s="4">
        <v>0</v>
      </c>
      <c r="Q3065" s="7">
        <f t="shared" si="332"/>
        <v>0</v>
      </c>
      <c r="R3065" s="7">
        <f t="shared" si="333"/>
        <v>2237.19</v>
      </c>
      <c r="S3065" s="7">
        <f t="shared" si="334"/>
        <v>745.73</v>
      </c>
      <c r="T3065" s="6">
        <f t="shared" si="335"/>
        <v>1.2448132780082987E-2</v>
      </c>
      <c r="V3065" t="s">
        <v>29</v>
      </c>
    </row>
    <row r="3066" spans="1:22">
      <c r="A3066" s="3">
        <v>45785</v>
      </c>
      <c r="B3066" t="str">
        <f t="shared" si="329"/>
        <v>yyyy-05</v>
      </c>
      <c r="C3066">
        <f t="shared" si="330"/>
        <v>19</v>
      </c>
      <c r="D3066" t="s">
        <v>53</v>
      </c>
      <c r="E3066" t="s">
        <v>56</v>
      </c>
      <c r="F3066" t="s">
        <v>58</v>
      </c>
      <c r="G3066" t="s">
        <v>31</v>
      </c>
      <c r="H3066" t="s">
        <v>32</v>
      </c>
      <c r="I3066" s="5">
        <v>214</v>
      </c>
      <c r="J3066" s="5">
        <v>136</v>
      </c>
      <c r="K3066" s="5">
        <v>10</v>
      </c>
      <c r="L3066" s="5">
        <v>2</v>
      </c>
      <c r="M3066" s="5">
        <v>2</v>
      </c>
      <c r="N3066" s="7">
        <v>890.46</v>
      </c>
      <c r="O3066" s="7">
        <f t="shared" si="331"/>
        <v>1780.92</v>
      </c>
      <c r="P3066" s="4">
        <v>0</v>
      </c>
      <c r="Q3066" s="7">
        <f t="shared" si="332"/>
        <v>0</v>
      </c>
      <c r="R3066" s="7">
        <f t="shared" si="333"/>
        <v>1780.92</v>
      </c>
      <c r="S3066" s="7">
        <f t="shared" si="334"/>
        <v>890.46</v>
      </c>
      <c r="T3066" s="6">
        <f t="shared" si="335"/>
        <v>9.3457943925233638E-3</v>
      </c>
      <c r="V3066" t="s">
        <v>29</v>
      </c>
    </row>
    <row r="3067" spans="1:22">
      <c r="A3067" s="3">
        <v>45785</v>
      </c>
      <c r="B3067" t="str">
        <f t="shared" si="329"/>
        <v>yyyy-05</v>
      </c>
      <c r="C3067">
        <f t="shared" si="330"/>
        <v>19</v>
      </c>
      <c r="D3067" t="s">
        <v>53</v>
      </c>
      <c r="E3067" t="s">
        <v>59</v>
      </c>
      <c r="F3067" t="s">
        <v>60</v>
      </c>
      <c r="G3067" t="s">
        <v>27</v>
      </c>
      <c r="H3067" t="s">
        <v>45</v>
      </c>
      <c r="I3067" s="5">
        <v>115</v>
      </c>
      <c r="J3067" s="5">
        <v>93</v>
      </c>
      <c r="K3067" s="5">
        <v>6</v>
      </c>
      <c r="L3067" s="5">
        <v>2</v>
      </c>
      <c r="M3067" s="5">
        <v>2</v>
      </c>
      <c r="N3067" s="7">
        <v>672.52</v>
      </c>
      <c r="O3067" s="7">
        <f t="shared" si="331"/>
        <v>1345.04</v>
      </c>
      <c r="P3067" s="4">
        <v>0.05</v>
      </c>
      <c r="Q3067" s="7">
        <f t="shared" si="332"/>
        <v>67.251999999999995</v>
      </c>
      <c r="R3067" s="7">
        <f t="shared" si="333"/>
        <v>1277.788</v>
      </c>
      <c r="S3067" s="7">
        <f t="shared" si="334"/>
        <v>638.89400000000001</v>
      </c>
      <c r="T3067" s="6">
        <f t="shared" si="335"/>
        <v>1.7391304347826087E-2</v>
      </c>
      <c r="V3067" t="s">
        <v>29</v>
      </c>
    </row>
    <row r="3068" spans="1:22">
      <c r="A3068" s="3">
        <v>45785</v>
      </c>
      <c r="B3068" t="str">
        <f t="shared" si="329"/>
        <v>yyyy-05</v>
      </c>
      <c r="C3068">
        <f t="shared" si="330"/>
        <v>19</v>
      </c>
      <c r="D3068" t="s">
        <v>53</v>
      </c>
      <c r="E3068" t="s">
        <v>61</v>
      </c>
      <c r="F3068" t="s">
        <v>62</v>
      </c>
      <c r="G3068" t="s">
        <v>27</v>
      </c>
      <c r="H3068" t="s">
        <v>28</v>
      </c>
      <c r="I3068" s="5">
        <v>173</v>
      </c>
      <c r="J3068" s="5">
        <v>130</v>
      </c>
      <c r="K3068" s="5">
        <v>10</v>
      </c>
      <c r="L3068" s="5">
        <v>2</v>
      </c>
      <c r="M3068" s="5">
        <v>2</v>
      </c>
      <c r="N3068" s="7">
        <v>494.73</v>
      </c>
      <c r="O3068" s="7">
        <f t="shared" si="331"/>
        <v>989.46</v>
      </c>
      <c r="P3068" s="4">
        <v>0</v>
      </c>
      <c r="Q3068" s="7">
        <f t="shared" si="332"/>
        <v>0</v>
      </c>
      <c r="R3068" s="7">
        <f t="shared" si="333"/>
        <v>989.46</v>
      </c>
      <c r="S3068" s="7">
        <f t="shared" si="334"/>
        <v>494.73</v>
      </c>
      <c r="T3068" s="6">
        <f t="shared" si="335"/>
        <v>1.1560693641618497E-2</v>
      </c>
      <c r="V3068" t="s">
        <v>29</v>
      </c>
    </row>
    <row r="3069" spans="1:22">
      <c r="A3069" s="3">
        <v>45785</v>
      </c>
      <c r="B3069" t="str">
        <f t="shared" si="329"/>
        <v>yyyy-05</v>
      </c>
      <c r="C3069">
        <f t="shared" si="330"/>
        <v>19</v>
      </c>
      <c r="D3069" t="s">
        <v>53</v>
      </c>
      <c r="E3069" t="s">
        <v>64</v>
      </c>
      <c r="F3069" t="s">
        <v>65</v>
      </c>
      <c r="G3069" t="s">
        <v>31</v>
      </c>
      <c r="H3069" t="s">
        <v>32</v>
      </c>
      <c r="I3069" s="5">
        <v>269</v>
      </c>
      <c r="J3069" s="5">
        <v>193</v>
      </c>
      <c r="K3069" s="5">
        <v>22</v>
      </c>
      <c r="L3069" s="5">
        <v>3</v>
      </c>
      <c r="M3069" s="5">
        <v>3</v>
      </c>
      <c r="N3069" s="7">
        <v>780.96</v>
      </c>
      <c r="O3069" s="7">
        <f t="shared" si="331"/>
        <v>2342.88</v>
      </c>
      <c r="P3069" s="4">
        <v>0</v>
      </c>
      <c r="Q3069" s="7">
        <f t="shared" si="332"/>
        <v>0</v>
      </c>
      <c r="R3069" s="7">
        <f t="shared" si="333"/>
        <v>2342.88</v>
      </c>
      <c r="S3069" s="7">
        <f t="shared" si="334"/>
        <v>780.96</v>
      </c>
      <c r="T3069" s="6">
        <f t="shared" si="335"/>
        <v>1.1152416356877323E-2</v>
      </c>
      <c r="V3069" t="s">
        <v>29</v>
      </c>
    </row>
    <row r="3070" spans="1:22">
      <c r="A3070" s="3">
        <v>45785</v>
      </c>
      <c r="B3070" t="str">
        <f t="shared" si="329"/>
        <v>yyyy-05</v>
      </c>
      <c r="C3070">
        <f t="shared" si="330"/>
        <v>19</v>
      </c>
      <c r="D3070" t="s">
        <v>66</v>
      </c>
      <c r="E3070" t="s">
        <v>67</v>
      </c>
      <c r="F3070" t="s">
        <v>68</v>
      </c>
      <c r="G3070" t="s">
        <v>31</v>
      </c>
      <c r="H3070" t="s">
        <v>32</v>
      </c>
      <c r="I3070" s="5">
        <v>473</v>
      </c>
      <c r="J3070" s="5">
        <v>297</v>
      </c>
      <c r="K3070" s="5">
        <v>27</v>
      </c>
      <c r="L3070" s="5">
        <v>8</v>
      </c>
      <c r="M3070" s="5">
        <v>8</v>
      </c>
      <c r="N3070" s="7">
        <v>701.42</v>
      </c>
      <c r="O3070" s="7">
        <f t="shared" si="331"/>
        <v>5611.36</v>
      </c>
      <c r="P3070" s="4">
        <v>0</v>
      </c>
      <c r="Q3070" s="7">
        <f t="shared" si="332"/>
        <v>0</v>
      </c>
      <c r="R3070" s="7">
        <f t="shared" si="333"/>
        <v>5611.36</v>
      </c>
      <c r="S3070" s="7">
        <f t="shared" si="334"/>
        <v>701.42</v>
      </c>
      <c r="T3070" s="6">
        <f t="shared" si="335"/>
        <v>1.6913319238900635E-2</v>
      </c>
      <c r="V3070" t="s">
        <v>29</v>
      </c>
    </row>
    <row r="3071" spans="1:22">
      <c r="A3071" s="3">
        <v>45785</v>
      </c>
      <c r="B3071" t="str">
        <f t="shared" si="329"/>
        <v>yyyy-05</v>
      </c>
      <c r="C3071">
        <f t="shared" si="330"/>
        <v>19</v>
      </c>
      <c r="D3071" t="s">
        <v>66</v>
      </c>
      <c r="E3071" t="s">
        <v>67</v>
      </c>
      <c r="F3071" t="s">
        <v>69</v>
      </c>
      <c r="G3071" t="s">
        <v>27</v>
      </c>
      <c r="H3071" t="s">
        <v>45</v>
      </c>
      <c r="I3071" s="5">
        <v>365</v>
      </c>
      <c r="J3071" s="5">
        <v>297</v>
      </c>
      <c r="K3071" s="5">
        <v>27</v>
      </c>
      <c r="L3071" s="5">
        <v>7</v>
      </c>
      <c r="M3071" s="5">
        <v>7</v>
      </c>
      <c r="N3071" s="7">
        <v>396.68</v>
      </c>
      <c r="O3071" s="7">
        <f t="shared" si="331"/>
        <v>2776.76</v>
      </c>
      <c r="P3071" s="4">
        <v>0.03</v>
      </c>
      <c r="Q3071" s="7">
        <f t="shared" si="332"/>
        <v>83.302800000000005</v>
      </c>
      <c r="R3071" s="7">
        <f t="shared" si="333"/>
        <v>2693.4572000000003</v>
      </c>
      <c r="S3071" s="7">
        <f t="shared" si="334"/>
        <v>384.77960000000002</v>
      </c>
      <c r="T3071" s="6">
        <f t="shared" si="335"/>
        <v>1.9178082191780823E-2</v>
      </c>
      <c r="V3071" t="s">
        <v>29</v>
      </c>
    </row>
    <row r="3072" spans="1:22">
      <c r="A3072" s="3">
        <v>45785</v>
      </c>
      <c r="B3072" t="str">
        <f t="shared" si="329"/>
        <v>yyyy-05</v>
      </c>
      <c r="C3072">
        <f t="shared" si="330"/>
        <v>19</v>
      </c>
      <c r="D3072" t="s">
        <v>66</v>
      </c>
      <c r="E3072" t="s">
        <v>67</v>
      </c>
      <c r="F3072" t="s">
        <v>70</v>
      </c>
      <c r="G3072" t="s">
        <v>31</v>
      </c>
      <c r="H3072" t="s">
        <v>32</v>
      </c>
      <c r="I3072" s="5">
        <v>374</v>
      </c>
      <c r="J3072" s="5">
        <v>227</v>
      </c>
      <c r="K3072" s="5">
        <v>25</v>
      </c>
      <c r="L3072" s="5">
        <v>7</v>
      </c>
      <c r="M3072" s="5">
        <v>7</v>
      </c>
      <c r="N3072" s="7">
        <v>340.49</v>
      </c>
      <c r="O3072" s="7">
        <f t="shared" si="331"/>
        <v>2383.4300000000003</v>
      </c>
      <c r="P3072" s="4">
        <v>0</v>
      </c>
      <c r="Q3072" s="7">
        <f t="shared" si="332"/>
        <v>0</v>
      </c>
      <c r="R3072" s="7">
        <f t="shared" si="333"/>
        <v>2383.4300000000003</v>
      </c>
      <c r="S3072" s="7">
        <f t="shared" si="334"/>
        <v>340.49000000000007</v>
      </c>
      <c r="T3072" s="6">
        <f t="shared" si="335"/>
        <v>1.871657754010695E-2</v>
      </c>
      <c r="V3072" t="s">
        <v>29</v>
      </c>
    </row>
    <row r="3073" spans="1:22">
      <c r="A3073" s="3">
        <v>45785</v>
      </c>
      <c r="B3073" t="str">
        <f t="shared" si="329"/>
        <v>yyyy-05</v>
      </c>
      <c r="C3073">
        <f t="shared" si="330"/>
        <v>19</v>
      </c>
      <c r="D3073" t="s">
        <v>66</v>
      </c>
      <c r="E3073" t="s">
        <v>71</v>
      </c>
      <c r="F3073" t="s">
        <v>72</v>
      </c>
      <c r="G3073" t="s">
        <v>27</v>
      </c>
      <c r="H3073" t="s">
        <v>28</v>
      </c>
      <c r="I3073" s="5">
        <v>293</v>
      </c>
      <c r="J3073" s="5">
        <v>218</v>
      </c>
      <c r="K3073" s="5">
        <v>19</v>
      </c>
      <c r="L3073" s="5">
        <v>4</v>
      </c>
      <c r="M3073" s="5">
        <v>5</v>
      </c>
      <c r="N3073" s="7">
        <v>130.75</v>
      </c>
      <c r="O3073" s="7">
        <f t="shared" si="331"/>
        <v>653.75</v>
      </c>
      <c r="P3073" s="4">
        <v>0.03</v>
      </c>
      <c r="Q3073" s="7">
        <f t="shared" si="332"/>
        <v>19.612500000000001</v>
      </c>
      <c r="R3073" s="7">
        <f t="shared" si="333"/>
        <v>634.13750000000005</v>
      </c>
      <c r="S3073" s="7">
        <f t="shared" si="334"/>
        <v>158.53437500000001</v>
      </c>
      <c r="T3073" s="6">
        <f t="shared" si="335"/>
        <v>1.3651877133105802E-2</v>
      </c>
      <c r="V3073" t="s">
        <v>78</v>
      </c>
    </row>
    <row r="3074" spans="1:22">
      <c r="A3074" s="3">
        <v>45785</v>
      </c>
      <c r="B3074" t="str">
        <f t="shared" si="329"/>
        <v>yyyy-05</v>
      </c>
      <c r="C3074">
        <f t="shared" si="330"/>
        <v>19</v>
      </c>
      <c r="D3074" t="s">
        <v>66</v>
      </c>
      <c r="E3074" t="s">
        <v>73</v>
      </c>
      <c r="F3074" t="s">
        <v>74</v>
      </c>
      <c r="G3074" t="s">
        <v>31</v>
      </c>
      <c r="H3074" t="s">
        <v>32</v>
      </c>
      <c r="I3074" s="5">
        <v>292</v>
      </c>
      <c r="J3074" s="5">
        <v>155</v>
      </c>
      <c r="K3074" s="5">
        <v>26</v>
      </c>
      <c r="L3074" s="5">
        <v>6</v>
      </c>
      <c r="M3074" s="5">
        <v>6</v>
      </c>
      <c r="N3074" s="7">
        <v>1165.95</v>
      </c>
      <c r="O3074" s="7">
        <f t="shared" si="331"/>
        <v>6995.7000000000007</v>
      </c>
      <c r="P3074" s="4">
        <v>0</v>
      </c>
      <c r="Q3074" s="7">
        <f t="shared" si="332"/>
        <v>0</v>
      </c>
      <c r="R3074" s="7">
        <f t="shared" si="333"/>
        <v>6995.7000000000007</v>
      </c>
      <c r="S3074" s="7">
        <f t="shared" si="334"/>
        <v>1165.95</v>
      </c>
      <c r="T3074" s="6">
        <f t="shared" si="335"/>
        <v>2.0547945205479451E-2</v>
      </c>
      <c r="V3074" t="s">
        <v>29</v>
      </c>
    </row>
    <row r="3075" spans="1:22">
      <c r="A3075" s="3">
        <v>45785</v>
      </c>
      <c r="B3075" t="str">
        <f t="shared" si="329"/>
        <v>yyyy-05</v>
      </c>
      <c r="C3075">
        <f t="shared" si="330"/>
        <v>19</v>
      </c>
      <c r="D3075" t="s">
        <v>66</v>
      </c>
      <c r="E3075" t="s">
        <v>71</v>
      </c>
      <c r="F3075" t="s">
        <v>75</v>
      </c>
      <c r="G3075" t="s">
        <v>36</v>
      </c>
      <c r="H3075" t="s">
        <v>37</v>
      </c>
      <c r="I3075" s="5">
        <v>460</v>
      </c>
      <c r="J3075" s="5">
        <v>269</v>
      </c>
      <c r="K3075" s="5">
        <v>20</v>
      </c>
      <c r="L3075" s="5">
        <v>10</v>
      </c>
      <c r="M3075" s="5">
        <v>12</v>
      </c>
      <c r="N3075" s="7">
        <v>39.39</v>
      </c>
      <c r="O3075" s="7">
        <f t="shared" si="331"/>
        <v>472.68</v>
      </c>
      <c r="P3075" s="4">
        <v>0</v>
      </c>
      <c r="Q3075" s="7">
        <f t="shared" si="332"/>
        <v>0</v>
      </c>
      <c r="R3075" s="7">
        <f t="shared" si="333"/>
        <v>472.68</v>
      </c>
      <c r="S3075" s="7">
        <f t="shared" si="334"/>
        <v>47.268000000000001</v>
      </c>
      <c r="T3075" s="6">
        <f t="shared" si="335"/>
        <v>2.1739130434782608E-2</v>
      </c>
      <c r="V3075" t="s">
        <v>29</v>
      </c>
    </row>
    <row r="3076" spans="1:22">
      <c r="A3076" s="3">
        <v>45785</v>
      </c>
      <c r="B3076" t="str">
        <f t="shared" si="329"/>
        <v>yyyy-05</v>
      </c>
      <c r="C3076">
        <f t="shared" si="330"/>
        <v>19</v>
      </c>
      <c r="D3076" t="s">
        <v>24</v>
      </c>
      <c r="E3076" t="s">
        <v>76</v>
      </c>
      <c r="F3076" t="s">
        <v>77</v>
      </c>
      <c r="G3076" t="s">
        <v>36</v>
      </c>
      <c r="H3076" t="s">
        <v>37</v>
      </c>
      <c r="I3076" s="5">
        <v>588</v>
      </c>
      <c r="J3076" s="5">
        <v>344</v>
      </c>
      <c r="K3076" s="5">
        <v>58</v>
      </c>
      <c r="L3076" s="5">
        <v>14</v>
      </c>
      <c r="M3076" s="5">
        <v>16</v>
      </c>
      <c r="N3076" s="7">
        <v>199.12</v>
      </c>
      <c r="O3076" s="7">
        <f t="shared" si="331"/>
        <v>3185.92</v>
      </c>
      <c r="P3076" s="4">
        <v>0</v>
      </c>
      <c r="Q3076" s="7">
        <f t="shared" si="332"/>
        <v>0</v>
      </c>
      <c r="R3076" s="7">
        <f t="shared" si="333"/>
        <v>3185.92</v>
      </c>
      <c r="S3076" s="7">
        <f t="shared" si="334"/>
        <v>227.56571428571428</v>
      </c>
      <c r="T3076" s="6">
        <f t="shared" si="335"/>
        <v>2.3809523809523808E-2</v>
      </c>
      <c r="V3076" t="s">
        <v>29</v>
      </c>
    </row>
    <row r="3077" spans="1:22">
      <c r="A3077" s="3">
        <v>45786</v>
      </c>
      <c r="B3077" t="str">
        <f t="shared" ref="B3077:B3140" si="336">TEXT(A3077,"yyyy-mm")</f>
        <v>yyyy-05</v>
      </c>
      <c r="C3077">
        <f t="shared" ref="C3077:C3140" si="337">WEEKNUM(A3077,2)</f>
        <v>19</v>
      </c>
      <c r="D3077" t="s">
        <v>24</v>
      </c>
      <c r="E3077" t="s">
        <v>25</v>
      </c>
      <c r="F3077" t="s">
        <v>26</v>
      </c>
      <c r="G3077" t="s">
        <v>31</v>
      </c>
      <c r="H3077" t="s">
        <v>32</v>
      </c>
      <c r="I3077" s="5">
        <v>1827</v>
      </c>
      <c r="J3077" s="5">
        <v>1393</v>
      </c>
      <c r="K3077" s="5">
        <v>125</v>
      </c>
      <c r="L3077" s="5">
        <v>54</v>
      </c>
      <c r="M3077" s="5">
        <v>54</v>
      </c>
      <c r="N3077" s="7">
        <v>987.84</v>
      </c>
      <c r="O3077" s="7">
        <f t="shared" ref="O3077:O3140" si="338">M3077*N3077</f>
        <v>53343.360000000001</v>
      </c>
      <c r="P3077" s="4">
        <v>0.14000000000000001</v>
      </c>
      <c r="Q3077" s="7">
        <f t="shared" ref="Q3077:Q3140" si="339">O3077*P3077</f>
        <v>7468.0704000000005</v>
      </c>
      <c r="R3077" s="7">
        <f t="shared" ref="R3077:R3140" si="340">O3077-Q3077</f>
        <v>45875.289600000004</v>
      </c>
      <c r="S3077" s="7">
        <f t="shared" ref="S3077:S3140" si="341">IFERROR(R3077/L3077,0)</f>
        <v>849.54240000000004</v>
      </c>
      <c r="T3077" s="6">
        <f t="shared" ref="T3077:T3140" si="342">IFERROR(L3077/I3077,0)</f>
        <v>2.9556650246305417E-2</v>
      </c>
      <c r="U3077" t="s">
        <v>96</v>
      </c>
      <c r="V3077" t="s">
        <v>29</v>
      </c>
    </row>
    <row r="3078" spans="1:22">
      <c r="A3078" s="3">
        <v>45786</v>
      </c>
      <c r="B3078" t="str">
        <f t="shared" si="336"/>
        <v>yyyy-05</v>
      </c>
      <c r="C3078">
        <f t="shared" si="337"/>
        <v>19</v>
      </c>
      <c r="D3078" t="s">
        <v>24</v>
      </c>
      <c r="E3078" t="s">
        <v>25</v>
      </c>
      <c r="F3078" t="s">
        <v>30</v>
      </c>
      <c r="G3078" t="s">
        <v>31</v>
      </c>
      <c r="H3078" t="s">
        <v>32</v>
      </c>
      <c r="I3078" s="5">
        <v>1909</v>
      </c>
      <c r="J3078" s="5">
        <v>1077</v>
      </c>
      <c r="K3078" s="5">
        <v>126</v>
      </c>
      <c r="L3078" s="5">
        <v>52</v>
      </c>
      <c r="M3078" s="5">
        <v>52</v>
      </c>
      <c r="N3078" s="7">
        <v>402.62</v>
      </c>
      <c r="O3078" s="7">
        <f t="shared" si="338"/>
        <v>20936.240000000002</v>
      </c>
      <c r="P3078" s="4">
        <v>0.14000000000000001</v>
      </c>
      <c r="Q3078" s="7">
        <f t="shared" si="339"/>
        <v>2931.0736000000006</v>
      </c>
      <c r="R3078" s="7">
        <f t="shared" si="340"/>
        <v>18005.166400000002</v>
      </c>
      <c r="S3078" s="7">
        <f t="shared" si="341"/>
        <v>346.25320000000005</v>
      </c>
      <c r="T3078" s="6">
        <f t="shared" si="342"/>
        <v>2.7239392352016764E-2</v>
      </c>
      <c r="U3078" t="s">
        <v>96</v>
      </c>
      <c r="V3078" t="s">
        <v>29</v>
      </c>
    </row>
    <row r="3079" spans="1:22">
      <c r="A3079" s="3">
        <v>45786</v>
      </c>
      <c r="B3079" t="str">
        <f t="shared" si="336"/>
        <v>yyyy-05</v>
      </c>
      <c r="C3079">
        <f t="shared" si="337"/>
        <v>19</v>
      </c>
      <c r="D3079" t="s">
        <v>24</v>
      </c>
      <c r="E3079" t="s">
        <v>25</v>
      </c>
      <c r="F3079" t="s">
        <v>33</v>
      </c>
      <c r="G3079" t="s">
        <v>36</v>
      </c>
      <c r="H3079" t="s">
        <v>37</v>
      </c>
      <c r="I3079" s="5">
        <v>2033</v>
      </c>
      <c r="J3079" s="5">
        <v>1428</v>
      </c>
      <c r="K3079" s="5">
        <v>144</v>
      </c>
      <c r="L3079" s="5">
        <v>29</v>
      </c>
      <c r="M3079" s="5">
        <v>29</v>
      </c>
      <c r="N3079" s="7">
        <v>1798.91</v>
      </c>
      <c r="O3079" s="7">
        <f t="shared" si="338"/>
        <v>52168.39</v>
      </c>
      <c r="P3079" s="4">
        <v>0.14000000000000001</v>
      </c>
      <c r="Q3079" s="7">
        <f t="shared" si="339"/>
        <v>7303.5746000000008</v>
      </c>
      <c r="R3079" s="7">
        <f t="shared" si="340"/>
        <v>44864.815399999999</v>
      </c>
      <c r="S3079" s="7">
        <f t="shared" si="341"/>
        <v>1547.0626</v>
      </c>
      <c r="T3079" s="6">
        <f t="shared" si="342"/>
        <v>1.4264633546483029E-2</v>
      </c>
      <c r="U3079" t="s">
        <v>96</v>
      </c>
      <c r="V3079" t="s">
        <v>78</v>
      </c>
    </row>
    <row r="3080" spans="1:22">
      <c r="A3080" s="3">
        <v>45786</v>
      </c>
      <c r="B3080" t="str">
        <f t="shared" si="336"/>
        <v>yyyy-05</v>
      </c>
      <c r="C3080">
        <f t="shared" si="337"/>
        <v>19</v>
      </c>
      <c r="D3080" t="s">
        <v>24</v>
      </c>
      <c r="E3080" t="s">
        <v>34</v>
      </c>
      <c r="F3080" t="s">
        <v>35</v>
      </c>
      <c r="G3080" t="s">
        <v>27</v>
      </c>
      <c r="H3080" t="s">
        <v>28</v>
      </c>
      <c r="I3080" s="5">
        <v>1093</v>
      </c>
      <c r="J3080" s="5">
        <v>760</v>
      </c>
      <c r="K3080" s="5">
        <v>86</v>
      </c>
      <c r="L3080" s="5">
        <v>22</v>
      </c>
      <c r="M3080" s="5">
        <v>22</v>
      </c>
      <c r="N3080" s="7">
        <v>890.55</v>
      </c>
      <c r="O3080" s="7">
        <f t="shared" si="338"/>
        <v>19592.099999999999</v>
      </c>
      <c r="P3080" s="4">
        <v>0.03</v>
      </c>
      <c r="Q3080" s="7">
        <f t="shared" si="339"/>
        <v>587.76299999999992</v>
      </c>
      <c r="R3080" s="7">
        <f t="shared" si="340"/>
        <v>19004.337</v>
      </c>
      <c r="S3080" s="7">
        <f t="shared" si="341"/>
        <v>863.83349999999996</v>
      </c>
      <c r="T3080" s="6">
        <f t="shared" si="342"/>
        <v>2.0128087831655993E-2</v>
      </c>
      <c r="V3080" t="s">
        <v>29</v>
      </c>
    </row>
    <row r="3081" spans="1:22">
      <c r="A3081" s="3">
        <v>45786</v>
      </c>
      <c r="B3081" t="str">
        <f t="shared" si="336"/>
        <v>yyyy-05</v>
      </c>
      <c r="C3081">
        <f t="shared" si="337"/>
        <v>19</v>
      </c>
      <c r="D3081" t="s">
        <v>24</v>
      </c>
      <c r="E3081" t="s">
        <v>38</v>
      </c>
      <c r="F3081" t="s">
        <v>39</v>
      </c>
      <c r="G3081" t="s">
        <v>31</v>
      </c>
      <c r="H3081" t="s">
        <v>32</v>
      </c>
      <c r="I3081" s="5">
        <v>1068</v>
      </c>
      <c r="J3081" s="5">
        <v>818</v>
      </c>
      <c r="K3081" s="5">
        <v>83</v>
      </c>
      <c r="L3081" s="5">
        <v>19</v>
      </c>
      <c r="M3081" s="5">
        <v>19</v>
      </c>
      <c r="N3081" s="7">
        <v>317.01</v>
      </c>
      <c r="O3081" s="7">
        <f t="shared" si="338"/>
        <v>6023.19</v>
      </c>
      <c r="P3081" s="4">
        <v>0</v>
      </c>
      <c r="Q3081" s="7">
        <f t="shared" si="339"/>
        <v>0</v>
      </c>
      <c r="R3081" s="7">
        <f t="shared" si="340"/>
        <v>6023.19</v>
      </c>
      <c r="S3081" s="7">
        <f t="shared" si="341"/>
        <v>317.01</v>
      </c>
      <c r="T3081" s="6">
        <f t="shared" si="342"/>
        <v>1.7790262172284643E-2</v>
      </c>
      <c r="V3081" t="s">
        <v>29</v>
      </c>
    </row>
    <row r="3082" spans="1:22">
      <c r="A3082" s="3">
        <v>45786</v>
      </c>
      <c r="B3082" t="str">
        <f t="shared" si="336"/>
        <v>yyyy-05</v>
      </c>
      <c r="C3082">
        <f t="shared" si="337"/>
        <v>19</v>
      </c>
      <c r="D3082" t="s">
        <v>24</v>
      </c>
      <c r="E3082" t="s">
        <v>40</v>
      </c>
      <c r="F3082" t="s">
        <v>41</v>
      </c>
      <c r="G3082" t="s">
        <v>31</v>
      </c>
      <c r="H3082" t="s">
        <v>32</v>
      </c>
      <c r="I3082" s="5">
        <v>1004</v>
      </c>
      <c r="J3082" s="5">
        <v>619</v>
      </c>
      <c r="K3082" s="5">
        <v>85</v>
      </c>
      <c r="L3082" s="5">
        <v>22</v>
      </c>
      <c r="M3082" s="5">
        <v>23</v>
      </c>
      <c r="N3082" s="7">
        <v>179.27</v>
      </c>
      <c r="O3082" s="7">
        <f t="shared" si="338"/>
        <v>4123.21</v>
      </c>
      <c r="P3082" s="4">
        <v>0</v>
      </c>
      <c r="Q3082" s="7">
        <f t="shared" si="339"/>
        <v>0</v>
      </c>
      <c r="R3082" s="7">
        <f t="shared" si="340"/>
        <v>4123.21</v>
      </c>
      <c r="S3082" s="7">
        <f t="shared" si="341"/>
        <v>187.41863636363635</v>
      </c>
      <c r="T3082" s="6">
        <f t="shared" si="342"/>
        <v>2.1912350597609563E-2</v>
      </c>
      <c r="V3082" t="s">
        <v>29</v>
      </c>
    </row>
    <row r="3083" spans="1:22">
      <c r="A3083" s="3">
        <v>45786</v>
      </c>
      <c r="B3083" t="str">
        <f t="shared" si="336"/>
        <v>yyyy-05</v>
      </c>
      <c r="C3083">
        <f t="shared" si="337"/>
        <v>19</v>
      </c>
      <c r="D3083" t="s">
        <v>42</v>
      </c>
      <c r="E3083" t="s">
        <v>43</v>
      </c>
      <c r="F3083" t="s">
        <v>44</v>
      </c>
      <c r="G3083" t="s">
        <v>27</v>
      </c>
      <c r="H3083" t="s">
        <v>45</v>
      </c>
      <c r="I3083" s="5">
        <v>314</v>
      </c>
      <c r="J3083" s="5">
        <v>203</v>
      </c>
      <c r="K3083" s="5">
        <v>19</v>
      </c>
      <c r="L3083" s="5">
        <v>6</v>
      </c>
      <c r="M3083" s="5">
        <v>6</v>
      </c>
      <c r="N3083" s="7">
        <v>1286.94</v>
      </c>
      <c r="O3083" s="7">
        <f t="shared" si="338"/>
        <v>7721.64</v>
      </c>
      <c r="P3083" s="4">
        <v>0</v>
      </c>
      <c r="Q3083" s="7">
        <f t="shared" si="339"/>
        <v>0</v>
      </c>
      <c r="R3083" s="7">
        <f t="shared" si="340"/>
        <v>7721.64</v>
      </c>
      <c r="S3083" s="7">
        <f t="shared" si="341"/>
        <v>1286.94</v>
      </c>
      <c r="T3083" s="6">
        <f t="shared" si="342"/>
        <v>1.9108280254777069E-2</v>
      </c>
      <c r="V3083" t="s">
        <v>29</v>
      </c>
    </row>
    <row r="3084" spans="1:22">
      <c r="A3084" s="3">
        <v>45786</v>
      </c>
      <c r="B3084" t="str">
        <f t="shared" si="336"/>
        <v>yyyy-05</v>
      </c>
      <c r="C3084">
        <f t="shared" si="337"/>
        <v>19</v>
      </c>
      <c r="D3084" t="s">
        <v>42</v>
      </c>
      <c r="E3084" t="s">
        <v>43</v>
      </c>
      <c r="F3084" t="s">
        <v>46</v>
      </c>
      <c r="G3084" t="s">
        <v>27</v>
      </c>
      <c r="H3084" t="s">
        <v>28</v>
      </c>
      <c r="I3084" s="5">
        <v>448</v>
      </c>
      <c r="J3084" s="5">
        <v>305</v>
      </c>
      <c r="K3084" s="5">
        <v>20</v>
      </c>
      <c r="L3084" s="5">
        <v>7</v>
      </c>
      <c r="M3084" s="5">
        <v>7</v>
      </c>
      <c r="N3084" s="7">
        <v>2170.7199999999998</v>
      </c>
      <c r="O3084" s="7">
        <f t="shared" si="338"/>
        <v>15195.039999999999</v>
      </c>
      <c r="P3084" s="4">
        <v>0</v>
      </c>
      <c r="Q3084" s="7">
        <f t="shared" si="339"/>
        <v>0</v>
      </c>
      <c r="R3084" s="7">
        <f t="shared" si="340"/>
        <v>15195.039999999999</v>
      </c>
      <c r="S3084" s="7">
        <f t="shared" si="341"/>
        <v>2170.7199999999998</v>
      </c>
      <c r="T3084" s="6">
        <f t="shared" si="342"/>
        <v>1.5625E-2</v>
      </c>
      <c r="V3084" t="s">
        <v>29</v>
      </c>
    </row>
    <row r="3085" spans="1:22">
      <c r="A3085" s="3">
        <v>45786</v>
      </c>
      <c r="B3085" t="str">
        <f t="shared" si="336"/>
        <v>yyyy-05</v>
      </c>
      <c r="C3085">
        <f t="shared" si="337"/>
        <v>19</v>
      </c>
      <c r="D3085" t="s">
        <v>42</v>
      </c>
      <c r="E3085" t="s">
        <v>43</v>
      </c>
      <c r="F3085" t="s">
        <v>47</v>
      </c>
      <c r="G3085" t="s">
        <v>36</v>
      </c>
      <c r="H3085" t="s">
        <v>37</v>
      </c>
      <c r="I3085" s="5">
        <v>617</v>
      </c>
      <c r="J3085" s="5">
        <v>345</v>
      </c>
      <c r="K3085" s="5">
        <v>24</v>
      </c>
      <c r="L3085" s="5">
        <v>8</v>
      </c>
      <c r="M3085" s="5">
        <v>8</v>
      </c>
      <c r="N3085" s="7">
        <v>601.76</v>
      </c>
      <c r="O3085" s="7">
        <f t="shared" si="338"/>
        <v>4814.08</v>
      </c>
      <c r="P3085" s="4">
        <v>0</v>
      </c>
      <c r="Q3085" s="7">
        <f t="shared" si="339"/>
        <v>0</v>
      </c>
      <c r="R3085" s="7">
        <f t="shared" si="340"/>
        <v>4814.08</v>
      </c>
      <c r="S3085" s="7">
        <f t="shared" si="341"/>
        <v>601.76</v>
      </c>
      <c r="T3085" s="6">
        <f t="shared" si="342"/>
        <v>1.2965964343598054E-2</v>
      </c>
      <c r="V3085" t="s">
        <v>78</v>
      </c>
    </row>
    <row r="3086" spans="1:22">
      <c r="A3086" s="3">
        <v>45786</v>
      </c>
      <c r="B3086" t="str">
        <f t="shared" si="336"/>
        <v>yyyy-05</v>
      </c>
      <c r="C3086">
        <f t="shared" si="337"/>
        <v>19</v>
      </c>
      <c r="D3086" t="s">
        <v>42</v>
      </c>
      <c r="E3086" t="s">
        <v>49</v>
      </c>
      <c r="F3086" t="s">
        <v>50</v>
      </c>
      <c r="G3086" t="s">
        <v>36</v>
      </c>
      <c r="H3086" t="s">
        <v>37</v>
      </c>
      <c r="I3086" s="5">
        <v>204</v>
      </c>
      <c r="J3086" s="5">
        <v>111</v>
      </c>
      <c r="K3086" s="5">
        <v>11</v>
      </c>
      <c r="L3086" s="5">
        <v>3</v>
      </c>
      <c r="M3086" s="5">
        <v>3</v>
      </c>
      <c r="N3086" s="7">
        <v>974.77</v>
      </c>
      <c r="O3086" s="7">
        <f t="shared" si="338"/>
        <v>2924.31</v>
      </c>
      <c r="P3086" s="4">
        <v>0</v>
      </c>
      <c r="Q3086" s="7">
        <f t="shared" si="339"/>
        <v>0</v>
      </c>
      <c r="R3086" s="7">
        <f t="shared" si="340"/>
        <v>2924.31</v>
      </c>
      <c r="S3086" s="7">
        <f t="shared" si="341"/>
        <v>974.77</v>
      </c>
      <c r="T3086" s="6">
        <f t="shared" si="342"/>
        <v>1.4705882352941176E-2</v>
      </c>
      <c r="V3086" t="s">
        <v>29</v>
      </c>
    </row>
    <row r="3087" spans="1:22">
      <c r="A3087" s="3">
        <v>45786</v>
      </c>
      <c r="B3087" t="str">
        <f t="shared" si="336"/>
        <v>yyyy-05</v>
      </c>
      <c r="C3087">
        <f t="shared" si="337"/>
        <v>19</v>
      </c>
      <c r="D3087" t="s">
        <v>42</v>
      </c>
      <c r="E3087" t="s">
        <v>51</v>
      </c>
      <c r="F3087" t="s">
        <v>52</v>
      </c>
      <c r="G3087" t="s">
        <v>27</v>
      </c>
      <c r="H3087" t="s">
        <v>63</v>
      </c>
      <c r="I3087" s="5">
        <v>249</v>
      </c>
      <c r="J3087" s="5">
        <v>130</v>
      </c>
      <c r="K3087" s="5">
        <v>10</v>
      </c>
      <c r="L3087" s="5">
        <v>3</v>
      </c>
      <c r="M3087" s="5">
        <v>3</v>
      </c>
      <c r="N3087" s="7">
        <v>594.53</v>
      </c>
      <c r="O3087" s="7">
        <f t="shared" si="338"/>
        <v>1783.59</v>
      </c>
      <c r="P3087" s="4">
        <v>0.05</v>
      </c>
      <c r="Q3087" s="7">
        <f t="shared" si="339"/>
        <v>89.179500000000004</v>
      </c>
      <c r="R3087" s="7">
        <f t="shared" si="340"/>
        <v>1694.4105</v>
      </c>
      <c r="S3087" s="7">
        <f t="shared" si="341"/>
        <v>564.80349999999999</v>
      </c>
      <c r="T3087" s="6">
        <f t="shared" si="342"/>
        <v>1.2048192771084338E-2</v>
      </c>
      <c r="V3087" t="s">
        <v>29</v>
      </c>
    </row>
    <row r="3088" spans="1:22">
      <c r="A3088" s="3">
        <v>45786</v>
      </c>
      <c r="B3088" t="str">
        <f t="shared" si="336"/>
        <v>yyyy-05</v>
      </c>
      <c r="C3088">
        <f t="shared" si="337"/>
        <v>19</v>
      </c>
      <c r="D3088" t="s">
        <v>53</v>
      </c>
      <c r="E3088" t="s">
        <v>54</v>
      </c>
      <c r="F3088" t="s">
        <v>55</v>
      </c>
      <c r="G3088" t="s">
        <v>31</v>
      </c>
      <c r="H3088" t="s">
        <v>32</v>
      </c>
      <c r="I3088" s="5">
        <v>177</v>
      </c>
      <c r="J3088" s="5">
        <v>99</v>
      </c>
      <c r="K3088" s="5">
        <v>6</v>
      </c>
      <c r="L3088" s="5">
        <v>2</v>
      </c>
      <c r="M3088" s="5">
        <v>2</v>
      </c>
      <c r="N3088" s="7">
        <v>1296.52</v>
      </c>
      <c r="O3088" s="7">
        <f t="shared" si="338"/>
        <v>2593.04</v>
      </c>
      <c r="P3088" s="4">
        <v>0</v>
      </c>
      <c r="Q3088" s="7">
        <f t="shared" si="339"/>
        <v>0</v>
      </c>
      <c r="R3088" s="7">
        <f t="shared" si="340"/>
        <v>2593.04</v>
      </c>
      <c r="S3088" s="7">
        <f t="shared" si="341"/>
        <v>1296.52</v>
      </c>
      <c r="T3088" s="6">
        <f t="shared" si="342"/>
        <v>1.1299435028248588E-2</v>
      </c>
      <c r="V3088" t="s">
        <v>29</v>
      </c>
    </row>
    <row r="3089" spans="1:22">
      <c r="A3089" s="3">
        <v>45786</v>
      </c>
      <c r="B3089" t="str">
        <f t="shared" si="336"/>
        <v>yyyy-05</v>
      </c>
      <c r="C3089">
        <f t="shared" si="337"/>
        <v>19</v>
      </c>
      <c r="D3089" t="s">
        <v>53</v>
      </c>
      <c r="E3089" t="s">
        <v>56</v>
      </c>
      <c r="F3089" t="s">
        <v>57</v>
      </c>
      <c r="G3089" t="s">
        <v>31</v>
      </c>
      <c r="H3089" t="s">
        <v>32</v>
      </c>
      <c r="I3089" s="5">
        <v>273</v>
      </c>
      <c r="J3089" s="5">
        <v>153</v>
      </c>
      <c r="K3089" s="5">
        <v>13</v>
      </c>
      <c r="L3089" s="5">
        <v>3</v>
      </c>
      <c r="M3089" s="5">
        <v>3</v>
      </c>
      <c r="N3089" s="7">
        <v>755.53</v>
      </c>
      <c r="O3089" s="7">
        <f t="shared" si="338"/>
        <v>2266.59</v>
      </c>
      <c r="P3089" s="4">
        <v>0.03</v>
      </c>
      <c r="Q3089" s="7">
        <f t="shared" si="339"/>
        <v>67.997700000000009</v>
      </c>
      <c r="R3089" s="7">
        <f t="shared" si="340"/>
        <v>2198.5923000000003</v>
      </c>
      <c r="S3089" s="7">
        <f t="shared" si="341"/>
        <v>732.86410000000012</v>
      </c>
      <c r="T3089" s="6">
        <f t="shared" si="342"/>
        <v>1.098901098901099E-2</v>
      </c>
      <c r="V3089" t="s">
        <v>29</v>
      </c>
    </row>
    <row r="3090" spans="1:22">
      <c r="A3090" s="3">
        <v>45786</v>
      </c>
      <c r="B3090" t="str">
        <f t="shared" si="336"/>
        <v>yyyy-05</v>
      </c>
      <c r="C3090">
        <f t="shared" si="337"/>
        <v>19</v>
      </c>
      <c r="D3090" t="s">
        <v>53</v>
      </c>
      <c r="E3090" t="s">
        <v>56</v>
      </c>
      <c r="F3090" t="s">
        <v>58</v>
      </c>
      <c r="G3090" t="s">
        <v>27</v>
      </c>
      <c r="H3090" t="s">
        <v>48</v>
      </c>
      <c r="I3090" s="5">
        <v>186</v>
      </c>
      <c r="J3090" s="5">
        <v>97</v>
      </c>
      <c r="K3090" s="5">
        <v>10</v>
      </c>
      <c r="L3090" s="5">
        <v>2</v>
      </c>
      <c r="M3090" s="5">
        <v>2</v>
      </c>
      <c r="N3090" s="7">
        <v>871.09</v>
      </c>
      <c r="O3090" s="7">
        <f t="shared" si="338"/>
        <v>1742.18</v>
      </c>
      <c r="P3090" s="4">
        <v>0</v>
      </c>
      <c r="Q3090" s="7">
        <f t="shared" si="339"/>
        <v>0</v>
      </c>
      <c r="R3090" s="7">
        <f t="shared" si="340"/>
        <v>1742.18</v>
      </c>
      <c r="S3090" s="7">
        <f t="shared" si="341"/>
        <v>871.09</v>
      </c>
      <c r="T3090" s="6">
        <f t="shared" si="342"/>
        <v>1.0752688172043012E-2</v>
      </c>
      <c r="V3090" t="s">
        <v>29</v>
      </c>
    </row>
    <row r="3091" spans="1:22">
      <c r="A3091" s="3">
        <v>45786</v>
      </c>
      <c r="B3091" t="str">
        <f t="shared" si="336"/>
        <v>yyyy-05</v>
      </c>
      <c r="C3091">
        <f t="shared" si="337"/>
        <v>19</v>
      </c>
      <c r="D3091" t="s">
        <v>53</v>
      </c>
      <c r="E3091" t="s">
        <v>59</v>
      </c>
      <c r="F3091" t="s">
        <v>60</v>
      </c>
      <c r="G3091" t="s">
        <v>27</v>
      </c>
      <c r="H3091" t="s">
        <v>28</v>
      </c>
      <c r="I3091" s="5">
        <v>210</v>
      </c>
      <c r="J3091" s="5">
        <v>124</v>
      </c>
      <c r="K3091" s="5">
        <v>7</v>
      </c>
      <c r="L3091" s="5">
        <v>2</v>
      </c>
      <c r="M3091" s="5">
        <v>2</v>
      </c>
      <c r="N3091" s="7">
        <v>674.13</v>
      </c>
      <c r="O3091" s="7">
        <f t="shared" si="338"/>
        <v>1348.26</v>
      </c>
      <c r="P3091" s="4">
        <v>0</v>
      </c>
      <c r="Q3091" s="7">
        <f t="shared" si="339"/>
        <v>0</v>
      </c>
      <c r="R3091" s="7">
        <f t="shared" si="340"/>
        <v>1348.26</v>
      </c>
      <c r="S3091" s="7">
        <f t="shared" si="341"/>
        <v>674.13</v>
      </c>
      <c r="T3091" s="6">
        <f t="shared" si="342"/>
        <v>9.5238095238095247E-3</v>
      </c>
      <c r="V3091" t="s">
        <v>29</v>
      </c>
    </row>
    <row r="3092" spans="1:22">
      <c r="A3092" s="3">
        <v>45786</v>
      </c>
      <c r="B3092" t="str">
        <f t="shared" si="336"/>
        <v>yyyy-05</v>
      </c>
      <c r="C3092">
        <f t="shared" si="337"/>
        <v>19</v>
      </c>
      <c r="D3092" t="s">
        <v>53</v>
      </c>
      <c r="E3092" t="s">
        <v>61</v>
      </c>
      <c r="F3092" t="s">
        <v>62</v>
      </c>
      <c r="G3092" t="s">
        <v>27</v>
      </c>
      <c r="H3092" t="s">
        <v>48</v>
      </c>
      <c r="I3092" s="5">
        <v>158</v>
      </c>
      <c r="J3092" s="5">
        <v>83</v>
      </c>
      <c r="K3092" s="5">
        <v>8</v>
      </c>
      <c r="L3092" s="5">
        <v>1</v>
      </c>
      <c r="M3092" s="5">
        <v>1</v>
      </c>
      <c r="N3092" s="7">
        <v>503.36</v>
      </c>
      <c r="O3092" s="7">
        <f t="shared" si="338"/>
        <v>503.36</v>
      </c>
      <c r="P3092" s="4">
        <v>0</v>
      </c>
      <c r="Q3092" s="7">
        <f t="shared" si="339"/>
        <v>0</v>
      </c>
      <c r="R3092" s="7">
        <f t="shared" si="340"/>
        <v>503.36</v>
      </c>
      <c r="S3092" s="7">
        <f t="shared" si="341"/>
        <v>503.36</v>
      </c>
      <c r="T3092" s="6">
        <f t="shared" si="342"/>
        <v>6.3291139240506328E-3</v>
      </c>
      <c r="V3092" t="s">
        <v>29</v>
      </c>
    </row>
    <row r="3093" spans="1:22">
      <c r="A3093" s="3">
        <v>45786</v>
      </c>
      <c r="B3093" t="str">
        <f t="shared" si="336"/>
        <v>yyyy-05</v>
      </c>
      <c r="C3093">
        <f t="shared" si="337"/>
        <v>19</v>
      </c>
      <c r="D3093" t="s">
        <v>53</v>
      </c>
      <c r="E3093" t="s">
        <v>64</v>
      </c>
      <c r="F3093" t="s">
        <v>65</v>
      </c>
      <c r="G3093" t="s">
        <v>27</v>
      </c>
      <c r="H3093" t="s">
        <v>63</v>
      </c>
      <c r="I3093" s="5">
        <v>161</v>
      </c>
      <c r="J3093" s="5">
        <v>84</v>
      </c>
      <c r="K3093" s="5">
        <v>10</v>
      </c>
      <c r="L3093" s="5">
        <v>1</v>
      </c>
      <c r="M3093" s="5">
        <v>1</v>
      </c>
      <c r="N3093" s="7">
        <v>804.81</v>
      </c>
      <c r="O3093" s="7">
        <f t="shared" si="338"/>
        <v>804.81</v>
      </c>
      <c r="P3093" s="4">
        <v>0</v>
      </c>
      <c r="Q3093" s="7">
        <f t="shared" si="339"/>
        <v>0</v>
      </c>
      <c r="R3093" s="7">
        <f t="shared" si="340"/>
        <v>804.81</v>
      </c>
      <c r="S3093" s="7">
        <f t="shared" si="341"/>
        <v>804.81</v>
      </c>
      <c r="T3093" s="6">
        <f t="shared" si="342"/>
        <v>6.2111801242236021E-3</v>
      </c>
      <c r="V3093" t="s">
        <v>29</v>
      </c>
    </row>
    <row r="3094" spans="1:22">
      <c r="A3094" s="3">
        <v>45786</v>
      </c>
      <c r="B3094" t="str">
        <f t="shared" si="336"/>
        <v>yyyy-05</v>
      </c>
      <c r="C3094">
        <f t="shared" si="337"/>
        <v>19</v>
      </c>
      <c r="D3094" t="s">
        <v>66</v>
      </c>
      <c r="E3094" t="s">
        <v>67</v>
      </c>
      <c r="F3094" t="s">
        <v>68</v>
      </c>
      <c r="G3094" t="s">
        <v>27</v>
      </c>
      <c r="H3094" t="s">
        <v>48</v>
      </c>
      <c r="I3094" s="5">
        <v>368</v>
      </c>
      <c r="J3094" s="5">
        <v>205</v>
      </c>
      <c r="K3094" s="5">
        <v>21</v>
      </c>
      <c r="L3094" s="5">
        <v>5</v>
      </c>
      <c r="M3094" s="5">
        <v>5</v>
      </c>
      <c r="N3094" s="7">
        <v>676.29</v>
      </c>
      <c r="O3094" s="7">
        <f t="shared" si="338"/>
        <v>3381.45</v>
      </c>
      <c r="P3094" s="4">
        <v>0.03</v>
      </c>
      <c r="Q3094" s="7">
        <f t="shared" si="339"/>
        <v>101.44349999999999</v>
      </c>
      <c r="R3094" s="7">
        <f t="shared" si="340"/>
        <v>3280.0065</v>
      </c>
      <c r="S3094" s="7">
        <f t="shared" si="341"/>
        <v>656.00130000000001</v>
      </c>
      <c r="T3094" s="6">
        <f t="shared" si="342"/>
        <v>1.358695652173913E-2</v>
      </c>
      <c r="V3094" t="s">
        <v>29</v>
      </c>
    </row>
    <row r="3095" spans="1:22">
      <c r="A3095" s="3">
        <v>45786</v>
      </c>
      <c r="B3095" t="str">
        <f t="shared" si="336"/>
        <v>yyyy-05</v>
      </c>
      <c r="C3095">
        <f t="shared" si="337"/>
        <v>19</v>
      </c>
      <c r="D3095" t="s">
        <v>66</v>
      </c>
      <c r="E3095" t="s">
        <v>67</v>
      </c>
      <c r="F3095" t="s">
        <v>69</v>
      </c>
      <c r="G3095" t="s">
        <v>36</v>
      </c>
      <c r="H3095" t="s">
        <v>37</v>
      </c>
      <c r="I3095" s="5">
        <v>416</v>
      </c>
      <c r="J3095" s="5">
        <v>255</v>
      </c>
      <c r="K3095" s="5">
        <v>29</v>
      </c>
      <c r="L3095" s="5">
        <v>8</v>
      </c>
      <c r="M3095" s="5">
        <v>8</v>
      </c>
      <c r="N3095" s="7">
        <v>388.1</v>
      </c>
      <c r="O3095" s="7">
        <f t="shared" si="338"/>
        <v>3104.8</v>
      </c>
      <c r="P3095" s="4">
        <v>0</v>
      </c>
      <c r="Q3095" s="7">
        <f t="shared" si="339"/>
        <v>0</v>
      </c>
      <c r="R3095" s="7">
        <f t="shared" si="340"/>
        <v>3104.8</v>
      </c>
      <c r="S3095" s="7">
        <f t="shared" si="341"/>
        <v>388.1</v>
      </c>
      <c r="T3095" s="6">
        <f t="shared" si="342"/>
        <v>1.9230769230769232E-2</v>
      </c>
      <c r="V3095" t="s">
        <v>29</v>
      </c>
    </row>
    <row r="3096" spans="1:22">
      <c r="A3096" s="3">
        <v>45786</v>
      </c>
      <c r="B3096" t="str">
        <f t="shared" si="336"/>
        <v>yyyy-05</v>
      </c>
      <c r="C3096">
        <f t="shared" si="337"/>
        <v>19</v>
      </c>
      <c r="D3096" t="s">
        <v>66</v>
      </c>
      <c r="E3096" t="s">
        <v>67</v>
      </c>
      <c r="F3096" t="s">
        <v>70</v>
      </c>
      <c r="G3096" t="s">
        <v>31</v>
      </c>
      <c r="H3096" t="s">
        <v>32</v>
      </c>
      <c r="I3096" s="5">
        <v>435</v>
      </c>
      <c r="J3096" s="5">
        <v>236</v>
      </c>
      <c r="K3096" s="5">
        <v>26</v>
      </c>
      <c r="L3096" s="5">
        <v>6</v>
      </c>
      <c r="M3096" s="5">
        <v>6</v>
      </c>
      <c r="N3096" s="7">
        <v>337.36</v>
      </c>
      <c r="O3096" s="7">
        <f t="shared" si="338"/>
        <v>2024.16</v>
      </c>
      <c r="P3096" s="4">
        <v>0</v>
      </c>
      <c r="Q3096" s="7">
        <f t="shared" si="339"/>
        <v>0</v>
      </c>
      <c r="R3096" s="7">
        <f t="shared" si="340"/>
        <v>2024.16</v>
      </c>
      <c r="S3096" s="7">
        <f t="shared" si="341"/>
        <v>337.36</v>
      </c>
      <c r="T3096" s="6">
        <f t="shared" si="342"/>
        <v>1.3793103448275862E-2</v>
      </c>
      <c r="V3096" t="s">
        <v>29</v>
      </c>
    </row>
    <row r="3097" spans="1:22">
      <c r="A3097" s="3">
        <v>45786</v>
      </c>
      <c r="B3097" t="str">
        <f t="shared" si="336"/>
        <v>yyyy-05</v>
      </c>
      <c r="C3097">
        <f t="shared" si="337"/>
        <v>19</v>
      </c>
      <c r="D3097" t="s">
        <v>66</v>
      </c>
      <c r="E3097" t="s">
        <v>71</v>
      </c>
      <c r="F3097" t="s">
        <v>72</v>
      </c>
      <c r="G3097" t="s">
        <v>27</v>
      </c>
      <c r="H3097" t="s">
        <v>48</v>
      </c>
      <c r="I3097" s="5">
        <v>237</v>
      </c>
      <c r="J3097" s="5">
        <v>148</v>
      </c>
      <c r="K3097" s="5">
        <v>12</v>
      </c>
      <c r="L3097" s="5">
        <v>3</v>
      </c>
      <c r="M3097" s="5">
        <v>4</v>
      </c>
      <c r="N3097" s="7">
        <v>127.28</v>
      </c>
      <c r="O3097" s="7">
        <f t="shared" si="338"/>
        <v>509.12</v>
      </c>
      <c r="P3097" s="4">
        <v>0.03</v>
      </c>
      <c r="Q3097" s="7">
        <f t="shared" si="339"/>
        <v>15.2736</v>
      </c>
      <c r="R3097" s="7">
        <f t="shared" si="340"/>
        <v>493.84640000000002</v>
      </c>
      <c r="S3097" s="7">
        <f t="shared" si="341"/>
        <v>164.61546666666666</v>
      </c>
      <c r="T3097" s="6">
        <f t="shared" si="342"/>
        <v>1.2658227848101266E-2</v>
      </c>
      <c r="V3097" t="s">
        <v>29</v>
      </c>
    </row>
    <row r="3098" spans="1:22">
      <c r="A3098" s="3">
        <v>45786</v>
      </c>
      <c r="B3098" t="str">
        <f t="shared" si="336"/>
        <v>yyyy-05</v>
      </c>
      <c r="C3098">
        <f t="shared" si="337"/>
        <v>19</v>
      </c>
      <c r="D3098" t="s">
        <v>66</v>
      </c>
      <c r="E3098" t="s">
        <v>73</v>
      </c>
      <c r="F3098" t="s">
        <v>74</v>
      </c>
      <c r="G3098" t="s">
        <v>27</v>
      </c>
      <c r="H3098" t="s">
        <v>28</v>
      </c>
      <c r="I3098" s="5">
        <v>306</v>
      </c>
      <c r="J3098" s="5">
        <v>201</v>
      </c>
      <c r="K3098" s="5">
        <v>19</v>
      </c>
      <c r="L3098" s="5">
        <v>6</v>
      </c>
      <c r="M3098" s="5">
        <v>6</v>
      </c>
      <c r="N3098" s="7">
        <v>1170.82</v>
      </c>
      <c r="O3098" s="7">
        <f t="shared" si="338"/>
        <v>7024.92</v>
      </c>
      <c r="P3098" s="4">
        <v>0</v>
      </c>
      <c r="Q3098" s="7">
        <f t="shared" si="339"/>
        <v>0</v>
      </c>
      <c r="R3098" s="7">
        <f t="shared" si="340"/>
        <v>7024.92</v>
      </c>
      <c r="S3098" s="7">
        <f t="shared" si="341"/>
        <v>1170.82</v>
      </c>
      <c r="T3098" s="6">
        <f t="shared" si="342"/>
        <v>1.9607843137254902E-2</v>
      </c>
      <c r="V3098" t="s">
        <v>29</v>
      </c>
    </row>
    <row r="3099" spans="1:22">
      <c r="A3099" s="3">
        <v>45786</v>
      </c>
      <c r="B3099" t="str">
        <f t="shared" si="336"/>
        <v>yyyy-05</v>
      </c>
      <c r="C3099">
        <f t="shared" si="337"/>
        <v>19</v>
      </c>
      <c r="D3099" t="s">
        <v>66</v>
      </c>
      <c r="E3099" t="s">
        <v>71</v>
      </c>
      <c r="F3099" t="s">
        <v>75</v>
      </c>
      <c r="G3099" t="s">
        <v>31</v>
      </c>
      <c r="H3099" t="s">
        <v>32</v>
      </c>
      <c r="I3099" s="5">
        <v>387</v>
      </c>
      <c r="J3099" s="5">
        <v>256</v>
      </c>
      <c r="K3099" s="5">
        <v>12</v>
      </c>
      <c r="L3099" s="5">
        <v>6</v>
      </c>
      <c r="M3099" s="5">
        <v>8</v>
      </c>
      <c r="N3099" s="7">
        <v>38.270000000000003</v>
      </c>
      <c r="O3099" s="7">
        <f t="shared" si="338"/>
        <v>306.16000000000003</v>
      </c>
      <c r="P3099" s="4">
        <v>0</v>
      </c>
      <c r="Q3099" s="7">
        <f t="shared" si="339"/>
        <v>0</v>
      </c>
      <c r="R3099" s="7">
        <f t="shared" si="340"/>
        <v>306.16000000000003</v>
      </c>
      <c r="S3099" s="7">
        <f t="shared" si="341"/>
        <v>51.026666666666671</v>
      </c>
      <c r="T3099" s="6">
        <f t="shared" si="342"/>
        <v>1.5503875968992248E-2</v>
      </c>
      <c r="V3099" t="s">
        <v>29</v>
      </c>
    </row>
    <row r="3100" spans="1:22">
      <c r="A3100" s="3">
        <v>45786</v>
      </c>
      <c r="B3100" t="str">
        <f t="shared" si="336"/>
        <v>yyyy-05</v>
      </c>
      <c r="C3100">
        <f t="shared" si="337"/>
        <v>19</v>
      </c>
      <c r="D3100" t="s">
        <v>24</v>
      </c>
      <c r="E3100" t="s">
        <v>76</v>
      </c>
      <c r="F3100" t="s">
        <v>77</v>
      </c>
      <c r="G3100" t="s">
        <v>27</v>
      </c>
      <c r="H3100" t="s">
        <v>48</v>
      </c>
      <c r="I3100" s="5">
        <v>596</v>
      </c>
      <c r="J3100" s="5">
        <v>333</v>
      </c>
      <c r="K3100" s="5">
        <v>47</v>
      </c>
      <c r="L3100" s="5">
        <v>14</v>
      </c>
      <c r="M3100" s="5">
        <v>17</v>
      </c>
      <c r="N3100" s="7">
        <v>194.25</v>
      </c>
      <c r="O3100" s="7">
        <f t="shared" si="338"/>
        <v>3302.25</v>
      </c>
      <c r="P3100" s="4">
        <v>0</v>
      </c>
      <c r="Q3100" s="7">
        <f t="shared" si="339"/>
        <v>0</v>
      </c>
      <c r="R3100" s="7">
        <f t="shared" si="340"/>
        <v>3302.25</v>
      </c>
      <c r="S3100" s="7">
        <f t="shared" si="341"/>
        <v>235.875</v>
      </c>
      <c r="T3100" s="6">
        <f t="shared" si="342"/>
        <v>2.3489932885906041E-2</v>
      </c>
      <c r="V3100" t="s">
        <v>29</v>
      </c>
    </row>
    <row r="3101" spans="1:22">
      <c r="A3101" s="3">
        <v>45787</v>
      </c>
      <c r="B3101" t="str">
        <f t="shared" si="336"/>
        <v>yyyy-05</v>
      </c>
      <c r="C3101">
        <f t="shared" si="337"/>
        <v>19</v>
      </c>
      <c r="D3101" t="s">
        <v>24</v>
      </c>
      <c r="E3101" t="s">
        <v>25</v>
      </c>
      <c r="F3101" t="s">
        <v>26</v>
      </c>
      <c r="G3101" t="s">
        <v>31</v>
      </c>
      <c r="H3101" t="s">
        <v>32</v>
      </c>
      <c r="I3101" s="5">
        <v>2420</v>
      </c>
      <c r="J3101" s="5">
        <v>2003</v>
      </c>
      <c r="K3101" s="5">
        <v>181</v>
      </c>
      <c r="L3101" s="5">
        <v>59</v>
      </c>
      <c r="M3101" s="5">
        <v>59</v>
      </c>
      <c r="N3101" s="7">
        <v>995.81</v>
      </c>
      <c r="O3101" s="7">
        <f t="shared" si="338"/>
        <v>58752.789999999994</v>
      </c>
      <c r="P3101" s="4">
        <v>0.14000000000000001</v>
      </c>
      <c r="Q3101" s="7">
        <f t="shared" si="339"/>
        <v>8225.3906000000006</v>
      </c>
      <c r="R3101" s="7">
        <f t="shared" si="340"/>
        <v>50527.399399999995</v>
      </c>
      <c r="S3101" s="7">
        <f t="shared" si="341"/>
        <v>856.39659999999992</v>
      </c>
      <c r="T3101" s="6">
        <f t="shared" si="342"/>
        <v>2.4380165289256198E-2</v>
      </c>
      <c r="U3101" t="s">
        <v>96</v>
      </c>
      <c r="V3101" t="s">
        <v>29</v>
      </c>
    </row>
    <row r="3102" spans="1:22">
      <c r="A3102" s="3">
        <v>45787</v>
      </c>
      <c r="B3102" t="str">
        <f t="shared" si="336"/>
        <v>yyyy-05</v>
      </c>
      <c r="C3102">
        <f t="shared" si="337"/>
        <v>19</v>
      </c>
      <c r="D3102" t="s">
        <v>24</v>
      </c>
      <c r="E3102" t="s">
        <v>25</v>
      </c>
      <c r="F3102" t="s">
        <v>30</v>
      </c>
      <c r="G3102" t="s">
        <v>27</v>
      </c>
      <c r="H3102" t="s">
        <v>63</v>
      </c>
      <c r="I3102" s="5">
        <v>1340</v>
      </c>
      <c r="J3102" s="5">
        <v>947</v>
      </c>
      <c r="K3102" s="5">
        <v>111</v>
      </c>
      <c r="L3102" s="5">
        <v>29</v>
      </c>
      <c r="M3102" s="5">
        <v>29</v>
      </c>
      <c r="N3102" s="7">
        <v>392.45</v>
      </c>
      <c r="O3102" s="7">
        <f t="shared" si="338"/>
        <v>11381.05</v>
      </c>
      <c r="P3102" s="4">
        <v>0.14000000000000001</v>
      </c>
      <c r="Q3102" s="7">
        <f t="shared" si="339"/>
        <v>1593.347</v>
      </c>
      <c r="R3102" s="7">
        <f t="shared" si="340"/>
        <v>9787.7029999999995</v>
      </c>
      <c r="S3102" s="7">
        <f t="shared" si="341"/>
        <v>337.50700000000001</v>
      </c>
      <c r="T3102" s="6">
        <f t="shared" si="342"/>
        <v>2.1641791044776121E-2</v>
      </c>
      <c r="U3102" t="s">
        <v>96</v>
      </c>
      <c r="V3102" t="s">
        <v>29</v>
      </c>
    </row>
    <row r="3103" spans="1:22">
      <c r="A3103" s="3">
        <v>45787</v>
      </c>
      <c r="B3103" t="str">
        <f t="shared" si="336"/>
        <v>yyyy-05</v>
      </c>
      <c r="C3103">
        <f t="shared" si="337"/>
        <v>19</v>
      </c>
      <c r="D3103" t="s">
        <v>24</v>
      </c>
      <c r="E3103" t="s">
        <v>25</v>
      </c>
      <c r="F3103" t="s">
        <v>33</v>
      </c>
      <c r="G3103" t="s">
        <v>27</v>
      </c>
      <c r="H3103" t="s">
        <v>63</v>
      </c>
      <c r="I3103" s="5">
        <v>1624</v>
      </c>
      <c r="J3103" s="5">
        <v>1048</v>
      </c>
      <c r="K3103" s="5">
        <v>74</v>
      </c>
      <c r="L3103" s="5">
        <v>36</v>
      </c>
      <c r="M3103" s="5">
        <v>36</v>
      </c>
      <c r="N3103" s="7">
        <v>1751.23</v>
      </c>
      <c r="O3103" s="7">
        <f t="shared" si="338"/>
        <v>63044.28</v>
      </c>
      <c r="P3103" s="4">
        <v>0.14000000000000001</v>
      </c>
      <c r="Q3103" s="7">
        <f t="shared" si="339"/>
        <v>8826.1992000000009</v>
      </c>
      <c r="R3103" s="7">
        <f t="shared" si="340"/>
        <v>54218.080799999996</v>
      </c>
      <c r="S3103" s="7">
        <f t="shared" si="341"/>
        <v>1506.0577999999998</v>
      </c>
      <c r="T3103" s="6">
        <f t="shared" si="342"/>
        <v>2.2167487684729065E-2</v>
      </c>
      <c r="U3103" t="s">
        <v>96</v>
      </c>
      <c r="V3103" t="s">
        <v>29</v>
      </c>
    </row>
    <row r="3104" spans="1:22">
      <c r="A3104" s="3">
        <v>45787</v>
      </c>
      <c r="B3104" t="str">
        <f t="shared" si="336"/>
        <v>yyyy-05</v>
      </c>
      <c r="C3104">
        <f t="shared" si="337"/>
        <v>19</v>
      </c>
      <c r="D3104" t="s">
        <v>24</v>
      </c>
      <c r="E3104" t="s">
        <v>34</v>
      </c>
      <c r="F3104" t="s">
        <v>35</v>
      </c>
      <c r="G3104" t="s">
        <v>36</v>
      </c>
      <c r="H3104" t="s">
        <v>37</v>
      </c>
      <c r="I3104" s="5">
        <v>1465</v>
      </c>
      <c r="J3104" s="5">
        <v>1188</v>
      </c>
      <c r="K3104" s="5">
        <v>121</v>
      </c>
      <c r="L3104" s="5">
        <v>33</v>
      </c>
      <c r="M3104" s="5">
        <v>33</v>
      </c>
      <c r="N3104" s="7">
        <v>912.96</v>
      </c>
      <c r="O3104" s="7">
        <f t="shared" si="338"/>
        <v>30127.68</v>
      </c>
      <c r="P3104" s="4">
        <v>0</v>
      </c>
      <c r="Q3104" s="7">
        <f t="shared" si="339"/>
        <v>0</v>
      </c>
      <c r="R3104" s="7">
        <f t="shared" si="340"/>
        <v>30127.68</v>
      </c>
      <c r="S3104" s="7">
        <f t="shared" si="341"/>
        <v>912.96</v>
      </c>
      <c r="T3104" s="6">
        <f t="shared" si="342"/>
        <v>2.2525597269624574E-2</v>
      </c>
      <c r="V3104" t="s">
        <v>29</v>
      </c>
    </row>
    <row r="3105" spans="1:22">
      <c r="A3105" s="3">
        <v>45787</v>
      </c>
      <c r="B3105" t="str">
        <f t="shared" si="336"/>
        <v>yyyy-05</v>
      </c>
      <c r="C3105">
        <f t="shared" si="337"/>
        <v>19</v>
      </c>
      <c r="D3105" t="s">
        <v>24</v>
      </c>
      <c r="E3105" t="s">
        <v>38</v>
      </c>
      <c r="F3105" t="s">
        <v>39</v>
      </c>
      <c r="G3105" t="s">
        <v>36</v>
      </c>
      <c r="H3105" t="s">
        <v>37</v>
      </c>
      <c r="I3105" s="5">
        <v>1113</v>
      </c>
      <c r="J3105" s="5">
        <v>762</v>
      </c>
      <c r="K3105" s="5">
        <v>66</v>
      </c>
      <c r="L3105" s="5">
        <v>22</v>
      </c>
      <c r="M3105" s="5">
        <v>22</v>
      </c>
      <c r="N3105" s="7">
        <v>317.70999999999998</v>
      </c>
      <c r="O3105" s="7">
        <f t="shared" si="338"/>
        <v>6989.62</v>
      </c>
      <c r="P3105" s="4">
        <v>0</v>
      </c>
      <c r="Q3105" s="7">
        <f t="shared" si="339"/>
        <v>0</v>
      </c>
      <c r="R3105" s="7">
        <f t="shared" si="340"/>
        <v>6989.62</v>
      </c>
      <c r="S3105" s="7">
        <f t="shared" si="341"/>
        <v>317.70999999999998</v>
      </c>
      <c r="T3105" s="6">
        <f t="shared" si="342"/>
        <v>1.9766397124887692E-2</v>
      </c>
      <c r="V3105" t="s">
        <v>29</v>
      </c>
    </row>
    <row r="3106" spans="1:22">
      <c r="A3106" s="3">
        <v>45787</v>
      </c>
      <c r="B3106" t="str">
        <f t="shared" si="336"/>
        <v>yyyy-05</v>
      </c>
      <c r="C3106">
        <f t="shared" si="337"/>
        <v>19</v>
      </c>
      <c r="D3106" t="s">
        <v>24</v>
      </c>
      <c r="E3106" t="s">
        <v>40</v>
      </c>
      <c r="F3106" t="s">
        <v>41</v>
      </c>
      <c r="G3106" t="s">
        <v>36</v>
      </c>
      <c r="H3106" t="s">
        <v>37</v>
      </c>
      <c r="I3106" s="5">
        <v>949</v>
      </c>
      <c r="J3106" s="5">
        <v>767</v>
      </c>
      <c r="K3106" s="5">
        <v>49</v>
      </c>
      <c r="L3106" s="5">
        <v>11</v>
      </c>
      <c r="M3106" s="5">
        <v>13</v>
      </c>
      <c r="N3106" s="7">
        <v>176.82</v>
      </c>
      <c r="O3106" s="7">
        <f t="shared" si="338"/>
        <v>2298.66</v>
      </c>
      <c r="P3106" s="4">
        <v>0</v>
      </c>
      <c r="Q3106" s="7">
        <f t="shared" si="339"/>
        <v>0</v>
      </c>
      <c r="R3106" s="7">
        <f t="shared" si="340"/>
        <v>2298.66</v>
      </c>
      <c r="S3106" s="7">
        <f t="shared" si="341"/>
        <v>208.96909090909091</v>
      </c>
      <c r="T3106" s="6">
        <f t="shared" si="342"/>
        <v>1.1591148577449948E-2</v>
      </c>
      <c r="V3106" t="s">
        <v>78</v>
      </c>
    </row>
    <row r="3107" spans="1:22">
      <c r="A3107" s="3">
        <v>45787</v>
      </c>
      <c r="B3107" t="str">
        <f t="shared" si="336"/>
        <v>yyyy-05</v>
      </c>
      <c r="C3107">
        <f t="shared" si="337"/>
        <v>19</v>
      </c>
      <c r="D3107" t="s">
        <v>42</v>
      </c>
      <c r="E3107" t="s">
        <v>43</v>
      </c>
      <c r="F3107" t="s">
        <v>44</v>
      </c>
      <c r="G3107" t="s">
        <v>36</v>
      </c>
      <c r="H3107" t="s">
        <v>37</v>
      </c>
      <c r="I3107" s="5">
        <v>568</v>
      </c>
      <c r="J3107" s="5">
        <v>386</v>
      </c>
      <c r="K3107" s="5">
        <v>19</v>
      </c>
      <c r="L3107" s="5">
        <v>7</v>
      </c>
      <c r="M3107" s="5">
        <v>7</v>
      </c>
      <c r="N3107" s="7">
        <v>1247.98</v>
      </c>
      <c r="O3107" s="7">
        <f t="shared" si="338"/>
        <v>8735.86</v>
      </c>
      <c r="P3107" s="4">
        <v>0.03</v>
      </c>
      <c r="Q3107" s="7">
        <f t="shared" si="339"/>
        <v>262.07580000000002</v>
      </c>
      <c r="R3107" s="7">
        <f t="shared" si="340"/>
        <v>8473.7842000000001</v>
      </c>
      <c r="S3107" s="7">
        <f t="shared" si="341"/>
        <v>1210.5406</v>
      </c>
      <c r="T3107" s="6">
        <f t="shared" si="342"/>
        <v>1.232394366197183E-2</v>
      </c>
      <c r="V3107" t="s">
        <v>29</v>
      </c>
    </row>
    <row r="3108" spans="1:22">
      <c r="A3108" s="3">
        <v>45787</v>
      </c>
      <c r="B3108" t="str">
        <f t="shared" si="336"/>
        <v>yyyy-05</v>
      </c>
      <c r="C3108">
        <f t="shared" si="337"/>
        <v>19</v>
      </c>
      <c r="D3108" t="s">
        <v>42</v>
      </c>
      <c r="E3108" t="s">
        <v>43</v>
      </c>
      <c r="F3108" t="s">
        <v>46</v>
      </c>
      <c r="G3108" t="s">
        <v>27</v>
      </c>
      <c r="H3108" t="s">
        <v>28</v>
      </c>
      <c r="I3108" s="5">
        <v>508</v>
      </c>
      <c r="J3108" s="5">
        <v>268</v>
      </c>
      <c r="K3108" s="5">
        <v>28</v>
      </c>
      <c r="L3108" s="5">
        <v>6</v>
      </c>
      <c r="M3108" s="5">
        <v>6</v>
      </c>
      <c r="N3108" s="7">
        <v>2111.56</v>
      </c>
      <c r="O3108" s="7">
        <f t="shared" si="338"/>
        <v>12669.36</v>
      </c>
      <c r="P3108" s="4">
        <v>0</v>
      </c>
      <c r="Q3108" s="7">
        <f t="shared" si="339"/>
        <v>0</v>
      </c>
      <c r="R3108" s="7">
        <f t="shared" si="340"/>
        <v>12669.36</v>
      </c>
      <c r="S3108" s="7">
        <f t="shared" si="341"/>
        <v>2111.56</v>
      </c>
      <c r="T3108" s="6">
        <f t="shared" si="342"/>
        <v>1.1811023622047244E-2</v>
      </c>
      <c r="V3108" t="s">
        <v>29</v>
      </c>
    </row>
    <row r="3109" spans="1:22">
      <c r="A3109" s="3">
        <v>45787</v>
      </c>
      <c r="B3109" t="str">
        <f t="shared" si="336"/>
        <v>yyyy-05</v>
      </c>
      <c r="C3109">
        <f t="shared" si="337"/>
        <v>19</v>
      </c>
      <c r="D3109" t="s">
        <v>42</v>
      </c>
      <c r="E3109" t="s">
        <v>43</v>
      </c>
      <c r="F3109" t="s">
        <v>47</v>
      </c>
      <c r="G3109" t="s">
        <v>31</v>
      </c>
      <c r="H3109" t="s">
        <v>32</v>
      </c>
      <c r="I3109" s="5">
        <v>718</v>
      </c>
      <c r="J3109" s="5">
        <v>480</v>
      </c>
      <c r="K3109" s="5">
        <v>32</v>
      </c>
      <c r="L3109" s="5">
        <v>11</v>
      </c>
      <c r="M3109" s="5">
        <v>11</v>
      </c>
      <c r="N3109" s="7">
        <v>582.29999999999995</v>
      </c>
      <c r="O3109" s="7">
        <f t="shared" si="338"/>
        <v>6405.2999999999993</v>
      </c>
      <c r="P3109" s="4">
        <v>0</v>
      </c>
      <c r="Q3109" s="7">
        <f t="shared" si="339"/>
        <v>0</v>
      </c>
      <c r="R3109" s="7">
        <f t="shared" si="340"/>
        <v>6405.2999999999993</v>
      </c>
      <c r="S3109" s="7">
        <f t="shared" si="341"/>
        <v>582.29999999999995</v>
      </c>
      <c r="T3109" s="6">
        <f t="shared" si="342"/>
        <v>1.532033426183844E-2</v>
      </c>
      <c r="V3109" t="s">
        <v>29</v>
      </c>
    </row>
    <row r="3110" spans="1:22">
      <c r="A3110" s="3">
        <v>45787</v>
      </c>
      <c r="B3110" t="str">
        <f t="shared" si="336"/>
        <v>yyyy-05</v>
      </c>
      <c r="C3110">
        <f t="shared" si="337"/>
        <v>19</v>
      </c>
      <c r="D3110" t="s">
        <v>42</v>
      </c>
      <c r="E3110" t="s">
        <v>49</v>
      </c>
      <c r="F3110" t="s">
        <v>50</v>
      </c>
      <c r="G3110" t="s">
        <v>27</v>
      </c>
      <c r="H3110" t="s">
        <v>63</v>
      </c>
      <c r="I3110" s="5">
        <v>121</v>
      </c>
      <c r="J3110" s="5">
        <v>66</v>
      </c>
      <c r="K3110" s="5">
        <v>4</v>
      </c>
      <c r="L3110" s="5">
        <v>2</v>
      </c>
      <c r="M3110" s="5">
        <v>2</v>
      </c>
      <c r="N3110" s="7">
        <v>1001.21</v>
      </c>
      <c r="O3110" s="7">
        <f t="shared" si="338"/>
        <v>2002.42</v>
      </c>
      <c r="P3110" s="4">
        <v>0</v>
      </c>
      <c r="Q3110" s="7">
        <f t="shared" si="339"/>
        <v>0</v>
      </c>
      <c r="R3110" s="7">
        <f t="shared" si="340"/>
        <v>2002.42</v>
      </c>
      <c r="S3110" s="7">
        <f t="shared" si="341"/>
        <v>1001.21</v>
      </c>
      <c r="T3110" s="6">
        <f t="shared" si="342"/>
        <v>1.6528925619834711E-2</v>
      </c>
      <c r="V3110" t="s">
        <v>29</v>
      </c>
    </row>
    <row r="3111" spans="1:22">
      <c r="A3111" s="3">
        <v>45787</v>
      </c>
      <c r="B3111" t="str">
        <f t="shared" si="336"/>
        <v>yyyy-05</v>
      </c>
      <c r="C3111">
        <f t="shared" si="337"/>
        <v>19</v>
      </c>
      <c r="D3111" t="s">
        <v>42</v>
      </c>
      <c r="E3111" t="s">
        <v>51</v>
      </c>
      <c r="F3111" t="s">
        <v>52</v>
      </c>
      <c r="G3111" t="s">
        <v>36</v>
      </c>
      <c r="H3111" t="s">
        <v>37</v>
      </c>
      <c r="I3111" s="5">
        <v>354</v>
      </c>
      <c r="J3111" s="5">
        <v>285</v>
      </c>
      <c r="K3111" s="5">
        <v>33</v>
      </c>
      <c r="L3111" s="5">
        <v>4</v>
      </c>
      <c r="M3111" s="5">
        <v>4</v>
      </c>
      <c r="N3111" s="7">
        <v>604.16</v>
      </c>
      <c r="O3111" s="7">
        <f t="shared" si="338"/>
        <v>2416.64</v>
      </c>
      <c r="P3111" s="4">
        <v>0</v>
      </c>
      <c r="Q3111" s="7">
        <f t="shared" si="339"/>
        <v>0</v>
      </c>
      <c r="R3111" s="7">
        <f t="shared" si="340"/>
        <v>2416.64</v>
      </c>
      <c r="S3111" s="7">
        <f t="shared" si="341"/>
        <v>604.16</v>
      </c>
      <c r="T3111" s="6">
        <f t="shared" si="342"/>
        <v>1.1299435028248588E-2</v>
      </c>
      <c r="V3111" t="s">
        <v>29</v>
      </c>
    </row>
    <row r="3112" spans="1:22">
      <c r="A3112" s="3">
        <v>45787</v>
      </c>
      <c r="B3112" t="str">
        <f t="shared" si="336"/>
        <v>yyyy-05</v>
      </c>
      <c r="C3112">
        <f t="shared" si="337"/>
        <v>19</v>
      </c>
      <c r="D3112" t="s">
        <v>53</v>
      </c>
      <c r="E3112" t="s">
        <v>54</v>
      </c>
      <c r="F3112" t="s">
        <v>55</v>
      </c>
      <c r="G3112" t="s">
        <v>36</v>
      </c>
      <c r="H3112" t="s">
        <v>37</v>
      </c>
      <c r="I3112" s="5">
        <v>247</v>
      </c>
      <c r="J3112" s="5">
        <v>149</v>
      </c>
      <c r="K3112" s="5">
        <v>12</v>
      </c>
      <c r="L3112" s="5">
        <v>2</v>
      </c>
      <c r="M3112" s="5">
        <v>2</v>
      </c>
      <c r="N3112" s="7">
        <v>1298.76</v>
      </c>
      <c r="O3112" s="7">
        <f t="shared" si="338"/>
        <v>2597.52</v>
      </c>
      <c r="P3112" s="4">
        <v>0.03</v>
      </c>
      <c r="Q3112" s="7">
        <f t="shared" si="339"/>
        <v>77.925600000000003</v>
      </c>
      <c r="R3112" s="7">
        <f t="shared" si="340"/>
        <v>2519.5944</v>
      </c>
      <c r="S3112" s="7">
        <f t="shared" si="341"/>
        <v>1259.7972</v>
      </c>
      <c r="T3112" s="6">
        <f t="shared" si="342"/>
        <v>8.0971659919028341E-3</v>
      </c>
      <c r="V3112" t="s">
        <v>29</v>
      </c>
    </row>
    <row r="3113" spans="1:22">
      <c r="A3113" s="3">
        <v>45787</v>
      </c>
      <c r="B3113" t="str">
        <f t="shared" si="336"/>
        <v>yyyy-05</v>
      </c>
      <c r="C3113">
        <f t="shared" si="337"/>
        <v>19</v>
      </c>
      <c r="D3113" t="s">
        <v>53</v>
      </c>
      <c r="E3113" t="s">
        <v>56</v>
      </c>
      <c r="F3113" t="s">
        <v>57</v>
      </c>
      <c r="G3113" t="s">
        <v>27</v>
      </c>
      <c r="H3113" t="s">
        <v>45</v>
      </c>
      <c r="I3113" s="5">
        <v>213</v>
      </c>
      <c r="J3113" s="5">
        <v>148</v>
      </c>
      <c r="K3113" s="5">
        <v>9</v>
      </c>
      <c r="L3113" s="5">
        <v>2</v>
      </c>
      <c r="M3113" s="5">
        <v>2</v>
      </c>
      <c r="N3113" s="7">
        <v>728.53</v>
      </c>
      <c r="O3113" s="7">
        <f t="shared" si="338"/>
        <v>1457.06</v>
      </c>
      <c r="P3113" s="4">
        <v>0.05</v>
      </c>
      <c r="Q3113" s="7">
        <f t="shared" si="339"/>
        <v>72.852999999999994</v>
      </c>
      <c r="R3113" s="7">
        <f t="shared" si="340"/>
        <v>1384.2069999999999</v>
      </c>
      <c r="S3113" s="7">
        <f t="shared" si="341"/>
        <v>692.10349999999994</v>
      </c>
      <c r="T3113" s="6">
        <f t="shared" si="342"/>
        <v>9.3896713615023476E-3</v>
      </c>
      <c r="V3113" t="s">
        <v>29</v>
      </c>
    </row>
    <row r="3114" spans="1:22">
      <c r="A3114" s="3">
        <v>45787</v>
      </c>
      <c r="B3114" t="str">
        <f t="shared" si="336"/>
        <v>yyyy-05</v>
      </c>
      <c r="C3114">
        <f t="shared" si="337"/>
        <v>19</v>
      </c>
      <c r="D3114" t="s">
        <v>53</v>
      </c>
      <c r="E3114" t="s">
        <v>56</v>
      </c>
      <c r="F3114" t="s">
        <v>58</v>
      </c>
      <c r="G3114" t="s">
        <v>31</v>
      </c>
      <c r="H3114" t="s">
        <v>32</v>
      </c>
      <c r="I3114" s="5">
        <v>319</v>
      </c>
      <c r="J3114" s="5">
        <v>252</v>
      </c>
      <c r="K3114" s="5">
        <v>24</v>
      </c>
      <c r="L3114" s="5">
        <v>4</v>
      </c>
      <c r="M3114" s="5">
        <v>4</v>
      </c>
      <c r="N3114" s="7">
        <v>894.63</v>
      </c>
      <c r="O3114" s="7">
        <f t="shared" si="338"/>
        <v>3578.52</v>
      </c>
      <c r="P3114" s="4">
        <v>0</v>
      </c>
      <c r="Q3114" s="7">
        <f t="shared" si="339"/>
        <v>0</v>
      </c>
      <c r="R3114" s="7">
        <f t="shared" si="340"/>
        <v>3578.52</v>
      </c>
      <c r="S3114" s="7">
        <f t="shared" si="341"/>
        <v>894.63</v>
      </c>
      <c r="T3114" s="6">
        <f t="shared" si="342"/>
        <v>1.2539184952978056E-2</v>
      </c>
      <c r="V3114" t="s">
        <v>29</v>
      </c>
    </row>
    <row r="3115" spans="1:22">
      <c r="A3115" s="3">
        <v>45787</v>
      </c>
      <c r="B3115" t="str">
        <f t="shared" si="336"/>
        <v>yyyy-05</v>
      </c>
      <c r="C3115">
        <f t="shared" si="337"/>
        <v>19</v>
      </c>
      <c r="D3115" t="s">
        <v>53</v>
      </c>
      <c r="E3115" t="s">
        <v>59</v>
      </c>
      <c r="F3115" t="s">
        <v>60</v>
      </c>
      <c r="G3115" t="s">
        <v>31</v>
      </c>
      <c r="H3115" t="s">
        <v>32</v>
      </c>
      <c r="I3115" s="5">
        <v>189</v>
      </c>
      <c r="J3115" s="5">
        <v>140</v>
      </c>
      <c r="K3115" s="5">
        <v>13</v>
      </c>
      <c r="L3115" s="5">
        <v>3</v>
      </c>
      <c r="M3115" s="5">
        <v>3</v>
      </c>
      <c r="N3115" s="7">
        <v>690.18</v>
      </c>
      <c r="O3115" s="7">
        <f t="shared" si="338"/>
        <v>2070.54</v>
      </c>
      <c r="P3115" s="4">
        <v>0.05</v>
      </c>
      <c r="Q3115" s="7">
        <f t="shared" si="339"/>
        <v>103.527</v>
      </c>
      <c r="R3115" s="7">
        <f t="shared" si="340"/>
        <v>1967.0129999999999</v>
      </c>
      <c r="S3115" s="7">
        <f t="shared" si="341"/>
        <v>655.67099999999994</v>
      </c>
      <c r="T3115" s="6">
        <f t="shared" si="342"/>
        <v>1.5873015873015872E-2</v>
      </c>
      <c r="V3115" t="s">
        <v>29</v>
      </c>
    </row>
    <row r="3116" spans="1:22">
      <c r="A3116" s="3">
        <v>45787</v>
      </c>
      <c r="B3116" t="str">
        <f t="shared" si="336"/>
        <v>yyyy-05</v>
      </c>
      <c r="C3116">
        <f t="shared" si="337"/>
        <v>19</v>
      </c>
      <c r="D3116" t="s">
        <v>53</v>
      </c>
      <c r="E3116" t="s">
        <v>61</v>
      </c>
      <c r="F3116" t="s">
        <v>62</v>
      </c>
      <c r="G3116" t="s">
        <v>31</v>
      </c>
      <c r="H3116" t="s">
        <v>32</v>
      </c>
      <c r="I3116" s="5">
        <v>287</v>
      </c>
      <c r="J3116" s="5">
        <v>199</v>
      </c>
      <c r="K3116" s="5">
        <v>22</v>
      </c>
      <c r="L3116" s="5">
        <v>3</v>
      </c>
      <c r="M3116" s="5">
        <v>3</v>
      </c>
      <c r="N3116" s="7">
        <v>487.22</v>
      </c>
      <c r="O3116" s="7">
        <f t="shared" si="338"/>
        <v>1461.66</v>
      </c>
      <c r="P3116" s="4">
        <v>0</v>
      </c>
      <c r="Q3116" s="7">
        <f t="shared" si="339"/>
        <v>0</v>
      </c>
      <c r="R3116" s="7">
        <f t="shared" si="340"/>
        <v>1461.66</v>
      </c>
      <c r="S3116" s="7">
        <f t="shared" si="341"/>
        <v>487.22</v>
      </c>
      <c r="T3116" s="6">
        <f t="shared" si="342"/>
        <v>1.0452961672473868E-2</v>
      </c>
      <c r="V3116" t="s">
        <v>29</v>
      </c>
    </row>
    <row r="3117" spans="1:22">
      <c r="A3117" s="3">
        <v>45787</v>
      </c>
      <c r="B3117" t="str">
        <f t="shared" si="336"/>
        <v>yyyy-05</v>
      </c>
      <c r="C3117">
        <f t="shared" si="337"/>
        <v>19</v>
      </c>
      <c r="D3117" t="s">
        <v>53</v>
      </c>
      <c r="E3117" t="s">
        <v>64</v>
      </c>
      <c r="F3117" t="s">
        <v>65</v>
      </c>
      <c r="G3117" t="s">
        <v>27</v>
      </c>
      <c r="H3117" t="s">
        <v>28</v>
      </c>
      <c r="I3117" s="5">
        <v>310</v>
      </c>
      <c r="J3117" s="5">
        <v>239</v>
      </c>
      <c r="K3117" s="5">
        <v>18</v>
      </c>
      <c r="L3117" s="5">
        <v>4</v>
      </c>
      <c r="M3117" s="5">
        <v>4</v>
      </c>
      <c r="N3117" s="7">
        <v>782.84</v>
      </c>
      <c r="O3117" s="7">
        <f t="shared" si="338"/>
        <v>3131.36</v>
      </c>
      <c r="P3117" s="4">
        <v>0.05</v>
      </c>
      <c r="Q3117" s="7">
        <f t="shared" si="339"/>
        <v>156.56800000000001</v>
      </c>
      <c r="R3117" s="7">
        <f t="shared" si="340"/>
        <v>2974.7919999999999</v>
      </c>
      <c r="S3117" s="7">
        <f t="shared" si="341"/>
        <v>743.69799999999998</v>
      </c>
      <c r="T3117" s="6">
        <f t="shared" si="342"/>
        <v>1.2903225806451613E-2</v>
      </c>
      <c r="V3117" t="s">
        <v>29</v>
      </c>
    </row>
    <row r="3118" spans="1:22">
      <c r="A3118" s="3">
        <v>45787</v>
      </c>
      <c r="B3118" t="str">
        <f t="shared" si="336"/>
        <v>yyyy-05</v>
      </c>
      <c r="C3118">
        <f t="shared" si="337"/>
        <v>19</v>
      </c>
      <c r="D3118" t="s">
        <v>66</v>
      </c>
      <c r="E3118" t="s">
        <v>67</v>
      </c>
      <c r="F3118" t="s">
        <v>68</v>
      </c>
      <c r="G3118" t="s">
        <v>27</v>
      </c>
      <c r="H3118" t="s">
        <v>45</v>
      </c>
      <c r="I3118" s="5">
        <v>347</v>
      </c>
      <c r="J3118" s="5">
        <v>231</v>
      </c>
      <c r="K3118" s="5">
        <v>26</v>
      </c>
      <c r="L3118" s="5">
        <v>7</v>
      </c>
      <c r="M3118" s="5">
        <v>7</v>
      </c>
      <c r="N3118" s="7">
        <v>681.98</v>
      </c>
      <c r="O3118" s="7">
        <f t="shared" si="338"/>
        <v>4773.8600000000006</v>
      </c>
      <c r="P3118" s="4">
        <v>0.03</v>
      </c>
      <c r="Q3118" s="7">
        <f t="shared" si="339"/>
        <v>143.2158</v>
      </c>
      <c r="R3118" s="7">
        <f t="shared" si="340"/>
        <v>4630.6442000000006</v>
      </c>
      <c r="S3118" s="7">
        <f t="shared" si="341"/>
        <v>661.52060000000006</v>
      </c>
      <c r="T3118" s="6">
        <f t="shared" si="342"/>
        <v>2.0172910662824207E-2</v>
      </c>
      <c r="V3118" t="s">
        <v>29</v>
      </c>
    </row>
    <row r="3119" spans="1:22">
      <c r="A3119" s="3">
        <v>45787</v>
      </c>
      <c r="B3119" t="str">
        <f t="shared" si="336"/>
        <v>yyyy-05</v>
      </c>
      <c r="C3119">
        <f t="shared" si="337"/>
        <v>19</v>
      </c>
      <c r="D3119" t="s">
        <v>66</v>
      </c>
      <c r="E3119" t="s">
        <v>67</v>
      </c>
      <c r="F3119" t="s">
        <v>69</v>
      </c>
      <c r="G3119" t="s">
        <v>31</v>
      </c>
      <c r="H3119" t="s">
        <v>32</v>
      </c>
      <c r="I3119" s="5">
        <v>539</v>
      </c>
      <c r="J3119" s="5">
        <v>408</v>
      </c>
      <c r="K3119" s="5">
        <v>47</v>
      </c>
      <c r="L3119" s="5">
        <v>12</v>
      </c>
      <c r="M3119" s="5">
        <v>12</v>
      </c>
      <c r="N3119" s="7">
        <v>393.34</v>
      </c>
      <c r="O3119" s="7">
        <f t="shared" si="338"/>
        <v>4720.08</v>
      </c>
      <c r="P3119" s="4">
        <v>0</v>
      </c>
      <c r="Q3119" s="7">
        <f t="shared" si="339"/>
        <v>0</v>
      </c>
      <c r="R3119" s="7">
        <f t="shared" si="340"/>
        <v>4720.08</v>
      </c>
      <c r="S3119" s="7">
        <f t="shared" si="341"/>
        <v>393.34</v>
      </c>
      <c r="T3119" s="6">
        <f t="shared" si="342"/>
        <v>2.2263450834879406E-2</v>
      </c>
      <c r="V3119" t="s">
        <v>29</v>
      </c>
    </row>
    <row r="3120" spans="1:22">
      <c r="A3120" s="3">
        <v>45787</v>
      </c>
      <c r="B3120" t="str">
        <f t="shared" si="336"/>
        <v>yyyy-05</v>
      </c>
      <c r="C3120">
        <f t="shared" si="337"/>
        <v>19</v>
      </c>
      <c r="D3120" t="s">
        <v>66</v>
      </c>
      <c r="E3120" t="s">
        <v>67</v>
      </c>
      <c r="F3120" t="s">
        <v>70</v>
      </c>
      <c r="G3120" t="s">
        <v>36</v>
      </c>
      <c r="H3120" t="s">
        <v>37</v>
      </c>
      <c r="I3120" s="5">
        <v>520</v>
      </c>
      <c r="J3120" s="5">
        <v>347</v>
      </c>
      <c r="K3120" s="5">
        <v>31</v>
      </c>
      <c r="L3120" s="5">
        <v>8</v>
      </c>
      <c r="M3120" s="5">
        <v>8</v>
      </c>
      <c r="N3120" s="7">
        <v>337.52</v>
      </c>
      <c r="O3120" s="7">
        <f t="shared" si="338"/>
        <v>2700.16</v>
      </c>
      <c r="P3120" s="4">
        <v>0.03</v>
      </c>
      <c r="Q3120" s="7">
        <f t="shared" si="339"/>
        <v>81.004799999999989</v>
      </c>
      <c r="R3120" s="7">
        <f t="shared" si="340"/>
        <v>2619.1551999999997</v>
      </c>
      <c r="S3120" s="7">
        <f t="shared" si="341"/>
        <v>327.39439999999996</v>
      </c>
      <c r="T3120" s="6">
        <f t="shared" si="342"/>
        <v>1.5384615384615385E-2</v>
      </c>
      <c r="V3120" t="s">
        <v>29</v>
      </c>
    </row>
    <row r="3121" spans="1:22">
      <c r="A3121" s="3">
        <v>45787</v>
      </c>
      <c r="B3121" t="str">
        <f t="shared" si="336"/>
        <v>yyyy-05</v>
      </c>
      <c r="C3121">
        <f t="shared" si="337"/>
        <v>19</v>
      </c>
      <c r="D3121" t="s">
        <v>66</v>
      </c>
      <c r="E3121" t="s">
        <v>71</v>
      </c>
      <c r="F3121" t="s">
        <v>72</v>
      </c>
      <c r="G3121" t="s">
        <v>27</v>
      </c>
      <c r="H3121" t="s">
        <v>45</v>
      </c>
      <c r="I3121" s="5">
        <v>440</v>
      </c>
      <c r="J3121" s="5">
        <v>308</v>
      </c>
      <c r="K3121" s="5">
        <v>43</v>
      </c>
      <c r="L3121" s="5">
        <v>9</v>
      </c>
      <c r="M3121" s="5">
        <v>10</v>
      </c>
      <c r="N3121" s="7">
        <v>126.18</v>
      </c>
      <c r="O3121" s="7">
        <f t="shared" si="338"/>
        <v>1261.8000000000002</v>
      </c>
      <c r="P3121" s="4">
        <v>0</v>
      </c>
      <c r="Q3121" s="7">
        <f t="shared" si="339"/>
        <v>0</v>
      </c>
      <c r="R3121" s="7">
        <f t="shared" si="340"/>
        <v>1261.8000000000002</v>
      </c>
      <c r="S3121" s="7">
        <f t="shared" si="341"/>
        <v>140.20000000000002</v>
      </c>
      <c r="T3121" s="6">
        <f t="shared" si="342"/>
        <v>2.0454545454545454E-2</v>
      </c>
      <c r="V3121" t="s">
        <v>29</v>
      </c>
    </row>
    <row r="3122" spans="1:22">
      <c r="A3122" s="3">
        <v>45787</v>
      </c>
      <c r="B3122" t="str">
        <f t="shared" si="336"/>
        <v>yyyy-05</v>
      </c>
      <c r="C3122">
        <f t="shared" si="337"/>
        <v>19</v>
      </c>
      <c r="D3122" t="s">
        <v>66</v>
      </c>
      <c r="E3122" t="s">
        <v>73</v>
      </c>
      <c r="F3122" t="s">
        <v>74</v>
      </c>
      <c r="G3122" t="s">
        <v>31</v>
      </c>
      <c r="H3122" t="s">
        <v>32</v>
      </c>
      <c r="I3122" s="5">
        <v>315</v>
      </c>
      <c r="J3122" s="5">
        <v>221</v>
      </c>
      <c r="K3122" s="5">
        <v>21</v>
      </c>
      <c r="L3122" s="5">
        <v>4</v>
      </c>
      <c r="M3122" s="5">
        <v>4</v>
      </c>
      <c r="N3122" s="7">
        <v>1196.25</v>
      </c>
      <c r="O3122" s="7">
        <f t="shared" si="338"/>
        <v>4785</v>
      </c>
      <c r="P3122" s="4">
        <v>0.03</v>
      </c>
      <c r="Q3122" s="7">
        <f t="shared" si="339"/>
        <v>143.54999999999998</v>
      </c>
      <c r="R3122" s="7">
        <f t="shared" si="340"/>
        <v>4641.45</v>
      </c>
      <c r="S3122" s="7">
        <f t="shared" si="341"/>
        <v>1160.3625</v>
      </c>
      <c r="T3122" s="6">
        <f t="shared" si="342"/>
        <v>1.2698412698412698E-2</v>
      </c>
      <c r="V3122" t="s">
        <v>29</v>
      </c>
    </row>
    <row r="3123" spans="1:22">
      <c r="A3123" s="3">
        <v>45787</v>
      </c>
      <c r="B3123" t="str">
        <f t="shared" si="336"/>
        <v>yyyy-05</v>
      </c>
      <c r="C3123">
        <f t="shared" si="337"/>
        <v>19</v>
      </c>
      <c r="D3123" t="s">
        <v>66</v>
      </c>
      <c r="E3123" t="s">
        <v>71</v>
      </c>
      <c r="F3123" t="s">
        <v>75</v>
      </c>
      <c r="G3123" t="s">
        <v>36</v>
      </c>
      <c r="H3123" t="s">
        <v>37</v>
      </c>
      <c r="I3123" s="5">
        <v>214</v>
      </c>
      <c r="J3123" s="5">
        <v>155</v>
      </c>
      <c r="K3123" s="5">
        <v>4</v>
      </c>
      <c r="L3123" s="5">
        <v>0</v>
      </c>
      <c r="M3123" s="5">
        <v>0</v>
      </c>
      <c r="N3123" s="7">
        <v>38.36</v>
      </c>
      <c r="O3123" s="7">
        <f t="shared" si="338"/>
        <v>0</v>
      </c>
      <c r="P3123" s="4">
        <v>0</v>
      </c>
      <c r="Q3123" s="7">
        <f t="shared" si="339"/>
        <v>0</v>
      </c>
      <c r="R3123" s="7">
        <f t="shared" si="340"/>
        <v>0</v>
      </c>
      <c r="S3123" s="7">
        <f t="shared" si="341"/>
        <v>0</v>
      </c>
      <c r="T3123" s="6">
        <f t="shared" si="342"/>
        <v>0</v>
      </c>
      <c r="V3123" t="s">
        <v>81</v>
      </c>
    </row>
    <row r="3124" spans="1:22">
      <c r="A3124" s="3">
        <v>45787</v>
      </c>
      <c r="B3124" t="str">
        <f t="shared" si="336"/>
        <v>yyyy-05</v>
      </c>
      <c r="C3124">
        <f t="shared" si="337"/>
        <v>19</v>
      </c>
      <c r="D3124" t="s">
        <v>24</v>
      </c>
      <c r="E3124" t="s">
        <v>76</v>
      </c>
      <c r="F3124" t="s">
        <v>77</v>
      </c>
      <c r="G3124" t="s">
        <v>27</v>
      </c>
      <c r="H3124" t="s">
        <v>63</v>
      </c>
      <c r="I3124" s="5">
        <v>413</v>
      </c>
      <c r="J3124" s="5">
        <v>261</v>
      </c>
      <c r="K3124" s="5">
        <v>32</v>
      </c>
      <c r="L3124" s="5">
        <v>7</v>
      </c>
      <c r="M3124" s="5">
        <v>8</v>
      </c>
      <c r="N3124" s="7">
        <v>198.46</v>
      </c>
      <c r="O3124" s="7">
        <f t="shared" si="338"/>
        <v>1587.68</v>
      </c>
      <c r="P3124" s="4">
        <v>0.03</v>
      </c>
      <c r="Q3124" s="7">
        <f t="shared" si="339"/>
        <v>47.630400000000002</v>
      </c>
      <c r="R3124" s="7">
        <f t="shared" si="340"/>
        <v>1540.0496000000001</v>
      </c>
      <c r="S3124" s="7">
        <f t="shared" si="341"/>
        <v>220.00708571428572</v>
      </c>
      <c r="T3124" s="6">
        <f t="shared" si="342"/>
        <v>1.6949152542372881E-2</v>
      </c>
      <c r="V3124" t="s">
        <v>29</v>
      </c>
    </row>
    <row r="3125" spans="1:22">
      <c r="A3125" s="3">
        <v>45788</v>
      </c>
      <c r="B3125" t="str">
        <f t="shared" si="336"/>
        <v>yyyy-05</v>
      </c>
      <c r="C3125">
        <f t="shared" si="337"/>
        <v>19</v>
      </c>
      <c r="D3125" t="s">
        <v>24</v>
      </c>
      <c r="E3125" t="s">
        <v>25</v>
      </c>
      <c r="F3125" t="s">
        <v>26</v>
      </c>
      <c r="G3125" t="s">
        <v>31</v>
      </c>
      <c r="H3125" t="s">
        <v>32</v>
      </c>
      <c r="I3125" s="5">
        <v>2682</v>
      </c>
      <c r="J3125" s="5">
        <v>2046</v>
      </c>
      <c r="K3125" s="5">
        <v>208</v>
      </c>
      <c r="L3125" s="5">
        <v>78</v>
      </c>
      <c r="M3125" s="5">
        <v>78</v>
      </c>
      <c r="N3125" s="7">
        <v>962.36</v>
      </c>
      <c r="O3125" s="7">
        <f t="shared" si="338"/>
        <v>75064.08</v>
      </c>
      <c r="P3125" s="4">
        <v>0.14000000000000001</v>
      </c>
      <c r="Q3125" s="7">
        <f t="shared" si="339"/>
        <v>10508.971200000002</v>
      </c>
      <c r="R3125" s="7">
        <f t="shared" si="340"/>
        <v>64555.108800000002</v>
      </c>
      <c r="S3125" s="7">
        <f t="shared" si="341"/>
        <v>827.62959999999998</v>
      </c>
      <c r="T3125" s="6">
        <f t="shared" si="342"/>
        <v>2.9082774049217001E-2</v>
      </c>
      <c r="U3125" t="s">
        <v>96</v>
      </c>
      <c r="V3125" t="s">
        <v>29</v>
      </c>
    </row>
    <row r="3126" spans="1:22">
      <c r="A3126" s="3">
        <v>45788</v>
      </c>
      <c r="B3126" t="str">
        <f t="shared" si="336"/>
        <v>yyyy-05</v>
      </c>
      <c r="C3126">
        <f t="shared" si="337"/>
        <v>19</v>
      </c>
      <c r="D3126" t="s">
        <v>24</v>
      </c>
      <c r="E3126" t="s">
        <v>25</v>
      </c>
      <c r="F3126" t="s">
        <v>30</v>
      </c>
      <c r="G3126" t="s">
        <v>27</v>
      </c>
      <c r="H3126" t="s">
        <v>45</v>
      </c>
      <c r="I3126" s="5">
        <v>1684</v>
      </c>
      <c r="J3126" s="5">
        <v>1092</v>
      </c>
      <c r="K3126" s="5">
        <v>169</v>
      </c>
      <c r="L3126" s="5">
        <v>50</v>
      </c>
      <c r="M3126" s="5">
        <v>50</v>
      </c>
      <c r="N3126" s="7">
        <v>401.9</v>
      </c>
      <c r="O3126" s="7">
        <f t="shared" si="338"/>
        <v>20095</v>
      </c>
      <c r="P3126" s="4">
        <v>0.14000000000000001</v>
      </c>
      <c r="Q3126" s="7">
        <f t="shared" si="339"/>
        <v>2813.3</v>
      </c>
      <c r="R3126" s="7">
        <f t="shared" si="340"/>
        <v>17281.7</v>
      </c>
      <c r="S3126" s="7">
        <f t="shared" si="341"/>
        <v>345.63400000000001</v>
      </c>
      <c r="T3126" s="6">
        <f t="shared" si="342"/>
        <v>2.9691211401425176E-2</v>
      </c>
      <c r="U3126" t="s">
        <v>96</v>
      </c>
      <c r="V3126" t="s">
        <v>29</v>
      </c>
    </row>
    <row r="3127" spans="1:22">
      <c r="A3127" s="3">
        <v>45788</v>
      </c>
      <c r="B3127" t="str">
        <f t="shared" si="336"/>
        <v>yyyy-05</v>
      </c>
      <c r="C3127">
        <f t="shared" si="337"/>
        <v>19</v>
      </c>
      <c r="D3127" t="s">
        <v>24</v>
      </c>
      <c r="E3127" t="s">
        <v>25</v>
      </c>
      <c r="F3127" t="s">
        <v>33</v>
      </c>
      <c r="G3127" t="s">
        <v>27</v>
      </c>
      <c r="H3127" t="s">
        <v>63</v>
      </c>
      <c r="I3127" s="5">
        <v>1259</v>
      </c>
      <c r="J3127" s="5">
        <v>1024</v>
      </c>
      <c r="K3127" s="5">
        <v>96</v>
      </c>
      <c r="L3127" s="5">
        <v>37</v>
      </c>
      <c r="M3127" s="5">
        <v>37</v>
      </c>
      <c r="N3127" s="7">
        <v>1787.06</v>
      </c>
      <c r="O3127" s="7">
        <f t="shared" si="338"/>
        <v>66121.22</v>
      </c>
      <c r="P3127" s="4">
        <v>0.14000000000000001</v>
      </c>
      <c r="Q3127" s="7">
        <f t="shared" si="339"/>
        <v>9256.970800000001</v>
      </c>
      <c r="R3127" s="7">
        <f t="shared" si="340"/>
        <v>56864.249199999998</v>
      </c>
      <c r="S3127" s="7">
        <f t="shared" si="341"/>
        <v>1536.8715999999999</v>
      </c>
      <c r="T3127" s="6">
        <f t="shared" si="342"/>
        <v>2.9388403494837172E-2</v>
      </c>
      <c r="U3127" t="s">
        <v>96</v>
      </c>
      <c r="V3127" t="s">
        <v>29</v>
      </c>
    </row>
    <row r="3128" spans="1:22">
      <c r="A3128" s="3">
        <v>45788</v>
      </c>
      <c r="B3128" t="str">
        <f t="shared" si="336"/>
        <v>yyyy-05</v>
      </c>
      <c r="C3128">
        <f t="shared" si="337"/>
        <v>19</v>
      </c>
      <c r="D3128" t="s">
        <v>24</v>
      </c>
      <c r="E3128" t="s">
        <v>34</v>
      </c>
      <c r="F3128" t="s">
        <v>35</v>
      </c>
      <c r="G3128" t="s">
        <v>31</v>
      </c>
      <c r="H3128" t="s">
        <v>32</v>
      </c>
      <c r="I3128" s="5">
        <v>1328</v>
      </c>
      <c r="J3128" s="5">
        <v>815</v>
      </c>
      <c r="K3128" s="5">
        <v>153</v>
      </c>
      <c r="L3128" s="5">
        <v>34</v>
      </c>
      <c r="M3128" s="5">
        <v>34</v>
      </c>
      <c r="N3128" s="7">
        <v>904.26</v>
      </c>
      <c r="O3128" s="7">
        <f t="shared" si="338"/>
        <v>30744.84</v>
      </c>
      <c r="P3128" s="4">
        <v>0</v>
      </c>
      <c r="Q3128" s="7">
        <f t="shared" si="339"/>
        <v>0</v>
      </c>
      <c r="R3128" s="7">
        <f t="shared" si="340"/>
        <v>30744.84</v>
      </c>
      <c r="S3128" s="7">
        <f t="shared" si="341"/>
        <v>904.26</v>
      </c>
      <c r="T3128" s="6">
        <f t="shared" si="342"/>
        <v>2.5602409638554216E-2</v>
      </c>
      <c r="V3128" t="s">
        <v>29</v>
      </c>
    </row>
    <row r="3129" spans="1:22">
      <c r="A3129" s="3">
        <v>45788</v>
      </c>
      <c r="B3129" t="str">
        <f t="shared" si="336"/>
        <v>yyyy-05</v>
      </c>
      <c r="C3129">
        <f t="shared" si="337"/>
        <v>19</v>
      </c>
      <c r="D3129" t="s">
        <v>24</v>
      </c>
      <c r="E3129" t="s">
        <v>38</v>
      </c>
      <c r="F3129" t="s">
        <v>39</v>
      </c>
      <c r="G3129" t="s">
        <v>27</v>
      </c>
      <c r="H3129" t="s">
        <v>45</v>
      </c>
      <c r="I3129" s="5">
        <v>981</v>
      </c>
      <c r="J3129" s="5">
        <v>569</v>
      </c>
      <c r="K3129" s="5">
        <v>56</v>
      </c>
      <c r="L3129" s="5">
        <v>25</v>
      </c>
      <c r="M3129" s="5">
        <v>25</v>
      </c>
      <c r="N3129" s="7">
        <v>321.02</v>
      </c>
      <c r="O3129" s="7">
        <f t="shared" si="338"/>
        <v>8025.5</v>
      </c>
      <c r="P3129" s="4">
        <v>0.05</v>
      </c>
      <c r="Q3129" s="7">
        <f t="shared" si="339"/>
        <v>401.27500000000003</v>
      </c>
      <c r="R3129" s="7">
        <f t="shared" si="340"/>
        <v>7624.2250000000004</v>
      </c>
      <c r="S3129" s="7">
        <f t="shared" si="341"/>
        <v>304.96899999999999</v>
      </c>
      <c r="T3129" s="6">
        <f t="shared" si="342"/>
        <v>2.54841997961264E-2</v>
      </c>
      <c r="V3129" t="s">
        <v>29</v>
      </c>
    </row>
    <row r="3130" spans="1:22">
      <c r="A3130" s="3">
        <v>45788</v>
      </c>
      <c r="B3130" t="str">
        <f t="shared" si="336"/>
        <v>yyyy-05</v>
      </c>
      <c r="C3130">
        <f t="shared" si="337"/>
        <v>19</v>
      </c>
      <c r="D3130" t="s">
        <v>24</v>
      </c>
      <c r="E3130" t="s">
        <v>40</v>
      </c>
      <c r="F3130" t="s">
        <v>41</v>
      </c>
      <c r="G3130" t="s">
        <v>31</v>
      </c>
      <c r="H3130" t="s">
        <v>32</v>
      </c>
      <c r="I3130" s="5">
        <v>884</v>
      </c>
      <c r="J3130" s="5">
        <v>727</v>
      </c>
      <c r="K3130" s="5">
        <v>87</v>
      </c>
      <c r="L3130" s="5">
        <v>22</v>
      </c>
      <c r="M3130" s="5">
        <v>29</v>
      </c>
      <c r="N3130" s="7">
        <v>181.92</v>
      </c>
      <c r="O3130" s="7">
        <f t="shared" si="338"/>
        <v>5275.6799999999994</v>
      </c>
      <c r="P3130" s="4">
        <v>0.05</v>
      </c>
      <c r="Q3130" s="7">
        <f t="shared" si="339"/>
        <v>263.78399999999999</v>
      </c>
      <c r="R3130" s="7">
        <f t="shared" si="340"/>
        <v>5011.8959999999997</v>
      </c>
      <c r="S3130" s="7">
        <f t="shared" si="341"/>
        <v>227.81345454545453</v>
      </c>
      <c r="T3130" s="6">
        <f t="shared" si="342"/>
        <v>2.4886877828054297E-2</v>
      </c>
      <c r="V3130" t="s">
        <v>29</v>
      </c>
    </row>
    <row r="3131" spans="1:22">
      <c r="A3131" s="3">
        <v>45788</v>
      </c>
      <c r="B3131" t="str">
        <f t="shared" si="336"/>
        <v>yyyy-05</v>
      </c>
      <c r="C3131">
        <f t="shared" si="337"/>
        <v>19</v>
      </c>
      <c r="D3131" t="s">
        <v>42</v>
      </c>
      <c r="E3131" t="s">
        <v>43</v>
      </c>
      <c r="F3131" t="s">
        <v>44</v>
      </c>
      <c r="G3131" t="s">
        <v>27</v>
      </c>
      <c r="H3131" t="s">
        <v>63</v>
      </c>
      <c r="I3131" s="5">
        <v>400</v>
      </c>
      <c r="J3131" s="5">
        <v>216</v>
      </c>
      <c r="K3131" s="5">
        <v>25</v>
      </c>
      <c r="L3131" s="5">
        <v>7</v>
      </c>
      <c r="M3131" s="5">
        <v>7</v>
      </c>
      <c r="N3131" s="7">
        <v>1248.68</v>
      </c>
      <c r="O3131" s="7">
        <f t="shared" si="338"/>
        <v>8740.76</v>
      </c>
      <c r="P3131" s="4">
        <v>0.05</v>
      </c>
      <c r="Q3131" s="7">
        <f t="shared" si="339"/>
        <v>437.03800000000001</v>
      </c>
      <c r="R3131" s="7">
        <f t="shared" si="340"/>
        <v>8303.7219999999998</v>
      </c>
      <c r="S3131" s="7">
        <f t="shared" si="341"/>
        <v>1186.2459999999999</v>
      </c>
      <c r="T3131" s="6">
        <f t="shared" si="342"/>
        <v>1.7500000000000002E-2</v>
      </c>
      <c r="V3131" t="s">
        <v>29</v>
      </c>
    </row>
    <row r="3132" spans="1:22">
      <c r="A3132" s="3">
        <v>45788</v>
      </c>
      <c r="B3132" t="str">
        <f t="shared" si="336"/>
        <v>yyyy-05</v>
      </c>
      <c r="C3132">
        <f t="shared" si="337"/>
        <v>19</v>
      </c>
      <c r="D3132" t="s">
        <v>42</v>
      </c>
      <c r="E3132" t="s">
        <v>43</v>
      </c>
      <c r="F3132" t="s">
        <v>46</v>
      </c>
      <c r="G3132" t="s">
        <v>31</v>
      </c>
      <c r="H3132" t="s">
        <v>32</v>
      </c>
      <c r="I3132" s="5">
        <v>677</v>
      </c>
      <c r="J3132" s="5">
        <v>558</v>
      </c>
      <c r="K3132" s="5">
        <v>39</v>
      </c>
      <c r="L3132" s="5">
        <v>11</v>
      </c>
      <c r="M3132" s="5">
        <v>11</v>
      </c>
      <c r="N3132" s="7">
        <v>2195.23</v>
      </c>
      <c r="O3132" s="7">
        <f t="shared" si="338"/>
        <v>24147.53</v>
      </c>
      <c r="P3132" s="4">
        <v>0</v>
      </c>
      <c r="Q3132" s="7">
        <f t="shared" si="339"/>
        <v>0</v>
      </c>
      <c r="R3132" s="7">
        <f t="shared" si="340"/>
        <v>24147.53</v>
      </c>
      <c r="S3132" s="7">
        <f t="shared" si="341"/>
        <v>2195.23</v>
      </c>
      <c r="T3132" s="6">
        <f t="shared" si="342"/>
        <v>1.6248153618906941E-2</v>
      </c>
      <c r="V3132" t="s">
        <v>29</v>
      </c>
    </row>
    <row r="3133" spans="1:22">
      <c r="A3133" s="3">
        <v>45788</v>
      </c>
      <c r="B3133" t="str">
        <f t="shared" si="336"/>
        <v>yyyy-05</v>
      </c>
      <c r="C3133">
        <f t="shared" si="337"/>
        <v>19</v>
      </c>
      <c r="D3133" t="s">
        <v>42</v>
      </c>
      <c r="E3133" t="s">
        <v>43</v>
      </c>
      <c r="F3133" t="s">
        <v>47</v>
      </c>
      <c r="G3133" t="s">
        <v>27</v>
      </c>
      <c r="H3133" t="s">
        <v>28</v>
      </c>
      <c r="I3133" s="5">
        <v>654</v>
      </c>
      <c r="J3133" s="5">
        <v>393</v>
      </c>
      <c r="K3133" s="5">
        <v>35</v>
      </c>
      <c r="L3133" s="5">
        <v>7</v>
      </c>
      <c r="M3133" s="5">
        <v>7</v>
      </c>
      <c r="N3133" s="7">
        <v>590.26</v>
      </c>
      <c r="O3133" s="7">
        <f t="shared" si="338"/>
        <v>4131.82</v>
      </c>
      <c r="P3133" s="4">
        <v>0.05</v>
      </c>
      <c r="Q3133" s="7">
        <f t="shared" si="339"/>
        <v>206.59100000000001</v>
      </c>
      <c r="R3133" s="7">
        <f t="shared" si="340"/>
        <v>3925.2289999999998</v>
      </c>
      <c r="S3133" s="7">
        <f t="shared" si="341"/>
        <v>560.74699999999996</v>
      </c>
      <c r="T3133" s="6">
        <f t="shared" si="342"/>
        <v>1.0703363914373088E-2</v>
      </c>
      <c r="V3133" t="s">
        <v>29</v>
      </c>
    </row>
    <row r="3134" spans="1:22">
      <c r="A3134" s="3">
        <v>45788</v>
      </c>
      <c r="B3134" t="str">
        <f t="shared" si="336"/>
        <v>yyyy-05</v>
      </c>
      <c r="C3134">
        <f t="shared" si="337"/>
        <v>19</v>
      </c>
      <c r="D3134" t="s">
        <v>42</v>
      </c>
      <c r="E3134" t="s">
        <v>49</v>
      </c>
      <c r="F3134" t="s">
        <v>50</v>
      </c>
      <c r="G3134" t="s">
        <v>31</v>
      </c>
      <c r="H3134" t="s">
        <v>32</v>
      </c>
      <c r="I3134" s="5">
        <v>230</v>
      </c>
      <c r="J3134" s="5">
        <v>124</v>
      </c>
      <c r="K3134" s="5">
        <v>13</v>
      </c>
      <c r="L3134" s="5">
        <v>4</v>
      </c>
      <c r="M3134" s="5">
        <v>4</v>
      </c>
      <c r="N3134" s="7">
        <v>973.65</v>
      </c>
      <c r="O3134" s="7">
        <f t="shared" si="338"/>
        <v>3894.6</v>
      </c>
      <c r="P3134" s="4">
        <v>0.05</v>
      </c>
      <c r="Q3134" s="7">
        <f t="shared" si="339"/>
        <v>194.73000000000002</v>
      </c>
      <c r="R3134" s="7">
        <f t="shared" si="340"/>
        <v>3699.87</v>
      </c>
      <c r="S3134" s="7">
        <f t="shared" si="341"/>
        <v>924.96749999999997</v>
      </c>
      <c r="T3134" s="6">
        <f t="shared" si="342"/>
        <v>1.7391304347826087E-2</v>
      </c>
      <c r="V3134" t="s">
        <v>29</v>
      </c>
    </row>
    <row r="3135" spans="1:22">
      <c r="A3135" s="3">
        <v>45788</v>
      </c>
      <c r="B3135" t="str">
        <f t="shared" si="336"/>
        <v>yyyy-05</v>
      </c>
      <c r="C3135">
        <f t="shared" si="337"/>
        <v>19</v>
      </c>
      <c r="D3135" t="s">
        <v>42</v>
      </c>
      <c r="E3135" t="s">
        <v>51</v>
      </c>
      <c r="F3135" t="s">
        <v>52</v>
      </c>
      <c r="G3135" t="s">
        <v>31</v>
      </c>
      <c r="H3135" t="s">
        <v>32</v>
      </c>
      <c r="I3135" s="5">
        <v>366</v>
      </c>
      <c r="J3135" s="5">
        <v>265</v>
      </c>
      <c r="K3135" s="5">
        <v>30</v>
      </c>
      <c r="L3135" s="5">
        <v>7</v>
      </c>
      <c r="M3135" s="5">
        <v>7</v>
      </c>
      <c r="N3135" s="7">
        <v>580.4</v>
      </c>
      <c r="O3135" s="7">
        <f t="shared" si="338"/>
        <v>4062.7999999999997</v>
      </c>
      <c r="P3135" s="4">
        <v>0.03</v>
      </c>
      <c r="Q3135" s="7">
        <f t="shared" si="339"/>
        <v>121.88399999999999</v>
      </c>
      <c r="R3135" s="7">
        <f t="shared" si="340"/>
        <v>3940.9159999999997</v>
      </c>
      <c r="S3135" s="7">
        <f t="shared" si="341"/>
        <v>562.98799999999994</v>
      </c>
      <c r="T3135" s="6">
        <f t="shared" si="342"/>
        <v>1.912568306010929E-2</v>
      </c>
      <c r="V3135" t="s">
        <v>29</v>
      </c>
    </row>
    <row r="3136" spans="1:22">
      <c r="A3136" s="3">
        <v>45788</v>
      </c>
      <c r="B3136" t="str">
        <f t="shared" si="336"/>
        <v>yyyy-05</v>
      </c>
      <c r="C3136">
        <f t="shared" si="337"/>
        <v>19</v>
      </c>
      <c r="D3136" t="s">
        <v>53</v>
      </c>
      <c r="E3136" t="s">
        <v>54</v>
      </c>
      <c r="F3136" t="s">
        <v>55</v>
      </c>
      <c r="G3136" t="s">
        <v>27</v>
      </c>
      <c r="H3136" t="s">
        <v>48</v>
      </c>
      <c r="I3136" s="5">
        <v>130</v>
      </c>
      <c r="J3136" s="5">
        <v>104</v>
      </c>
      <c r="K3136" s="5">
        <v>6</v>
      </c>
      <c r="L3136" s="5">
        <v>1</v>
      </c>
      <c r="M3136" s="5">
        <v>1</v>
      </c>
      <c r="N3136" s="7">
        <v>1292.49</v>
      </c>
      <c r="O3136" s="7">
        <f t="shared" si="338"/>
        <v>1292.49</v>
      </c>
      <c r="P3136" s="4">
        <v>0</v>
      </c>
      <c r="Q3136" s="7">
        <f t="shared" si="339"/>
        <v>0</v>
      </c>
      <c r="R3136" s="7">
        <f t="shared" si="340"/>
        <v>1292.49</v>
      </c>
      <c r="S3136" s="7">
        <f t="shared" si="341"/>
        <v>1292.49</v>
      </c>
      <c r="T3136" s="6">
        <f t="shared" si="342"/>
        <v>7.6923076923076927E-3</v>
      </c>
      <c r="V3136" t="s">
        <v>29</v>
      </c>
    </row>
    <row r="3137" spans="1:22">
      <c r="A3137" s="3">
        <v>45788</v>
      </c>
      <c r="B3137" t="str">
        <f t="shared" si="336"/>
        <v>yyyy-05</v>
      </c>
      <c r="C3137">
        <f t="shared" si="337"/>
        <v>19</v>
      </c>
      <c r="D3137" t="s">
        <v>53</v>
      </c>
      <c r="E3137" t="s">
        <v>56</v>
      </c>
      <c r="F3137" t="s">
        <v>57</v>
      </c>
      <c r="G3137" t="s">
        <v>27</v>
      </c>
      <c r="H3137" t="s">
        <v>28</v>
      </c>
      <c r="I3137" s="5">
        <v>265</v>
      </c>
      <c r="J3137" s="5">
        <v>153</v>
      </c>
      <c r="K3137" s="5">
        <v>15</v>
      </c>
      <c r="L3137" s="5">
        <v>2</v>
      </c>
      <c r="M3137" s="5">
        <v>2</v>
      </c>
      <c r="N3137" s="7">
        <v>730.64</v>
      </c>
      <c r="O3137" s="7">
        <f t="shared" si="338"/>
        <v>1461.28</v>
      </c>
      <c r="P3137" s="4">
        <v>0.03</v>
      </c>
      <c r="Q3137" s="7">
        <f t="shared" si="339"/>
        <v>43.8384</v>
      </c>
      <c r="R3137" s="7">
        <f t="shared" si="340"/>
        <v>1417.4415999999999</v>
      </c>
      <c r="S3137" s="7">
        <f t="shared" si="341"/>
        <v>708.72079999999994</v>
      </c>
      <c r="T3137" s="6">
        <f t="shared" si="342"/>
        <v>7.5471698113207548E-3</v>
      </c>
      <c r="V3137" t="s">
        <v>29</v>
      </c>
    </row>
    <row r="3138" spans="1:22">
      <c r="A3138" s="3">
        <v>45788</v>
      </c>
      <c r="B3138" t="str">
        <f t="shared" si="336"/>
        <v>yyyy-05</v>
      </c>
      <c r="C3138">
        <f t="shared" si="337"/>
        <v>19</v>
      </c>
      <c r="D3138" t="s">
        <v>53</v>
      </c>
      <c r="E3138" t="s">
        <v>56</v>
      </c>
      <c r="F3138" t="s">
        <v>58</v>
      </c>
      <c r="G3138" t="s">
        <v>27</v>
      </c>
      <c r="H3138" t="s">
        <v>45</v>
      </c>
      <c r="I3138" s="5">
        <v>211</v>
      </c>
      <c r="J3138" s="5">
        <v>125</v>
      </c>
      <c r="K3138" s="5">
        <v>13</v>
      </c>
      <c r="L3138" s="5">
        <v>3</v>
      </c>
      <c r="M3138" s="5">
        <v>3</v>
      </c>
      <c r="N3138" s="7">
        <v>902.4</v>
      </c>
      <c r="O3138" s="7">
        <f t="shared" si="338"/>
        <v>2707.2</v>
      </c>
      <c r="P3138" s="4">
        <v>0</v>
      </c>
      <c r="Q3138" s="7">
        <f t="shared" si="339"/>
        <v>0</v>
      </c>
      <c r="R3138" s="7">
        <f t="shared" si="340"/>
        <v>2707.2</v>
      </c>
      <c r="S3138" s="7">
        <f t="shared" si="341"/>
        <v>902.4</v>
      </c>
      <c r="T3138" s="6">
        <f t="shared" si="342"/>
        <v>1.4218009478672985E-2</v>
      </c>
      <c r="V3138" t="s">
        <v>29</v>
      </c>
    </row>
    <row r="3139" spans="1:22">
      <c r="A3139" s="3">
        <v>45788</v>
      </c>
      <c r="B3139" t="str">
        <f t="shared" si="336"/>
        <v>yyyy-05</v>
      </c>
      <c r="C3139">
        <f t="shared" si="337"/>
        <v>19</v>
      </c>
      <c r="D3139" t="s">
        <v>53</v>
      </c>
      <c r="E3139" t="s">
        <v>59</v>
      </c>
      <c r="F3139" t="s">
        <v>60</v>
      </c>
      <c r="G3139" t="s">
        <v>36</v>
      </c>
      <c r="H3139" t="s">
        <v>37</v>
      </c>
      <c r="I3139" s="5">
        <v>211</v>
      </c>
      <c r="J3139" s="5">
        <v>160</v>
      </c>
      <c r="K3139" s="5">
        <v>10</v>
      </c>
      <c r="L3139" s="5">
        <v>2</v>
      </c>
      <c r="M3139" s="5">
        <v>2</v>
      </c>
      <c r="N3139" s="7">
        <v>696.41</v>
      </c>
      <c r="O3139" s="7">
        <f t="shared" si="338"/>
        <v>1392.82</v>
      </c>
      <c r="P3139" s="4">
        <v>0</v>
      </c>
      <c r="Q3139" s="7">
        <f t="shared" si="339"/>
        <v>0</v>
      </c>
      <c r="R3139" s="7">
        <f t="shared" si="340"/>
        <v>1392.82</v>
      </c>
      <c r="S3139" s="7">
        <f t="shared" si="341"/>
        <v>696.41</v>
      </c>
      <c r="T3139" s="6">
        <f t="shared" si="342"/>
        <v>9.4786729857819912E-3</v>
      </c>
      <c r="V3139" t="s">
        <v>29</v>
      </c>
    </row>
    <row r="3140" spans="1:22">
      <c r="A3140" s="3">
        <v>45788</v>
      </c>
      <c r="B3140" t="str">
        <f t="shared" si="336"/>
        <v>yyyy-05</v>
      </c>
      <c r="C3140">
        <f t="shared" si="337"/>
        <v>19</v>
      </c>
      <c r="D3140" t="s">
        <v>53</v>
      </c>
      <c r="E3140" t="s">
        <v>61</v>
      </c>
      <c r="F3140" t="s">
        <v>62</v>
      </c>
      <c r="G3140" t="s">
        <v>27</v>
      </c>
      <c r="H3140" t="s">
        <v>28</v>
      </c>
      <c r="I3140" s="5">
        <v>193</v>
      </c>
      <c r="J3140" s="5">
        <v>129</v>
      </c>
      <c r="K3140" s="5">
        <v>9</v>
      </c>
      <c r="L3140" s="5">
        <v>3</v>
      </c>
      <c r="M3140" s="5">
        <v>3</v>
      </c>
      <c r="N3140" s="7">
        <v>499.24</v>
      </c>
      <c r="O3140" s="7">
        <f t="shared" si="338"/>
        <v>1497.72</v>
      </c>
      <c r="P3140" s="4">
        <v>0</v>
      </c>
      <c r="Q3140" s="7">
        <f t="shared" si="339"/>
        <v>0</v>
      </c>
      <c r="R3140" s="7">
        <f t="shared" si="340"/>
        <v>1497.72</v>
      </c>
      <c r="S3140" s="7">
        <f t="shared" si="341"/>
        <v>499.24</v>
      </c>
      <c r="T3140" s="6">
        <f t="shared" si="342"/>
        <v>1.5544041450777202E-2</v>
      </c>
      <c r="V3140" t="s">
        <v>29</v>
      </c>
    </row>
    <row r="3141" spans="1:22">
      <c r="A3141" s="3">
        <v>45788</v>
      </c>
      <c r="B3141" t="str">
        <f t="shared" ref="B3141:B3204" si="343">TEXT(A3141,"yyyy-mm")</f>
        <v>yyyy-05</v>
      </c>
      <c r="C3141">
        <f t="shared" ref="C3141:C3204" si="344">WEEKNUM(A3141,2)</f>
        <v>19</v>
      </c>
      <c r="D3141" t="s">
        <v>53</v>
      </c>
      <c r="E3141" t="s">
        <v>64</v>
      </c>
      <c r="F3141" t="s">
        <v>65</v>
      </c>
      <c r="G3141" t="s">
        <v>27</v>
      </c>
      <c r="H3141" t="s">
        <v>45</v>
      </c>
      <c r="I3141" s="5">
        <v>272</v>
      </c>
      <c r="J3141" s="5">
        <v>155</v>
      </c>
      <c r="K3141" s="5">
        <v>14</v>
      </c>
      <c r="L3141" s="5">
        <v>3</v>
      </c>
      <c r="M3141" s="5">
        <v>3</v>
      </c>
      <c r="N3141" s="7">
        <v>775.27</v>
      </c>
      <c r="O3141" s="7">
        <f t="shared" ref="O3141:O3204" si="345">M3141*N3141</f>
        <v>2325.81</v>
      </c>
      <c r="P3141" s="4">
        <v>0</v>
      </c>
      <c r="Q3141" s="7">
        <f t="shared" ref="Q3141:Q3204" si="346">O3141*P3141</f>
        <v>0</v>
      </c>
      <c r="R3141" s="7">
        <f t="shared" ref="R3141:R3204" si="347">O3141-Q3141</f>
        <v>2325.81</v>
      </c>
      <c r="S3141" s="7">
        <f t="shared" ref="S3141:S3204" si="348">IFERROR(R3141/L3141,0)</f>
        <v>775.27</v>
      </c>
      <c r="T3141" s="6">
        <f t="shared" ref="T3141:T3204" si="349">IFERROR(L3141/I3141,0)</f>
        <v>1.1029411764705883E-2</v>
      </c>
      <c r="V3141" t="s">
        <v>29</v>
      </c>
    </row>
    <row r="3142" spans="1:22">
      <c r="A3142" s="3">
        <v>45788</v>
      </c>
      <c r="B3142" t="str">
        <f t="shared" si="343"/>
        <v>yyyy-05</v>
      </c>
      <c r="C3142">
        <f t="shared" si="344"/>
        <v>19</v>
      </c>
      <c r="D3142" t="s">
        <v>66</v>
      </c>
      <c r="E3142" t="s">
        <v>67</v>
      </c>
      <c r="F3142" t="s">
        <v>68</v>
      </c>
      <c r="G3142" t="s">
        <v>36</v>
      </c>
      <c r="H3142" t="s">
        <v>37</v>
      </c>
      <c r="I3142" s="5">
        <v>424</v>
      </c>
      <c r="J3142" s="5">
        <v>222</v>
      </c>
      <c r="K3142" s="5">
        <v>44</v>
      </c>
      <c r="L3142" s="5">
        <v>9</v>
      </c>
      <c r="M3142" s="5">
        <v>9</v>
      </c>
      <c r="N3142" s="7">
        <v>690.67</v>
      </c>
      <c r="O3142" s="7">
        <f t="shared" si="345"/>
        <v>6216.03</v>
      </c>
      <c r="P3142" s="4">
        <v>0</v>
      </c>
      <c r="Q3142" s="7">
        <f t="shared" si="346"/>
        <v>0</v>
      </c>
      <c r="R3142" s="7">
        <f t="shared" si="347"/>
        <v>6216.03</v>
      </c>
      <c r="S3142" s="7">
        <f t="shared" si="348"/>
        <v>690.67</v>
      </c>
      <c r="T3142" s="6">
        <f t="shared" si="349"/>
        <v>2.1226415094339621E-2</v>
      </c>
      <c r="V3142" t="s">
        <v>29</v>
      </c>
    </row>
    <row r="3143" spans="1:22">
      <c r="A3143" s="3">
        <v>45788</v>
      </c>
      <c r="B3143" t="str">
        <f t="shared" si="343"/>
        <v>yyyy-05</v>
      </c>
      <c r="C3143">
        <f t="shared" si="344"/>
        <v>19</v>
      </c>
      <c r="D3143" t="s">
        <v>66</v>
      </c>
      <c r="E3143" t="s">
        <v>67</v>
      </c>
      <c r="F3143" t="s">
        <v>69</v>
      </c>
      <c r="G3143" t="s">
        <v>31</v>
      </c>
      <c r="H3143" t="s">
        <v>32</v>
      </c>
      <c r="I3143" s="5">
        <v>604</v>
      </c>
      <c r="J3143" s="5">
        <v>318</v>
      </c>
      <c r="K3143" s="5">
        <v>27</v>
      </c>
      <c r="L3143" s="5">
        <v>9</v>
      </c>
      <c r="M3143" s="5">
        <v>9</v>
      </c>
      <c r="N3143" s="7">
        <v>395.85</v>
      </c>
      <c r="O3143" s="7">
        <f t="shared" si="345"/>
        <v>3562.65</v>
      </c>
      <c r="P3143" s="4">
        <v>0</v>
      </c>
      <c r="Q3143" s="7">
        <f t="shared" si="346"/>
        <v>0</v>
      </c>
      <c r="R3143" s="7">
        <f t="shared" si="347"/>
        <v>3562.65</v>
      </c>
      <c r="S3143" s="7">
        <f t="shared" si="348"/>
        <v>395.85</v>
      </c>
      <c r="T3143" s="6">
        <f t="shared" si="349"/>
        <v>1.4900662251655629E-2</v>
      </c>
      <c r="V3143" t="s">
        <v>29</v>
      </c>
    </row>
    <row r="3144" spans="1:22">
      <c r="A3144" s="3">
        <v>45788</v>
      </c>
      <c r="B3144" t="str">
        <f t="shared" si="343"/>
        <v>yyyy-05</v>
      </c>
      <c r="C3144">
        <f t="shared" si="344"/>
        <v>19</v>
      </c>
      <c r="D3144" t="s">
        <v>66</v>
      </c>
      <c r="E3144" t="s">
        <v>67</v>
      </c>
      <c r="F3144" t="s">
        <v>70</v>
      </c>
      <c r="G3144" t="s">
        <v>31</v>
      </c>
      <c r="H3144" t="s">
        <v>32</v>
      </c>
      <c r="I3144" s="5">
        <v>510</v>
      </c>
      <c r="J3144" s="5">
        <v>369</v>
      </c>
      <c r="K3144" s="5">
        <v>49</v>
      </c>
      <c r="L3144" s="5">
        <v>10</v>
      </c>
      <c r="M3144" s="5">
        <v>10</v>
      </c>
      <c r="N3144" s="7">
        <v>339.8</v>
      </c>
      <c r="O3144" s="7">
        <f t="shared" si="345"/>
        <v>3398</v>
      </c>
      <c r="P3144" s="4">
        <v>0.03</v>
      </c>
      <c r="Q3144" s="7">
        <f t="shared" si="346"/>
        <v>101.94</v>
      </c>
      <c r="R3144" s="7">
        <f t="shared" si="347"/>
        <v>3296.06</v>
      </c>
      <c r="S3144" s="7">
        <f t="shared" si="348"/>
        <v>329.60599999999999</v>
      </c>
      <c r="T3144" s="6">
        <f t="shared" si="349"/>
        <v>1.9607843137254902E-2</v>
      </c>
      <c r="V3144" t="s">
        <v>29</v>
      </c>
    </row>
    <row r="3145" spans="1:22">
      <c r="A3145" s="3">
        <v>45788</v>
      </c>
      <c r="B3145" t="str">
        <f t="shared" si="343"/>
        <v>yyyy-05</v>
      </c>
      <c r="C3145">
        <f t="shared" si="344"/>
        <v>19</v>
      </c>
      <c r="D3145" t="s">
        <v>66</v>
      </c>
      <c r="E3145" t="s">
        <v>71</v>
      </c>
      <c r="F3145" t="s">
        <v>72</v>
      </c>
      <c r="G3145" t="s">
        <v>36</v>
      </c>
      <c r="H3145" t="s">
        <v>37</v>
      </c>
      <c r="I3145" s="5">
        <v>520</v>
      </c>
      <c r="J3145" s="5">
        <v>407</v>
      </c>
      <c r="K3145" s="5">
        <v>35</v>
      </c>
      <c r="L3145" s="5">
        <v>9</v>
      </c>
      <c r="M3145" s="5">
        <v>11</v>
      </c>
      <c r="N3145" s="7">
        <v>124.97</v>
      </c>
      <c r="O3145" s="7">
        <f t="shared" si="345"/>
        <v>1374.67</v>
      </c>
      <c r="P3145" s="4">
        <v>0.03</v>
      </c>
      <c r="Q3145" s="7">
        <f t="shared" si="346"/>
        <v>41.240099999999998</v>
      </c>
      <c r="R3145" s="7">
        <f t="shared" si="347"/>
        <v>1333.4299000000001</v>
      </c>
      <c r="S3145" s="7">
        <f t="shared" si="348"/>
        <v>148.15887777777778</v>
      </c>
      <c r="T3145" s="6">
        <f t="shared" si="349"/>
        <v>1.7307692307692309E-2</v>
      </c>
      <c r="V3145" t="s">
        <v>29</v>
      </c>
    </row>
    <row r="3146" spans="1:22">
      <c r="A3146" s="3">
        <v>45788</v>
      </c>
      <c r="B3146" t="str">
        <f t="shared" si="343"/>
        <v>yyyy-05</v>
      </c>
      <c r="C3146">
        <f t="shared" si="344"/>
        <v>19</v>
      </c>
      <c r="D3146" t="s">
        <v>66</v>
      </c>
      <c r="E3146" t="s">
        <v>73</v>
      </c>
      <c r="F3146" t="s">
        <v>74</v>
      </c>
      <c r="G3146" t="s">
        <v>27</v>
      </c>
      <c r="H3146" t="s">
        <v>45</v>
      </c>
      <c r="I3146" s="5">
        <v>148</v>
      </c>
      <c r="J3146" s="5">
        <v>80</v>
      </c>
      <c r="K3146" s="5">
        <v>8</v>
      </c>
      <c r="L3146" s="5">
        <v>3</v>
      </c>
      <c r="M3146" s="5">
        <v>3</v>
      </c>
      <c r="N3146" s="7">
        <v>1217.4000000000001</v>
      </c>
      <c r="O3146" s="7">
        <f t="shared" si="345"/>
        <v>3652.2000000000003</v>
      </c>
      <c r="P3146" s="4">
        <v>0</v>
      </c>
      <c r="Q3146" s="7">
        <f t="shared" si="346"/>
        <v>0</v>
      </c>
      <c r="R3146" s="7">
        <f t="shared" si="347"/>
        <v>3652.2000000000003</v>
      </c>
      <c r="S3146" s="7">
        <f t="shared" si="348"/>
        <v>1217.4000000000001</v>
      </c>
      <c r="T3146" s="6">
        <f t="shared" si="349"/>
        <v>2.0270270270270271E-2</v>
      </c>
      <c r="V3146" t="s">
        <v>29</v>
      </c>
    </row>
    <row r="3147" spans="1:22">
      <c r="A3147" s="3">
        <v>45788</v>
      </c>
      <c r="B3147" t="str">
        <f t="shared" si="343"/>
        <v>yyyy-05</v>
      </c>
      <c r="C3147">
        <f t="shared" si="344"/>
        <v>19</v>
      </c>
      <c r="D3147" t="s">
        <v>66</v>
      </c>
      <c r="E3147" t="s">
        <v>71</v>
      </c>
      <c r="F3147" t="s">
        <v>75</v>
      </c>
      <c r="G3147" t="s">
        <v>31</v>
      </c>
      <c r="H3147" t="s">
        <v>32</v>
      </c>
      <c r="I3147" s="5">
        <v>510</v>
      </c>
      <c r="J3147" s="5">
        <v>416</v>
      </c>
      <c r="K3147" s="5">
        <v>30</v>
      </c>
      <c r="L3147" s="5">
        <v>9</v>
      </c>
      <c r="M3147" s="5">
        <v>10</v>
      </c>
      <c r="N3147" s="7">
        <v>38.74</v>
      </c>
      <c r="O3147" s="7">
        <f t="shared" si="345"/>
        <v>387.40000000000003</v>
      </c>
      <c r="P3147" s="4">
        <v>0.05</v>
      </c>
      <c r="Q3147" s="7">
        <f t="shared" si="346"/>
        <v>19.370000000000005</v>
      </c>
      <c r="R3147" s="7">
        <f t="shared" si="347"/>
        <v>368.03000000000003</v>
      </c>
      <c r="S3147" s="7">
        <f t="shared" si="348"/>
        <v>40.892222222222223</v>
      </c>
      <c r="T3147" s="6">
        <f t="shared" si="349"/>
        <v>1.7647058823529412E-2</v>
      </c>
      <c r="V3147" t="s">
        <v>29</v>
      </c>
    </row>
    <row r="3148" spans="1:22">
      <c r="A3148" s="3">
        <v>45788</v>
      </c>
      <c r="B3148" t="str">
        <f t="shared" si="343"/>
        <v>yyyy-05</v>
      </c>
      <c r="C3148">
        <f t="shared" si="344"/>
        <v>19</v>
      </c>
      <c r="D3148" t="s">
        <v>24</v>
      </c>
      <c r="E3148" t="s">
        <v>76</v>
      </c>
      <c r="F3148" t="s">
        <v>77</v>
      </c>
      <c r="G3148" t="s">
        <v>27</v>
      </c>
      <c r="H3148" t="s">
        <v>45</v>
      </c>
      <c r="I3148" s="5">
        <v>680</v>
      </c>
      <c r="J3148" s="5">
        <v>360</v>
      </c>
      <c r="K3148" s="5">
        <v>26</v>
      </c>
      <c r="L3148" s="5">
        <v>10</v>
      </c>
      <c r="M3148" s="5">
        <v>11</v>
      </c>
      <c r="N3148" s="7">
        <v>199.91</v>
      </c>
      <c r="O3148" s="7">
        <f t="shared" si="345"/>
        <v>2199.0099999999998</v>
      </c>
      <c r="P3148" s="4">
        <v>0</v>
      </c>
      <c r="Q3148" s="7">
        <f t="shared" si="346"/>
        <v>0</v>
      </c>
      <c r="R3148" s="7">
        <f t="shared" si="347"/>
        <v>2199.0099999999998</v>
      </c>
      <c r="S3148" s="7">
        <f t="shared" si="348"/>
        <v>219.90099999999998</v>
      </c>
      <c r="T3148" s="6">
        <f t="shared" si="349"/>
        <v>1.4705882352941176E-2</v>
      </c>
      <c r="V3148" t="s">
        <v>29</v>
      </c>
    </row>
    <row r="3149" spans="1:22">
      <c r="A3149" s="3">
        <v>45789</v>
      </c>
      <c r="B3149" t="str">
        <f t="shared" si="343"/>
        <v>yyyy-05</v>
      </c>
      <c r="C3149">
        <f t="shared" si="344"/>
        <v>20</v>
      </c>
      <c r="D3149" t="s">
        <v>24</v>
      </c>
      <c r="E3149" t="s">
        <v>25</v>
      </c>
      <c r="F3149" t="s">
        <v>26</v>
      </c>
      <c r="G3149" t="s">
        <v>27</v>
      </c>
      <c r="H3149" t="s">
        <v>28</v>
      </c>
      <c r="I3149" s="5">
        <v>1984</v>
      </c>
      <c r="J3149" s="5">
        <v>1643</v>
      </c>
      <c r="K3149" s="5">
        <v>180</v>
      </c>
      <c r="L3149" s="5">
        <v>51</v>
      </c>
      <c r="M3149" s="5">
        <v>51</v>
      </c>
      <c r="N3149" s="7">
        <v>1013.53</v>
      </c>
      <c r="O3149" s="7">
        <f t="shared" si="345"/>
        <v>51690.03</v>
      </c>
      <c r="P3149" s="4">
        <v>0.14000000000000001</v>
      </c>
      <c r="Q3149" s="7">
        <f t="shared" si="346"/>
        <v>7236.6042000000007</v>
      </c>
      <c r="R3149" s="7">
        <f t="shared" si="347"/>
        <v>44453.425799999997</v>
      </c>
      <c r="S3149" s="7">
        <f t="shared" si="348"/>
        <v>871.6357999999999</v>
      </c>
      <c r="T3149" s="6">
        <f t="shared" si="349"/>
        <v>2.5705645161290324E-2</v>
      </c>
      <c r="U3149" t="s">
        <v>96</v>
      </c>
      <c r="V3149" t="s">
        <v>29</v>
      </c>
    </row>
    <row r="3150" spans="1:22">
      <c r="A3150" s="3">
        <v>45789</v>
      </c>
      <c r="B3150" t="str">
        <f t="shared" si="343"/>
        <v>yyyy-05</v>
      </c>
      <c r="C3150">
        <f t="shared" si="344"/>
        <v>20</v>
      </c>
      <c r="D3150" t="s">
        <v>24</v>
      </c>
      <c r="E3150" t="s">
        <v>25</v>
      </c>
      <c r="F3150" t="s">
        <v>30</v>
      </c>
      <c r="G3150" t="s">
        <v>27</v>
      </c>
      <c r="H3150" t="s">
        <v>48</v>
      </c>
      <c r="I3150" s="5">
        <v>1224</v>
      </c>
      <c r="J3150" s="5">
        <v>651</v>
      </c>
      <c r="K3150" s="5">
        <v>124</v>
      </c>
      <c r="L3150" s="5">
        <v>30</v>
      </c>
      <c r="M3150" s="5">
        <v>30</v>
      </c>
      <c r="N3150" s="7">
        <v>385.03</v>
      </c>
      <c r="O3150" s="7">
        <f t="shared" si="345"/>
        <v>11550.9</v>
      </c>
      <c r="P3150" s="4">
        <v>0.14000000000000001</v>
      </c>
      <c r="Q3150" s="7">
        <f t="shared" si="346"/>
        <v>1617.1260000000002</v>
      </c>
      <c r="R3150" s="7">
        <f t="shared" si="347"/>
        <v>9933.7739999999994</v>
      </c>
      <c r="S3150" s="7">
        <f t="shared" si="348"/>
        <v>331.12579999999997</v>
      </c>
      <c r="T3150" s="6">
        <f t="shared" si="349"/>
        <v>2.4509803921568627E-2</v>
      </c>
      <c r="U3150" t="s">
        <v>96</v>
      </c>
      <c r="V3150" t="s">
        <v>29</v>
      </c>
    </row>
    <row r="3151" spans="1:22">
      <c r="A3151" s="3">
        <v>45789</v>
      </c>
      <c r="B3151" t="str">
        <f t="shared" si="343"/>
        <v>yyyy-05</v>
      </c>
      <c r="C3151">
        <f t="shared" si="344"/>
        <v>20</v>
      </c>
      <c r="D3151" t="s">
        <v>24</v>
      </c>
      <c r="E3151" t="s">
        <v>25</v>
      </c>
      <c r="F3151" t="s">
        <v>33</v>
      </c>
      <c r="G3151" t="s">
        <v>27</v>
      </c>
      <c r="H3151" t="s">
        <v>28</v>
      </c>
      <c r="I3151" s="5">
        <v>1439</v>
      </c>
      <c r="J3151" s="5">
        <v>1158</v>
      </c>
      <c r="K3151" s="5">
        <v>91</v>
      </c>
      <c r="L3151" s="5">
        <v>37</v>
      </c>
      <c r="M3151" s="5">
        <v>37</v>
      </c>
      <c r="N3151" s="7">
        <v>1741.48</v>
      </c>
      <c r="O3151" s="7">
        <f t="shared" si="345"/>
        <v>64434.76</v>
      </c>
      <c r="P3151" s="4">
        <v>0.14000000000000001</v>
      </c>
      <c r="Q3151" s="7">
        <f t="shared" si="346"/>
        <v>9020.8664000000008</v>
      </c>
      <c r="R3151" s="7">
        <f t="shared" si="347"/>
        <v>55413.893600000003</v>
      </c>
      <c r="S3151" s="7">
        <f t="shared" si="348"/>
        <v>1497.6728000000001</v>
      </c>
      <c r="T3151" s="6">
        <f t="shared" si="349"/>
        <v>2.571230020847811E-2</v>
      </c>
      <c r="U3151" t="s">
        <v>96</v>
      </c>
      <c r="V3151" t="s">
        <v>29</v>
      </c>
    </row>
    <row r="3152" spans="1:22">
      <c r="A3152" s="3">
        <v>45789</v>
      </c>
      <c r="B3152" t="str">
        <f t="shared" si="343"/>
        <v>yyyy-05</v>
      </c>
      <c r="C3152">
        <f t="shared" si="344"/>
        <v>20</v>
      </c>
      <c r="D3152" t="s">
        <v>24</v>
      </c>
      <c r="E3152" t="s">
        <v>34</v>
      </c>
      <c r="F3152" t="s">
        <v>35</v>
      </c>
      <c r="G3152" t="s">
        <v>31</v>
      </c>
      <c r="H3152" t="s">
        <v>32</v>
      </c>
      <c r="I3152" s="5">
        <v>1318</v>
      </c>
      <c r="J3152" s="5">
        <v>910</v>
      </c>
      <c r="K3152" s="5">
        <v>97</v>
      </c>
      <c r="L3152" s="5">
        <v>22</v>
      </c>
      <c r="M3152" s="5">
        <v>22</v>
      </c>
      <c r="N3152" s="7">
        <v>866.78</v>
      </c>
      <c r="O3152" s="7">
        <f t="shared" si="345"/>
        <v>19069.16</v>
      </c>
      <c r="P3152" s="4">
        <v>0</v>
      </c>
      <c r="Q3152" s="7">
        <f t="shared" si="346"/>
        <v>0</v>
      </c>
      <c r="R3152" s="7">
        <f t="shared" si="347"/>
        <v>19069.16</v>
      </c>
      <c r="S3152" s="7">
        <f t="shared" si="348"/>
        <v>866.78</v>
      </c>
      <c r="T3152" s="6">
        <f t="shared" si="349"/>
        <v>1.6691957511380879E-2</v>
      </c>
      <c r="V3152" t="s">
        <v>29</v>
      </c>
    </row>
    <row r="3153" spans="1:22">
      <c r="A3153" s="3">
        <v>45789</v>
      </c>
      <c r="B3153" t="str">
        <f t="shared" si="343"/>
        <v>yyyy-05</v>
      </c>
      <c r="C3153">
        <f t="shared" si="344"/>
        <v>20</v>
      </c>
      <c r="D3153" t="s">
        <v>24</v>
      </c>
      <c r="E3153" t="s">
        <v>38</v>
      </c>
      <c r="F3153" t="s">
        <v>39</v>
      </c>
      <c r="G3153" t="s">
        <v>27</v>
      </c>
      <c r="H3153" t="s">
        <v>45</v>
      </c>
      <c r="I3153" s="5">
        <v>729</v>
      </c>
      <c r="J3153" s="5">
        <v>426</v>
      </c>
      <c r="K3153" s="5">
        <v>38</v>
      </c>
      <c r="L3153" s="5">
        <v>14</v>
      </c>
      <c r="M3153" s="5">
        <v>14</v>
      </c>
      <c r="N3153" s="7">
        <v>330.26</v>
      </c>
      <c r="O3153" s="7">
        <f t="shared" si="345"/>
        <v>4623.6399999999994</v>
      </c>
      <c r="P3153" s="4">
        <v>0</v>
      </c>
      <c r="Q3153" s="7">
        <f t="shared" si="346"/>
        <v>0</v>
      </c>
      <c r="R3153" s="7">
        <f t="shared" si="347"/>
        <v>4623.6399999999994</v>
      </c>
      <c r="S3153" s="7">
        <f t="shared" si="348"/>
        <v>330.25999999999993</v>
      </c>
      <c r="T3153" s="6">
        <f t="shared" si="349"/>
        <v>1.9204389574759947E-2</v>
      </c>
      <c r="V3153" t="s">
        <v>29</v>
      </c>
    </row>
    <row r="3154" spans="1:22">
      <c r="A3154" s="3">
        <v>45789</v>
      </c>
      <c r="B3154" t="str">
        <f t="shared" si="343"/>
        <v>yyyy-05</v>
      </c>
      <c r="C3154">
        <f t="shared" si="344"/>
        <v>20</v>
      </c>
      <c r="D3154" t="s">
        <v>24</v>
      </c>
      <c r="E3154" t="s">
        <v>40</v>
      </c>
      <c r="F3154" t="s">
        <v>41</v>
      </c>
      <c r="G3154" t="s">
        <v>36</v>
      </c>
      <c r="H3154" t="s">
        <v>37</v>
      </c>
      <c r="I3154" s="5">
        <v>638</v>
      </c>
      <c r="J3154" s="5">
        <v>335</v>
      </c>
      <c r="K3154" s="5">
        <v>74</v>
      </c>
      <c r="L3154" s="5">
        <v>16</v>
      </c>
      <c r="M3154" s="5">
        <v>17</v>
      </c>
      <c r="N3154" s="7">
        <v>175.1</v>
      </c>
      <c r="O3154" s="7">
        <f t="shared" si="345"/>
        <v>2976.7</v>
      </c>
      <c r="P3154" s="4">
        <v>0</v>
      </c>
      <c r="Q3154" s="7">
        <f t="shared" si="346"/>
        <v>0</v>
      </c>
      <c r="R3154" s="7">
        <f t="shared" si="347"/>
        <v>2976.7</v>
      </c>
      <c r="S3154" s="7">
        <f t="shared" si="348"/>
        <v>186.04374999999999</v>
      </c>
      <c r="T3154" s="6">
        <f t="shared" si="349"/>
        <v>2.5078369905956112E-2</v>
      </c>
      <c r="V3154" t="s">
        <v>29</v>
      </c>
    </row>
    <row r="3155" spans="1:22">
      <c r="A3155" s="3">
        <v>45789</v>
      </c>
      <c r="B3155" t="str">
        <f t="shared" si="343"/>
        <v>yyyy-05</v>
      </c>
      <c r="C3155">
        <f t="shared" si="344"/>
        <v>20</v>
      </c>
      <c r="D3155" t="s">
        <v>42</v>
      </c>
      <c r="E3155" t="s">
        <v>43</v>
      </c>
      <c r="F3155" t="s">
        <v>44</v>
      </c>
      <c r="G3155" t="s">
        <v>27</v>
      </c>
      <c r="H3155" t="s">
        <v>28</v>
      </c>
      <c r="I3155" s="5">
        <v>646</v>
      </c>
      <c r="J3155" s="5">
        <v>377</v>
      </c>
      <c r="K3155" s="5">
        <v>18</v>
      </c>
      <c r="L3155" s="5">
        <v>7</v>
      </c>
      <c r="M3155" s="5">
        <v>7</v>
      </c>
      <c r="N3155" s="7">
        <v>1282.25</v>
      </c>
      <c r="O3155" s="7">
        <f t="shared" si="345"/>
        <v>8975.75</v>
      </c>
      <c r="P3155" s="4">
        <v>0</v>
      </c>
      <c r="Q3155" s="7">
        <f t="shared" si="346"/>
        <v>0</v>
      </c>
      <c r="R3155" s="7">
        <f t="shared" si="347"/>
        <v>8975.75</v>
      </c>
      <c r="S3155" s="7">
        <f t="shared" si="348"/>
        <v>1282.25</v>
      </c>
      <c r="T3155" s="6">
        <f t="shared" si="349"/>
        <v>1.0835913312693499E-2</v>
      </c>
      <c r="V3155" t="s">
        <v>29</v>
      </c>
    </row>
    <row r="3156" spans="1:22">
      <c r="A3156" s="3">
        <v>45789</v>
      </c>
      <c r="B3156" t="str">
        <f t="shared" si="343"/>
        <v>yyyy-05</v>
      </c>
      <c r="C3156">
        <f t="shared" si="344"/>
        <v>20</v>
      </c>
      <c r="D3156" t="s">
        <v>42</v>
      </c>
      <c r="E3156" t="s">
        <v>43</v>
      </c>
      <c r="F3156" t="s">
        <v>46</v>
      </c>
      <c r="G3156" t="s">
        <v>31</v>
      </c>
      <c r="H3156" t="s">
        <v>32</v>
      </c>
      <c r="I3156" s="5">
        <v>776</v>
      </c>
      <c r="J3156" s="5">
        <v>582</v>
      </c>
      <c r="K3156" s="5">
        <v>65</v>
      </c>
      <c r="L3156" s="5">
        <v>8</v>
      </c>
      <c r="M3156" s="5">
        <v>8</v>
      </c>
      <c r="N3156" s="7">
        <v>2199.4</v>
      </c>
      <c r="O3156" s="7">
        <f t="shared" si="345"/>
        <v>17595.2</v>
      </c>
      <c r="P3156" s="4">
        <v>0</v>
      </c>
      <c r="Q3156" s="7">
        <f t="shared" si="346"/>
        <v>0</v>
      </c>
      <c r="R3156" s="7">
        <f t="shared" si="347"/>
        <v>17595.2</v>
      </c>
      <c r="S3156" s="7">
        <f t="shared" si="348"/>
        <v>2199.4</v>
      </c>
      <c r="T3156" s="6">
        <f t="shared" si="349"/>
        <v>1.0309278350515464E-2</v>
      </c>
      <c r="V3156" t="s">
        <v>78</v>
      </c>
    </row>
    <row r="3157" spans="1:22">
      <c r="A3157" s="3">
        <v>45789</v>
      </c>
      <c r="B3157" t="str">
        <f t="shared" si="343"/>
        <v>yyyy-05</v>
      </c>
      <c r="C3157">
        <f t="shared" si="344"/>
        <v>20</v>
      </c>
      <c r="D3157" t="s">
        <v>42</v>
      </c>
      <c r="E3157" t="s">
        <v>43</v>
      </c>
      <c r="F3157" t="s">
        <v>47</v>
      </c>
      <c r="G3157" t="s">
        <v>27</v>
      </c>
      <c r="H3157" t="s">
        <v>45</v>
      </c>
      <c r="I3157" s="5">
        <v>547</v>
      </c>
      <c r="J3157" s="5">
        <v>319</v>
      </c>
      <c r="K3157" s="5">
        <v>27</v>
      </c>
      <c r="L3157" s="5">
        <v>6</v>
      </c>
      <c r="M3157" s="5">
        <v>6</v>
      </c>
      <c r="N3157" s="7">
        <v>605.57000000000005</v>
      </c>
      <c r="O3157" s="7">
        <f t="shared" si="345"/>
        <v>3633.42</v>
      </c>
      <c r="P3157" s="4">
        <v>0.05</v>
      </c>
      <c r="Q3157" s="7">
        <f t="shared" si="346"/>
        <v>181.67100000000002</v>
      </c>
      <c r="R3157" s="7">
        <f t="shared" si="347"/>
        <v>3451.7490000000003</v>
      </c>
      <c r="S3157" s="7">
        <f t="shared" si="348"/>
        <v>575.29150000000004</v>
      </c>
      <c r="T3157" s="6">
        <f t="shared" si="349"/>
        <v>1.0968921389396709E-2</v>
      </c>
      <c r="V3157" t="s">
        <v>29</v>
      </c>
    </row>
    <row r="3158" spans="1:22">
      <c r="A3158" s="3">
        <v>45789</v>
      </c>
      <c r="B3158" t="str">
        <f t="shared" si="343"/>
        <v>yyyy-05</v>
      </c>
      <c r="C3158">
        <f t="shared" si="344"/>
        <v>20</v>
      </c>
      <c r="D3158" t="s">
        <v>42</v>
      </c>
      <c r="E3158" t="s">
        <v>49</v>
      </c>
      <c r="F3158" t="s">
        <v>50</v>
      </c>
      <c r="G3158" t="s">
        <v>27</v>
      </c>
      <c r="H3158" t="s">
        <v>28</v>
      </c>
      <c r="I3158" s="5">
        <v>169</v>
      </c>
      <c r="J3158" s="5">
        <v>109</v>
      </c>
      <c r="K3158" s="5">
        <v>12</v>
      </c>
      <c r="L3158" s="5">
        <v>2</v>
      </c>
      <c r="M3158" s="5">
        <v>2</v>
      </c>
      <c r="N3158" s="7">
        <v>1006.07</v>
      </c>
      <c r="O3158" s="7">
        <f t="shared" si="345"/>
        <v>2012.14</v>
      </c>
      <c r="P3158" s="4">
        <v>0.03</v>
      </c>
      <c r="Q3158" s="7">
        <f t="shared" si="346"/>
        <v>60.364200000000004</v>
      </c>
      <c r="R3158" s="7">
        <f t="shared" si="347"/>
        <v>1951.7758000000001</v>
      </c>
      <c r="S3158" s="7">
        <f t="shared" si="348"/>
        <v>975.88790000000006</v>
      </c>
      <c r="T3158" s="6">
        <f t="shared" si="349"/>
        <v>1.1834319526627219E-2</v>
      </c>
      <c r="V3158" t="s">
        <v>29</v>
      </c>
    </row>
    <row r="3159" spans="1:22">
      <c r="A3159" s="3">
        <v>45789</v>
      </c>
      <c r="B3159" t="str">
        <f t="shared" si="343"/>
        <v>yyyy-05</v>
      </c>
      <c r="C3159">
        <f t="shared" si="344"/>
        <v>20</v>
      </c>
      <c r="D3159" t="s">
        <v>42</v>
      </c>
      <c r="E3159" t="s">
        <v>51</v>
      </c>
      <c r="F3159" t="s">
        <v>52</v>
      </c>
      <c r="G3159" t="s">
        <v>27</v>
      </c>
      <c r="H3159" t="s">
        <v>28</v>
      </c>
      <c r="I3159" s="5">
        <v>288</v>
      </c>
      <c r="J3159" s="5">
        <v>168</v>
      </c>
      <c r="K3159" s="5">
        <v>19</v>
      </c>
      <c r="L3159" s="5">
        <v>3</v>
      </c>
      <c r="M3159" s="5">
        <v>3</v>
      </c>
      <c r="N3159" s="7">
        <v>577.35</v>
      </c>
      <c r="O3159" s="7">
        <f t="shared" si="345"/>
        <v>1732.0500000000002</v>
      </c>
      <c r="P3159" s="4">
        <v>0.03</v>
      </c>
      <c r="Q3159" s="7">
        <f t="shared" si="346"/>
        <v>51.961500000000001</v>
      </c>
      <c r="R3159" s="7">
        <f t="shared" si="347"/>
        <v>1680.0885000000003</v>
      </c>
      <c r="S3159" s="7">
        <f t="shared" si="348"/>
        <v>560.0295000000001</v>
      </c>
      <c r="T3159" s="6">
        <f t="shared" si="349"/>
        <v>1.0416666666666666E-2</v>
      </c>
      <c r="V3159" t="s">
        <v>29</v>
      </c>
    </row>
    <row r="3160" spans="1:22">
      <c r="A3160" s="3">
        <v>45789</v>
      </c>
      <c r="B3160" t="str">
        <f t="shared" si="343"/>
        <v>yyyy-05</v>
      </c>
      <c r="C3160">
        <f t="shared" si="344"/>
        <v>20</v>
      </c>
      <c r="D3160" t="s">
        <v>53</v>
      </c>
      <c r="E3160" t="s">
        <v>54</v>
      </c>
      <c r="F3160" t="s">
        <v>55</v>
      </c>
      <c r="G3160" t="s">
        <v>31</v>
      </c>
      <c r="H3160" t="s">
        <v>32</v>
      </c>
      <c r="I3160" s="5">
        <v>228</v>
      </c>
      <c r="J3160" s="5">
        <v>137</v>
      </c>
      <c r="K3160" s="5">
        <v>11</v>
      </c>
      <c r="L3160" s="5">
        <v>3</v>
      </c>
      <c r="M3160" s="5">
        <v>3</v>
      </c>
      <c r="N3160" s="7">
        <v>1269.6500000000001</v>
      </c>
      <c r="O3160" s="7">
        <f t="shared" si="345"/>
        <v>3808.9500000000003</v>
      </c>
      <c r="P3160" s="4">
        <v>0</v>
      </c>
      <c r="Q3160" s="7">
        <f t="shared" si="346"/>
        <v>0</v>
      </c>
      <c r="R3160" s="7">
        <f t="shared" si="347"/>
        <v>3808.9500000000003</v>
      </c>
      <c r="S3160" s="7">
        <f t="shared" si="348"/>
        <v>1269.6500000000001</v>
      </c>
      <c r="T3160" s="6">
        <f t="shared" si="349"/>
        <v>1.3157894736842105E-2</v>
      </c>
      <c r="V3160" t="s">
        <v>29</v>
      </c>
    </row>
    <row r="3161" spans="1:22">
      <c r="A3161" s="3">
        <v>45789</v>
      </c>
      <c r="B3161" t="str">
        <f t="shared" si="343"/>
        <v>yyyy-05</v>
      </c>
      <c r="C3161">
        <f t="shared" si="344"/>
        <v>20</v>
      </c>
      <c r="D3161" t="s">
        <v>53</v>
      </c>
      <c r="E3161" t="s">
        <v>56</v>
      </c>
      <c r="F3161" t="s">
        <v>57</v>
      </c>
      <c r="G3161" t="s">
        <v>27</v>
      </c>
      <c r="H3161" t="s">
        <v>45</v>
      </c>
      <c r="I3161" s="5">
        <v>182</v>
      </c>
      <c r="J3161" s="5">
        <v>122</v>
      </c>
      <c r="K3161" s="5">
        <v>9</v>
      </c>
      <c r="L3161" s="5">
        <v>1</v>
      </c>
      <c r="M3161" s="5">
        <v>1</v>
      </c>
      <c r="N3161" s="7">
        <v>750.2</v>
      </c>
      <c r="O3161" s="7">
        <f t="shared" si="345"/>
        <v>750.2</v>
      </c>
      <c r="P3161" s="4">
        <v>0.03</v>
      </c>
      <c r="Q3161" s="7">
        <f t="shared" si="346"/>
        <v>22.506</v>
      </c>
      <c r="R3161" s="7">
        <f t="shared" si="347"/>
        <v>727.69400000000007</v>
      </c>
      <c r="S3161" s="7">
        <f t="shared" si="348"/>
        <v>727.69400000000007</v>
      </c>
      <c r="T3161" s="6">
        <f t="shared" si="349"/>
        <v>5.4945054945054949E-3</v>
      </c>
      <c r="V3161" t="s">
        <v>78</v>
      </c>
    </row>
    <row r="3162" spans="1:22">
      <c r="A3162" s="3">
        <v>45789</v>
      </c>
      <c r="B3162" t="str">
        <f t="shared" si="343"/>
        <v>yyyy-05</v>
      </c>
      <c r="C3162">
        <f t="shared" si="344"/>
        <v>20</v>
      </c>
      <c r="D3162" t="s">
        <v>53</v>
      </c>
      <c r="E3162" t="s">
        <v>56</v>
      </c>
      <c r="F3162" t="s">
        <v>58</v>
      </c>
      <c r="G3162" t="s">
        <v>27</v>
      </c>
      <c r="H3162" t="s">
        <v>28</v>
      </c>
      <c r="I3162" s="5">
        <v>268</v>
      </c>
      <c r="J3162" s="5">
        <v>147</v>
      </c>
      <c r="K3162" s="5">
        <v>9</v>
      </c>
      <c r="L3162" s="5">
        <v>3</v>
      </c>
      <c r="M3162" s="5">
        <v>3</v>
      </c>
      <c r="N3162" s="7">
        <v>895.93</v>
      </c>
      <c r="O3162" s="7">
        <f t="shared" si="345"/>
        <v>2687.79</v>
      </c>
      <c r="P3162" s="4">
        <v>0.03</v>
      </c>
      <c r="Q3162" s="7">
        <f t="shared" si="346"/>
        <v>80.63369999999999</v>
      </c>
      <c r="R3162" s="7">
        <f t="shared" si="347"/>
        <v>2607.1563000000001</v>
      </c>
      <c r="S3162" s="7">
        <f t="shared" si="348"/>
        <v>869.0521</v>
      </c>
      <c r="T3162" s="6">
        <f t="shared" si="349"/>
        <v>1.1194029850746268E-2</v>
      </c>
      <c r="V3162" t="s">
        <v>29</v>
      </c>
    </row>
    <row r="3163" spans="1:22">
      <c r="A3163" s="3">
        <v>45789</v>
      </c>
      <c r="B3163" t="str">
        <f t="shared" si="343"/>
        <v>yyyy-05</v>
      </c>
      <c r="C3163">
        <f t="shared" si="344"/>
        <v>20</v>
      </c>
      <c r="D3163" t="s">
        <v>53</v>
      </c>
      <c r="E3163" t="s">
        <v>59</v>
      </c>
      <c r="F3163" t="s">
        <v>60</v>
      </c>
      <c r="G3163" t="s">
        <v>27</v>
      </c>
      <c r="H3163" t="s">
        <v>45</v>
      </c>
      <c r="I3163" s="5">
        <v>146</v>
      </c>
      <c r="J3163" s="5">
        <v>108</v>
      </c>
      <c r="K3163" s="5">
        <v>6</v>
      </c>
      <c r="L3163" s="5">
        <v>1</v>
      </c>
      <c r="M3163" s="5">
        <v>1</v>
      </c>
      <c r="N3163" s="7">
        <v>684.94</v>
      </c>
      <c r="O3163" s="7">
        <f t="shared" si="345"/>
        <v>684.94</v>
      </c>
      <c r="P3163" s="4">
        <v>0.03</v>
      </c>
      <c r="Q3163" s="7">
        <f t="shared" si="346"/>
        <v>20.548200000000001</v>
      </c>
      <c r="R3163" s="7">
        <f t="shared" si="347"/>
        <v>664.3918000000001</v>
      </c>
      <c r="S3163" s="7">
        <f t="shared" si="348"/>
        <v>664.3918000000001</v>
      </c>
      <c r="T3163" s="6">
        <f t="shared" si="349"/>
        <v>6.8493150684931503E-3</v>
      </c>
      <c r="V3163" t="s">
        <v>29</v>
      </c>
    </row>
    <row r="3164" spans="1:22">
      <c r="A3164" s="3">
        <v>45789</v>
      </c>
      <c r="B3164" t="str">
        <f t="shared" si="343"/>
        <v>yyyy-05</v>
      </c>
      <c r="C3164">
        <f t="shared" si="344"/>
        <v>20</v>
      </c>
      <c r="D3164" t="s">
        <v>53</v>
      </c>
      <c r="E3164" t="s">
        <v>61</v>
      </c>
      <c r="F3164" t="s">
        <v>62</v>
      </c>
      <c r="G3164" t="s">
        <v>31</v>
      </c>
      <c r="H3164" t="s">
        <v>32</v>
      </c>
      <c r="I3164" s="5">
        <v>200</v>
      </c>
      <c r="J3164" s="5">
        <v>112</v>
      </c>
      <c r="K3164" s="5">
        <v>11</v>
      </c>
      <c r="L3164" s="5">
        <v>3</v>
      </c>
      <c r="M3164" s="5">
        <v>3</v>
      </c>
      <c r="N3164" s="7">
        <v>494.11</v>
      </c>
      <c r="O3164" s="7">
        <f t="shared" si="345"/>
        <v>1482.33</v>
      </c>
      <c r="P3164" s="4">
        <v>0</v>
      </c>
      <c r="Q3164" s="7">
        <f t="shared" si="346"/>
        <v>0</v>
      </c>
      <c r="R3164" s="7">
        <f t="shared" si="347"/>
        <v>1482.33</v>
      </c>
      <c r="S3164" s="7">
        <f t="shared" si="348"/>
        <v>494.10999999999996</v>
      </c>
      <c r="T3164" s="6">
        <f t="shared" si="349"/>
        <v>1.4999999999999999E-2</v>
      </c>
      <c r="V3164" t="s">
        <v>29</v>
      </c>
    </row>
    <row r="3165" spans="1:22">
      <c r="A3165" s="3">
        <v>45789</v>
      </c>
      <c r="B3165" t="str">
        <f t="shared" si="343"/>
        <v>yyyy-05</v>
      </c>
      <c r="C3165">
        <f t="shared" si="344"/>
        <v>20</v>
      </c>
      <c r="D3165" t="s">
        <v>53</v>
      </c>
      <c r="E3165" t="s">
        <v>64</v>
      </c>
      <c r="F3165" t="s">
        <v>65</v>
      </c>
      <c r="G3165" t="s">
        <v>27</v>
      </c>
      <c r="H3165" t="s">
        <v>28</v>
      </c>
      <c r="I3165" s="5">
        <v>196</v>
      </c>
      <c r="J3165" s="5">
        <v>116</v>
      </c>
      <c r="K3165" s="5">
        <v>13</v>
      </c>
      <c r="L3165" s="5">
        <v>3</v>
      </c>
      <c r="M3165" s="5">
        <v>3</v>
      </c>
      <c r="N3165" s="7">
        <v>807.83</v>
      </c>
      <c r="O3165" s="7">
        <f t="shared" si="345"/>
        <v>2423.4900000000002</v>
      </c>
      <c r="P3165" s="4">
        <v>0.12</v>
      </c>
      <c r="Q3165" s="7">
        <f t="shared" si="346"/>
        <v>290.81880000000001</v>
      </c>
      <c r="R3165" s="7">
        <f t="shared" si="347"/>
        <v>2132.6712000000002</v>
      </c>
      <c r="S3165" s="7">
        <f t="shared" si="348"/>
        <v>710.89040000000011</v>
      </c>
      <c r="T3165" s="6">
        <f t="shared" si="349"/>
        <v>1.5306122448979591E-2</v>
      </c>
      <c r="U3165" t="s">
        <v>97</v>
      </c>
      <c r="V3165" t="s">
        <v>29</v>
      </c>
    </row>
    <row r="3166" spans="1:22">
      <c r="A3166" s="3">
        <v>45789</v>
      </c>
      <c r="B3166" t="str">
        <f t="shared" si="343"/>
        <v>yyyy-05</v>
      </c>
      <c r="C3166">
        <f t="shared" si="344"/>
        <v>20</v>
      </c>
      <c r="D3166" t="s">
        <v>66</v>
      </c>
      <c r="E3166" t="s">
        <v>67</v>
      </c>
      <c r="F3166" t="s">
        <v>68</v>
      </c>
      <c r="G3166" t="s">
        <v>36</v>
      </c>
      <c r="H3166" t="s">
        <v>37</v>
      </c>
      <c r="I3166" s="5">
        <v>358</v>
      </c>
      <c r="J3166" s="5">
        <v>223</v>
      </c>
      <c r="K3166" s="5">
        <v>21</v>
      </c>
      <c r="L3166" s="5">
        <v>8</v>
      </c>
      <c r="M3166" s="5">
        <v>8</v>
      </c>
      <c r="N3166" s="7">
        <v>703.4</v>
      </c>
      <c r="O3166" s="7">
        <f t="shared" si="345"/>
        <v>5627.2</v>
      </c>
      <c r="P3166" s="4">
        <v>0</v>
      </c>
      <c r="Q3166" s="7">
        <f t="shared" si="346"/>
        <v>0</v>
      </c>
      <c r="R3166" s="7">
        <f t="shared" si="347"/>
        <v>5627.2</v>
      </c>
      <c r="S3166" s="7">
        <f t="shared" si="348"/>
        <v>703.4</v>
      </c>
      <c r="T3166" s="6">
        <f t="shared" si="349"/>
        <v>2.23463687150838E-2</v>
      </c>
      <c r="V3166" t="s">
        <v>29</v>
      </c>
    </row>
    <row r="3167" spans="1:22">
      <c r="A3167" s="3">
        <v>45789</v>
      </c>
      <c r="B3167" t="str">
        <f t="shared" si="343"/>
        <v>yyyy-05</v>
      </c>
      <c r="C3167">
        <f t="shared" si="344"/>
        <v>20</v>
      </c>
      <c r="D3167" t="s">
        <v>66</v>
      </c>
      <c r="E3167" t="s">
        <v>67</v>
      </c>
      <c r="F3167" t="s">
        <v>69</v>
      </c>
      <c r="G3167" t="s">
        <v>31</v>
      </c>
      <c r="H3167" t="s">
        <v>32</v>
      </c>
      <c r="I3167" s="5">
        <v>495</v>
      </c>
      <c r="J3167" s="5">
        <v>362</v>
      </c>
      <c r="K3167" s="5">
        <v>37</v>
      </c>
      <c r="L3167" s="5">
        <v>11</v>
      </c>
      <c r="M3167" s="5">
        <v>11</v>
      </c>
      <c r="N3167" s="7">
        <v>396.26</v>
      </c>
      <c r="O3167" s="7">
        <f t="shared" si="345"/>
        <v>4358.8599999999997</v>
      </c>
      <c r="P3167" s="4">
        <v>0</v>
      </c>
      <c r="Q3167" s="7">
        <f t="shared" si="346"/>
        <v>0</v>
      </c>
      <c r="R3167" s="7">
        <f t="shared" si="347"/>
        <v>4358.8599999999997</v>
      </c>
      <c r="S3167" s="7">
        <f t="shared" si="348"/>
        <v>396.26</v>
      </c>
      <c r="T3167" s="6">
        <f t="shared" si="349"/>
        <v>2.2222222222222223E-2</v>
      </c>
      <c r="V3167" t="s">
        <v>29</v>
      </c>
    </row>
    <row r="3168" spans="1:22">
      <c r="A3168" s="3">
        <v>45789</v>
      </c>
      <c r="B3168" t="str">
        <f t="shared" si="343"/>
        <v>yyyy-05</v>
      </c>
      <c r="C3168">
        <f t="shared" si="344"/>
        <v>20</v>
      </c>
      <c r="D3168" t="s">
        <v>66</v>
      </c>
      <c r="E3168" t="s">
        <v>67</v>
      </c>
      <c r="F3168" t="s">
        <v>70</v>
      </c>
      <c r="G3168" t="s">
        <v>31</v>
      </c>
      <c r="H3168" t="s">
        <v>32</v>
      </c>
      <c r="I3168" s="5">
        <v>413</v>
      </c>
      <c r="J3168" s="5">
        <v>340</v>
      </c>
      <c r="K3168" s="5">
        <v>40</v>
      </c>
      <c r="L3168" s="5">
        <v>7</v>
      </c>
      <c r="M3168" s="5">
        <v>7</v>
      </c>
      <c r="N3168" s="7">
        <v>335.46</v>
      </c>
      <c r="O3168" s="7">
        <f t="shared" si="345"/>
        <v>2348.2199999999998</v>
      </c>
      <c r="P3168" s="4">
        <v>0</v>
      </c>
      <c r="Q3168" s="7">
        <f t="shared" si="346"/>
        <v>0</v>
      </c>
      <c r="R3168" s="7">
        <f t="shared" si="347"/>
        <v>2348.2199999999998</v>
      </c>
      <c r="S3168" s="7">
        <f t="shared" si="348"/>
        <v>335.46</v>
      </c>
      <c r="T3168" s="6">
        <f t="shared" si="349"/>
        <v>1.6949152542372881E-2</v>
      </c>
      <c r="V3168" t="s">
        <v>29</v>
      </c>
    </row>
    <row r="3169" spans="1:22">
      <c r="A3169" s="3">
        <v>45789</v>
      </c>
      <c r="B3169" t="str">
        <f t="shared" si="343"/>
        <v>yyyy-05</v>
      </c>
      <c r="C3169">
        <f t="shared" si="344"/>
        <v>20</v>
      </c>
      <c r="D3169" t="s">
        <v>66</v>
      </c>
      <c r="E3169" t="s">
        <v>71</v>
      </c>
      <c r="F3169" t="s">
        <v>72</v>
      </c>
      <c r="G3169" t="s">
        <v>27</v>
      </c>
      <c r="H3169" t="s">
        <v>48</v>
      </c>
      <c r="I3169" s="5">
        <v>203</v>
      </c>
      <c r="J3169" s="5">
        <v>106</v>
      </c>
      <c r="K3169" s="5">
        <v>14</v>
      </c>
      <c r="L3169" s="5">
        <v>4</v>
      </c>
      <c r="M3169" s="5">
        <v>5</v>
      </c>
      <c r="N3169" s="7">
        <v>130.03</v>
      </c>
      <c r="O3169" s="7">
        <f t="shared" si="345"/>
        <v>650.15</v>
      </c>
      <c r="P3169" s="4">
        <v>0</v>
      </c>
      <c r="Q3169" s="7">
        <f t="shared" si="346"/>
        <v>0</v>
      </c>
      <c r="R3169" s="7">
        <f t="shared" si="347"/>
        <v>650.15</v>
      </c>
      <c r="S3169" s="7">
        <f t="shared" si="348"/>
        <v>162.53749999999999</v>
      </c>
      <c r="T3169" s="6">
        <f t="shared" si="349"/>
        <v>1.9704433497536946E-2</v>
      </c>
      <c r="V3169" t="s">
        <v>29</v>
      </c>
    </row>
    <row r="3170" spans="1:22">
      <c r="A3170" s="3">
        <v>45789</v>
      </c>
      <c r="B3170" t="str">
        <f t="shared" si="343"/>
        <v>yyyy-05</v>
      </c>
      <c r="C3170">
        <f t="shared" si="344"/>
        <v>20</v>
      </c>
      <c r="D3170" t="s">
        <v>66</v>
      </c>
      <c r="E3170" t="s">
        <v>73</v>
      </c>
      <c r="F3170" t="s">
        <v>74</v>
      </c>
      <c r="G3170" t="s">
        <v>27</v>
      </c>
      <c r="H3170" t="s">
        <v>48</v>
      </c>
      <c r="I3170" s="5">
        <v>168</v>
      </c>
      <c r="J3170" s="5">
        <v>94</v>
      </c>
      <c r="K3170" s="5">
        <v>14</v>
      </c>
      <c r="L3170" s="5">
        <v>3</v>
      </c>
      <c r="M3170" s="5">
        <v>3</v>
      </c>
      <c r="N3170" s="7">
        <v>1201.58</v>
      </c>
      <c r="O3170" s="7">
        <f t="shared" si="345"/>
        <v>3604.74</v>
      </c>
      <c r="P3170" s="4">
        <v>0</v>
      </c>
      <c r="Q3170" s="7">
        <f t="shared" si="346"/>
        <v>0</v>
      </c>
      <c r="R3170" s="7">
        <f t="shared" si="347"/>
        <v>3604.74</v>
      </c>
      <c r="S3170" s="7">
        <f t="shared" si="348"/>
        <v>1201.58</v>
      </c>
      <c r="T3170" s="6">
        <f t="shared" si="349"/>
        <v>1.7857142857142856E-2</v>
      </c>
      <c r="V3170" t="s">
        <v>29</v>
      </c>
    </row>
    <row r="3171" spans="1:22">
      <c r="A3171" s="3">
        <v>45789</v>
      </c>
      <c r="B3171" t="str">
        <f t="shared" si="343"/>
        <v>yyyy-05</v>
      </c>
      <c r="C3171">
        <f t="shared" si="344"/>
        <v>20</v>
      </c>
      <c r="D3171" t="s">
        <v>66</v>
      </c>
      <c r="E3171" t="s">
        <v>71</v>
      </c>
      <c r="F3171" t="s">
        <v>75</v>
      </c>
      <c r="G3171" t="s">
        <v>27</v>
      </c>
      <c r="H3171" t="s">
        <v>63</v>
      </c>
      <c r="I3171" s="5">
        <v>201</v>
      </c>
      <c r="J3171" s="5">
        <v>107</v>
      </c>
      <c r="K3171" s="5">
        <v>12</v>
      </c>
      <c r="L3171" s="5">
        <v>4</v>
      </c>
      <c r="M3171" s="5">
        <v>5</v>
      </c>
      <c r="N3171" s="7">
        <v>38.6</v>
      </c>
      <c r="O3171" s="7">
        <f t="shared" si="345"/>
        <v>193</v>
      </c>
      <c r="P3171" s="4">
        <v>0</v>
      </c>
      <c r="Q3171" s="7">
        <f t="shared" si="346"/>
        <v>0</v>
      </c>
      <c r="R3171" s="7">
        <f t="shared" si="347"/>
        <v>193</v>
      </c>
      <c r="S3171" s="7">
        <f t="shared" si="348"/>
        <v>48.25</v>
      </c>
      <c r="T3171" s="6">
        <f t="shared" si="349"/>
        <v>1.9900497512437811E-2</v>
      </c>
      <c r="V3171" t="s">
        <v>29</v>
      </c>
    </row>
    <row r="3172" spans="1:22">
      <c r="A3172" s="3">
        <v>45789</v>
      </c>
      <c r="B3172" t="str">
        <f t="shared" si="343"/>
        <v>yyyy-05</v>
      </c>
      <c r="C3172">
        <f t="shared" si="344"/>
        <v>20</v>
      </c>
      <c r="D3172" t="s">
        <v>24</v>
      </c>
      <c r="E3172" t="s">
        <v>76</v>
      </c>
      <c r="F3172" t="s">
        <v>77</v>
      </c>
      <c r="G3172" t="s">
        <v>27</v>
      </c>
      <c r="H3172" t="s">
        <v>28</v>
      </c>
      <c r="I3172" s="5">
        <v>743</v>
      </c>
      <c r="J3172" s="5">
        <v>429</v>
      </c>
      <c r="K3172" s="5">
        <v>57</v>
      </c>
      <c r="L3172" s="5">
        <v>15</v>
      </c>
      <c r="M3172" s="5">
        <v>16</v>
      </c>
      <c r="N3172" s="7">
        <v>194.69</v>
      </c>
      <c r="O3172" s="7">
        <f t="shared" si="345"/>
        <v>3115.04</v>
      </c>
      <c r="P3172" s="4">
        <v>0</v>
      </c>
      <c r="Q3172" s="7">
        <f t="shared" si="346"/>
        <v>0</v>
      </c>
      <c r="R3172" s="7">
        <f t="shared" si="347"/>
        <v>3115.04</v>
      </c>
      <c r="S3172" s="7">
        <f t="shared" si="348"/>
        <v>207.66933333333333</v>
      </c>
      <c r="T3172" s="6">
        <f t="shared" si="349"/>
        <v>2.0188425302826378E-2</v>
      </c>
      <c r="V3172" t="s">
        <v>29</v>
      </c>
    </row>
    <row r="3173" spans="1:22">
      <c r="A3173" s="3">
        <v>45790</v>
      </c>
      <c r="B3173" t="str">
        <f t="shared" si="343"/>
        <v>yyyy-05</v>
      </c>
      <c r="C3173">
        <f t="shared" si="344"/>
        <v>20</v>
      </c>
      <c r="D3173" t="s">
        <v>24</v>
      </c>
      <c r="E3173" t="s">
        <v>25</v>
      </c>
      <c r="F3173" t="s">
        <v>26</v>
      </c>
      <c r="G3173" t="s">
        <v>36</v>
      </c>
      <c r="H3173" t="s">
        <v>37</v>
      </c>
      <c r="I3173" s="5">
        <v>2145</v>
      </c>
      <c r="J3173" s="5">
        <v>1331</v>
      </c>
      <c r="K3173" s="5">
        <v>159</v>
      </c>
      <c r="L3173" s="5">
        <v>64</v>
      </c>
      <c r="M3173" s="5">
        <v>64</v>
      </c>
      <c r="N3173" s="7">
        <v>959.07</v>
      </c>
      <c r="O3173" s="7">
        <f t="shared" si="345"/>
        <v>61380.480000000003</v>
      </c>
      <c r="P3173" s="4">
        <v>0.14000000000000001</v>
      </c>
      <c r="Q3173" s="7">
        <f t="shared" si="346"/>
        <v>8593.267200000002</v>
      </c>
      <c r="R3173" s="7">
        <f t="shared" si="347"/>
        <v>52787.212800000001</v>
      </c>
      <c r="S3173" s="7">
        <f t="shared" si="348"/>
        <v>824.80020000000002</v>
      </c>
      <c r="T3173" s="6">
        <f t="shared" si="349"/>
        <v>2.9836829836829837E-2</v>
      </c>
      <c r="U3173" t="s">
        <v>96</v>
      </c>
      <c r="V3173" t="s">
        <v>29</v>
      </c>
    </row>
    <row r="3174" spans="1:22">
      <c r="A3174" s="3">
        <v>45790</v>
      </c>
      <c r="B3174" t="str">
        <f t="shared" si="343"/>
        <v>yyyy-05</v>
      </c>
      <c r="C3174">
        <f t="shared" si="344"/>
        <v>20</v>
      </c>
      <c r="D3174" t="s">
        <v>24</v>
      </c>
      <c r="E3174" t="s">
        <v>25</v>
      </c>
      <c r="F3174" t="s">
        <v>30</v>
      </c>
      <c r="G3174" t="s">
        <v>27</v>
      </c>
      <c r="H3174" t="s">
        <v>28</v>
      </c>
      <c r="I3174" s="5">
        <v>2038</v>
      </c>
      <c r="J3174" s="5">
        <v>1285</v>
      </c>
      <c r="K3174" s="5">
        <v>177</v>
      </c>
      <c r="L3174" s="5">
        <v>52</v>
      </c>
      <c r="M3174" s="5">
        <v>52</v>
      </c>
      <c r="N3174" s="7">
        <v>402.14</v>
      </c>
      <c r="O3174" s="7">
        <f t="shared" si="345"/>
        <v>20911.28</v>
      </c>
      <c r="P3174" s="4">
        <v>0.14000000000000001</v>
      </c>
      <c r="Q3174" s="7">
        <f t="shared" si="346"/>
        <v>2927.5792000000001</v>
      </c>
      <c r="R3174" s="7">
        <f t="shared" si="347"/>
        <v>17983.700799999999</v>
      </c>
      <c r="S3174" s="7">
        <f t="shared" si="348"/>
        <v>345.84039999999999</v>
      </c>
      <c r="T3174" s="6">
        <f t="shared" si="349"/>
        <v>2.5515210991167811E-2</v>
      </c>
      <c r="U3174" t="s">
        <v>96</v>
      </c>
      <c r="V3174" t="s">
        <v>29</v>
      </c>
    </row>
    <row r="3175" spans="1:22">
      <c r="A3175" s="3">
        <v>45790</v>
      </c>
      <c r="B3175" t="str">
        <f t="shared" si="343"/>
        <v>yyyy-05</v>
      </c>
      <c r="C3175">
        <f t="shared" si="344"/>
        <v>20</v>
      </c>
      <c r="D3175" t="s">
        <v>24</v>
      </c>
      <c r="E3175" t="s">
        <v>25</v>
      </c>
      <c r="F3175" t="s">
        <v>33</v>
      </c>
      <c r="G3175" t="s">
        <v>31</v>
      </c>
      <c r="H3175" t="s">
        <v>32</v>
      </c>
      <c r="I3175" s="5">
        <v>2119</v>
      </c>
      <c r="J3175" s="5">
        <v>1178</v>
      </c>
      <c r="K3175" s="5">
        <v>141</v>
      </c>
      <c r="L3175" s="5">
        <v>45</v>
      </c>
      <c r="M3175" s="5">
        <v>45</v>
      </c>
      <c r="N3175" s="7">
        <v>1810.89</v>
      </c>
      <c r="O3175" s="7">
        <f t="shared" si="345"/>
        <v>81490.05</v>
      </c>
      <c r="P3175" s="4">
        <v>0.14000000000000001</v>
      </c>
      <c r="Q3175" s="7">
        <f t="shared" si="346"/>
        <v>11408.607000000002</v>
      </c>
      <c r="R3175" s="7">
        <f t="shared" si="347"/>
        <v>70081.442999999999</v>
      </c>
      <c r="S3175" s="7">
        <f t="shared" si="348"/>
        <v>1557.3653999999999</v>
      </c>
      <c r="T3175" s="6">
        <f t="shared" si="349"/>
        <v>2.1236432279377066E-2</v>
      </c>
      <c r="U3175" t="s">
        <v>96</v>
      </c>
      <c r="V3175" t="s">
        <v>29</v>
      </c>
    </row>
    <row r="3176" spans="1:22">
      <c r="A3176" s="3">
        <v>45790</v>
      </c>
      <c r="B3176" t="str">
        <f t="shared" si="343"/>
        <v>yyyy-05</v>
      </c>
      <c r="C3176">
        <f t="shared" si="344"/>
        <v>20</v>
      </c>
      <c r="D3176" t="s">
        <v>24</v>
      </c>
      <c r="E3176" t="s">
        <v>34</v>
      </c>
      <c r="F3176" t="s">
        <v>35</v>
      </c>
      <c r="G3176" t="s">
        <v>31</v>
      </c>
      <c r="H3176" t="s">
        <v>32</v>
      </c>
      <c r="I3176" s="5">
        <v>1191</v>
      </c>
      <c r="J3176" s="5">
        <v>788</v>
      </c>
      <c r="K3176" s="5">
        <v>74</v>
      </c>
      <c r="L3176" s="5">
        <v>27</v>
      </c>
      <c r="M3176" s="5">
        <v>27</v>
      </c>
      <c r="N3176" s="7">
        <v>897.33</v>
      </c>
      <c r="O3176" s="7">
        <f t="shared" si="345"/>
        <v>24227.91</v>
      </c>
      <c r="P3176" s="4">
        <v>0.03</v>
      </c>
      <c r="Q3176" s="7">
        <f t="shared" si="346"/>
        <v>726.83729999999991</v>
      </c>
      <c r="R3176" s="7">
        <f t="shared" si="347"/>
        <v>23501.072700000001</v>
      </c>
      <c r="S3176" s="7">
        <f t="shared" si="348"/>
        <v>870.41010000000006</v>
      </c>
      <c r="T3176" s="6">
        <f t="shared" si="349"/>
        <v>2.2670025188916875E-2</v>
      </c>
      <c r="V3176" t="s">
        <v>29</v>
      </c>
    </row>
    <row r="3177" spans="1:22">
      <c r="A3177" s="3">
        <v>45790</v>
      </c>
      <c r="B3177" t="str">
        <f t="shared" si="343"/>
        <v>yyyy-05</v>
      </c>
      <c r="C3177">
        <f t="shared" si="344"/>
        <v>20</v>
      </c>
      <c r="D3177" t="s">
        <v>24</v>
      </c>
      <c r="E3177" t="s">
        <v>38</v>
      </c>
      <c r="F3177" t="s">
        <v>39</v>
      </c>
      <c r="G3177" t="s">
        <v>27</v>
      </c>
      <c r="H3177" t="s">
        <v>48</v>
      </c>
      <c r="I3177" s="5">
        <v>707</v>
      </c>
      <c r="J3177" s="5">
        <v>569</v>
      </c>
      <c r="K3177" s="5">
        <v>61</v>
      </c>
      <c r="L3177" s="5">
        <v>13</v>
      </c>
      <c r="M3177" s="5">
        <v>13</v>
      </c>
      <c r="N3177" s="7">
        <v>330.6</v>
      </c>
      <c r="O3177" s="7">
        <f t="shared" si="345"/>
        <v>4297.8</v>
      </c>
      <c r="P3177" s="4">
        <v>0.03</v>
      </c>
      <c r="Q3177" s="7">
        <f t="shared" si="346"/>
        <v>128.934</v>
      </c>
      <c r="R3177" s="7">
        <f t="shared" si="347"/>
        <v>4168.866</v>
      </c>
      <c r="S3177" s="7">
        <f t="shared" si="348"/>
        <v>320.68200000000002</v>
      </c>
      <c r="T3177" s="6">
        <f t="shared" si="349"/>
        <v>1.8387553041018388E-2</v>
      </c>
      <c r="V3177" t="s">
        <v>29</v>
      </c>
    </row>
    <row r="3178" spans="1:22">
      <c r="A3178" s="3">
        <v>45790</v>
      </c>
      <c r="B3178" t="str">
        <f t="shared" si="343"/>
        <v>yyyy-05</v>
      </c>
      <c r="C3178">
        <f t="shared" si="344"/>
        <v>20</v>
      </c>
      <c r="D3178" t="s">
        <v>24</v>
      </c>
      <c r="E3178" t="s">
        <v>40</v>
      </c>
      <c r="F3178" t="s">
        <v>41</v>
      </c>
      <c r="G3178" t="s">
        <v>27</v>
      </c>
      <c r="H3178" t="s">
        <v>45</v>
      </c>
      <c r="I3178" s="5">
        <v>852</v>
      </c>
      <c r="J3178" s="5">
        <v>611</v>
      </c>
      <c r="K3178" s="5">
        <v>82</v>
      </c>
      <c r="L3178" s="5">
        <v>18</v>
      </c>
      <c r="M3178" s="5">
        <v>21</v>
      </c>
      <c r="N3178" s="7">
        <v>178.64</v>
      </c>
      <c r="O3178" s="7">
        <f t="shared" si="345"/>
        <v>3751.4399999999996</v>
      </c>
      <c r="P3178" s="4">
        <v>0.03</v>
      </c>
      <c r="Q3178" s="7">
        <f t="shared" si="346"/>
        <v>112.54319999999998</v>
      </c>
      <c r="R3178" s="7">
        <f t="shared" si="347"/>
        <v>3638.8967999999995</v>
      </c>
      <c r="S3178" s="7">
        <f t="shared" si="348"/>
        <v>202.1609333333333</v>
      </c>
      <c r="T3178" s="6">
        <f t="shared" si="349"/>
        <v>2.1126760563380281E-2</v>
      </c>
      <c r="V3178" t="s">
        <v>29</v>
      </c>
    </row>
    <row r="3179" spans="1:22">
      <c r="A3179" s="3">
        <v>45790</v>
      </c>
      <c r="B3179" t="str">
        <f t="shared" si="343"/>
        <v>yyyy-05</v>
      </c>
      <c r="C3179">
        <f t="shared" si="344"/>
        <v>20</v>
      </c>
      <c r="D3179" t="s">
        <v>42</v>
      </c>
      <c r="E3179" t="s">
        <v>43</v>
      </c>
      <c r="F3179" t="s">
        <v>44</v>
      </c>
      <c r="G3179" t="s">
        <v>27</v>
      </c>
      <c r="H3179" t="s">
        <v>63</v>
      </c>
      <c r="I3179" s="5">
        <v>476</v>
      </c>
      <c r="J3179" s="5">
        <v>372</v>
      </c>
      <c r="K3179" s="5">
        <v>37</v>
      </c>
      <c r="L3179" s="5">
        <v>6</v>
      </c>
      <c r="M3179" s="5">
        <v>6</v>
      </c>
      <c r="N3179" s="7">
        <v>1315.78</v>
      </c>
      <c r="O3179" s="7">
        <f t="shared" si="345"/>
        <v>7894.68</v>
      </c>
      <c r="P3179" s="4">
        <v>0.05</v>
      </c>
      <c r="Q3179" s="7">
        <f t="shared" si="346"/>
        <v>394.73400000000004</v>
      </c>
      <c r="R3179" s="7">
        <f t="shared" si="347"/>
        <v>7499.9459999999999</v>
      </c>
      <c r="S3179" s="7">
        <f t="shared" si="348"/>
        <v>1249.991</v>
      </c>
      <c r="T3179" s="6">
        <f t="shared" si="349"/>
        <v>1.2605042016806723E-2</v>
      </c>
      <c r="V3179" t="s">
        <v>29</v>
      </c>
    </row>
    <row r="3180" spans="1:22">
      <c r="A3180" s="3">
        <v>45790</v>
      </c>
      <c r="B3180" t="str">
        <f t="shared" si="343"/>
        <v>yyyy-05</v>
      </c>
      <c r="C3180">
        <f t="shared" si="344"/>
        <v>20</v>
      </c>
      <c r="D3180" t="s">
        <v>42</v>
      </c>
      <c r="E3180" t="s">
        <v>43</v>
      </c>
      <c r="F3180" t="s">
        <v>46</v>
      </c>
      <c r="G3180" t="s">
        <v>27</v>
      </c>
      <c r="H3180" t="s">
        <v>45</v>
      </c>
      <c r="I3180" s="5">
        <v>520</v>
      </c>
      <c r="J3180" s="5">
        <v>388</v>
      </c>
      <c r="K3180" s="5">
        <v>35</v>
      </c>
      <c r="L3180" s="5">
        <v>9</v>
      </c>
      <c r="M3180" s="5">
        <v>9</v>
      </c>
      <c r="N3180" s="7">
        <v>2163.36</v>
      </c>
      <c r="O3180" s="7">
        <f t="shared" si="345"/>
        <v>19470.240000000002</v>
      </c>
      <c r="P3180" s="4">
        <v>0</v>
      </c>
      <c r="Q3180" s="7">
        <f t="shared" si="346"/>
        <v>0</v>
      </c>
      <c r="R3180" s="7">
        <f t="shared" si="347"/>
        <v>19470.240000000002</v>
      </c>
      <c r="S3180" s="7">
        <f t="shared" si="348"/>
        <v>2163.36</v>
      </c>
      <c r="T3180" s="6">
        <f t="shared" si="349"/>
        <v>1.7307692307692309E-2</v>
      </c>
      <c r="V3180" t="s">
        <v>29</v>
      </c>
    </row>
    <row r="3181" spans="1:22">
      <c r="A3181" s="3">
        <v>45790</v>
      </c>
      <c r="B3181" t="str">
        <f t="shared" si="343"/>
        <v>yyyy-05</v>
      </c>
      <c r="C3181">
        <f t="shared" si="344"/>
        <v>20</v>
      </c>
      <c r="D3181" t="s">
        <v>42</v>
      </c>
      <c r="E3181" t="s">
        <v>43</v>
      </c>
      <c r="F3181" t="s">
        <v>47</v>
      </c>
      <c r="G3181" t="s">
        <v>27</v>
      </c>
      <c r="H3181" t="s">
        <v>28</v>
      </c>
      <c r="I3181" s="5">
        <v>530</v>
      </c>
      <c r="J3181" s="5">
        <v>370</v>
      </c>
      <c r="K3181" s="5">
        <v>36</v>
      </c>
      <c r="L3181" s="5">
        <v>7</v>
      </c>
      <c r="M3181" s="5">
        <v>7</v>
      </c>
      <c r="N3181" s="7">
        <v>607.26</v>
      </c>
      <c r="O3181" s="7">
        <f t="shared" si="345"/>
        <v>4250.82</v>
      </c>
      <c r="P3181" s="4">
        <v>0.03</v>
      </c>
      <c r="Q3181" s="7">
        <f t="shared" si="346"/>
        <v>127.52459999999999</v>
      </c>
      <c r="R3181" s="7">
        <f t="shared" si="347"/>
        <v>4123.2954</v>
      </c>
      <c r="S3181" s="7">
        <f t="shared" si="348"/>
        <v>589.04219999999998</v>
      </c>
      <c r="T3181" s="6">
        <f t="shared" si="349"/>
        <v>1.3207547169811321E-2</v>
      </c>
      <c r="V3181" t="s">
        <v>29</v>
      </c>
    </row>
    <row r="3182" spans="1:22">
      <c r="A3182" s="3">
        <v>45790</v>
      </c>
      <c r="B3182" t="str">
        <f t="shared" si="343"/>
        <v>yyyy-05</v>
      </c>
      <c r="C3182">
        <f t="shared" si="344"/>
        <v>20</v>
      </c>
      <c r="D3182" t="s">
        <v>42</v>
      </c>
      <c r="E3182" t="s">
        <v>49</v>
      </c>
      <c r="F3182" t="s">
        <v>50</v>
      </c>
      <c r="G3182" t="s">
        <v>31</v>
      </c>
      <c r="H3182" t="s">
        <v>32</v>
      </c>
      <c r="I3182" s="5">
        <v>224</v>
      </c>
      <c r="J3182" s="5">
        <v>150</v>
      </c>
      <c r="K3182" s="5">
        <v>13</v>
      </c>
      <c r="L3182" s="5">
        <v>3</v>
      </c>
      <c r="M3182" s="5">
        <v>3</v>
      </c>
      <c r="N3182" s="7">
        <v>1005.97</v>
      </c>
      <c r="O3182" s="7">
        <f t="shared" si="345"/>
        <v>3017.91</v>
      </c>
      <c r="P3182" s="4">
        <v>0</v>
      </c>
      <c r="Q3182" s="7">
        <f t="shared" si="346"/>
        <v>0</v>
      </c>
      <c r="R3182" s="7">
        <f t="shared" si="347"/>
        <v>3017.91</v>
      </c>
      <c r="S3182" s="7">
        <f t="shared" si="348"/>
        <v>1005.9699999999999</v>
      </c>
      <c r="T3182" s="6">
        <f t="shared" si="349"/>
        <v>1.3392857142857142E-2</v>
      </c>
      <c r="V3182" t="s">
        <v>29</v>
      </c>
    </row>
    <row r="3183" spans="1:22">
      <c r="A3183" s="3">
        <v>45790</v>
      </c>
      <c r="B3183" t="str">
        <f t="shared" si="343"/>
        <v>yyyy-05</v>
      </c>
      <c r="C3183">
        <f t="shared" si="344"/>
        <v>20</v>
      </c>
      <c r="D3183" t="s">
        <v>42</v>
      </c>
      <c r="E3183" t="s">
        <v>51</v>
      </c>
      <c r="F3183" t="s">
        <v>52</v>
      </c>
      <c r="G3183" t="s">
        <v>27</v>
      </c>
      <c r="H3183" t="s">
        <v>45</v>
      </c>
      <c r="I3183" s="5">
        <v>240</v>
      </c>
      <c r="J3183" s="5">
        <v>172</v>
      </c>
      <c r="K3183" s="5">
        <v>13</v>
      </c>
      <c r="L3183" s="5">
        <v>3</v>
      </c>
      <c r="M3183" s="5">
        <v>3</v>
      </c>
      <c r="N3183" s="7">
        <v>605.59</v>
      </c>
      <c r="O3183" s="7">
        <f t="shared" si="345"/>
        <v>1816.77</v>
      </c>
      <c r="P3183" s="4">
        <v>0</v>
      </c>
      <c r="Q3183" s="7">
        <f t="shared" si="346"/>
        <v>0</v>
      </c>
      <c r="R3183" s="7">
        <f t="shared" si="347"/>
        <v>1816.77</v>
      </c>
      <c r="S3183" s="7">
        <f t="shared" si="348"/>
        <v>605.59</v>
      </c>
      <c r="T3183" s="6">
        <f t="shared" si="349"/>
        <v>1.2500000000000001E-2</v>
      </c>
      <c r="V3183" t="s">
        <v>29</v>
      </c>
    </row>
    <row r="3184" spans="1:22">
      <c r="A3184" s="3">
        <v>45790</v>
      </c>
      <c r="B3184" t="str">
        <f t="shared" si="343"/>
        <v>yyyy-05</v>
      </c>
      <c r="C3184">
        <f t="shared" si="344"/>
        <v>20</v>
      </c>
      <c r="D3184" t="s">
        <v>53</v>
      </c>
      <c r="E3184" t="s">
        <v>54</v>
      </c>
      <c r="F3184" t="s">
        <v>55</v>
      </c>
      <c r="G3184" t="s">
        <v>31</v>
      </c>
      <c r="H3184" t="s">
        <v>32</v>
      </c>
      <c r="I3184" s="5">
        <v>281</v>
      </c>
      <c r="J3184" s="5">
        <v>218</v>
      </c>
      <c r="K3184" s="5">
        <v>20</v>
      </c>
      <c r="L3184" s="5">
        <v>4</v>
      </c>
      <c r="M3184" s="5">
        <v>4</v>
      </c>
      <c r="N3184" s="7">
        <v>1319.23</v>
      </c>
      <c r="O3184" s="7">
        <f t="shared" si="345"/>
        <v>5276.92</v>
      </c>
      <c r="P3184" s="4">
        <v>0</v>
      </c>
      <c r="Q3184" s="7">
        <f t="shared" si="346"/>
        <v>0</v>
      </c>
      <c r="R3184" s="7">
        <f t="shared" si="347"/>
        <v>5276.92</v>
      </c>
      <c r="S3184" s="7">
        <f t="shared" si="348"/>
        <v>1319.23</v>
      </c>
      <c r="T3184" s="6">
        <f t="shared" si="349"/>
        <v>1.4234875444839857E-2</v>
      </c>
      <c r="V3184" t="s">
        <v>29</v>
      </c>
    </row>
    <row r="3185" spans="1:22">
      <c r="A3185" s="3">
        <v>45790</v>
      </c>
      <c r="B3185" t="str">
        <f t="shared" si="343"/>
        <v>yyyy-05</v>
      </c>
      <c r="C3185">
        <f t="shared" si="344"/>
        <v>20</v>
      </c>
      <c r="D3185" t="s">
        <v>53</v>
      </c>
      <c r="E3185" t="s">
        <v>56</v>
      </c>
      <c r="F3185" t="s">
        <v>57</v>
      </c>
      <c r="G3185" t="s">
        <v>36</v>
      </c>
      <c r="H3185" t="s">
        <v>37</v>
      </c>
      <c r="I3185" s="5">
        <v>213</v>
      </c>
      <c r="J3185" s="5">
        <v>148</v>
      </c>
      <c r="K3185" s="5">
        <v>15</v>
      </c>
      <c r="L3185" s="5">
        <v>3</v>
      </c>
      <c r="M3185" s="5">
        <v>3</v>
      </c>
      <c r="N3185" s="7">
        <v>730.68</v>
      </c>
      <c r="O3185" s="7">
        <f t="shared" si="345"/>
        <v>2192.04</v>
      </c>
      <c r="P3185" s="4">
        <v>0</v>
      </c>
      <c r="Q3185" s="7">
        <f t="shared" si="346"/>
        <v>0</v>
      </c>
      <c r="R3185" s="7">
        <f t="shared" si="347"/>
        <v>2192.04</v>
      </c>
      <c r="S3185" s="7">
        <f t="shared" si="348"/>
        <v>730.68</v>
      </c>
      <c r="T3185" s="6">
        <f t="shared" si="349"/>
        <v>1.4084507042253521E-2</v>
      </c>
      <c r="V3185" t="s">
        <v>29</v>
      </c>
    </row>
    <row r="3186" spans="1:22">
      <c r="A3186" s="3">
        <v>45790</v>
      </c>
      <c r="B3186" t="str">
        <f t="shared" si="343"/>
        <v>yyyy-05</v>
      </c>
      <c r="C3186">
        <f t="shared" si="344"/>
        <v>20</v>
      </c>
      <c r="D3186" t="s">
        <v>53</v>
      </c>
      <c r="E3186" t="s">
        <v>56</v>
      </c>
      <c r="F3186" t="s">
        <v>58</v>
      </c>
      <c r="G3186" t="s">
        <v>36</v>
      </c>
      <c r="H3186" t="s">
        <v>37</v>
      </c>
      <c r="I3186" s="5">
        <v>256</v>
      </c>
      <c r="J3186" s="5">
        <v>149</v>
      </c>
      <c r="K3186" s="5">
        <v>13</v>
      </c>
      <c r="L3186" s="5">
        <v>3</v>
      </c>
      <c r="M3186" s="5">
        <v>3</v>
      </c>
      <c r="N3186" s="7">
        <v>901.37</v>
      </c>
      <c r="O3186" s="7">
        <f t="shared" si="345"/>
        <v>2704.11</v>
      </c>
      <c r="P3186" s="4">
        <v>0.05</v>
      </c>
      <c r="Q3186" s="7">
        <f t="shared" si="346"/>
        <v>135.2055</v>
      </c>
      <c r="R3186" s="7">
        <f t="shared" si="347"/>
        <v>2568.9045000000001</v>
      </c>
      <c r="S3186" s="7">
        <f t="shared" si="348"/>
        <v>856.30150000000003</v>
      </c>
      <c r="T3186" s="6">
        <f t="shared" si="349"/>
        <v>1.171875E-2</v>
      </c>
      <c r="V3186" t="s">
        <v>29</v>
      </c>
    </row>
    <row r="3187" spans="1:22">
      <c r="A3187" s="3">
        <v>45790</v>
      </c>
      <c r="B3187" t="str">
        <f t="shared" si="343"/>
        <v>yyyy-05</v>
      </c>
      <c r="C3187">
        <f t="shared" si="344"/>
        <v>20</v>
      </c>
      <c r="D3187" t="s">
        <v>53</v>
      </c>
      <c r="E3187" t="s">
        <v>59</v>
      </c>
      <c r="F3187" t="s">
        <v>60</v>
      </c>
      <c r="G3187" t="s">
        <v>27</v>
      </c>
      <c r="H3187" t="s">
        <v>28</v>
      </c>
      <c r="I3187" s="5">
        <v>131</v>
      </c>
      <c r="J3187" s="5">
        <v>107</v>
      </c>
      <c r="K3187" s="5">
        <v>8</v>
      </c>
      <c r="L3187" s="5">
        <v>1</v>
      </c>
      <c r="M3187" s="5">
        <v>1</v>
      </c>
      <c r="N3187" s="7">
        <v>702.76</v>
      </c>
      <c r="O3187" s="7">
        <f t="shared" si="345"/>
        <v>702.76</v>
      </c>
      <c r="P3187" s="4">
        <v>0</v>
      </c>
      <c r="Q3187" s="7">
        <f t="shared" si="346"/>
        <v>0</v>
      </c>
      <c r="R3187" s="7">
        <f t="shared" si="347"/>
        <v>702.76</v>
      </c>
      <c r="S3187" s="7">
        <f t="shared" si="348"/>
        <v>702.76</v>
      </c>
      <c r="T3187" s="6">
        <f t="shared" si="349"/>
        <v>7.6335877862595417E-3</v>
      </c>
      <c r="V3187" t="s">
        <v>29</v>
      </c>
    </row>
    <row r="3188" spans="1:22">
      <c r="A3188" s="3">
        <v>45790</v>
      </c>
      <c r="B3188" t="str">
        <f t="shared" si="343"/>
        <v>yyyy-05</v>
      </c>
      <c r="C3188">
        <f t="shared" si="344"/>
        <v>20</v>
      </c>
      <c r="D3188" t="s">
        <v>53</v>
      </c>
      <c r="E3188" t="s">
        <v>61</v>
      </c>
      <c r="F3188" t="s">
        <v>62</v>
      </c>
      <c r="G3188" t="s">
        <v>27</v>
      </c>
      <c r="H3188" t="s">
        <v>63</v>
      </c>
      <c r="I3188" s="5">
        <v>107</v>
      </c>
      <c r="J3188" s="5">
        <v>77</v>
      </c>
      <c r="K3188" s="5">
        <v>6</v>
      </c>
      <c r="L3188" s="5">
        <v>1</v>
      </c>
      <c r="M3188" s="5">
        <v>1</v>
      </c>
      <c r="N3188" s="7">
        <v>488.3</v>
      </c>
      <c r="O3188" s="7">
        <f t="shared" si="345"/>
        <v>488.3</v>
      </c>
      <c r="P3188" s="4">
        <v>0</v>
      </c>
      <c r="Q3188" s="7">
        <f t="shared" si="346"/>
        <v>0</v>
      </c>
      <c r="R3188" s="7">
        <f t="shared" si="347"/>
        <v>488.3</v>
      </c>
      <c r="S3188" s="7">
        <f t="shared" si="348"/>
        <v>488.3</v>
      </c>
      <c r="T3188" s="6">
        <f t="shared" si="349"/>
        <v>9.3457943925233638E-3</v>
      </c>
      <c r="V3188" t="s">
        <v>29</v>
      </c>
    </row>
    <row r="3189" spans="1:22">
      <c r="A3189" s="3">
        <v>45790</v>
      </c>
      <c r="B3189" t="str">
        <f t="shared" si="343"/>
        <v>yyyy-05</v>
      </c>
      <c r="C3189">
        <f t="shared" si="344"/>
        <v>20</v>
      </c>
      <c r="D3189" t="s">
        <v>53</v>
      </c>
      <c r="E3189" t="s">
        <v>64</v>
      </c>
      <c r="F3189" t="s">
        <v>65</v>
      </c>
      <c r="G3189" t="s">
        <v>27</v>
      </c>
      <c r="H3189" t="s">
        <v>48</v>
      </c>
      <c r="I3189" s="5">
        <v>162</v>
      </c>
      <c r="J3189" s="5">
        <v>132</v>
      </c>
      <c r="K3189" s="5">
        <v>12</v>
      </c>
      <c r="L3189" s="5">
        <v>2</v>
      </c>
      <c r="M3189" s="5">
        <v>2</v>
      </c>
      <c r="N3189" s="7">
        <v>771.73</v>
      </c>
      <c r="O3189" s="7">
        <f t="shared" si="345"/>
        <v>1543.46</v>
      </c>
      <c r="P3189" s="4">
        <v>0.12</v>
      </c>
      <c r="Q3189" s="7">
        <f t="shared" si="346"/>
        <v>185.21520000000001</v>
      </c>
      <c r="R3189" s="7">
        <f t="shared" si="347"/>
        <v>1358.2447999999999</v>
      </c>
      <c r="S3189" s="7">
        <f t="shared" si="348"/>
        <v>679.12239999999997</v>
      </c>
      <c r="T3189" s="6">
        <f t="shared" si="349"/>
        <v>1.2345679012345678E-2</v>
      </c>
      <c r="U3189" t="s">
        <v>97</v>
      </c>
      <c r="V3189" t="s">
        <v>29</v>
      </c>
    </row>
    <row r="3190" spans="1:22">
      <c r="A3190" s="3">
        <v>45790</v>
      </c>
      <c r="B3190" t="str">
        <f t="shared" si="343"/>
        <v>yyyy-05</v>
      </c>
      <c r="C3190">
        <f t="shared" si="344"/>
        <v>20</v>
      </c>
      <c r="D3190" t="s">
        <v>66</v>
      </c>
      <c r="E3190" t="s">
        <v>67</v>
      </c>
      <c r="F3190" t="s">
        <v>68</v>
      </c>
      <c r="G3190" t="s">
        <v>27</v>
      </c>
      <c r="H3190" t="s">
        <v>45</v>
      </c>
      <c r="I3190" s="5">
        <v>301</v>
      </c>
      <c r="J3190" s="5">
        <v>192</v>
      </c>
      <c r="K3190" s="5">
        <v>28</v>
      </c>
      <c r="L3190" s="5">
        <v>7</v>
      </c>
      <c r="M3190" s="5">
        <v>7</v>
      </c>
      <c r="N3190" s="7">
        <v>684.31</v>
      </c>
      <c r="O3190" s="7">
        <f t="shared" si="345"/>
        <v>4790.17</v>
      </c>
      <c r="P3190" s="4">
        <v>0</v>
      </c>
      <c r="Q3190" s="7">
        <f t="shared" si="346"/>
        <v>0</v>
      </c>
      <c r="R3190" s="7">
        <f t="shared" si="347"/>
        <v>4790.17</v>
      </c>
      <c r="S3190" s="7">
        <f t="shared" si="348"/>
        <v>684.31000000000006</v>
      </c>
      <c r="T3190" s="6">
        <f t="shared" si="349"/>
        <v>2.3255813953488372E-2</v>
      </c>
      <c r="V3190" t="s">
        <v>29</v>
      </c>
    </row>
    <row r="3191" spans="1:22">
      <c r="A3191" s="3">
        <v>45790</v>
      </c>
      <c r="B3191" t="str">
        <f t="shared" si="343"/>
        <v>yyyy-05</v>
      </c>
      <c r="C3191">
        <f t="shared" si="344"/>
        <v>20</v>
      </c>
      <c r="D3191" t="s">
        <v>66</v>
      </c>
      <c r="E3191" t="s">
        <v>67</v>
      </c>
      <c r="F3191" t="s">
        <v>69</v>
      </c>
      <c r="G3191" t="s">
        <v>31</v>
      </c>
      <c r="H3191" t="s">
        <v>32</v>
      </c>
      <c r="I3191" s="5">
        <v>232</v>
      </c>
      <c r="J3191" s="5">
        <v>131</v>
      </c>
      <c r="K3191" s="5">
        <v>3</v>
      </c>
      <c r="L3191" s="5">
        <v>0</v>
      </c>
      <c r="M3191" s="5">
        <v>0</v>
      </c>
      <c r="N3191" s="7">
        <v>383.37</v>
      </c>
      <c r="O3191" s="7">
        <f t="shared" si="345"/>
        <v>0</v>
      </c>
      <c r="P3191" s="4">
        <v>0.05</v>
      </c>
      <c r="Q3191" s="7">
        <f t="shared" si="346"/>
        <v>0</v>
      </c>
      <c r="R3191" s="7">
        <f t="shared" si="347"/>
        <v>0</v>
      </c>
      <c r="S3191" s="7">
        <f t="shared" si="348"/>
        <v>0</v>
      </c>
      <c r="T3191" s="6">
        <f t="shared" si="349"/>
        <v>0</v>
      </c>
      <c r="V3191" t="s">
        <v>81</v>
      </c>
    </row>
    <row r="3192" spans="1:22">
      <c r="A3192" s="3">
        <v>45790</v>
      </c>
      <c r="B3192" t="str">
        <f t="shared" si="343"/>
        <v>yyyy-05</v>
      </c>
      <c r="C3192">
        <f t="shared" si="344"/>
        <v>20</v>
      </c>
      <c r="D3192" t="s">
        <v>66</v>
      </c>
      <c r="E3192" t="s">
        <v>67</v>
      </c>
      <c r="F3192" t="s">
        <v>70</v>
      </c>
      <c r="G3192" t="s">
        <v>27</v>
      </c>
      <c r="H3192" t="s">
        <v>48</v>
      </c>
      <c r="I3192" s="5">
        <v>306</v>
      </c>
      <c r="J3192" s="5">
        <v>216</v>
      </c>
      <c r="K3192" s="5">
        <v>20</v>
      </c>
      <c r="L3192" s="5">
        <v>5</v>
      </c>
      <c r="M3192" s="5">
        <v>5</v>
      </c>
      <c r="N3192" s="7">
        <v>335.94</v>
      </c>
      <c r="O3192" s="7">
        <f t="shared" si="345"/>
        <v>1679.7</v>
      </c>
      <c r="P3192" s="4">
        <v>0</v>
      </c>
      <c r="Q3192" s="7">
        <f t="shared" si="346"/>
        <v>0</v>
      </c>
      <c r="R3192" s="7">
        <f t="shared" si="347"/>
        <v>1679.7</v>
      </c>
      <c r="S3192" s="7">
        <f t="shared" si="348"/>
        <v>335.94</v>
      </c>
      <c r="T3192" s="6">
        <f t="shared" si="349"/>
        <v>1.6339869281045753E-2</v>
      </c>
      <c r="V3192" t="s">
        <v>29</v>
      </c>
    </row>
    <row r="3193" spans="1:22">
      <c r="A3193" s="3">
        <v>45790</v>
      </c>
      <c r="B3193" t="str">
        <f t="shared" si="343"/>
        <v>yyyy-05</v>
      </c>
      <c r="C3193">
        <f t="shared" si="344"/>
        <v>20</v>
      </c>
      <c r="D3193" t="s">
        <v>66</v>
      </c>
      <c r="E3193" t="s">
        <v>71</v>
      </c>
      <c r="F3193" t="s">
        <v>72</v>
      </c>
      <c r="G3193" t="s">
        <v>31</v>
      </c>
      <c r="H3193" t="s">
        <v>32</v>
      </c>
      <c r="I3193" s="5">
        <v>562</v>
      </c>
      <c r="J3193" s="5">
        <v>411</v>
      </c>
      <c r="K3193" s="5">
        <v>32</v>
      </c>
      <c r="L3193" s="5">
        <v>10</v>
      </c>
      <c r="M3193" s="5">
        <v>11</v>
      </c>
      <c r="N3193" s="7">
        <v>129.03</v>
      </c>
      <c r="O3193" s="7">
        <f t="shared" si="345"/>
        <v>1419.33</v>
      </c>
      <c r="P3193" s="4">
        <v>0</v>
      </c>
      <c r="Q3193" s="7">
        <f t="shared" si="346"/>
        <v>0</v>
      </c>
      <c r="R3193" s="7">
        <f t="shared" si="347"/>
        <v>1419.33</v>
      </c>
      <c r="S3193" s="7">
        <f t="shared" si="348"/>
        <v>141.93299999999999</v>
      </c>
      <c r="T3193" s="6">
        <f t="shared" si="349"/>
        <v>1.7793594306049824E-2</v>
      </c>
      <c r="V3193" t="s">
        <v>29</v>
      </c>
    </row>
    <row r="3194" spans="1:22">
      <c r="A3194" s="3">
        <v>45790</v>
      </c>
      <c r="B3194" t="str">
        <f t="shared" si="343"/>
        <v>yyyy-05</v>
      </c>
      <c r="C3194">
        <f t="shared" si="344"/>
        <v>20</v>
      </c>
      <c r="D3194" t="s">
        <v>66</v>
      </c>
      <c r="E3194" t="s">
        <v>73</v>
      </c>
      <c r="F3194" t="s">
        <v>74</v>
      </c>
      <c r="G3194" t="s">
        <v>36</v>
      </c>
      <c r="H3194" t="s">
        <v>37</v>
      </c>
      <c r="I3194" s="5">
        <v>229</v>
      </c>
      <c r="J3194" s="5">
        <v>151</v>
      </c>
      <c r="K3194" s="5">
        <v>16</v>
      </c>
      <c r="L3194" s="5">
        <v>4</v>
      </c>
      <c r="M3194" s="5">
        <v>4</v>
      </c>
      <c r="N3194" s="7">
        <v>1220.72</v>
      </c>
      <c r="O3194" s="7">
        <f t="shared" si="345"/>
        <v>4882.88</v>
      </c>
      <c r="P3194" s="4">
        <v>0</v>
      </c>
      <c r="Q3194" s="7">
        <f t="shared" si="346"/>
        <v>0</v>
      </c>
      <c r="R3194" s="7">
        <f t="shared" si="347"/>
        <v>4882.88</v>
      </c>
      <c r="S3194" s="7">
        <f t="shared" si="348"/>
        <v>1220.72</v>
      </c>
      <c r="T3194" s="6">
        <f t="shared" si="349"/>
        <v>1.7467248908296942E-2</v>
      </c>
      <c r="V3194" t="s">
        <v>29</v>
      </c>
    </row>
    <row r="3195" spans="1:22">
      <c r="A3195" s="3">
        <v>45790</v>
      </c>
      <c r="B3195" t="str">
        <f t="shared" si="343"/>
        <v>yyyy-05</v>
      </c>
      <c r="C3195">
        <f t="shared" si="344"/>
        <v>20</v>
      </c>
      <c r="D3195" t="s">
        <v>66</v>
      </c>
      <c r="E3195" t="s">
        <v>71</v>
      </c>
      <c r="F3195" t="s">
        <v>75</v>
      </c>
      <c r="G3195" t="s">
        <v>31</v>
      </c>
      <c r="H3195" t="s">
        <v>32</v>
      </c>
      <c r="I3195" s="5">
        <v>391</v>
      </c>
      <c r="J3195" s="5">
        <v>243</v>
      </c>
      <c r="K3195" s="5">
        <v>17</v>
      </c>
      <c r="L3195" s="5">
        <v>5</v>
      </c>
      <c r="M3195" s="5">
        <v>6</v>
      </c>
      <c r="N3195" s="7">
        <v>39.07</v>
      </c>
      <c r="O3195" s="7">
        <f t="shared" si="345"/>
        <v>234.42000000000002</v>
      </c>
      <c r="P3195" s="4">
        <v>0</v>
      </c>
      <c r="Q3195" s="7">
        <f t="shared" si="346"/>
        <v>0</v>
      </c>
      <c r="R3195" s="7">
        <f t="shared" si="347"/>
        <v>234.42000000000002</v>
      </c>
      <c r="S3195" s="7">
        <f t="shared" si="348"/>
        <v>46.884</v>
      </c>
      <c r="T3195" s="6">
        <f t="shared" si="349"/>
        <v>1.278772378516624E-2</v>
      </c>
      <c r="V3195" t="s">
        <v>29</v>
      </c>
    </row>
    <row r="3196" spans="1:22">
      <c r="A3196" s="3">
        <v>45790</v>
      </c>
      <c r="B3196" t="str">
        <f t="shared" si="343"/>
        <v>yyyy-05</v>
      </c>
      <c r="C3196">
        <f t="shared" si="344"/>
        <v>20</v>
      </c>
      <c r="D3196" t="s">
        <v>24</v>
      </c>
      <c r="E3196" t="s">
        <v>76</v>
      </c>
      <c r="F3196" t="s">
        <v>77</v>
      </c>
      <c r="G3196" t="s">
        <v>27</v>
      </c>
      <c r="H3196" t="s">
        <v>63</v>
      </c>
      <c r="I3196" s="5">
        <v>541</v>
      </c>
      <c r="J3196" s="5">
        <v>306</v>
      </c>
      <c r="K3196" s="5">
        <v>19</v>
      </c>
      <c r="L3196" s="5">
        <v>8</v>
      </c>
      <c r="M3196" s="5">
        <v>9</v>
      </c>
      <c r="N3196" s="7">
        <v>202.67</v>
      </c>
      <c r="O3196" s="7">
        <f t="shared" si="345"/>
        <v>1824.03</v>
      </c>
      <c r="P3196" s="4">
        <v>0</v>
      </c>
      <c r="Q3196" s="7">
        <f t="shared" si="346"/>
        <v>0</v>
      </c>
      <c r="R3196" s="7">
        <f t="shared" si="347"/>
        <v>1824.03</v>
      </c>
      <c r="S3196" s="7">
        <f t="shared" si="348"/>
        <v>228.00375</v>
      </c>
      <c r="T3196" s="6">
        <f t="shared" si="349"/>
        <v>1.4787430683918669E-2</v>
      </c>
      <c r="V3196" t="s">
        <v>29</v>
      </c>
    </row>
    <row r="3197" spans="1:22">
      <c r="A3197" s="3">
        <v>45791</v>
      </c>
      <c r="B3197" t="str">
        <f t="shared" si="343"/>
        <v>yyyy-05</v>
      </c>
      <c r="C3197">
        <f t="shared" si="344"/>
        <v>20</v>
      </c>
      <c r="D3197" t="s">
        <v>24</v>
      </c>
      <c r="E3197" t="s">
        <v>25</v>
      </c>
      <c r="F3197" t="s">
        <v>26</v>
      </c>
      <c r="G3197" t="s">
        <v>36</v>
      </c>
      <c r="H3197" t="s">
        <v>37</v>
      </c>
      <c r="I3197" s="5">
        <v>1664</v>
      </c>
      <c r="J3197" s="5">
        <v>1107</v>
      </c>
      <c r="K3197" s="5">
        <v>168</v>
      </c>
      <c r="L3197" s="5">
        <v>39</v>
      </c>
      <c r="M3197" s="5">
        <v>39</v>
      </c>
      <c r="N3197" s="7">
        <v>992.83</v>
      </c>
      <c r="O3197" s="7">
        <f t="shared" si="345"/>
        <v>38720.370000000003</v>
      </c>
      <c r="P3197" s="4">
        <v>0.14000000000000001</v>
      </c>
      <c r="Q3197" s="7">
        <f t="shared" si="346"/>
        <v>5420.8518000000013</v>
      </c>
      <c r="R3197" s="7">
        <f t="shared" si="347"/>
        <v>33299.518199999999</v>
      </c>
      <c r="S3197" s="7">
        <f t="shared" si="348"/>
        <v>853.8338</v>
      </c>
      <c r="T3197" s="6">
        <f t="shared" si="349"/>
        <v>2.34375E-2</v>
      </c>
      <c r="U3197" t="s">
        <v>96</v>
      </c>
      <c r="V3197" t="s">
        <v>29</v>
      </c>
    </row>
    <row r="3198" spans="1:22">
      <c r="A3198" s="3">
        <v>45791</v>
      </c>
      <c r="B3198" t="str">
        <f t="shared" si="343"/>
        <v>yyyy-05</v>
      </c>
      <c r="C3198">
        <f t="shared" si="344"/>
        <v>20</v>
      </c>
      <c r="D3198" t="s">
        <v>24</v>
      </c>
      <c r="E3198" t="s">
        <v>25</v>
      </c>
      <c r="F3198" t="s">
        <v>30</v>
      </c>
      <c r="G3198" t="s">
        <v>27</v>
      </c>
      <c r="H3198" t="s">
        <v>63</v>
      </c>
      <c r="I3198" s="5">
        <v>1284</v>
      </c>
      <c r="J3198" s="5">
        <v>1048</v>
      </c>
      <c r="K3198" s="5">
        <v>105</v>
      </c>
      <c r="L3198" s="5">
        <v>26</v>
      </c>
      <c r="M3198" s="5">
        <v>26</v>
      </c>
      <c r="N3198" s="7">
        <v>383.38</v>
      </c>
      <c r="O3198" s="7">
        <f t="shared" si="345"/>
        <v>9967.8799999999992</v>
      </c>
      <c r="P3198" s="4">
        <v>0.14000000000000001</v>
      </c>
      <c r="Q3198" s="7">
        <f t="shared" si="346"/>
        <v>1395.5032000000001</v>
      </c>
      <c r="R3198" s="7">
        <f t="shared" si="347"/>
        <v>8572.3767999999982</v>
      </c>
      <c r="S3198" s="7">
        <f t="shared" si="348"/>
        <v>329.70679999999993</v>
      </c>
      <c r="T3198" s="6">
        <f t="shared" si="349"/>
        <v>2.0249221183800622E-2</v>
      </c>
      <c r="U3198" t="s">
        <v>96</v>
      </c>
      <c r="V3198" t="s">
        <v>29</v>
      </c>
    </row>
    <row r="3199" spans="1:22">
      <c r="A3199" s="3">
        <v>45791</v>
      </c>
      <c r="B3199" t="str">
        <f t="shared" si="343"/>
        <v>yyyy-05</v>
      </c>
      <c r="C3199">
        <f t="shared" si="344"/>
        <v>20</v>
      </c>
      <c r="D3199" t="s">
        <v>24</v>
      </c>
      <c r="E3199" t="s">
        <v>25</v>
      </c>
      <c r="F3199" t="s">
        <v>33</v>
      </c>
      <c r="G3199" t="s">
        <v>36</v>
      </c>
      <c r="H3199" t="s">
        <v>37</v>
      </c>
      <c r="I3199" s="5">
        <v>1790</v>
      </c>
      <c r="J3199" s="5">
        <v>1016</v>
      </c>
      <c r="K3199" s="5">
        <v>189</v>
      </c>
      <c r="L3199" s="5">
        <v>40</v>
      </c>
      <c r="M3199" s="5">
        <v>40</v>
      </c>
      <c r="N3199" s="7">
        <v>1752.61</v>
      </c>
      <c r="O3199" s="7">
        <f t="shared" si="345"/>
        <v>70104.399999999994</v>
      </c>
      <c r="P3199" s="4">
        <v>0.14000000000000001</v>
      </c>
      <c r="Q3199" s="7">
        <f t="shared" si="346"/>
        <v>9814.616</v>
      </c>
      <c r="R3199" s="7">
        <f t="shared" si="347"/>
        <v>60289.783999999992</v>
      </c>
      <c r="S3199" s="7">
        <f t="shared" si="348"/>
        <v>1507.2445999999998</v>
      </c>
      <c r="T3199" s="6">
        <f t="shared" si="349"/>
        <v>2.23463687150838E-2</v>
      </c>
      <c r="U3199" t="s">
        <v>96</v>
      </c>
      <c r="V3199" t="s">
        <v>78</v>
      </c>
    </row>
    <row r="3200" spans="1:22">
      <c r="A3200" s="3">
        <v>45791</v>
      </c>
      <c r="B3200" t="str">
        <f t="shared" si="343"/>
        <v>yyyy-05</v>
      </c>
      <c r="C3200">
        <f t="shared" si="344"/>
        <v>20</v>
      </c>
      <c r="D3200" t="s">
        <v>24</v>
      </c>
      <c r="E3200" t="s">
        <v>34</v>
      </c>
      <c r="F3200" t="s">
        <v>35</v>
      </c>
      <c r="G3200" t="s">
        <v>27</v>
      </c>
      <c r="H3200" t="s">
        <v>45</v>
      </c>
      <c r="I3200" s="5">
        <v>877</v>
      </c>
      <c r="J3200" s="5">
        <v>536</v>
      </c>
      <c r="K3200" s="5">
        <v>69</v>
      </c>
      <c r="L3200" s="5">
        <v>17</v>
      </c>
      <c r="M3200" s="5">
        <v>17</v>
      </c>
      <c r="N3200" s="7">
        <v>863.28</v>
      </c>
      <c r="O3200" s="7">
        <f t="shared" si="345"/>
        <v>14675.76</v>
      </c>
      <c r="P3200" s="4">
        <v>0</v>
      </c>
      <c r="Q3200" s="7">
        <f t="shared" si="346"/>
        <v>0</v>
      </c>
      <c r="R3200" s="7">
        <f t="shared" si="347"/>
        <v>14675.76</v>
      </c>
      <c r="S3200" s="7">
        <f t="shared" si="348"/>
        <v>863.28</v>
      </c>
      <c r="T3200" s="6">
        <f t="shared" si="349"/>
        <v>1.9384264538198404E-2</v>
      </c>
      <c r="V3200" t="s">
        <v>29</v>
      </c>
    </row>
    <row r="3201" spans="1:22">
      <c r="A3201" s="3">
        <v>45791</v>
      </c>
      <c r="B3201" t="str">
        <f t="shared" si="343"/>
        <v>yyyy-05</v>
      </c>
      <c r="C3201">
        <f t="shared" si="344"/>
        <v>20</v>
      </c>
      <c r="D3201" t="s">
        <v>24</v>
      </c>
      <c r="E3201" t="s">
        <v>38</v>
      </c>
      <c r="F3201" t="s">
        <v>39</v>
      </c>
      <c r="G3201" t="s">
        <v>36</v>
      </c>
      <c r="H3201" t="s">
        <v>37</v>
      </c>
      <c r="I3201" s="5">
        <v>1137</v>
      </c>
      <c r="J3201" s="5">
        <v>609</v>
      </c>
      <c r="K3201" s="5">
        <v>76</v>
      </c>
      <c r="L3201" s="5">
        <v>29</v>
      </c>
      <c r="M3201" s="5">
        <v>29</v>
      </c>
      <c r="N3201" s="7">
        <v>315.97000000000003</v>
      </c>
      <c r="O3201" s="7">
        <f t="shared" si="345"/>
        <v>9163.130000000001</v>
      </c>
      <c r="P3201" s="4">
        <v>0</v>
      </c>
      <c r="Q3201" s="7">
        <f t="shared" si="346"/>
        <v>0</v>
      </c>
      <c r="R3201" s="7">
        <f t="shared" si="347"/>
        <v>9163.130000000001</v>
      </c>
      <c r="S3201" s="7">
        <f t="shared" si="348"/>
        <v>315.97000000000003</v>
      </c>
      <c r="T3201" s="6">
        <f t="shared" si="349"/>
        <v>2.5505716798592787E-2</v>
      </c>
      <c r="V3201" t="s">
        <v>29</v>
      </c>
    </row>
    <row r="3202" spans="1:22">
      <c r="A3202" s="3">
        <v>45791</v>
      </c>
      <c r="B3202" t="str">
        <f t="shared" si="343"/>
        <v>yyyy-05</v>
      </c>
      <c r="C3202">
        <f t="shared" si="344"/>
        <v>20</v>
      </c>
      <c r="D3202" t="s">
        <v>24</v>
      </c>
      <c r="E3202" t="s">
        <v>40</v>
      </c>
      <c r="F3202" t="s">
        <v>41</v>
      </c>
      <c r="G3202" t="s">
        <v>27</v>
      </c>
      <c r="H3202" t="s">
        <v>28</v>
      </c>
      <c r="I3202" s="5">
        <v>711</v>
      </c>
      <c r="J3202" s="5">
        <v>517</v>
      </c>
      <c r="K3202" s="5">
        <v>48</v>
      </c>
      <c r="L3202" s="5">
        <v>18</v>
      </c>
      <c r="M3202" s="5">
        <v>22</v>
      </c>
      <c r="N3202" s="7">
        <v>181.05</v>
      </c>
      <c r="O3202" s="7">
        <f t="shared" si="345"/>
        <v>3983.1000000000004</v>
      </c>
      <c r="P3202" s="4">
        <v>0.03</v>
      </c>
      <c r="Q3202" s="7">
        <f t="shared" si="346"/>
        <v>119.49300000000001</v>
      </c>
      <c r="R3202" s="7">
        <f t="shared" si="347"/>
        <v>3863.6070000000004</v>
      </c>
      <c r="S3202" s="7">
        <f t="shared" si="348"/>
        <v>214.64483333333337</v>
      </c>
      <c r="T3202" s="6">
        <f t="shared" si="349"/>
        <v>2.5316455696202531E-2</v>
      </c>
      <c r="V3202" t="s">
        <v>29</v>
      </c>
    </row>
    <row r="3203" spans="1:22">
      <c r="A3203" s="3">
        <v>45791</v>
      </c>
      <c r="B3203" t="str">
        <f t="shared" si="343"/>
        <v>yyyy-05</v>
      </c>
      <c r="C3203">
        <f t="shared" si="344"/>
        <v>20</v>
      </c>
      <c r="D3203" t="s">
        <v>42</v>
      </c>
      <c r="E3203" t="s">
        <v>43</v>
      </c>
      <c r="F3203" t="s">
        <v>44</v>
      </c>
      <c r="G3203" t="s">
        <v>31</v>
      </c>
      <c r="H3203" t="s">
        <v>32</v>
      </c>
      <c r="I3203" s="5">
        <v>620</v>
      </c>
      <c r="J3203" s="5">
        <v>329</v>
      </c>
      <c r="K3203" s="5">
        <v>37</v>
      </c>
      <c r="L3203" s="5">
        <v>9</v>
      </c>
      <c r="M3203" s="5">
        <v>9</v>
      </c>
      <c r="N3203" s="7">
        <v>1278.24</v>
      </c>
      <c r="O3203" s="7">
        <f t="shared" si="345"/>
        <v>11504.16</v>
      </c>
      <c r="P3203" s="4">
        <v>0.05</v>
      </c>
      <c r="Q3203" s="7">
        <f t="shared" si="346"/>
        <v>575.20799999999997</v>
      </c>
      <c r="R3203" s="7">
        <f t="shared" si="347"/>
        <v>10928.951999999999</v>
      </c>
      <c r="S3203" s="7">
        <f t="shared" si="348"/>
        <v>1214.328</v>
      </c>
      <c r="T3203" s="6">
        <f t="shared" si="349"/>
        <v>1.4516129032258065E-2</v>
      </c>
      <c r="V3203" t="s">
        <v>29</v>
      </c>
    </row>
    <row r="3204" spans="1:22">
      <c r="A3204" s="3">
        <v>45791</v>
      </c>
      <c r="B3204" t="str">
        <f t="shared" si="343"/>
        <v>yyyy-05</v>
      </c>
      <c r="C3204">
        <f t="shared" si="344"/>
        <v>20</v>
      </c>
      <c r="D3204" t="s">
        <v>42</v>
      </c>
      <c r="E3204" t="s">
        <v>43</v>
      </c>
      <c r="F3204" t="s">
        <v>46</v>
      </c>
      <c r="G3204" t="s">
        <v>36</v>
      </c>
      <c r="H3204" t="s">
        <v>37</v>
      </c>
      <c r="I3204" s="5">
        <v>747</v>
      </c>
      <c r="J3204" s="5">
        <v>581</v>
      </c>
      <c r="K3204" s="5">
        <v>66</v>
      </c>
      <c r="L3204" s="5">
        <v>13</v>
      </c>
      <c r="M3204" s="5">
        <v>13</v>
      </c>
      <c r="N3204" s="7">
        <v>2113.33</v>
      </c>
      <c r="O3204" s="7">
        <f t="shared" si="345"/>
        <v>27473.29</v>
      </c>
      <c r="P3204" s="4">
        <v>0.05</v>
      </c>
      <c r="Q3204" s="7">
        <f t="shared" si="346"/>
        <v>1373.6645000000001</v>
      </c>
      <c r="R3204" s="7">
        <f t="shared" si="347"/>
        <v>26099.625500000002</v>
      </c>
      <c r="S3204" s="7">
        <f t="shared" si="348"/>
        <v>2007.6635000000001</v>
      </c>
      <c r="T3204" s="6">
        <f t="shared" si="349"/>
        <v>1.7402945113788489E-2</v>
      </c>
      <c r="V3204" t="s">
        <v>29</v>
      </c>
    </row>
    <row r="3205" spans="1:22">
      <c r="A3205" s="3">
        <v>45791</v>
      </c>
      <c r="B3205" t="str">
        <f t="shared" ref="B3205:B3268" si="350">TEXT(A3205,"yyyy-mm")</f>
        <v>yyyy-05</v>
      </c>
      <c r="C3205">
        <f t="shared" ref="C3205:C3268" si="351">WEEKNUM(A3205,2)</f>
        <v>20</v>
      </c>
      <c r="D3205" t="s">
        <v>42</v>
      </c>
      <c r="E3205" t="s">
        <v>43</v>
      </c>
      <c r="F3205" t="s">
        <v>47</v>
      </c>
      <c r="G3205" t="s">
        <v>27</v>
      </c>
      <c r="H3205" t="s">
        <v>63</v>
      </c>
      <c r="I3205" s="5">
        <v>330</v>
      </c>
      <c r="J3205" s="5">
        <v>206</v>
      </c>
      <c r="K3205" s="5">
        <v>21</v>
      </c>
      <c r="L3205" s="5">
        <v>4</v>
      </c>
      <c r="M3205" s="5">
        <v>4</v>
      </c>
      <c r="N3205" s="7">
        <v>576.37</v>
      </c>
      <c r="O3205" s="7">
        <f t="shared" ref="O3205:O3268" si="352">M3205*N3205</f>
        <v>2305.48</v>
      </c>
      <c r="P3205" s="4">
        <v>0</v>
      </c>
      <c r="Q3205" s="7">
        <f t="shared" ref="Q3205:Q3268" si="353">O3205*P3205</f>
        <v>0</v>
      </c>
      <c r="R3205" s="7">
        <f t="shared" ref="R3205:R3268" si="354">O3205-Q3205</f>
        <v>2305.48</v>
      </c>
      <c r="S3205" s="7">
        <f t="shared" ref="S3205:S3268" si="355">IFERROR(R3205/L3205,0)</f>
        <v>576.37</v>
      </c>
      <c r="T3205" s="6">
        <f t="shared" ref="T3205:T3268" si="356">IFERROR(L3205/I3205,0)</f>
        <v>1.2121212121212121E-2</v>
      </c>
      <c r="V3205" t="s">
        <v>29</v>
      </c>
    </row>
    <row r="3206" spans="1:22">
      <c r="A3206" s="3">
        <v>45791</v>
      </c>
      <c r="B3206" t="str">
        <f t="shared" si="350"/>
        <v>yyyy-05</v>
      </c>
      <c r="C3206">
        <f t="shared" si="351"/>
        <v>20</v>
      </c>
      <c r="D3206" t="s">
        <v>42</v>
      </c>
      <c r="E3206" t="s">
        <v>49</v>
      </c>
      <c r="F3206" t="s">
        <v>50</v>
      </c>
      <c r="G3206" t="s">
        <v>27</v>
      </c>
      <c r="H3206" t="s">
        <v>28</v>
      </c>
      <c r="I3206" s="5">
        <v>160</v>
      </c>
      <c r="J3206" s="5">
        <v>118</v>
      </c>
      <c r="K3206" s="5">
        <v>8</v>
      </c>
      <c r="L3206" s="5">
        <v>2</v>
      </c>
      <c r="M3206" s="5">
        <v>2</v>
      </c>
      <c r="N3206" s="7">
        <v>962.39</v>
      </c>
      <c r="O3206" s="7">
        <f t="shared" si="352"/>
        <v>1924.78</v>
      </c>
      <c r="P3206" s="4">
        <v>0</v>
      </c>
      <c r="Q3206" s="7">
        <f t="shared" si="353"/>
        <v>0</v>
      </c>
      <c r="R3206" s="7">
        <f t="shared" si="354"/>
        <v>1924.78</v>
      </c>
      <c r="S3206" s="7">
        <f t="shared" si="355"/>
        <v>962.39</v>
      </c>
      <c r="T3206" s="6">
        <f t="shared" si="356"/>
        <v>1.2500000000000001E-2</v>
      </c>
      <c r="V3206" t="s">
        <v>78</v>
      </c>
    </row>
    <row r="3207" spans="1:22">
      <c r="A3207" s="3">
        <v>45791</v>
      </c>
      <c r="B3207" t="str">
        <f t="shared" si="350"/>
        <v>yyyy-05</v>
      </c>
      <c r="C3207">
        <f t="shared" si="351"/>
        <v>20</v>
      </c>
      <c r="D3207" t="s">
        <v>42</v>
      </c>
      <c r="E3207" t="s">
        <v>51</v>
      </c>
      <c r="F3207" t="s">
        <v>52</v>
      </c>
      <c r="G3207" t="s">
        <v>27</v>
      </c>
      <c r="H3207" t="s">
        <v>28</v>
      </c>
      <c r="I3207" s="5">
        <v>254</v>
      </c>
      <c r="J3207" s="5">
        <v>179</v>
      </c>
      <c r="K3207" s="5">
        <v>19</v>
      </c>
      <c r="L3207" s="5">
        <v>4</v>
      </c>
      <c r="M3207" s="5">
        <v>4</v>
      </c>
      <c r="N3207" s="7">
        <v>601.21</v>
      </c>
      <c r="O3207" s="7">
        <f t="shared" si="352"/>
        <v>2404.84</v>
      </c>
      <c r="P3207" s="4">
        <v>0</v>
      </c>
      <c r="Q3207" s="7">
        <f t="shared" si="353"/>
        <v>0</v>
      </c>
      <c r="R3207" s="7">
        <f t="shared" si="354"/>
        <v>2404.84</v>
      </c>
      <c r="S3207" s="7">
        <f t="shared" si="355"/>
        <v>601.21</v>
      </c>
      <c r="T3207" s="6">
        <f t="shared" si="356"/>
        <v>1.5748031496062992E-2</v>
      </c>
      <c r="V3207" t="s">
        <v>29</v>
      </c>
    </row>
    <row r="3208" spans="1:22">
      <c r="A3208" s="3">
        <v>45791</v>
      </c>
      <c r="B3208" t="str">
        <f t="shared" si="350"/>
        <v>yyyy-05</v>
      </c>
      <c r="C3208">
        <f t="shared" si="351"/>
        <v>20</v>
      </c>
      <c r="D3208" t="s">
        <v>53</v>
      </c>
      <c r="E3208" t="s">
        <v>54</v>
      </c>
      <c r="F3208" t="s">
        <v>55</v>
      </c>
      <c r="G3208" t="s">
        <v>27</v>
      </c>
      <c r="H3208" t="s">
        <v>28</v>
      </c>
      <c r="I3208" s="5">
        <v>174</v>
      </c>
      <c r="J3208" s="5">
        <v>131</v>
      </c>
      <c r="K3208" s="5">
        <v>12</v>
      </c>
      <c r="L3208" s="5">
        <v>2</v>
      </c>
      <c r="M3208" s="5">
        <v>2</v>
      </c>
      <c r="N3208" s="7">
        <v>1312.44</v>
      </c>
      <c r="O3208" s="7">
        <f t="shared" si="352"/>
        <v>2624.88</v>
      </c>
      <c r="P3208" s="4">
        <v>0</v>
      </c>
      <c r="Q3208" s="7">
        <f t="shared" si="353"/>
        <v>0</v>
      </c>
      <c r="R3208" s="7">
        <f t="shared" si="354"/>
        <v>2624.88</v>
      </c>
      <c r="S3208" s="7">
        <f t="shared" si="355"/>
        <v>1312.44</v>
      </c>
      <c r="T3208" s="6">
        <f t="shared" si="356"/>
        <v>1.1494252873563218E-2</v>
      </c>
      <c r="V3208" t="s">
        <v>29</v>
      </c>
    </row>
    <row r="3209" spans="1:22">
      <c r="A3209" s="3">
        <v>45791</v>
      </c>
      <c r="B3209" t="str">
        <f t="shared" si="350"/>
        <v>yyyy-05</v>
      </c>
      <c r="C3209">
        <f t="shared" si="351"/>
        <v>20</v>
      </c>
      <c r="D3209" t="s">
        <v>53</v>
      </c>
      <c r="E3209" t="s">
        <v>56</v>
      </c>
      <c r="F3209" t="s">
        <v>57</v>
      </c>
      <c r="G3209" t="s">
        <v>27</v>
      </c>
      <c r="H3209" t="s">
        <v>45</v>
      </c>
      <c r="I3209" s="5">
        <v>171</v>
      </c>
      <c r="J3209" s="5">
        <v>96</v>
      </c>
      <c r="K3209" s="5">
        <v>4</v>
      </c>
      <c r="L3209" s="5">
        <v>1</v>
      </c>
      <c r="M3209" s="5">
        <v>1</v>
      </c>
      <c r="N3209" s="7">
        <v>722.86</v>
      </c>
      <c r="O3209" s="7">
        <f t="shared" si="352"/>
        <v>722.86</v>
      </c>
      <c r="P3209" s="4">
        <v>0</v>
      </c>
      <c r="Q3209" s="7">
        <f t="shared" si="353"/>
        <v>0</v>
      </c>
      <c r="R3209" s="7">
        <f t="shared" si="354"/>
        <v>722.86</v>
      </c>
      <c r="S3209" s="7">
        <f t="shared" si="355"/>
        <v>722.86</v>
      </c>
      <c r="T3209" s="6">
        <f t="shared" si="356"/>
        <v>5.8479532163742687E-3</v>
      </c>
      <c r="V3209" t="s">
        <v>29</v>
      </c>
    </row>
    <row r="3210" spans="1:22">
      <c r="A3210" s="3">
        <v>45791</v>
      </c>
      <c r="B3210" t="str">
        <f t="shared" si="350"/>
        <v>yyyy-05</v>
      </c>
      <c r="C3210">
        <f t="shared" si="351"/>
        <v>20</v>
      </c>
      <c r="D3210" t="s">
        <v>53</v>
      </c>
      <c r="E3210" t="s">
        <v>56</v>
      </c>
      <c r="F3210" t="s">
        <v>58</v>
      </c>
      <c r="G3210" t="s">
        <v>31</v>
      </c>
      <c r="H3210" t="s">
        <v>32</v>
      </c>
      <c r="I3210" s="5">
        <v>308</v>
      </c>
      <c r="J3210" s="5">
        <v>165</v>
      </c>
      <c r="K3210" s="5">
        <v>14</v>
      </c>
      <c r="L3210" s="5">
        <v>3</v>
      </c>
      <c r="M3210" s="5">
        <v>3</v>
      </c>
      <c r="N3210" s="7">
        <v>898.23</v>
      </c>
      <c r="O3210" s="7">
        <f t="shared" si="352"/>
        <v>2694.69</v>
      </c>
      <c r="P3210" s="4">
        <v>0</v>
      </c>
      <c r="Q3210" s="7">
        <f t="shared" si="353"/>
        <v>0</v>
      </c>
      <c r="R3210" s="7">
        <f t="shared" si="354"/>
        <v>2694.69</v>
      </c>
      <c r="S3210" s="7">
        <f t="shared" si="355"/>
        <v>898.23</v>
      </c>
      <c r="T3210" s="6">
        <f t="shared" si="356"/>
        <v>9.74025974025974E-3</v>
      </c>
      <c r="V3210" t="s">
        <v>78</v>
      </c>
    </row>
    <row r="3211" spans="1:22">
      <c r="A3211" s="3">
        <v>45791</v>
      </c>
      <c r="B3211" t="str">
        <f t="shared" si="350"/>
        <v>yyyy-05</v>
      </c>
      <c r="C3211">
        <f t="shared" si="351"/>
        <v>20</v>
      </c>
      <c r="D3211" t="s">
        <v>53</v>
      </c>
      <c r="E3211" t="s">
        <v>59</v>
      </c>
      <c r="F3211" t="s">
        <v>60</v>
      </c>
      <c r="G3211" t="s">
        <v>36</v>
      </c>
      <c r="H3211" t="s">
        <v>37</v>
      </c>
      <c r="I3211" s="5">
        <v>185</v>
      </c>
      <c r="J3211" s="5">
        <v>131</v>
      </c>
      <c r="K3211" s="5">
        <v>11</v>
      </c>
      <c r="L3211" s="5">
        <v>2</v>
      </c>
      <c r="M3211" s="5">
        <v>2</v>
      </c>
      <c r="N3211" s="7">
        <v>689.7</v>
      </c>
      <c r="O3211" s="7">
        <f t="shared" si="352"/>
        <v>1379.4</v>
      </c>
      <c r="P3211" s="4">
        <v>0</v>
      </c>
      <c r="Q3211" s="7">
        <f t="shared" si="353"/>
        <v>0</v>
      </c>
      <c r="R3211" s="7">
        <f t="shared" si="354"/>
        <v>1379.4</v>
      </c>
      <c r="S3211" s="7">
        <f t="shared" si="355"/>
        <v>689.7</v>
      </c>
      <c r="T3211" s="6">
        <f t="shared" si="356"/>
        <v>1.0810810810810811E-2</v>
      </c>
      <c r="V3211" t="s">
        <v>29</v>
      </c>
    </row>
    <row r="3212" spans="1:22">
      <c r="A3212" s="3">
        <v>45791</v>
      </c>
      <c r="B3212" t="str">
        <f t="shared" si="350"/>
        <v>yyyy-05</v>
      </c>
      <c r="C3212">
        <f t="shared" si="351"/>
        <v>20</v>
      </c>
      <c r="D3212" t="s">
        <v>53</v>
      </c>
      <c r="E3212" t="s">
        <v>61</v>
      </c>
      <c r="F3212" t="s">
        <v>62</v>
      </c>
      <c r="G3212" t="s">
        <v>31</v>
      </c>
      <c r="H3212" t="s">
        <v>32</v>
      </c>
      <c r="I3212" s="5">
        <v>186</v>
      </c>
      <c r="J3212" s="5">
        <v>100</v>
      </c>
      <c r="K3212" s="5">
        <v>9</v>
      </c>
      <c r="L3212" s="5">
        <v>2</v>
      </c>
      <c r="M3212" s="5">
        <v>2</v>
      </c>
      <c r="N3212" s="7">
        <v>503.91</v>
      </c>
      <c r="O3212" s="7">
        <f t="shared" si="352"/>
        <v>1007.82</v>
      </c>
      <c r="P3212" s="4">
        <v>0.03</v>
      </c>
      <c r="Q3212" s="7">
        <f t="shared" si="353"/>
        <v>30.2346</v>
      </c>
      <c r="R3212" s="7">
        <f t="shared" si="354"/>
        <v>977.58540000000005</v>
      </c>
      <c r="S3212" s="7">
        <f t="shared" si="355"/>
        <v>488.79270000000002</v>
      </c>
      <c r="T3212" s="6">
        <f t="shared" si="356"/>
        <v>1.0752688172043012E-2</v>
      </c>
      <c r="V3212" t="s">
        <v>29</v>
      </c>
    </row>
    <row r="3213" spans="1:22">
      <c r="A3213" s="3">
        <v>45791</v>
      </c>
      <c r="B3213" t="str">
        <f t="shared" si="350"/>
        <v>yyyy-05</v>
      </c>
      <c r="C3213">
        <f t="shared" si="351"/>
        <v>20</v>
      </c>
      <c r="D3213" t="s">
        <v>53</v>
      </c>
      <c r="E3213" t="s">
        <v>64</v>
      </c>
      <c r="F3213" t="s">
        <v>65</v>
      </c>
      <c r="G3213" t="s">
        <v>27</v>
      </c>
      <c r="H3213" t="s">
        <v>45</v>
      </c>
      <c r="I3213" s="5">
        <v>294</v>
      </c>
      <c r="J3213" s="5">
        <v>191</v>
      </c>
      <c r="K3213" s="5">
        <v>12</v>
      </c>
      <c r="L3213" s="5">
        <v>3</v>
      </c>
      <c r="M3213" s="5">
        <v>3</v>
      </c>
      <c r="N3213" s="7">
        <v>786.98</v>
      </c>
      <c r="O3213" s="7">
        <f t="shared" si="352"/>
        <v>2360.94</v>
      </c>
      <c r="P3213" s="4">
        <v>0.12</v>
      </c>
      <c r="Q3213" s="7">
        <f t="shared" si="353"/>
        <v>283.31279999999998</v>
      </c>
      <c r="R3213" s="7">
        <f t="shared" si="354"/>
        <v>2077.6271999999999</v>
      </c>
      <c r="S3213" s="7">
        <f t="shared" si="355"/>
        <v>692.54239999999993</v>
      </c>
      <c r="T3213" s="6">
        <f t="shared" si="356"/>
        <v>1.020408163265306E-2</v>
      </c>
      <c r="U3213" t="s">
        <v>97</v>
      </c>
      <c r="V3213" t="s">
        <v>78</v>
      </c>
    </row>
    <row r="3214" spans="1:22">
      <c r="A3214" s="3">
        <v>45791</v>
      </c>
      <c r="B3214" t="str">
        <f t="shared" si="350"/>
        <v>yyyy-05</v>
      </c>
      <c r="C3214">
        <f t="shared" si="351"/>
        <v>20</v>
      </c>
      <c r="D3214" t="s">
        <v>66</v>
      </c>
      <c r="E3214" t="s">
        <v>67</v>
      </c>
      <c r="F3214" t="s">
        <v>68</v>
      </c>
      <c r="G3214" t="s">
        <v>36</v>
      </c>
      <c r="H3214" t="s">
        <v>37</v>
      </c>
      <c r="I3214" s="5">
        <v>537</v>
      </c>
      <c r="J3214" s="5">
        <v>302</v>
      </c>
      <c r="K3214" s="5">
        <v>42</v>
      </c>
      <c r="L3214" s="5">
        <v>12</v>
      </c>
      <c r="M3214" s="5">
        <v>12</v>
      </c>
      <c r="N3214" s="7">
        <v>694.86</v>
      </c>
      <c r="O3214" s="7">
        <f t="shared" si="352"/>
        <v>8338.32</v>
      </c>
      <c r="P3214" s="4">
        <v>0.03</v>
      </c>
      <c r="Q3214" s="7">
        <f t="shared" si="353"/>
        <v>250.14959999999999</v>
      </c>
      <c r="R3214" s="7">
        <f t="shared" si="354"/>
        <v>8088.1704</v>
      </c>
      <c r="S3214" s="7">
        <f t="shared" si="355"/>
        <v>674.01419999999996</v>
      </c>
      <c r="T3214" s="6">
        <f t="shared" si="356"/>
        <v>2.23463687150838E-2</v>
      </c>
      <c r="V3214" t="s">
        <v>29</v>
      </c>
    </row>
    <row r="3215" spans="1:22">
      <c r="A3215" s="3">
        <v>45791</v>
      </c>
      <c r="B3215" t="str">
        <f t="shared" si="350"/>
        <v>yyyy-05</v>
      </c>
      <c r="C3215">
        <f t="shared" si="351"/>
        <v>20</v>
      </c>
      <c r="D3215" t="s">
        <v>66</v>
      </c>
      <c r="E3215" t="s">
        <v>67</v>
      </c>
      <c r="F3215" t="s">
        <v>69</v>
      </c>
      <c r="G3215" t="s">
        <v>27</v>
      </c>
      <c r="H3215" t="s">
        <v>45</v>
      </c>
      <c r="I3215" s="5">
        <v>456</v>
      </c>
      <c r="J3215" s="5">
        <v>299</v>
      </c>
      <c r="K3215" s="5">
        <v>31</v>
      </c>
      <c r="L3215" s="5">
        <v>9</v>
      </c>
      <c r="M3215" s="5">
        <v>9</v>
      </c>
      <c r="N3215" s="7">
        <v>391.24</v>
      </c>
      <c r="O3215" s="7">
        <f t="shared" si="352"/>
        <v>3521.16</v>
      </c>
      <c r="P3215" s="4">
        <v>0</v>
      </c>
      <c r="Q3215" s="7">
        <f t="shared" si="353"/>
        <v>0</v>
      </c>
      <c r="R3215" s="7">
        <f t="shared" si="354"/>
        <v>3521.16</v>
      </c>
      <c r="S3215" s="7">
        <f t="shared" si="355"/>
        <v>391.24</v>
      </c>
      <c r="T3215" s="6">
        <f t="shared" si="356"/>
        <v>1.9736842105263157E-2</v>
      </c>
      <c r="V3215" t="s">
        <v>29</v>
      </c>
    </row>
    <row r="3216" spans="1:22">
      <c r="A3216" s="3">
        <v>45791</v>
      </c>
      <c r="B3216" t="str">
        <f t="shared" si="350"/>
        <v>yyyy-05</v>
      </c>
      <c r="C3216">
        <f t="shared" si="351"/>
        <v>20</v>
      </c>
      <c r="D3216" t="s">
        <v>66</v>
      </c>
      <c r="E3216" t="s">
        <v>67</v>
      </c>
      <c r="F3216" t="s">
        <v>70</v>
      </c>
      <c r="G3216" t="s">
        <v>36</v>
      </c>
      <c r="H3216" t="s">
        <v>37</v>
      </c>
      <c r="I3216" s="5">
        <v>328</v>
      </c>
      <c r="J3216" s="5">
        <v>217</v>
      </c>
      <c r="K3216" s="5">
        <v>24</v>
      </c>
      <c r="L3216" s="5">
        <v>5</v>
      </c>
      <c r="M3216" s="5">
        <v>5</v>
      </c>
      <c r="N3216" s="7">
        <v>340.5</v>
      </c>
      <c r="O3216" s="7">
        <f t="shared" si="352"/>
        <v>1702.5</v>
      </c>
      <c r="P3216" s="4">
        <v>0</v>
      </c>
      <c r="Q3216" s="7">
        <f t="shared" si="353"/>
        <v>0</v>
      </c>
      <c r="R3216" s="7">
        <f t="shared" si="354"/>
        <v>1702.5</v>
      </c>
      <c r="S3216" s="7">
        <f t="shared" si="355"/>
        <v>340.5</v>
      </c>
      <c r="T3216" s="6">
        <f t="shared" si="356"/>
        <v>1.524390243902439E-2</v>
      </c>
      <c r="V3216" t="s">
        <v>29</v>
      </c>
    </row>
    <row r="3217" spans="1:22">
      <c r="A3217" s="3">
        <v>45791</v>
      </c>
      <c r="B3217" t="str">
        <f t="shared" si="350"/>
        <v>yyyy-05</v>
      </c>
      <c r="C3217">
        <f t="shared" si="351"/>
        <v>20</v>
      </c>
      <c r="D3217" t="s">
        <v>66</v>
      </c>
      <c r="E3217" t="s">
        <v>71</v>
      </c>
      <c r="F3217" t="s">
        <v>72</v>
      </c>
      <c r="G3217" t="s">
        <v>36</v>
      </c>
      <c r="H3217" t="s">
        <v>37</v>
      </c>
      <c r="I3217" s="5">
        <v>379</v>
      </c>
      <c r="J3217" s="5">
        <v>252</v>
      </c>
      <c r="K3217" s="5">
        <v>19</v>
      </c>
      <c r="L3217" s="5">
        <v>8</v>
      </c>
      <c r="M3217" s="5">
        <v>9</v>
      </c>
      <c r="N3217" s="7">
        <v>128.6</v>
      </c>
      <c r="O3217" s="7">
        <f t="shared" si="352"/>
        <v>1157.3999999999999</v>
      </c>
      <c r="P3217" s="4">
        <v>0.05</v>
      </c>
      <c r="Q3217" s="7">
        <f t="shared" si="353"/>
        <v>57.87</v>
      </c>
      <c r="R3217" s="7">
        <f t="shared" si="354"/>
        <v>1099.53</v>
      </c>
      <c r="S3217" s="7">
        <f t="shared" si="355"/>
        <v>137.44125</v>
      </c>
      <c r="T3217" s="6">
        <f t="shared" si="356"/>
        <v>2.1108179419525065E-2</v>
      </c>
      <c r="V3217" t="s">
        <v>29</v>
      </c>
    </row>
    <row r="3218" spans="1:22">
      <c r="A3218" s="3">
        <v>45791</v>
      </c>
      <c r="B3218" t="str">
        <f t="shared" si="350"/>
        <v>yyyy-05</v>
      </c>
      <c r="C3218">
        <f t="shared" si="351"/>
        <v>20</v>
      </c>
      <c r="D3218" t="s">
        <v>66</v>
      </c>
      <c r="E3218" t="s">
        <v>73</v>
      </c>
      <c r="F3218" t="s">
        <v>74</v>
      </c>
      <c r="G3218" t="s">
        <v>27</v>
      </c>
      <c r="H3218" t="s">
        <v>28</v>
      </c>
      <c r="I3218" s="5">
        <v>258</v>
      </c>
      <c r="J3218" s="5">
        <v>146</v>
      </c>
      <c r="K3218" s="5">
        <v>13</v>
      </c>
      <c r="L3218" s="5">
        <v>4</v>
      </c>
      <c r="M3218" s="5">
        <v>4</v>
      </c>
      <c r="N3218" s="7">
        <v>1194.1099999999999</v>
      </c>
      <c r="O3218" s="7">
        <f t="shared" si="352"/>
        <v>4776.4399999999996</v>
      </c>
      <c r="P3218" s="4">
        <v>0</v>
      </c>
      <c r="Q3218" s="7">
        <f t="shared" si="353"/>
        <v>0</v>
      </c>
      <c r="R3218" s="7">
        <f t="shared" si="354"/>
        <v>4776.4399999999996</v>
      </c>
      <c r="S3218" s="7">
        <f t="shared" si="355"/>
        <v>1194.1099999999999</v>
      </c>
      <c r="T3218" s="6">
        <f t="shared" si="356"/>
        <v>1.5503875968992248E-2</v>
      </c>
      <c r="V3218" t="s">
        <v>29</v>
      </c>
    </row>
    <row r="3219" spans="1:22">
      <c r="A3219" s="3">
        <v>45791</v>
      </c>
      <c r="B3219" t="str">
        <f t="shared" si="350"/>
        <v>yyyy-05</v>
      </c>
      <c r="C3219">
        <f t="shared" si="351"/>
        <v>20</v>
      </c>
      <c r="D3219" t="s">
        <v>66</v>
      </c>
      <c r="E3219" t="s">
        <v>71</v>
      </c>
      <c r="F3219" t="s">
        <v>75</v>
      </c>
      <c r="G3219" t="s">
        <v>27</v>
      </c>
      <c r="H3219" t="s">
        <v>28</v>
      </c>
      <c r="I3219" s="5">
        <v>345</v>
      </c>
      <c r="J3219" s="5">
        <v>248</v>
      </c>
      <c r="K3219" s="5">
        <v>14</v>
      </c>
      <c r="L3219" s="5">
        <v>6</v>
      </c>
      <c r="M3219" s="5">
        <v>7</v>
      </c>
      <c r="N3219" s="7">
        <v>39.47</v>
      </c>
      <c r="O3219" s="7">
        <f t="shared" si="352"/>
        <v>276.28999999999996</v>
      </c>
      <c r="P3219" s="4">
        <v>0</v>
      </c>
      <c r="Q3219" s="7">
        <f t="shared" si="353"/>
        <v>0</v>
      </c>
      <c r="R3219" s="7">
        <f t="shared" si="354"/>
        <v>276.28999999999996</v>
      </c>
      <c r="S3219" s="7">
        <f t="shared" si="355"/>
        <v>46.048333333333325</v>
      </c>
      <c r="T3219" s="6">
        <f t="shared" si="356"/>
        <v>1.7391304347826087E-2</v>
      </c>
      <c r="V3219" t="s">
        <v>29</v>
      </c>
    </row>
    <row r="3220" spans="1:22">
      <c r="A3220" s="3">
        <v>45791</v>
      </c>
      <c r="B3220" t="str">
        <f t="shared" si="350"/>
        <v>yyyy-05</v>
      </c>
      <c r="C3220">
        <f t="shared" si="351"/>
        <v>20</v>
      </c>
      <c r="D3220" t="s">
        <v>24</v>
      </c>
      <c r="E3220" t="s">
        <v>76</v>
      </c>
      <c r="F3220" t="s">
        <v>77</v>
      </c>
      <c r="G3220" t="s">
        <v>31</v>
      </c>
      <c r="H3220" t="s">
        <v>32</v>
      </c>
      <c r="I3220" s="5">
        <v>680</v>
      </c>
      <c r="J3220" s="5">
        <v>360</v>
      </c>
      <c r="K3220" s="5">
        <v>54</v>
      </c>
      <c r="L3220" s="5">
        <v>13</v>
      </c>
      <c r="M3220" s="5">
        <v>14</v>
      </c>
      <c r="N3220" s="7">
        <v>193.44</v>
      </c>
      <c r="O3220" s="7">
        <f t="shared" si="352"/>
        <v>2708.16</v>
      </c>
      <c r="P3220" s="4">
        <v>0.03</v>
      </c>
      <c r="Q3220" s="7">
        <f t="shared" si="353"/>
        <v>81.244799999999998</v>
      </c>
      <c r="R3220" s="7">
        <f t="shared" si="354"/>
        <v>2626.9151999999999</v>
      </c>
      <c r="S3220" s="7">
        <f t="shared" si="355"/>
        <v>202.07040000000001</v>
      </c>
      <c r="T3220" s="6">
        <f t="shared" si="356"/>
        <v>1.9117647058823531E-2</v>
      </c>
      <c r="V3220" t="s">
        <v>29</v>
      </c>
    </row>
    <row r="3221" spans="1:22">
      <c r="A3221" s="3">
        <v>45792</v>
      </c>
      <c r="B3221" t="str">
        <f t="shared" si="350"/>
        <v>yyyy-05</v>
      </c>
      <c r="C3221">
        <f t="shared" si="351"/>
        <v>20</v>
      </c>
      <c r="D3221" t="s">
        <v>24</v>
      </c>
      <c r="E3221" t="s">
        <v>25</v>
      </c>
      <c r="F3221" t="s">
        <v>26</v>
      </c>
      <c r="G3221" t="s">
        <v>27</v>
      </c>
      <c r="H3221" t="s">
        <v>45</v>
      </c>
      <c r="I3221" s="5">
        <v>1333</v>
      </c>
      <c r="J3221" s="5">
        <v>888</v>
      </c>
      <c r="K3221" s="5">
        <v>181</v>
      </c>
      <c r="L3221" s="5">
        <v>40</v>
      </c>
      <c r="M3221" s="5">
        <v>40</v>
      </c>
      <c r="N3221" s="7">
        <v>967.69</v>
      </c>
      <c r="O3221" s="7">
        <f t="shared" si="352"/>
        <v>38707.600000000006</v>
      </c>
      <c r="P3221" s="4">
        <v>0.14000000000000001</v>
      </c>
      <c r="Q3221" s="7">
        <f t="shared" si="353"/>
        <v>5419.0640000000012</v>
      </c>
      <c r="R3221" s="7">
        <f t="shared" si="354"/>
        <v>33288.536000000007</v>
      </c>
      <c r="S3221" s="7">
        <f t="shared" si="355"/>
        <v>832.21340000000021</v>
      </c>
      <c r="T3221" s="6">
        <f t="shared" si="356"/>
        <v>3.0007501875468866E-2</v>
      </c>
      <c r="U3221" t="s">
        <v>96</v>
      </c>
      <c r="V3221" t="s">
        <v>29</v>
      </c>
    </row>
    <row r="3222" spans="1:22">
      <c r="A3222" s="3">
        <v>45792</v>
      </c>
      <c r="B3222" t="str">
        <f t="shared" si="350"/>
        <v>yyyy-05</v>
      </c>
      <c r="C3222">
        <f t="shared" si="351"/>
        <v>20</v>
      </c>
      <c r="D3222" t="s">
        <v>24</v>
      </c>
      <c r="E3222" t="s">
        <v>25</v>
      </c>
      <c r="F3222" t="s">
        <v>30</v>
      </c>
      <c r="G3222" t="s">
        <v>27</v>
      </c>
      <c r="H3222" t="s">
        <v>28</v>
      </c>
      <c r="I3222" s="5">
        <v>1768</v>
      </c>
      <c r="J3222" s="5">
        <v>986</v>
      </c>
      <c r="K3222" s="5">
        <v>154</v>
      </c>
      <c r="L3222" s="5">
        <v>36</v>
      </c>
      <c r="M3222" s="5">
        <v>36</v>
      </c>
      <c r="N3222" s="7">
        <v>396.37</v>
      </c>
      <c r="O3222" s="7">
        <f t="shared" si="352"/>
        <v>14269.32</v>
      </c>
      <c r="P3222" s="4">
        <v>0.14000000000000001</v>
      </c>
      <c r="Q3222" s="7">
        <f t="shared" si="353"/>
        <v>1997.7048000000002</v>
      </c>
      <c r="R3222" s="7">
        <f t="shared" si="354"/>
        <v>12271.6152</v>
      </c>
      <c r="S3222" s="7">
        <f t="shared" si="355"/>
        <v>340.87819999999999</v>
      </c>
      <c r="T3222" s="6">
        <f t="shared" si="356"/>
        <v>2.0361990950226245E-2</v>
      </c>
      <c r="U3222" t="s">
        <v>96</v>
      </c>
      <c r="V3222" t="s">
        <v>29</v>
      </c>
    </row>
    <row r="3223" spans="1:22">
      <c r="A3223" s="3">
        <v>45792</v>
      </c>
      <c r="B3223" t="str">
        <f t="shared" si="350"/>
        <v>yyyy-05</v>
      </c>
      <c r="C3223">
        <f t="shared" si="351"/>
        <v>20</v>
      </c>
      <c r="D3223" t="s">
        <v>24</v>
      </c>
      <c r="E3223" t="s">
        <v>25</v>
      </c>
      <c r="F3223" t="s">
        <v>33</v>
      </c>
      <c r="G3223" t="s">
        <v>36</v>
      </c>
      <c r="H3223" t="s">
        <v>37</v>
      </c>
      <c r="I3223" s="5">
        <v>1701</v>
      </c>
      <c r="J3223" s="5">
        <v>1326</v>
      </c>
      <c r="K3223" s="5">
        <v>117</v>
      </c>
      <c r="L3223" s="5">
        <v>49</v>
      </c>
      <c r="M3223" s="5">
        <v>49</v>
      </c>
      <c r="N3223" s="7">
        <v>1832.51</v>
      </c>
      <c r="O3223" s="7">
        <f t="shared" si="352"/>
        <v>89792.99</v>
      </c>
      <c r="P3223" s="4">
        <v>0.14000000000000001</v>
      </c>
      <c r="Q3223" s="7">
        <f t="shared" si="353"/>
        <v>12571.018600000001</v>
      </c>
      <c r="R3223" s="7">
        <f t="shared" si="354"/>
        <v>77221.971400000009</v>
      </c>
      <c r="S3223" s="7">
        <f t="shared" si="355"/>
        <v>1575.9586000000002</v>
      </c>
      <c r="T3223" s="6">
        <f t="shared" si="356"/>
        <v>2.8806584362139918E-2</v>
      </c>
      <c r="U3223" t="s">
        <v>96</v>
      </c>
      <c r="V3223" t="s">
        <v>29</v>
      </c>
    </row>
    <row r="3224" spans="1:22">
      <c r="A3224" s="3">
        <v>45792</v>
      </c>
      <c r="B3224" t="str">
        <f t="shared" si="350"/>
        <v>yyyy-05</v>
      </c>
      <c r="C3224">
        <f t="shared" si="351"/>
        <v>20</v>
      </c>
      <c r="D3224" t="s">
        <v>24</v>
      </c>
      <c r="E3224" t="s">
        <v>34</v>
      </c>
      <c r="F3224" t="s">
        <v>35</v>
      </c>
      <c r="G3224" t="s">
        <v>27</v>
      </c>
      <c r="H3224" t="s">
        <v>28</v>
      </c>
      <c r="I3224" s="5">
        <v>932</v>
      </c>
      <c r="J3224" s="5">
        <v>635</v>
      </c>
      <c r="K3224" s="5">
        <v>58</v>
      </c>
      <c r="L3224" s="5">
        <v>14</v>
      </c>
      <c r="M3224" s="5">
        <v>14</v>
      </c>
      <c r="N3224" s="7">
        <v>900.37</v>
      </c>
      <c r="O3224" s="7">
        <f t="shared" si="352"/>
        <v>12605.18</v>
      </c>
      <c r="P3224" s="4">
        <v>0</v>
      </c>
      <c r="Q3224" s="7">
        <f t="shared" si="353"/>
        <v>0</v>
      </c>
      <c r="R3224" s="7">
        <f t="shared" si="354"/>
        <v>12605.18</v>
      </c>
      <c r="S3224" s="7">
        <f t="shared" si="355"/>
        <v>900.37</v>
      </c>
      <c r="T3224" s="6">
        <f t="shared" si="356"/>
        <v>1.5021459227467811E-2</v>
      </c>
      <c r="V3224" t="s">
        <v>29</v>
      </c>
    </row>
    <row r="3225" spans="1:22">
      <c r="A3225" s="3">
        <v>45792</v>
      </c>
      <c r="B3225" t="str">
        <f t="shared" si="350"/>
        <v>yyyy-05</v>
      </c>
      <c r="C3225">
        <f t="shared" si="351"/>
        <v>20</v>
      </c>
      <c r="D3225" t="s">
        <v>24</v>
      </c>
      <c r="E3225" t="s">
        <v>38</v>
      </c>
      <c r="F3225" t="s">
        <v>39</v>
      </c>
      <c r="G3225" t="s">
        <v>27</v>
      </c>
      <c r="H3225" t="s">
        <v>45</v>
      </c>
      <c r="I3225" s="5">
        <v>832</v>
      </c>
      <c r="J3225" s="5">
        <v>476</v>
      </c>
      <c r="K3225" s="5">
        <v>67</v>
      </c>
      <c r="L3225" s="5">
        <v>17</v>
      </c>
      <c r="M3225" s="5">
        <v>17</v>
      </c>
      <c r="N3225" s="7">
        <v>316.92</v>
      </c>
      <c r="O3225" s="7">
        <f t="shared" si="352"/>
        <v>5387.64</v>
      </c>
      <c r="P3225" s="4">
        <v>0.05</v>
      </c>
      <c r="Q3225" s="7">
        <f t="shared" si="353"/>
        <v>269.38200000000001</v>
      </c>
      <c r="R3225" s="7">
        <f t="shared" si="354"/>
        <v>5118.2580000000007</v>
      </c>
      <c r="S3225" s="7">
        <f t="shared" si="355"/>
        <v>301.07400000000007</v>
      </c>
      <c r="T3225" s="6">
        <f t="shared" si="356"/>
        <v>2.0432692307692308E-2</v>
      </c>
      <c r="V3225" t="s">
        <v>29</v>
      </c>
    </row>
    <row r="3226" spans="1:22">
      <c r="A3226" s="3">
        <v>45792</v>
      </c>
      <c r="B3226" t="str">
        <f t="shared" si="350"/>
        <v>yyyy-05</v>
      </c>
      <c r="C3226">
        <f t="shared" si="351"/>
        <v>20</v>
      </c>
      <c r="D3226" t="s">
        <v>24</v>
      </c>
      <c r="E3226" t="s">
        <v>40</v>
      </c>
      <c r="F3226" t="s">
        <v>41</v>
      </c>
      <c r="G3226" t="s">
        <v>27</v>
      </c>
      <c r="H3226" t="s">
        <v>48</v>
      </c>
      <c r="I3226" s="5">
        <v>569</v>
      </c>
      <c r="J3226" s="5">
        <v>335</v>
      </c>
      <c r="K3226" s="5">
        <v>56</v>
      </c>
      <c r="L3226" s="5">
        <v>15</v>
      </c>
      <c r="M3226" s="5">
        <v>18</v>
      </c>
      <c r="N3226" s="7">
        <v>176.71</v>
      </c>
      <c r="O3226" s="7">
        <f t="shared" si="352"/>
        <v>3180.78</v>
      </c>
      <c r="P3226" s="4">
        <v>0</v>
      </c>
      <c r="Q3226" s="7">
        <f t="shared" si="353"/>
        <v>0</v>
      </c>
      <c r="R3226" s="7">
        <f t="shared" si="354"/>
        <v>3180.78</v>
      </c>
      <c r="S3226" s="7">
        <f t="shared" si="355"/>
        <v>212.05200000000002</v>
      </c>
      <c r="T3226" s="6">
        <f t="shared" si="356"/>
        <v>2.6362038664323375E-2</v>
      </c>
      <c r="V3226" t="s">
        <v>29</v>
      </c>
    </row>
    <row r="3227" spans="1:22">
      <c r="A3227" s="3">
        <v>45792</v>
      </c>
      <c r="B3227" t="str">
        <f t="shared" si="350"/>
        <v>yyyy-05</v>
      </c>
      <c r="C3227">
        <f t="shared" si="351"/>
        <v>20</v>
      </c>
      <c r="D3227" t="s">
        <v>42</v>
      </c>
      <c r="E3227" t="s">
        <v>43</v>
      </c>
      <c r="F3227" t="s">
        <v>44</v>
      </c>
      <c r="G3227" t="s">
        <v>31</v>
      </c>
      <c r="H3227" t="s">
        <v>32</v>
      </c>
      <c r="I3227" s="5">
        <v>594</v>
      </c>
      <c r="J3227" s="5">
        <v>321</v>
      </c>
      <c r="K3227" s="5">
        <v>37</v>
      </c>
      <c r="L3227" s="5">
        <v>6</v>
      </c>
      <c r="M3227" s="5">
        <v>6</v>
      </c>
      <c r="N3227" s="7">
        <v>1251.03</v>
      </c>
      <c r="O3227" s="7">
        <f t="shared" si="352"/>
        <v>7506.18</v>
      </c>
      <c r="P3227" s="4">
        <v>0</v>
      </c>
      <c r="Q3227" s="7">
        <f t="shared" si="353"/>
        <v>0</v>
      </c>
      <c r="R3227" s="7">
        <f t="shared" si="354"/>
        <v>7506.18</v>
      </c>
      <c r="S3227" s="7">
        <f t="shared" si="355"/>
        <v>1251.03</v>
      </c>
      <c r="T3227" s="6">
        <f t="shared" si="356"/>
        <v>1.0101010101010102E-2</v>
      </c>
      <c r="V3227" t="s">
        <v>29</v>
      </c>
    </row>
    <row r="3228" spans="1:22">
      <c r="A3228" s="3">
        <v>45792</v>
      </c>
      <c r="B3228" t="str">
        <f t="shared" si="350"/>
        <v>yyyy-05</v>
      </c>
      <c r="C3228">
        <f t="shared" si="351"/>
        <v>20</v>
      </c>
      <c r="D3228" t="s">
        <v>42</v>
      </c>
      <c r="E3228" t="s">
        <v>43</v>
      </c>
      <c r="F3228" t="s">
        <v>46</v>
      </c>
      <c r="G3228" t="s">
        <v>36</v>
      </c>
      <c r="H3228" t="s">
        <v>37</v>
      </c>
      <c r="I3228" s="5">
        <v>516</v>
      </c>
      <c r="J3228" s="5">
        <v>386</v>
      </c>
      <c r="K3228" s="5">
        <v>27</v>
      </c>
      <c r="L3228" s="5">
        <v>6</v>
      </c>
      <c r="M3228" s="5">
        <v>6</v>
      </c>
      <c r="N3228" s="7">
        <v>2130.65</v>
      </c>
      <c r="O3228" s="7">
        <f t="shared" si="352"/>
        <v>12783.900000000001</v>
      </c>
      <c r="P3228" s="4">
        <v>0</v>
      </c>
      <c r="Q3228" s="7">
        <f t="shared" si="353"/>
        <v>0</v>
      </c>
      <c r="R3228" s="7">
        <f t="shared" si="354"/>
        <v>12783.900000000001</v>
      </c>
      <c r="S3228" s="7">
        <f t="shared" si="355"/>
        <v>2130.65</v>
      </c>
      <c r="T3228" s="6">
        <f t="shared" si="356"/>
        <v>1.1627906976744186E-2</v>
      </c>
      <c r="V3228" t="s">
        <v>29</v>
      </c>
    </row>
    <row r="3229" spans="1:22">
      <c r="A3229" s="3">
        <v>45792</v>
      </c>
      <c r="B3229" t="str">
        <f t="shared" si="350"/>
        <v>yyyy-05</v>
      </c>
      <c r="C3229">
        <f t="shared" si="351"/>
        <v>20</v>
      </c>
      <c r="D3229" t="s">
        <v>42</v>
      </c>
      <c r="E3229" t="s">
        <v>43</v>
      </c>
      <c r="F3229" t="s">
        <v>47</v>
      </c>
      <c r="G3229" t="s">
        <v>27</v>
      </c>
      <c r="H3229" t="s">
        <v>45</v>
      </c>
      <c r="I3229" s="5">
        <v>417</v>
      </c>
      <c r="J3229" s="5">
        <v>246</v>
      </c>
      <c r="K3229" s="5">
        <v>18</v>
      </c>
      <c r="L3229" s="5">
        <v>7</v>
      </c>
      <c r="M3229" s="5">
        <v>7</v>
      </c>
      <c r="N3229" s="7">
        <v>610.61</v>
      </c>
      <c r="O3229" s="7">
        <f t="shared" si="352"/>
        <v>4274.2700000000004</v>
      </c>
      <c r="P3229" s="4">
        <v>0.03</v>
      </c>
      <c r="Q3229" s="7">
        <f t="shared" si="353"/>
        <v>128.22810000000001</v>
      </c>
      <c r="R3229" s="7">
        <f t="shared" si="354"/>
        <v>4146.0419000000002</v>
      </c>
      <c r="S3229" s="7">
        <f t="shared" si="355"/>
        <v>592.29169999999999</v>
      </c>
      <c r="T3229" s="6">
        <f t="shared" si="356"/>
        <v>1.6786570743405275E-2</v>
      </c>
      <c r="V3229" t="s">
        <v>29</v>
      </c>
    </row>
    <row r="3230" spans="1:22">
      <c r="A3230" s="3">
        <v>45792</v>
      </c>
      <c r="B3230" t="str">
        <f t="shared" si="350"/>
        <v>yyyy-05</v>
      </c>
      <c r="C3230">
        <f t="shared" si="351"/>
        <v>20</v>
      </c>
      <c r="D3230" t="s">
        <v>42</v>
      </c>
      <c r="E3230" t="s">
        <v>49</v>
      </c>
      <c r="F3230" t="s">
        <v>50</v>
      </c>
      <c r="G3230" t="s">
        <v>31</v>
      </c>
      <c r="H3230" t="s">
        <v>32</v>
      </c>
      <c r="I3230" s="5">
        <v>137</v>
      </c>
      <c r="J3230" s="5">
        <v>97</v>
      </c>
      <c r="K3230" s="5">
        <v>7</v>
      </c>
      <c r="L3230" s="5">
        <v>2</v>
      </c>
      <c r="M3230" s="5">
        <v>2</v>
      </c>
      <c r="N3230" s="7">
        <v>1000.57</v>
      </c>
      <c r="O3230" s="7">
        <f t="shared" si="352"/>
        <v>2001.14</v>
      </c>
      <c r="P3230" s="4">
        <v>0</v>
      </c>
      <c r="Q3230" s="7">
        <f t="shared" si="353"/>
        <v>0</v>
      </c>
      <c r="R3230" s="7">
        <f t="shared" si="354"/>
        <v>2001.14</v>
      </c>
      <c r="S3230" s="7">
        <f t="shared" si="355"/>
        <v>1000.57</v>
      </c>
      <c r="T3230" s="6">
        <f t="shared" si="356"/>
        <v>1.4598540145985401E-2</v>
      </c>
      <c r="V3230" t="s">
        <v>29</v>
      </c>
    </row>
    <row r="3231" spans="1:22">
      <c r="A3231" s="3">
        <v>45792</v>
      </c>
      <c r="B3231" t="str">
        <f t="shared" si="350"/>
        <v>yyyy-05</v>
      </c>
      <c r="C3231">
        <f t="shared" si="351"/>
        <v>20</v>
      </c>
      <c r="D3231" t="s">
        <v>42</v>
      </c>
      <c r="E3231" t="s">
        <v>51</v>
      </c>
      <c r="F3231" t="s">
        <v>52</v>
      </c>
      <c r="G3231" t="s">
        <v>27</v>
      </c>
      <c r="H3231" t="s">
        <v>45</v>
      </c>
      <c r="I3231" s="5">
        <v>291</v>
      </c>
      <c r="J3231" s="5">
        <v>204</v>
      </c>
      <c r="K3231" s="5">
        <v>17</v>
      </c>
      <c r="L3231" s="5">
        <v>5</v>
      </c>
      <c r="M3231" s="5">
        <v>5</v>
      </c>
      <c r="N3231" s="7">
        <v>604.91999999999996</v>
      </c>
      <c r="O3231" s="7">
        <f t="shared" si="352"/>
        <v>3024.6</v>
      </c>
      <c r="P3231" s="4">
        <v>0</v>
      </c>
      <c r="Q3231" s="7">
        <f t="shared" si="353"/>
        <v>0</v>
      </c>
      <c r="R3231" s="7">
        <f t="shared" si="354"/>
        <v>3024.6</v>
      </c>
      <c r="S3231" s="7">
        <f t="shared" si="355"/>
        <v>604.91999999999996</v>
      </c>
      <c r="T3231" s="6">
        <f t="shared" si="356"/>
        <v>1.7182130584192441E-2</v>
      </c>
      <c r="V3231" t="s">
        <v>29</v>
      </c>
    </row>
    <row r="3232" spans="1:22">
      <c r="A3232" s="3">
        <v>45792</v>
      </c>
      <c r="B3232" t="str">
        <f t="shared" si="350"/>
        <v>yyyy-05</v>
      </c>
      <c r="C3232">
        <f t="shared" si="351"/>
        <v>20</v>
      </c>
      <c r="D3232" t="s">
        <v>53</v>
      </c>
      <c r="E3232" t="s">
        <v>54</v>
      </c>
      <c r="F3232" t="s">
        <v>55</v>
      </c>
      <c r="G3232" t="s">
        <v>31</v>
      </c>
      <c r="H3232" t="s">
        <v>32</v>
      </c>
      <c r="I3232" s="5">
        <v>205</v>
      </c>
      <c r="J3232" s="5">
        <v>149</v>
      </c>
      <c r="K3232" s="5">
        <v>14</v>
      </c>
      <c r="L3232" s="5">
        <v>2</v>
      </c>
      <c r="M3232" s="5">
        <v>2</v>
      </c>
      <c r="N3232" s="7">
        <v>1259.96</v>
      </c>
      <c r="O3232" s="7">
        <f t="shared" si="352"/>
        <v>2519.92</v>
      </c>
      <c r="P3232" s="4">
        <v>0</v>
      </c>
      <c r="Q3232" s="7">
        <f t="shared" si="353"/>
        <v>0</v>
      </c>
      <c r="R3232" s="7">
        <f t="shared" si="354"/>
        <v>2519.92</v>
      </c>
      <c r="S3232" s="7">
        <f t="shared" si="355"/>
        <v>1259.96</v>
      </c>
      <c r="T3232" s="6">
        <f t="shared" si="356"/>
        <v>9.7560975609756097E-3</v>
      </c>
      <c r="V3232" t="s">
        <v>29</v>
      </c>
    </row>
    <row r="3233" spans="1:22">
      <c r="A3233" s="3">
        <v>45792</v>
      </c>
      <c r="B3233" t="str">
        <f t="shared" si="350"/>
        <v>yyyy-05</v>
      </c>
      <c r="C3233">
        <f t="shared" si="351"/>
        <v>20</v>
      </c>
      <c r="D3233" t="s">
        <v>53</v>
      </c>
      <c r="E3233" t="s">
        <v>56</v>
      </c>
      <c r="F3233" t="s">
        <v>57</v>
      </c>
      <c r="G3233" t="s">
        <v>36</v>
      </c>
      <c r="H3233" t="s">
        <v>37</v>
      </c>
      <c r="I3233" s="5">
        <v>212</v>
      </c>
      <c r="J3233" s="5">
        <v>139</v>
      </c>
      <c r="K3233" s="5">
        <v>13</v>
      </c>
      <c r="L3233" s="5">
        <v>2</v>
      </c>
      <c r="M3233" s="5">
        <v>2</v>
      </c>
      <c r="N3233" s="7">
        <v>735.51</v>
      </c>
      <c r="O3233" s="7">
        <f t="shared" si="352"/>
        <v>1471.02</v>
      </c>
      <c r="P3233" s="4">
        <v>0</v>
      </c>
      <c r="Q3233" s="7">
        <f t="shared" si="353"/>
        <v>0</v>
      </c>
      <c r="R3233" s="7">
        <f t="shared" si="354"/>
        <v>1471.02</v>
      </c>
      <c r="S3233" s="7">
        <f t="shared" si="355"/>
        <v>735.51</v>
      </c>
      <c r="T3233" s="6">
        <f t="shared" si="356"/>
        <v>9.433962264150943E-3</v>
      </c>
      <c r="V3233" t="s">
        <v>29</v>
      </c>
    </row>
    <row r="3234" spans="1:22">
      <c r="A3234" s="3">
        <v>45792</v>
      </c>
      <c r="B3234" t="str">
        <f t="shared" si="350"/>
        <v>yyyy-05</v>
      </c>
      <c r="C3234">
        <f t="shared" si="351"/>
        <v>20</v>
      </c>
      <c r="D3234" t="s">
        <v>53</v>
      </c>
      <c r="E3234" t="s">
        <v>56</v>
      </c>
      <c r="F3234" t="s">
        <v>58</v>
      </c>
      <c r="G3234" t="s">
        <v>27</v>
      </c>
      <c r="H3234" t="s">
        <v>48</v>
      </c>
      <c r="I3234" s="5">
        <v>210</v>
      </c>
      <c r="J3234" s="5">
        <v>170</v>
      </c>
      <c r="K3234" s="5">
        <v>19</v>
      </c>
      <c r="L3234" s="5">
        <v>3</v>
      </c>
      <c r="M3234" s="5">
        <v>3</v>
      </c>
      <c r="N3234" s="7">
        <v>905.62</v>
      </c>
      <c r="O3234" s="7">
        <f t="shared" si="352"/>
        <v>2716.86</v>
      </c>
      <c r="P3234" s="4">
        <v>0</v>
      </c>
      <c r="Q3234" s="7">
        <f t="shared" si="353"/>
        <v>0</v>
      </c>
      <c r="R3234" s="7">
        <f t="shared" si="354"/>
        <v>2716.86</v>
      </c>
      <c r="S3234" s="7">
        <f t="shared" si="355"/>
        <v>905.62</v>
      </c>
      <c r="T3234" s="6">
        <f t="shared" si="356"/>
        <v>1.4285714285714285E-2</v>
      </c>
      <c r="V3234" t="s">
        <v>29</v>
      </c>
    </row>
    <row r="3235" spans="1:22">
      <c r="A3235" s="3">
        <v>45792</v>
      </c>
      <c r="B3235" t="str">
        <f t="shared" si="350"/>
        <v>yyyy-05</v>
      </c>
      <c r="C3235">
        <f t="shared" si="351"/>
        <v>20</v>
      </c>
      <c r="D3235" t="s">
        <v>53</v>
      </c>
      <c r="E3235" t="s">
        <v>59</v>
      </c>
      <c r="F3235" t="s">
        <v>60</v>
      </c>
      <c r="G3235" t="s">
        <v>27</v>
      </c>
      <c r="H3235" t="s">
        <v>45</v>
      </c>
      <c r="I3235" s="5">
        <v>154</v>
      </c>
      <c r="J3235" s="5">
        <v>101</v>
      </c>
      <c r="K3235" s="5">
        <v>11</v>
      </c>
      <c r="L3235" s="5">
        <v>2</v>
      </c>
      <c r="M3235" s="5">
        <v>2</v>
      </c>
      <c r="N3235" s="7">
        <v>703.21</v>
      </c>
      <c r="O3235" s="7">
        <f t="shared" si="352"/>
        <v>1406.42</v>
      </c>
      <c r="P3235" s="4">
        <v>0</v>
      </c>
      <c r="Q3235" s="7">
        <f t="shared" si="353"/>
        <v>0</v>
      </c>
      <c r="R3235" s="7">
        <f t="shared" si="354"/>
        <v>1406.42</v>
      </c>
      <c r="S3235" s="7">
        <f t="shared" si="355"/>
        <v>703.21</v>
      </c>
      <c r="T3235" s="6">
        <f t="shared" si="356"/>
        <v>1.2987012987012988E-2</v>
      </c>
      <c r="V3235" t="s">
        <v>29</v>
      </c>
    </row>
    <row r="3236" spans="1:22">
      <c r="A3236" s="3">
        <v>45792</v>
      </c>
      <c r="B3236" t="str">
        <f t="shared" si="350"/>
        <v>yyyy-05</v>
      </c>
      <c r="C3236">
        <f t="shared" si="351"/>
        <v>20</v>
      </c>
      <c r="D3236" t="s">
        <v>53</v>
      </c>
      <c r="E3236" t="s">
        <v>61</v>
      </c>
      <c r="F3236" t="s">
        <v>62</v>
      </c>
      <c r="G3236" t="s">
        <v>31</v>
      </c>
      <c r="H3236" t="s">
        <v>32</v>
      </c>
      <c r="I3236" s="5">
        <v>165</v>
      </c>
      <c r="J3236" s="5">
        <v>111</v>
      </c>
      <c r="K3236" s="5">
        <v>7</v>
      </c>
      <c r="L3236" s="5">
        <v>1</v>
      </c>
      <c r="M3236" s="5">
        <v>1</v>
      </c>
      <c r="N3236" s="7">
        <v>498.72</v>
      </c>
      <c r="O3236" s="7">
        <f t="shared" si="352"/>
        <v>498.72</v>
      </c>
      <c r="P3236" s="4">
        <v>0.03</v>
      </c>
      <c r="Q3236" s="7">
        <f t="shared" si="353"/>
        <v>14.961600000000001</v>
      </c>
      <c r="R3236" s="7">
        <f t="shared" si="354"/>
        <v>483.75840000000005</v>
      </c>
      <c r="S3236" s="7">
        <f t="shared" si="355"/>
        <v>483.75840000000005</v>
      </c>
      <c r="T3236" s="6">
        <f t="shared" si="356"/>
        <v>6.0606060606060606E-3</v>
      </c>
      <c r="V3236" t="s">
        <v>29</v>
      </c>
    </row>
    <row r="3237" spans="1:22">
      <c r="A3237" s="3">
        <v>45792</v>
      </c>
      <c r="B3237" t="str">
        <f t="shared" si="350"/>
        <v>yyyy-05</v>
      </c>
      <c r="C3237">
        <f t="shared" si="351"/>
        <v>20</v>
      </c>
      <c r="D3237" t="s">
        <v>53</v>
      </c>
      <c r="E3237" t="s">
        <v>64</v>
      </c>
      <c r="F3237" t="s">
        <v>65</v>
      </c>
      <c r="G3237" t="s">
        <v>27</v>
      </c>
      <c r="H3237" t="s">
        <v>45</v>
      </c>
      <c r="I3237" s="5">
        <v>180</v>
      </c>
      <c r="J3237" s="5">
        <v>122</v>
      </c>
      <c r="K3237" s="5">
        <v>8</v>
      </c>
      <c r="L3237" s="5">
        <v>2</v>
      </c>
      <c r="M3237" s="5">
        <v>2</v>
      </c>
      <c r="N3237" s="7">
        <v>769.84</v>
      </c>
      <c r="O3237" s="7">
        <f t="shared" si="352"/>
        <v>1539.68</v>
      </c>
      <c r="P3237" s="4">
        <v>0.12</v>
      </c>
      <c r="Q3237" s="7">
        <f t="shared" si="353"/>
        <v>184.76159999999999</v>
      </c>
      <c r="R3237" s="7">
        <f t="shared" si="354"/>
        <v>1354.9184</v>
      </c>
      <c r="S3237" s="7">
        <f t="shared" si="355"/>
        <v>677.45920000000001</v>
      </c>
      <c r="T3237" s="6">
        <f t="shared" si="356"/>
        <v>1.1111111111111112E-2</v>
      </c>
      <c r="U3237" t="s">
        <v>97</v>
      </c>
      <c r="V3237" t="s">
        <v>29</v>
      </c>
    </row>
    <row r="3238" spans="1:22">
      <c r="A3238" s="3">
        <v>45792</v>
      </c>
      <c r="B3238" t="str">
        <f t="shared" si="350"/>
        <v>yyyy-05</v>
      </c>
      <c r="C3238">
        <f t="shared" si="351"/>
        <v>20</v>
      </c>
      <c r="D3238" t="s">
        <v>66</v>
      </c>
      <c r="E3238" t="s">
        <v>67</v>
      </c>
      <c r="F3238" t="s">
        <v>68</v>
      </c>
      <c r="G3238" t="s">
        <v>27</v>
      </c>
      <c r="H3238" t="s">
        <v>63</v>
      </c>
      <c r="I3238" s="5">
        <v>254</v>
      </c>
      <c r="J3238" s="5">
        <v>145</v>
      </c>
      <c r="K3238" s="5">
        <v>20</v>
      </c>
      <c r="L3238" s="5">
        <v>5</v>
      </c>
      <c r="M3238" s="5">
        <v>5</v>
      </c>
      <c r="N3238" s="7">
        <v>682.18</v>
      </c>
      <c r="O3238" s="7">
        <f t="shared" si="352"/>
        <v>3410.8999999999996</v>
      </c>
      <c r="P3238" s="4">
        <v>0</v>
      </c>
      <c r="Q3238" s="7">
        <f t="shared" si="353"/>
        <v>0</v>
      </c>
      <c r="R3238" s="7">
        <f t="shared" si="354"/>
        <v>3410.8999999999996</v>
      </c>
      <c r="S3238" s="7">
        <f t="shared" si="355"/>
        <v>682.18</v>
      </c>
      <c r="T3238" s="6">
        <f t="shared" si="356"/>
        <v>1.968503937007874E-2</v>
      </c>
      <c r="V3238" t="s">
        <v>29</v>
      </c>
    </row>
    <row r="3239" spans="1:22">
      <c r="A3239" s="3">
        <v>45792</v>
      </c>
      <c r="B3239" t="str">
        <f t="shared" si="350"/>
        <v>yyyy-05</v>
      </c>
      <c r="C3239">
        <f t="shared" si="351"/>
        <v>20</v>
      </c>
      <c r="D3239" t="s">
        <v>66</v>
      </c>
      <c r="E3239" t="s">
        <v>67</v>
      </c>
      <c r="F3239" t="s">
        <v>69</v>
      </c>
      <c r="G3239" t="s">
        <v>31</v>
      </c>
      <c r="H3239" t="s">
        <v>32</v>
      </c>
      <c r="I3239" s="5">
        <v>428</v>
      </c>
      <c r="J3239" s="5">
        <v>272</v>
      </c>
      <c r="K3239" s="5">
        <v>20</v>
      </c>
      <c r="L3239" s="5">
        <v>7</v>
      </c>
      <c r="M3239" s="5">
        <v>7</v>
      </c>
      <c r="N3239" s="7">
        <v>397.19</v>
      </c>
      <c r="O3239" s="7">
        <f t="shared" si="352"/>
        <v>2780.33</v>
      </c>
      <c r="P3239" s="4">
        <v>0.03</v>
      </c>
      <c r="Q3239" s="7">
        <f t="shared" si="353"/>
        <v>83.409899999999993</v>
      </c>
      <c r="R3239" s="7">
        <f t="shared" si="354"/>
        <v>2696.9200999999998</v>
      </c>
      <c r="S3239" s="7">
        <f t="shared" si="355"/>
        <v>385.27429999999998</v>
      </c>
      <c r="T3239" s="6">
        <f t="shared" si="356"/>
        <v>1.6355140186915886E-2</v>
      </c>
      <c r="V3239" t="s">
        <v>29</v>
      </c>
    </row>
    <row r="3240" spans="1:22">
      <c r="A3240" s="3">
        <v>45792</v>
      </c>
      <c r="B3240" t="str">
        <f t="shared" si="350"/>
        <v>yyyy-05</v>
      </c>
      <c r="C3240">
        <f t="shared" si="351"/>
        <v>20</v>
      </c>
      <c r="D3240" t="s">
        <v>66</v>
      </c>
      <c r="E3240" t="s">
        <v>67</v>
      </c>
      <c r="F3240" t="s">
        <v>70</v>
      </c>
      <c r="G3240" t="s">
        <v>31</v>
      </c>
      <c r="H3240" t="s">
        <v>32</v>
      </c>
      <c r="I3240" s="5">
        <v>487</v>
      </c>
      <c r="J3240" s="5">
        <v>398</v>
      </c>
      <c r="K3240" s="5">
        <v>41</v>
      </c>
      <c r="L3240" s="5">
        <v>11</v>
      </c>
      <c r="M3240" s="5">
        <v>11</v>
      </c>
      <c r="N3240" s="7">
        <v>353.08</v>
      </c>
      <c r="O3240" s="7">
        <f t="shared" si="352"/>
        <v>3883.8799999999997</v>
      </c>
      <c r="P3240" s="4">
        <v>0</v>
      </c>
      <c r="Q3240" s="7">
        <f t="shared" si="353"/>
        <v>0</v>
      </c>
      <c r="R3240" s="7">
        <f t="shared" si="354"/>
        <v>3883.8799999999997</v>
      </c>
      <c r="S3240" s="7">
        <f t="shared" si="355"/>
        <v>353.08</v>
      </c>
      <c r="T3240" s="6">
        <f t="shared" si="356"/>
        <v>2.2587268993839837E-2</v>
      </c>
      <c r="V3240" t="s">
        <v>29</v>
      </c>
    </row>
    <row r="3241" spans="1:22">
      <c r="A3241" s="3">
        <v>45792</v>
      </c>
      <c r="B3241" t="str">
        <f t="shared" si="350"/>
        <v>yyyy-05</v>
      </c>
      <c r="C3241">
        <f t="shared" si="351"/>
        <v>20</v>
      </c>
      <c r="D3241" t="s">
        <v>66</v>
      </c>
      <c r="E3241" t="s">
        <v>71</v>
      </c>
      <c r="F3241" t="s">
        <v>72</v>
      </c>
      <c r="G3241" t="s">
        <v>27</v>
      </c>
      <c r="H3241" t="s">
        <v>63</v>
      </c>
      <c r="I3241" s="5">
        <v>212</v>
      </c>
      <c r="J3241" s="5">
        <v>146</v>
      </c>
      <c r="K3241" s="5">
        <v>15</v>
      </c>
      <c r="L3241" s="5">
        <v>5</v>
      </c>
      <c r="M3241" s="5">
        <v>5</v>
      </c>
      <c r="N3241" s="7">
        <v>125.72</v>
      </c>
      <c r="O3241" s="7">
        <f t="shared" si="352"/>
        <v>628.6</v>
      </c>
      <c r="P3241" s="4">
        <v>0</v>
      </c>
      <c r="Q3241" s="7">
        <f t="shared" si="353"/>
        <v>0</v>
      </c>
      <c r="R3241" s="7">
        <f t="shared" si="354"/>
        <v>628.6</v>
      </c>
      <c r="S3241" s="7">
        <f t="shared" si="355"/>
        <v>125.72</v>
      </c>
      <c r="T3241" s="6">
        <f t="shared" si="356"/>
        <v>2.358490566037736E-2</v>
      </c>
      <c r="V3241" t="s">
        <v>29</v>
      </c>
    </row>
    <row r="3242" spans="1:22">
      <c r="A3242" s="3">
        <v>45792</v>
      </c>
      <c r="B3242" t="str">
        <f t="shared" si="350"/>
        <v>yyyy-05</v>
      </c>
      <c r="C3242">
        <f t="shared" si="351"/>
        <v>20</v>
      </c>
      <c r="D3242" t="s">
        <v>66</v>
      </c>
      <c r="E3242" t="s">
        <v>73</v>
      </c>
      <c r="F3242" t="s">
        <v>74</v>
      </c>
      <c r="G3242" t="s">
        <v>27</v>
      </c>
      <c r="H3242" t="s">
        <v>48</v>
      </c>
      <c r="I3242" s="5">
        <v>193</v>
      </c>
      <c r="J3242" s="5">
        <v>140</v>
      </c>
      <c r="K3242" s="5">
        <v>14</v>
      </c>
      <c r="L3242" s="5">
        <v>3</v>
      </c>
      <c r="M3242" s="5">
        <v>3</v>
      </c>
      <c r="N3242" s="7">
        <v>1165.32</v>
      </c>
      <c r="O3242" s="7">
        <f t="shared" si="352"/>
        <v>3495.96</v>
      </c>
      <c r="P3242" s="4">
        <v>0</v>
      </c>
      <c r="Q3242" s="7">
        <f t="shared" si="353"/>
        <v>0</v>
      </c>
      <c r="R3242" s="7">
        <f t="shared" si="354"/>
        <v>3495.96</v>
      </c>
      <c r="S3242" s="7">
        <f t="shared" si="355"/>
        <v>1165.32</v>
      </c>
      <c r="T3242" s="6">
        <f t="shared" si="356"/>
        <v>1.5544041450777202E-2</v>
      </c>
      <c r="V3242" t="s">
        <v>29</v>
      </c>
    </row>
    <row r="3243" spans="1:22">
      <c r="A3243" s="3">
        <v>45792</v>
      </c>
      <c r="B3243" t="str">
        <f t="shared" si="350"/>
        <v>yyyy-05</v>
      </c>
      <c r="C3243">
        <f t="shared" si="351"/>
        <v>20</v>
      </c>
      <c r="D3243" t="s">
        <v>66</v>
      </c>
      <c r="E3243" t="s">
        <v>71</v>
      </c>
      <c r="F3243" t="s">
        <v>75</v>
      </c>
      <c r="G3243" t="s">
        <v>36</v>
      </c>
      <c r="H3243" t="s">
        <v>37</v>
      </c>
      <c r="I3243" s="5">
        <v>158</v>
      </c>
      <c r="J3243" s="5">
        <v>124</v>
      </c>
      <c r="K3243" s="5">
        <v>3</v>
      </c>
      <c r="L3243" s="5">
        <v>0</v>
      </c>
      <c r="M3243" s="5">
        <v>0</v>
      </c>
      <c r="N3243" s="7">
        <v>39.619999999999997</v>
      </c>
      <c r="O3243" s="7">
        <f t="shared" si="352"/>
        <v>0</v>
      </c>
      <c r="P3243" s="4">
        <v>0.03</v>
      </c>
      <c r="Q3243" s="7">
        <f t="shared" si="353"/>
        <v>0</v>
      </c>
      <c r="R3243" s="7">
        <f t="shared" si="354"/>
        <v>0</v>
      </c>
      <c r="S3243" s="7">
        <f t="shared" si="355"/>
        <v>0</v>
      </c>
      <c r="T3243" s="6">
        <f t="shared" si="356"/>
        <v>0</v>
      </c>
      <c r="V3243" t="s">
        <v>81</v>
      </c>
    </row>
    <row r="3244" spans="1:22">
      <c r="A3244" s="3">
        <v>45792</v>
      </c>
      <c r="B3244" t="str">
        <f t="shared" si="350"/>
        <v>yyyy-05</v>
      </c>
      <c r="C3244">
        <f t="shared" si="351"/>
        <v>20</v>
      </c>
      <c r="D3244" t="s">
        <v>24</v>
      </c>
      <c r="E3244" t="s">
        <v>76</v>
      </c>
      <c r="F3244" t="s">
        <v>77</v>
      </c>
      <c r="G3244" t="s">
        <v>31</v>
      </c>
      <c r="H3244" t="s">
        <v>32</v>
      </c>
      <c r="I3244" s="5">
        <v>494</v>
      </c>
      <c r="J3244" s="5">
        <v>383</v>
      </c>
      <c r="K3244" s="5">
        <v>43</v>
      </c>
      <c r="L3244" s="5">
        <v>12</v>
      </c>
      <c r="M3244" s="5">
        <v>14</v>
      </c>
      <c r="N3244" s="7">
        <v>200.49</v>
      </c>
      <c r="O3244" s="7">
        <f t="shared" si="352"/>
        <v>2806.86</v>
      </c>
      <c r="P3244" s="4">
        <v>0</v>
      </c>
      <c r="Q3244" s="7">
        <f t="shared" si="353"/>
        <v>0</v>
      </c>
      <c r="R3244" s="7">
        <f t="shared" si="354"/>
        <v>2806.86</v>
      </c>
      <c r="S3244" s="7">
        <f t="shared" si="355"/>
        <v>233.905</v>
      </c>
      <c r="T3244" s="6">
        <f t="shared" si="356"/>
        <v>2.4291497975708502E-2</v>
      </c>
      <c r="V3244" t="s">
        <v>29</v>
      </c>
    </row>
    <row r="3245" spans="1:22">
      <c r="A3245" s="3">
        <v>45793</v>
      </c>
      <c r="B3245" t="str">
        <f t="shared" si="350"/>
        <v>yyyy-05</v>
      </c>
      <c r="C3245">
        <f t="shared" si="351"/>
        <v>20</v>
      </c>
      <c r="D3245" t="s">
        <v>24</v>
      </c>
      <c r="E3245" t="s">
        <v>25</v>
      </c>
      <c r="F3245" t="s">
        <v>26</v>
      </c>
      <c r="G3245" t="s">
        <v>27</v>
      </c>
      <c r="H3245" t="s">
        <v>48</v>
      </c>
      <c r="I3245" s="5">
        <v>1329</v>
      </c>
      <c r="J3245" s="5">
        <v>1003</v>
      </c>
      <c r="K3245" s="5">
        <v>143</v>
      </c>
      <c r="L3245" s="5">
        <v>29</v>
      </c>
      <c r="M3245" s="5">
        <v>29</v>
      </c>
      <c r="N3245" s="7">
        <v>1002.73</v>
      </c>
      <c r="O3245" s="7">
        <f t="shared" si="352"/>
        <v>29079.170000000002</v>
      </c>
      <c r="P3245" s="4">
        <v>0.14000000000000001</v>
      </c>
      <c r="Q3245" s="7">
        <f t="shared" si="353"/>
        <v>4071.0838000000008</v>
      </c>
      <c r="R3245" s="7">
        <f t="shared" si="354"/>
        <v>25008.086200000002</v>
      </c>
      <c r="S3245" s="7">
        <f t="shared" si="355"/>
        <v>862.34780000000001</v>
      </c>
      <c r="T3245" s="6">
        <f t="shared" si="356"/>
        <v>2.1820917983446202E-2</v>
      </c>
      <c r="U3245" t="s">
        <v>96</v>
      </c>
      <c r="V3245" t="s">
        <v>29</v>
      </c>
    </row>
    <row r="3246" spans="1:22">
      <c r="A3246" s="3">
        <v>45793</v>
      </c>
      <c r="B3246" t="str">
        <f t="shared" si="350"/>
        <v>yyyy-05</v>
      </c>
      <c r="C3246">
        <f t="shared" si="351"/>
        <v>20</v>
      </c>
      <c r="D3246" t="s">
        <v>24</v>
      </c>
      <c r="E3246" t="s">
        <v>25</v>
      </c>
      <c r="F3246" t="s">
        <v>30</v>
      </c>
      <c r="G3246" t="s">
        <v>36</v>
      </c>
      <c r="H3246" t="s">
        <v>37</v>
      </c>
      <c r="I3246" s="5">
        <v>1878</v>
      </c>
      <c r="J3246" s="5">
        <v>979</v>
      </c>
      <c r="K3246" s="5">
        <v>107</v>
      </c>
      <c r="L3246" s="5">
        <v>39</v>
      </c>
      <c r="M3246" s="5">
        <v>39</v>
      </c>
      <c r="N3246" s="7">
        <v>385.52</v>
      </c>
      <c r="O3246" s="7">
        <f t="shared" si="352"/>
        <v>15035.279999999999</v>
      </c>
      <c r="P3246" s="4">
        <v>0.14000000000000001</v>
      </c>
      <c r="Q3246" s="7">
        <f t="shared" si="353"/>
        <v>2104.9392000000003</v>
      </c>
      <c r="R3246" s="7">
        <f t="shared" si="354"/>
        <v>12930.340799999998</v>
      </c>
      <c r="S3246" s="7">
        <f t="shared" si="355"/>
        <v>331.54719999999998</v>
      </c>
      <c r="T3246" s="6">
        <f t="shared" si="356"/>
        <v>2.0766773162939296E-2</v>
      </c>
      <c r="U3246" t="s">
        <v>96</v>
      </c>
      <c r="V3246" t="s">
        <v>29</v>
      </c>
    </row>
    <row r="3247" spans="1:22">
      <c r="A3247" s="3">
        <v>45793</v>
      </c>
      <c r="B3247" t="str">
        <f t="shared" si="350"/>
        <v>yyyy-05</v>
      </c>
      <c r="C3247">
        <f t="shared" si="351"/>
        <v>20</v>
      </c>
      <c r="D3247" t="s">
        <v>24</v>
      </c>
      <c r="E3247" t="s">
        <v>25</v>
      </c>
      <c r="F3247" t="s">
        <v>33</v>
      </c>
      <c r="G3247" t="s">
        <v>27</v>
      </c>
      <c r="H3247" t="s">
        <v>45</v>
      </c>
      <c r="I3247" s="5">
        <v>1217</v>
      </c>
      <c r="J3247" s="5">
        <v>964</v>
      </c>
      <c r="K3247" s="5">
        <v>79</v>
      </c>
      <c r="L3247" s="5">
        <v>24</v>
      </c>
      <c r="M3247" s="5">
        <v>24</v>
      </c>
      <c r="N3247" s="7">
        <v>1780.91</v>
      </c>
      <c r="O3247" s="7">
        <f t="shared" si="352"/>
        <v>42741.840000000004</v>
      </c>
      <c r="P3247" s="4">
        <v>0.14000000000000001</v>
      </c>
      <c r="Q3247" s="7">
        <f t="shared" si="353"/>
        <v>5983.8576000000012</v>
      </c>
      <c r="R3247" s="7">
        <f t="shared" si="354"/>
        <v>36757.982400000001</v>
      </c>
      <c r="S3247" s="7">
        <f t="shared" si="355"/>
        <v>1531.5826</v>
      </c>
      <c r="T3247" s="6">
        <f t="shared" si="356"/>
        <v>1.972062448644207E-2</v>
      </c>
      <c r="U3247" t="s">
        <v>96</v>
      </c>
      <c r="V3247" t="s">
        <v>29</v>
      </c>
    </row>
    <row r="3248" spans="1:22">
      <c r="A3248" s="3">
        <v>45793</v>
      </c>
      <c r="B3248" t="str">
        <f t="shared" si="350"/>
        <v>yyyy-05</v>
      </c>
      <c r="C3248">
        <f t="shared" si="351"/>
        <v>20</v>
      </c>
      <c r="D3248" t="s">
        <v>24</v>
      </c>
      <c r="E3248" t="s">
        <v>34</v>
      </c>
      <c r="F3248" t="s">
        <v>35</v>
      </c>
      <c r="G3248" t="s">
        <v>27</v>
      </c>
      <c r="H3248" t="s">
        <v>28</v>
      </c>
      <c r="I3248" s="5">
        <v>623</v>
      </c>
      <c r="J3248" s="5">
        <v>351</v>
      </c>
      <c r="K3248" s="5">
        <v>38</v>
      </c>
      <c r="L3248" s="5">
        <v>15</v>
      </c>
      <c r="M3248" s="5">
        <v>15</v>
      </c>
      <c r="N3248" s="7">
        <v>913.89</v>
      </c>
      <c r="O3248" s="7">
        <f t="shared" si="352"/>
        <v>13708.35</v>
      </c>
      <c r="P3248" s="4">
        <v>0</v>
      </c>
      <c r="Q3248" s="7">
        <f t="shared" si="353"/>
        <v>0</v>
      </c>
      <c r="R3248" s="7">
        <f t="shared" si="354"/>
        <v>13708.35</v>
      </c>
      <c r="S3248" s="7">
        <f t="shared" si="355"/>
        <v>913.89</v>
      </c>
      <c r="T3248" s="6">
        <f t="shared" si="356"/>
        <v>2.4077046548956663E-2</v>
      </c>
      <c r="V3248" t="s">
        <v>29</v>
      </c>
    </row>
    <row r="3249" spans="1:22">
      <c r="A3249" s="3">
        <v>45793</v>
      </c>
      <c r="B3249" t="str">
        <f t="shared" si="350"/>
        <v>yyyy-05</v>
      </c>
      <c r="C3249">
        <f t="shared" si="351"/>
        <v>20</v>
      </c>
      <c r="D3249" t="s">
        <v>24</v>
      </c>
      <c r="E3249" t="s">
        <v>38</v>
      </c>
      <c r="F3249" t="s">
        <v>39</v>
      </c>
      <c r="G3249" t="s">
        <v>36</v>
      </c>
      <c r="H3249" t="s">
        <v>37</v>
      </c>
      <c r="I3249" s="5">
        <v>819</v>
      </c>
      <c r="J3249" s="5">
        <v>563</v>
      </c>
      <c r="K3249" s="5">
        <v>55</v>
      </c>
      <c r="L3249" s="5">
        <v>16</v>
      </c>
      <c r="M3249" s="5">
        <v>16</v>
      </c>
      <c r="N3249" s="7">
        <v>322.33999999999997</v>
      </c>
      <c r="O3249" s="7">
        <f t="shared" si="352"/>
        <v>5157.4399999999996</v>
      </c>
      <c r="P3249" s="4">
        <v>0.03</v>
      </c>
      <c r="Q3249" s="7">
        <f t="shared" si="353"/>
        <v>154.72319999999999</v>
      </c>
      <c r="R3249" s="7">
        <f t="shared" si="354"/>
        <v>5002.7167999999992</v>
      </c>
      <c r="S3249" s="7">
        <f t="shared" si="355"/>
        <v>312.66979999999995</v>
      </c>
      <c r="T3249" s="6">
        <f t="shared" si="356"/>
        <v>1.9536019536019536E-2</v>
      </c>
      <c r="V3249" t="s">
        <v>29</v>
      </c>
    </row>
    <row r="3250" spans="1:22">
      <c r="A3250" s="3">
        <v>45793</v>
      </c>
      <c r="B3250" t="str">
        <f t="shared" si="350"/>
        <v>yyyy-05</v>
      </c>
      <c r="C3250">
        <f t="shared" si="351"/>
        <v>20</v>
      </c>
      <c r="D3250" t="s">
        <v>24</v>
      </c>
      <c r="E3250" t="s">
        <v>40</v>
      </c>
      <c r="F3250" t="s">
        <v>41</v>
      </c>
      <c r="G3250" t="s">
        <v>36</v>
      </c>
      <c r="H3250" t="s">
        <v>37</v>
      </c>
      <c r="I3250" s="5">
        <v>726</v>
      </c>
      <c r="J3250" s="5">
        <v>595</v>
      </c>
      <c r="K3250" s="5">
        <v>68</v>
      </c>
      <c r="L3250" s="5">
        <v>13</v>
      </c>
      <c r="M3250" s="5">
        <v>17</v>
      </c>
      <c r="N3250" s="7">
        <v>173.3</v>
      </c>
      <c r="O3250" s="7">
        <f t="shared" si="352"/>
        <v>2946.1000000000004</v>
      </c>
      <c r="P3250" s="4">
        <v>0</v>
      </c>
      <c r="Q3250" s="7">
        <f t="shared" si="353"/>
        <v>0</v>
      </c>
      <c r="R3250" s="7">
        <f t="shared" si="354"/>
        <v>2946.1000000000004</v>
      </c>
      <c r="S3250" s="7">
        <f t="shared" si="355"/>
        <v>226.62307692307695</v>
      </c>
      <c r="T3250" s="6">
        <f t="shared" si="356"/>
        <v>1.790633608815427E-2</v>
      </c>
      <c r="V3250" t="s">
        <v>29</v>
      </c>
    </row>
    <row r="3251" spans="1:22">
      <c r="A3251" s="3">
        <v>45793</v>
      </c>
      <c r="B3251" t="str">
        <f t="shared" si="350"/>
        <v>yyyy-05</v>
      </c>
      <c r="C3251">
        <f t="shared" si="351"/>
        <v>20</v>
      </c>
      <c r="D3251" t="s">
        <v>42</v>
      </c>
      <c r="E3251" t="s">
        <v>43</v>
      </c>
      <c r="F3251" t="s">
        <v>44</v>
      </c>
      <c r="G3251" t="s">
        <v>27</v>
      </c>
      <c r="H3251" t="s">
        <v>63</v>
      </c>
      <c r="I3251" s="5">
        <v>277</v>
      </c>
      <c r="J3251" s="5">
        <v>144</v>
      </c>
      <c r="K3251" s="5">
        <v>15</v>
      </c>
      <c r="L3251" s="5">
        <v>4</v>
      </c>
      <c r="M3251" s="5">
        <v>4</v>
      </c>
      <c r="N3251" s="7">
        <v>1282.4000000000001</v>
      </c>
      <c r="O3251" s="7">
        <f t="shared" si="352"/>
        <v>5129.6000000000004</v>
      </c>
      <c r="P3251" s="4">
        <v>0.05</v>
      </c>
      <c r="Q3251" s="7">
        <f t="shared" si="353"/>
        <v>256.48</v>
      </c>
      <c r="R3251" s="7">
        <f t="shared" si="354"/>
        <v>4873.1200000000008</v>
      </c>
      <c r="S3251" s="7">
        <f t="shared" si="355"/>
        <v>1218.2800000000002</v>
      </c>
      <c r="T3251" s="6">
        <f t="shared" si="356"/>
        <v>1.444043321299639E-2</v>
      </c>
      <c r="V3251" t="s">
        <v>29</v>
      </c>
    </row>
    <row r="3252" spans="1:22">
      <c r="A3252" s="3">
        <v>45793</v>
      </c>
      <c r="B3252" t="str">
        <f t="shared" si="350"/>
        <v>yyyy-05</v>
      </c>
      <c r="C3252">
        <f t="shared" si="351"/>
        <v>20</v>
      </c>
      <c r="D3252" t="s">
        <v>42</v>
      </c>
      <c r="E3252" t="s">
        <v>43</v>
      </c>
      <c r="F3252" t="s">
        <v>46</v>
      </c>
      <c r="G3252" t="s">
        <v>27</v>
      </c>
      <c r="H3252" t="s">
        <v>45</v>
      </c>
      <c r="I3252" s="5">
        <v>559</v>
      </c>
      <c r="J3252" s="5">
        <v>391</v>
      </c>
      <c r="K3252" s="5">
        <v>33</v>
      </c>
      <c r="L3252" s="5">
        <v>7</v>
      </c>
      <c r="M3252" s="5">
        <v>7</v>
      </c>
      <c r="N3252" s="7">
        <v>2114.63</v>
      </c>
      <c r="O3252" s="7">
        <f t="shared" si="352"/>
        <v>14802.41</v>
      </c>
      <c r="P3252" s="4">
        <v>0</v>
      </c>
      <c r="Q3252" s="7">
        <f t="shared" si="353"/>
        <v>0</v>
      </c>
      <c r="R3252" s="7">
        <f t="shared" si="354"/>
        <v>14802.41</v>
      </c>
      <c r="S3252" s="7">
        <f t="shared" si="355"/>
        <v>2114.63</v>
      </c>
      <c r="T3252" s="6">
        <f t="shared" si="356"/>
        <v>1.2522361359570662E-2</v>
      </c>
      <c r="V3252" t="s">
        <v>29</v>
      </c>
    </row>
    <row r="3253" spans="1:22">
      <c r="A3253" s="3">
        <v>45793</v>
      </c>
      <c r="B3253" t="str">
        <f t="shared" si="350"/>
        <v>yyyy-05</v>
      </c>
      <c r="C3253">
        <f t="shared" si="351"/>
        <v>20</v>
      </c>
      <c r="D3253" t="s">
        <v>42</v>
      </c>
      <c r="E3253" t="s">
        <v>43</v>
      </c>
      <c r="F3253" t="s">
        <v>47</v>
      </c>
      <c r="G3253" t="s">
        <v>31</v>
      </c>
      <c r="H3253" t="s">
        <v>32</v>
      </c>
      <c r="I3253" s="5">
        <v>470</v>
      </c>
      <c r="J3253" s="5">
        <v>314</v>
      </c>
      <c r="K3253" s="5">
        <v>29</v>
      </c>
      <c r="L3253" s="5">
        <v>6</v>
      </c>
      <c r="M3253" s="5">
        <v>6</v>
      </c>
      <c r="N3253" s="7">
        <v>589.66999999999996</v>
      </c>
      <c r="O3253" s="7">
        <f t="shared" si="352"/>
        <v>3538.0199999999995</v>
      </c>
      <c r="P3253" s="4">
        <v>0</v>
      </c>
      <c r="Q3253" s="7">
        <f t="shared" si="353"/>
        <v>0</v>
      </c>
      <c r="R3253" s="7">
        <f t="shared" si="354"/>
        <v>3538.0199999999995</v>
      </c>
      <c r="S3253" s="7">
        <f t="shared" si="355"/>
        <v>589.66999999999996</v>
      </c>
      <c r="T3253" s="6">
        <f t="shared" si="356"/>
        <v>1.276595744680851E-2</v>
      </c>
      <c r="V3253" t="s">
        <v>29</v>
      </c>
    </row>
    <row r="3254" spans="1:22">
      <c r="A3254" s="3">
        <v>45793</v>
      </c>
      <c r="B3254" t="str">
        <f t="shared" si="350"/>
        <v>yyyy-05</v>
      </c>
      <c r="C3254">
        <f t="shared" si="351"/>
        <v>20</v>
      </c>
      <c r="D3254" t="s">
        <v>42</v>
      </c>
      <c r="E3254" t="s">
        <v>49</v>
      </c>
      <c r="F3254" t="s">
        <v>50</v>
      </c>
      <c r="G3254" t="s">
        <v>27</v>
      </c>
      <c r="H3254" t="s">
        <v>63</v>
      </c>
      <c r="I3254" s="5">
        <v>115</v>
      </c>
      <c r="J3254" s="5">
        <v>74</v>
      </c>
      <c r="K3254" s="5">
        <v>5</v>
      </c>
      <c r="L3254" s="5">
        <v>2</v>
      </c>
      <c r="M3254" s="5">
        <v>2</v>
      </c>
      <c r="N3254" s="7">
        <v>1014.28</v>
      </c>
      <c r="O3254" s="7">
        <f t="shared" si="352"/>
        <v>2028.56</v>
      </c>
      <c r="P3254" s="4">
        <v>0</v>
      </c>
      <c r="Q3254" s="7">
        <f t="shared" si="353"/>
        <v>0</v>
      </c>
      <c r="R3254" s="7">
        <f t="shared" si="354"/>
        <v>2028.56</v>
      </c>
      <c r="S3254" s="7">
        <f t="shared" si="355"/>
        <v>1014.28</v>
      </c>
      <c r="T3254" s="6">
        <f t="shared" si="356"/>
        <v>1.7391304347826087E-2</v>
      </c>
      <c r="V3254" t="s">
        <v>29</v>
      </c>
    </row>
    <row r="3255" spans="1:22">
      <c r="A3255" s="3">
        <v>45793</v>
      </c>
      <c r="B3255" t="str">
        <f t="shared" si="350"/>
        <v>yyyy-05</v>
      </c>
      <c r="C3255">
        <f t="shared" si="351"/>
        <v>20</v>
      </c>
      <c r="D3255" t="s">
        <v>42</v>
      </c>
      <c r="E3255" t="s">
        <v>51</v>
      </c>
      <c r="F3255" t="s">
        <v>52</v>
      </c>
      <c r="G3255" t="s">
        <v>27</v>
      </c>
      <c r="H3255" t="s">
        <v>48</v>
      </c>
      <c r="I3255" s="5">
        <v>230</v>
      </c>
      <c r="J3255" s="5">
        <v>149</v>
      </c>
      <c r="K3255" s="5">
        <v>16</v>
      </c>
      <c r="L3255" s="5">
        <v>4</v>
      </c>
      <c r="M3255" s="5">
        <v>4</v>
      </c>
      <c r="N3255" s="7">
        <v>609.82000000000005</v>
      </c>
      <c r="O3255" s="7">
        <f t="shared" si="352"/>
        <v>2439.2800000000002</v>
      </c>
      <c r="P3255" s="4">
        <v>0</v>
      </c>
      <c r="Q3255" s="7">
        <f t="shared" si="353"/>
        <v>0</v>
      </c>
      <c r="R3255" s="7">
        <f t="shared" si="354"/>
        <v>2439.2800000000002</v>
      </c>
      <c r="S3255" s="7">
        <f t="shared" si="355"/>
        <v>609.82000000000005</v>
      </c>
      <c r="T3255" s="6">
        <f t="shared" si="356"/>
        <v>1.7391304347826087E-2</v>
      </c>
      <c r="V3255" t="s">
        <v>29</v>
      </c>
    </row>
    <row r="3256" spans="1:22">
      <c r="A3256" s="3">
        <v>45793</v>
      </c>
      <c r="B3256" t="str">
        <f t="shared" si="350"/>
        <v>yyyy-05</v>
      </c>
      <c r="C3256">
        <f t="shared" si="351"/>
        <v>20</v>
      </c>
      <c r="D3256" t="s">
        <v>53</v>
      </c>
      <c r="E3256" t="s">
        <v>54</v>
      </c>
      <c r="F3256" t="s">
        <v>55</v>
      </c>
      <c r="G3256" t="s">
        <v>31</v>
      </c>
      <c r="H3256" t="s">
        <v>32</v>
      </c>
      <c r="I3256" s="5">
        <v>224</v>
      </c>
      <c r="J3256" s="5">
        <v>125</v>
      </c>
      <c r="K3256" s="5">
        <v>9</v>
      </c>
      <c r="L3256" s="5">
        <v>3</v>
      </c>
      <c r="M3256" s="5">
        <v>3</v>
      </c>
      <c r="N3256" s="7">
        <v>1263.6600000000001</v>
      </c>
      <c r="O3256" s="7">
        <f t="shared" si="352"/>
        <v>3790.9800000000005</v>
      </c>
      <c r="P3256" s="4">
        <v>0</v>
      </c>
      <c r="Q3256" s="7">
        <f t="shared" si="353"/>
        <v>0</v>
      </c>
      <c r="R3256" s="7">
        <f t="shared" si="354"/>
        <v>3790.9800000000005</v>
      </c>
      <c r="S3256" s="7">
        <f t="shared" si="355"/>
        <v>1263.6600000000001</v>
      </c>
      <c r="T3256" s="6">
        <f t="shared" si="356"/>
        <v>1.3392857142857142E-2</v>
      </c>
      <c r="V3256" t="s">
        <v>29</v>
      </c>
    </row>
    <row r="3257" spans="1:22">
      <c r="A3257" s="3">
        <v>45793</v>
      </c>
      <c r="B3257" t="str">
        <f t="shared" si="350"/>
        <v>yyyy-05</v>
      </c>
      <c r="C3257">
        <f t="shared" si="351"/>
        <v>20</v>
      </c>
      <c r="D3257" t="s">
        <v>53</v>
      </c>
      <c r="E3257" t="s">
        <v>56</v>
      </c>
      <c r="F3257" t="s">
        <v>57</v>
      </c>
      <c r="G3257" t="s">
        <v>36</v>
      </c>
      <c r="H3257" t="s">
        <v>37</v>
      </c>
      <c r="I3257" s="5">
        <v>286</v>
      </c>
      <c r="J3257" s="5">
        <v>215</v>
      </c>
      <c r="K3257" s="5">
        <v>20</v>
      </c>
      <c r="L3257" s="5">
        <v>3</v>
      </c>
      <c r="M3257" s="5">
        <v>3</v>
      </c>
      <c r="N3257" s="7">
        <v>726.32</v>
      </c>
      <c r="O3257" s="7">
        <f t="shared" si="352"/>
        <v>2178.96</v>
      </c>
      <c r="P3257" s="4">
        <v>0.05</v>
      </c>
      <c r="Q3257" s="7">
        <f t="shared" si="353"/>
        <v>108.94800000000001</v>
      </c>
      <c r="R3257" s="7">
        <f t="shared" si="354"/>
        <v>2070.0120000000002</v>
      </c>
      <c r="S3257" s="7">
        <f t="shared" si="355"/>
        <v>690.00400000000002</v>
      </c>
      <c r="T3257" s="6">
        <f t="shared" si="356"/>
        <v>1.048951048951049E-2</v>
      </c>
      <c r="V3257" t="s">
        <v>29</v>
      </c>
    </row>
    <row r="3258" spans="1:22">
      <c r="A3258" s="3">
        <v>45793</v>
      </c>
      <c r="B3258" t="str">
        <f t="shared" si="350"/>
        <v>yyyy-05</v>
      </c>
      <c r="C3258">
        <f t="shared" si="351"/>
        <v>20</v>
      </c>
      <c r="D3258" t="s">
        <v>53</v>
      </c>
      <c r="E3258" t="s">
        <v>56</v>
      </c>
      <c r="F3258" t="s">
        <v>58</v>
      </c>
      <c r="G3258" t="s">
        <v>36</v>
      </c>
      <c r="H3258" t="s">
        <v>37</v>
      </c>
      <c r="I3258" s="5">
        <v>211</v>
      </c>
      <c r="J3258" s="5">
        <v>166</v>
      </c>
      <c r="K3258" s="5">
        <v>15</v>
      </c>
      <c r="L3258" s="5">
        <v>3</v>
      </c>
      <c r="M3258" s="5">
        <v>3</v>
      </c>
      <c r="N3258" s="7">
        <v>874.35</v>
      </c>
      <c r="O3258" s="7">
        <f t="shared" si="352"/>
        <v>2623.05</v>
      </c>
      <c r="P3258" s="4">
        <v>0</v>
      </c>
      <c r="Q3258" s="7">
        <f t="shared" si="353"/>
        <v>0</v>
      </c>
      <c r="R3258" s="7">
        <f t="shared" si="354"/>
        <v>2623.05</v>
      </c>
      <c r="S3258" s="7">
        <f t="shared" si="355"/>
        <v>874.35</v>
      </c>
      <c r="T3258" s="6">
        <f t="shared" si="356"/>
        <v>1.4218009478672985E-2</v>
      </c>
      <c r="V3258" t="s">
        <v>29</v>
      </c>
    </row>
    <row r="3259" spans="1:22">
      <c r="A3259" s="3">
        <v>45793</v>
      </c>
      <c r="B3259" t="str">
        <f t="shared" si="350"/>
        <v>yyyy-05</v>
      </c>
      <c r="C3259">
        <f t="shared" si="351"/>
        <v>20</v>
      </c>
      <c r="D3259" t="s">
        <v>53</v>
      </c>
      <c r="E3259" t="s">
        <v>59</v>
      </c>
      <c r="F3259" t="s">
        <v>60</v>
      </c>
      <c r="G3259" t="s">
        <v>27</v>
      </c>
      <c r="H3259" t="s">
        <v>45</v>
      </c>
      <c r="I3259" s="5">
        <v>168</v>
      </c>
      <c r="J3259" s="5">
        <v>115</v>
      </c>
      <c r="K3259" s="5">
        <v>9</v>
      </c>
      <c r="L3259" s="5">
        <v>2</v>
      </c>
      <c r="M3259" s="5">
        <v>2</v>
      </c>
      <c r="N3259" s="7">
        <v>684.42</v>
      </c>
      <c r="O3259" s="7">
        <f t="shared" si="352"/>
        <v>1368.84</v>
      </c>
      <c r="P3259" s="4">
        <v>0</v>
      </c>
      <c r="Q3259" s="7">
        <f t="shared" si="353"/>
        <v>0</v>
      </c>
      <c r="R3259" s="7">
        <f t="shared" si="354"/>
        <v>1368.84</v>
      </c>
      <c r="S3259" s="7">
        <f t="shared" si="355"/>
        <v>684.42</v>
      </c>
      <c r="T3259" s="6">
        <f t="shared" si="356"/>
        <v>1.1904761904761904E-2</v>
      </c>
      <c r="V3259" t="s">
        <v>29</v>
      </c>
    </row>
    <row r="3260" spans="1:22">
      <c r="A3260" s="3">
        <v>45793</v>
      </c>
      <c r="B3260" t="str">
        <f t="shared" si="350"/>
        <v>yyyy-05</v>
      </c>
      <c r="C3260">
        <f t="shared" si="351"/>
        <v>20</v>
      </c>
      <c r="D3260" t="s">
        <v>53</v>
      </c>
      <c r="E3260" t="s">
        <v>61</v>
      </c>
      <c r="F3260" t="s">
        <v>62</v>
      </c>
      <c r="G3260" t="s">
        <v>27</v>
      </c>
      <c r="H3260" t="s">
        <v>48</v>
      </c>
      <c r="I3260" s="5">
        <v>182</v>
      </c>
      <c r="J3260" s="5">
        <v>123</v>
      </c>
      <c r="K3260" s="5">
        <v>8</v>
      </c>
      <c r="L3260" s="5">
        <v>2</v>
      </c>
      <c r="M3260" s="5">
        <v>2</v>
      </c>
      <c r="N3260" s="7">
        <v>488.8</v>
      </c>
      <c r="O3260" s="7">
        <f t="shared" si="352"/>
        <v>977.6</v>
      </c>
      <c r="P3260" s="4">
        <v>0</v>
      </c>
      <c r="Q3260" s="7">
        <f t="shared" si="353"/>
        <v>0</v>
      </c>
      <c r="R3260" s="7">
        <f t="shared" si="354"/>
        <v>977.6</v>
      </c>
      <c r="S3260" s="7">
        <f t="shared" si="355"/>
        <v>488.8</v>
      </c>
      <c r="T3260" s="6">
        <f t="shared" si="356"/>
        <v>1.098901098901099E-2</v>
      </c>
      <c r="V3260" t="s">
        <v>29</v>
      </c>
    </row>
    <row r="3261" spans="1:22">
      <c r="A3261" s="3">
        <v>45793</v>
      </c>
      <c r="B3261" t="str">
        <f t="shared" si="350"/>
        <v>yyyy-05</v>
      </c>
      <c r="C3261">
        <f t="shared" si="351"/>
        <v>20</v>
      </c>
      <c r="D3261" t="s">
        <v>53</v>
      </c>
      <c r="E3261" t="s">
        <v>64</v>
      </c>
      <c r="F3261" t="s">
        <v>65</v>
      </c>
      <c r="G3261" t="s">
        <v>27</v>
      </c>
      <c r="H3261" t="s">
        <v>48</v>
      </c>
      <c r="I3261" s="5">
        <v>190</v>
      </c>
      <c r="J3261" s="5">
        <v>149</v>
      </c>
      <c r="K3261" s="5">
        <v>8</v>
      </c>
      <c r="L3261" s="5">
        <v>2</v>
      </c>
      <c r="M3261" s="5">
        <v>2</v>
      </c>
      <c r="N3261" s="7">
        <v>812.01</v>
      </c>
      <c r="O3261" s="7">
        <f t="shared" si="352"/>
        <v>1624.02</v>
      </c>
      <c r="P3261" s="4">
        <v>0.12</v>
      </c>
      <c r="Q3261" s="7">
        <f t="shared" si="353"/>
        <v>194.88239999999999</v>
      </c>
      <c r="R3261" s="7">
        <f t="shared" si="354"/>
        <v>1429.1376</v>
      </c>
      <c r="S3261" s="7">
        <f t="shared" si="355"/>
        <v>714.56880000000001</v>
      </c>
      <c r="T3261" s="6">
        <f t="shared" si="356"/>
        <v>1.0526315789473684E-2</v>
      </c>
      <c r="U3261" t="s">
        <v>97</v>
      </c>
      <c r="V3261" t="s">
        <v>78</v>
      </c>
    </row>
    <row r="3262" spans="1:22">
      <c r="A3262" s="3">
        <v>45793</v>
      </c>
      <c r="B3262" t="str">
        <f t="shared" si="350"/>
        <v>yyyy-05</v>
      </c>
      <c r="C3262">
        <f t="shared" si="351"/>
        <v>20</v>
      </c>
      <c r="D3262" t="s">
        <v>66</v>
      </c>
      <c r="E3262" t="s">
        <v>67</v>
      </c>
      <c r="F3262" t="s">
        <v>68</v>
      </c>
      <c r="G3262" t="s">
        <v>27</v>
      </c>
      <c r="H3262" t="s">
        <v>48</v>
      </c>
      <c r="I3262" s="5">
        <v>296</v>
      </c>
      <c r="J3262" s="5">
        <v>188</v>
      </c>
      <c r="K3262" s="5">
        <v>28</v>
      </c>
      <c r="L3262" s="5">
        <v>6</v>
      </c>
      <c r="M3262" s="5">
        <v>6</v>
      </c>
      <c r="N3262" s="7">
        <v>710.98</v>
      </c>
      <c r="O3262" s="7">
        <f t="shared" si="352"/>
        <v>4265.88</v>
      </c>
      <c r="P3262" s="4">
        <v>0.03</v>
      </c>
      <c r="Q3262" s="7">
        <f t="shared" si="353"/>
        <v>127.9764</v>
      </c>
      <c r="R3262" s="7">
        <f t="shared" si="354"/>
        <v>4137.9036000000006</v>
      </c>
      <c r="S3262" s="7">
        <f t="shared" si="355"/>
        <v>689.65060000000005</v>
      </c>
      <c r="T3262" s="6">
        <f t="shared" si="356"/>
        <v>2.0270270270270271E-2</v>
      </c>
      <c r="V3262" t="s">
        <v>29</v>
      </c>
    </row>
    <row r="3263" spans="1:22">
      <c r="A3263" s="3">
        <v>45793</v>
      </c>
      <c r="B3263" t="str">
        <f t="shared" si="350"/>
        <v>yyyy-05</v>
      </c>
      <c r="C3263">
        <f t="shared" si="351"/>
        <v>20</v>
      </c>
      <c r="D3263" t="s">
        <v>66</v>
      </c>
      <c r="E3263" t="s">
        <v>67</v>
      </c>
      <c r="F3263" t="s">
        <v>69</v>
      </c>
      <c r="G3263" t="s">
        <v>36</v>
      </c>
      <c r="H3263" t="s">
        <v>37</v>
      </c>
      <c r="I3263" s="5">
        <v>346</v>
      </c>
      <c r="J3263" s="5">
        <v>198</v>
      </c>
      <c r="K3263" s="5">
        <v>19</v>
      </c>
      <c r="L3263" s="5">
        <v>6</v>
      </c>
      <c r="M3263" s="5">
        <v>6</v>
      </c>
      <c r="N3263" s="7">
        <v>395.79</v>
      </c>
      <c r="O3263" s="7">
        <f t="shared" si="352"/>
        <v>2374.7400000000002</v>
      </c>
      <c r="P3263" s="4">
        <v>0.03</v>
      </c>
      <c r="Q3263" s="7">
        <f t="shared" si="353"/>
        <v>71.242200000000011</v>
      </c>
      <c r="R3263" s="7">
        <f t="shared" si="354"/>
        <v>2303.4978000000001</v>
      </c>
      <c r="S3263" s="7">
        <f t="shared" si="355"/>
        <v>383.91630000000004</v>
      </c>
      <c r="T3263" s="6">
        <f t="shared" si="356"/>
        <v>1.7341040462427744E-2</v>
      </c>
      <c r="V3263" t="s">
        <v>29</v>
      </c>
    </row>
    <row r="3264" spans="1:22">
      <c r="A3264" s="3">
        <v>45793</v>
      </c>
      <c r="B3264" t="str">
        <f t="shared" si="350"/>
        <v>yyyy-05</v>
      </c>
      <c r="C3264">
        <f t="shared" si="351"/>
        <v>20</v>
      </c>
      <c r="D3264" t="s">
        <v>66</v>
      </c>
      <c r="E3264" t="s">
        <v>67</v>
      </c>
      <c r="F3264" t="s">
        <v>70</v>
      </c>
      <c r="G3264" t="s">
        <v>36</v>
      </c>
      <c r="H3264" t="s">
        <v>37</v>
      </c>
      <c r="I3264" s="5">
        <v>364</v>
      </c>
      <c r="J3264" s="5">
        <v>194</v>
      </c>
      <c r="K3264" s="5">
        <v>18</v>
      </c>
      <c r="L3264" s="5">
        <v>5</v>
      </c>
      <c r="M3264" s="5">
        <v>5</v>
      </c>
      <c r="N3264" s="7">
        <v>352.1</v>
      </c>
      <c r="O3264" s="7">
        <f t="shared" si="352"/>
        <v>1760.5</v>
      </c>
      <c r="P3264" s="4">
        <v>0</v>
      </c>
      <c r="Q3264" s="7">
        <f t="shared" si="353"/>
        <v>0</v>
      </c>
      <c r="R3264" s="7">
        <f t="shared" si="354"/>
        <v>1760.5</v>
      </c>
      <c r="S3264" s="7">
        <f t="shared" si="355"/>
        <v>352.1</v>
      </c>
      <c r="T3264" s="6">
        <f t="shared" si="356"/>
        <v>1.3736263736263736E-2</v>
      </c>
      <c r="V3264" t="s">
        <v>29</v>
      </c>
    </row>
    <row r="3265" spans="1:22">
      <c r="A3265" s="3">
        <v>45793</v>
      </c>
      <c r="B3265" t="str">
        <f t="shared" si="350"/>
        <v>yyyy-05</v>
      </c>
      <c r="C3265">
        <f t="shared" si="351"/>
        <v>20</v>
      </c>
      <c r="D3265" t="s">
        <v>66</v>
      </c>
      <c r="E3265" t="s">
        <v>71</v>
      </c>
      <c r="F3265" t="s">
        <v>72</v>
      </c>
      <c r="G3265" t="s">
        <v>27</v>
      </c>
      <c r="H3265" t="s">
        <v>28</v>
      </c>
      <c r="I3265" s="5">
        <v>342</v>
      </c>
      <c r="J3265" s="5">
        <v>200</v>
      </c>
      <c r="K3265" s="5">
        <v>22</v>
      </c>
      <c r="L3265" s="5">
        <v>5</v>
      </c>
      <c r="M3265" s="5">
        <v>7</v>
      </c>
      <c r="N3265" s="7">
        <v>127.89</v>
      </c>
      <c r="O3265" s="7">
        <f t="shared" si="352"/>
        <v>895.23</v>
      </c>
      <c r="P3265" s="4">
        <v>0</v>
      </c>
      <c r="Q3265" s="7">
        <f t="shared" si="353"/>
        <v>0</v>
      </c>
      <c r="R3265" s="7">
        <f t="shared" si="354"/>
        <v>895.23</v>
      </c>
      <c r="S3265" s="7">
        <f t="shared" si="355"/>
        <v>179.04599999999999</v>
      </c>
      <c r="T3265" s="6">
        <f t="shared" si="356"/>
        <v>1.4619883040935672E-2</v>
      </c>
      <c r="V3265" t="s">
        <v>29</v>
      </c>
    </row>
    <row r="3266" spans="1:22">
      <c r="A3266" s="3">
        <v>45793</v>
      </c>
      <c r="B3266" t="str">
        <f t="shared" si="350"/>
        <v>yyyy-05</v>
      </c>
      <c r="C3266">
        <f t="shared" si="351"/>
        <v>20</v>
      </c>
      <c r="D3266" t="s">
        <v>66</v>
      </c>
      <c r="E3266" t="s">
        <v>73</v>
      </c>
      <c r="F3266" t="s">
        <v>74</v>
      </c>
      <c r="G3266" t="s">
        <v>27</v>
      </c>
      <c r="H3266" t="s">
        <v>63</v>
      </c>
      <c r="I3266" s="5">
        <v>114</v>
      </c>
      <c r="J3266" s="5">
        <v>92</v>
      </c>
      <c r="K3266" s="5">
        <v>7</v>
      </c>
      <c r="L3266" s="5">
        <v>2</v>
      </c>
      <c r="M3266" s="5">
        <v>2</v>
      </c>
      <c r="N3266" s="7">
        <v>1219</v>
      </c>
      <c r="O3266" s="7">
        <f t="shared" si="352"/>
        <v>2438</v>
      </c>
      <c r="P3266" s="4">
        <v>0</v>
      </c>
      <c r="Q3266" s="7">
        <f t="shared" si="353"/>
        <v>0</v>
      </c>
      <c r="R3266" s="7">
        <f t="shared" si="354"/>
        <v>2438</v>
      </c>
      <c r="S3266" s="7">
        <f t="shared" si="355"/>
        <v>1219</v>
      </c>
      <c r="T3266" s="6">
        <f t="shared" si="356"/>
        <v>1.7543859649122806E-2</v>
      </c>
      <c r="V3266" t="s">
        <v>29</v>
      </c>
    </row>
    <row r="3267" spans="1:22">
      <c r="A3267" s="3">
        <v>45793</v>
      </c>
      <c r="B3267" t="str">
        <f t="shared" si="350"/>
        <v>yyyy-05</v>
      </c>
      <c r="C3267">
        <f t="shared" si="351"/>
        <v>20</v>
      </c>
      <c r="D3267" t="s">
        <v>66</v>
      </c>
      <c r="E3267" t="s">
        <v>71</v>
      </c>
      <c r="F3267" t="s">
        <v>75</v>
      </c>
      <c r="G3267" t="s">
        <v>27</v>
      </c>
      <c r="H3267" t="s">
        <v>45</v>
      </c>
      <c r="I3267" s="5">
        <v>352</v>
      </c>
      <c r="J3267" s="5">
        <v>224</v>
      </c>
      <c r="K3267" s="5">
        <v>14</v>
      </c>
      <c r="L3267" s="5">
        <v>5</v>
      </c>
      <c r="M3267" s="5">
        <v>7</v>
      </c>
      <c r="N3267" s="7">
        <v>38.57</v>
      </c>
      <c r="O3267" s="7">
        <f t="shared" si="352"/>
        <v>269.99</v>
      </c>
      <c r="P3267" s="4">
        <v>0</v>
      </c>
      <c r="Q3267" s="7">
        <f t="shared" si="353"/>
        <v>0</v>
      </c>
      <c r="R3267" s="7">
        <f t="shared" si="354"/>
        <v>269.99</v>
      </c>
      <c r="S3267" s="7">
        <f t="shared" si="355"/>
        <v>53.998000000000005</v>
      </c>
      <c r="T3267" s="6">
        <f t="shared" si="356"/>
        <v>1.4204545454545454E-2</v>
      </c>
      <c r="V3267" t="s">
        <v>29</v>
      </c>
    </row>
    <row r="3268" spans="1:22">
      <c r="A3268" s="3">
        <v>45793</v>
      </c>
      <c r="B3268" t="str">
        <f t="shared" si="350"/>
        <v>yyyy-05</v>
      </c>
      <c r="C3268">
        <f t="shared" si="351"/>
        <v>20</v>
      </c>
      <c r="D3268" t="s">
        <v>24</v>
      </c>
      <c r="E3268" t="s">
        <v>76</v>
      </c>
      <c r="F3268" t="s">
        <v>77</v>
      </c>
      <c r="G3268" t="s">
        <v>27</v>
      </c>
      <c r="H3268" t="s">
        <v>28</v>
      </c>
      <c r="I3268" s="5">
        <v>682</v>
      </c>
      <c r="J3268" s="5">
        <v>371</v>
      </c>
      <c r="K3268" s="5">
        <v>52</v>
      </c>
      <c r="L3268" s="5">
        <v>16</v>
      </c>
      <c r="M3268" s="5">
        <v>18</v>
      </c>
      <c r="N3268" s="7">
        <v>193.69</v>
      </c>
      <c r="O3268" s="7">
        <f t="shared" si="352"/>
        <v>3486.42</v>
      </c>
      <c r="P3268" s="4">
        <v>0</v>
      </c>
      <c r="Q3268" s="7">
        <f t="shared" si="353"/>
        <v>0</v>
      </c>
      <c r="R3268" s="7">
        <f t="shared" si="354"/>
        <v>3486.42</v>
      </c>
      <c r="S3268" s="7">
        <f t="shared" si="355"/>
        <v>217.90125</v>
      </c>
      <c r="T3268" s="6">
        <f t="shared" si="356"/>
        <v>2.3460410557184751E-2</v>
      </c>
      <c r="V3268" t="s">
        <v>29</v>
      </c>
    </row>
    <row r="3269" spans="1:22">
      <c r="A3269" s="3">
        <v>45794</v>
      </c>
      <c r="B3269" t="str">
        <f t="shared" ref="B3269:B3332" si="357">TEXT(A3269,"yyyy-mm")</f>
        <v>yyyy-05</v>
      </c>
      <c r="C3269">
        <f t="shared" ref="C3269:C3332" si="358">WEEKNUM(A3269,2)</f>
        <v>20</v>
      </c>
      <c r="D3269" t="s">
        <v>24</v>
      </c>
      <c r="E3269" t="s">
        <v>25</v>
      </c>
      <c r="F3269" t="s">
        <v>26</v>
      </c>
      <c r="G3269" t="s">
        <v>27</v>
      </c>
      <c r="H3269" t="s">
        <v>28</v>
      </c>
      <c r="I3269" s="5">
        <v>2161</v>
      </c>
      <c r="J3269" s="5">
        <v>1764</v>
      </c>
      <c r="K3269" s="5">
        <v>206</v>
      </c>
      <c r="L3269" s="5">
        <v>60</v>
      </c>
      <c r="M3269" s="5">
        <v>60</v>
      </c>
      <c r="N3269" s="7">
        <v>984.53</v>
      </c>
      <c r="O3269" s="7">
        <f t="shared" ref="O3269:O3332" si="359">M3269*N3269</f>
        <v>59071.799999999996</v>
      </c>
      <c r="P3269" s="4">
        <v>0.14000000000000001</v>
      </c>
      <c r="Q3269" s="7">
        <f t="shared" ref="Q3269:Q3332" si="360">O3269*P3269</f>
        <v>8270.0519999999997</v>
      </c>
      <c r="R3269" s="7">
        <f t="shared" ref="R3269:R3332" si="361">O3269-Q3269</f>
        <v>50801.747999999992</v>
      </c>
      <c r="S3269" s="7">
        <f t="shared" ref="S3269:S3332" si="362">IFERROR(R3269/L3269,0)</f>
        <v>846.69579999999985</v>
      </c>
      <c r="T3269" s="6">
        <f t="shared" ref="T3269:T3332" si="363">IFERROR(L3269/I3269,0)</f>
        <v>2.7764923646459973E-2</v>
      </c>
      <c r="U3269" t="s">
        <v>96</v>
      </c>
      <c r="V3269" t="s">
        <v>29</v>
      </c>
    </row>
    <row r="3270" spans="1:22">
      <c r="A3270" s="3">
        <v>45794</v>
      </c>
      <c r="B3270" t="str">
        <f t="shared" si="357"/>
        <v>yyyy-05</v>
      </c>
      <c r="C3270">
        <f t="shared" si="358"/>
        <v>20</v>
      </c>
      <c r="D3270" t="s">
        <v>24</v>
      </c>
      <c r="E3270" t="s">
        <v>25</v>
      </c>
      <c r="F3270" t="s">
        <v>30</v>
      </c>
      <c r="G3270" t="s">
        <v>31</v>
      </c>
      <c r="H3270" t="s">
        <v>32</v>
      </c>
      <c r="I3270" s="5">
        <v>1791</v>
      </c>
      <c r="J3270" s="5">
        <v>1408</v>
      </c>
      <c r="K3270" s="5">
        <v>178</v>
      </c>
      <c r="L3270" s="5">
        <v>53</v>
      </c>
      <c r="M3270" s="5">
        <v>53</v>
      </c>
      <c r="N3270" s="7">
        <v>401.4</v>
      </c>
      <c r="O3270" s="7">
        <f t="shared" si="359"/>
        <v>21274.199999999997</v>
      </c>
      <c r="P3270" s="4">
        <v>0.14000000000000001</v>
      </c>
      <c r="Q3270" s="7">
        <f t="shared" si="360"/>
        <v>2978.3879999999999</v>
      </c>
      <c r="R3270" s="7">
        <f t="shared" si="361"/>
        <v>18295.811999999998</v>
      </c>
      <c r="S3270" s="7">
        <f t="shared" si="362"/>
        <v>345.20399999999995</v>
      </c>
      <c r="T3270" s="6">
        <f t="shared" si="363"/>
        <v>2.9592406476828589E-2</v>
      </c>
      <c r="U3270" t="s">
        <v>96</v>
      </c>
      <c r="V3270" t="s">
        <v>29</v>
      </c>
    </row>
    <row r="3271" spans="1:22">
      <c r="A3271" s="3">
        <v>45794</v>
      </c>
      <c r="B3271" t="str">
        <f t="shared" si="357"/>
        <v>yyyy-05</v>
      </c>
      <c r="C3271">
        <f t="shared" si="358"/>
        <v>20</v>
      </c>
      <c r="D3271" t="s">
        <v>24</v>
      </c>
      <c r="E3271" t="s">
        <v>25</v>
      </c>
      <c r="F3271" t="s">
        <v>33</v>
      </c>
      <c r="G3271" t="s">
        <v>31</v>
      </c>
      <c r="H3271" t="s">
        <v>32</v>
      </c>
      <c r="I3271" s="5">
        <v>2029</v>
      </c>
      <c r="J3271" s="5">
        <v>1422</v>
      </c>
      <c r="K3271" s="5">
        <v>207</v>
      </c>
      <c r="L3271" s="5">
        <v>43</v>
      </c>
      <c r="M3271" s="5">
        <v>43</v>
      </c>
      <c r="N3271" s="7">
        <v>1750.85</v>
      </c>
      <c r="O3271" s="7">
        <f t="shared" si="359"/>
        <v>75286.55</v>
      </c>
      <c r="P3271" s="4">
        <v>0.14000000000000001</v>
      </c>
      <c r="Q3271" s="7">
        <f t="shared" si="360"/>
        <v>10540.117000000002</v>
      </c>
      <c r="R3271" s="7">
        <f t="shared" si="361"/>
        <v>64746.433000000005</v>
      </c>
      <c r="S3271" s="7">
        <f t="shared" si="362"/>
        <v>1505.731</v>
      </c>
      <c r="T3271" s="6">
        <f t="shared" si="363"/>
        <v>2.1192705766387383E-2</v>
      </c>
      <c r="U3271" t="s">
        <v>96</v>
      </c>
      <c r="V3271" t="s">
        <v>29</v>
      </c>
    </row>
    <row r="3272" spans="1:22">
      <c r="A3272" s="3">
        <v>45794</v>
      </c>
      <c r="B3272" t="str">
        <f t="shared" si="357"/>
        <v>yyyy-05</v>
      </c>
      <c r="C3272">
        <f t="shared" si="358"/>
        <v>20</v>
      </c>
      <c r="D3272" t="s">
        <v>24</v>
      </c>
      <c r="E3272" t="s">
        <v>34</v>
      </c>
      <c r="F3272" t="s">
        <v>35</v>
      </c>
      <c r="G3272" t="s">
        <v>27</v>
      </c>
      <c r="H3272" t="s">
        <v>28</v>
      </c>
      <c r="I3272" s="5">
        <v>1306</v>
      </c>
      <c r="J3272" s="5">
        <v>818</v>
      </c>
      <c r="K3272" s="5">
        <v>110</v>
      </c>
      <c r="L3272" s="5">
        <v>33</v>
      </c>
      <c r="M3272" s="5">
        <v>33</v>
      </c>
      <c r="N3272" s="7">
        <v>879.88</v>
      </c>
      <c r="O3272" s="7">
        <f t="shared" si="359"/>
        <v>29036.04</v>
      </c>
      <c r="P3272" s="4">
        <v>0</v>
      </c>
      <c r="Q3272" s="7">
        <f t="shared" si="360"/>
        <v>0</v>
      </c>
      <c r="R3272" s="7">
        <f t="shared" si="361"/>
        <v>29036.04</v>
      </c>
      <c r="S3272" s="7">
        <f t="shared" si="362"/>
        <v>879.88</v>
      </c>
      <c r="T3272" s="6">
        <f t="shared" si="363"/>
        <v>2.5267993874425729E-2</v>
      </c>
      <c r="V3272" t="s">
        <v>29</v>
      </c>
    </row>
    <row r="3273" spans="1:22">
      <c r="A3273" s="3">
        <v>45794</v>
      </c>
      <c r="B3273" t="str">
        <f t="shared" si="357"/>
        <v>yyyy-05</v>
      </c>
      <c r="C3273">
        <f t="shared" si="358"/>
        <v>20</v>
      </c>
      <c r="D3273" t="s">
        <v>24</v>
      </c>
      <c r="E3273" t="s">
        <v>38</v>
      </c>
      <c r="F3273" t="s">
        <v>39</v>
      </c>
      <c r="G3273" t="s">
        <v>31</v>
      </c>
      <c r="H3273" t="s">
        <v>32</v>
      </c>
      <c r="I3273" s="5">
        <v>1155</v>
      </c>
      <c r="J3273" s="5">
        <v>723</v>
      </c>
      <c r="K3273" s="5">
        <v>64</v>
      </c>
      <c r="L3273" s="5">
        <v>16</v>
      </c>
      <c r="M3273" s="5">
        <v>16</v>
      </c>
      <c r="N3273" s="7">
        <v>331.43</v>
      </c>
      <c r="O3273" s="7">
        <f t="shared" si="359"/>
        <v>5302.88</v>
      </c>
      <c r="P3273" s="4">
        <v>0</v>
      </c>
      <c r="Q3273" s="7">
        <f t="shared" si="360"/>
        <v>0</v>
      </c>
      <c r="R3273" s="7">
        <f t="shared" si="361"/>
        <v>5302.88</v>
      </c>
      <c r="S3273" s="7">
        <f t="shared" si="362"/>
        <v>331.43</v>
      </c>
      <c r="T3273" s="6">
        <f t="shared" si="363"/>
        <v>1.3852813852813853E-2</v>
      </c>
      <c r="V3273" t="s">
        <v>78</v>
      </c>
    </row>
    <row r="3274" spans="1:22">
      <c r="A3274" s="3">
        <v>45794</v>
      </c>
      <c r="B3274" t="str">
        <f t="shared" si="357"/>
        <v>yyyy-05</v>
      </c>
      <c r="C3274">
        <f t="shared" si="358"/>
        <v>20</v>
      </c>
      <c r="D3274" t="s">
        <v>24</v>
      </c>
      <c r="E3274" t="s">
        <v>40</v>
      </c>
      <c r="F3274" t="s">
        <v>41</v>
      </c>
      <c r="G3274" t="s">
        <v>27</v>
      </c>
      <c r="H3274" t="s">
        <v>45</v>
      </c>
      <c r="I3274" s="5">
        <v>711</v>
      </c>
      <c r="J3274" s="5">
        <v>566</v>
      </c>
      <c r="K3274" s="5">
        <v>71</v>
      </c>
      <c r="L3274" s="5">
        <v>18</v>
      </c>
      <c r="M3274" s="5">
        <v>19</v>
      </c>
      <c r="N3274" s="7">
        <v>176.96</v>
      </c>
      <c r="O3274" s="7">
        <f t="shared" si="359"/>
        <v>3362.2400000000002</v>
      </c>
      <c r="P3274" s="4">
        <v>0.03</v>
      </c>
      <c r="Q3274" s="7">
        <f t="shared" si="360"/>
        <v>100.8672</v>
      </c>
      <c r="R3274" s="7">
        <f t="shared" si="361"/>
        <v>3261.3728000000001</v>
      </c>
      <c r="S3274" s="7">
        <f t="shared" si="362"/>
        <v>181.18737777777778</v>
      </c>
      <c r="T3274" s="6">
        <f t="shared" si="363"/>
        <v>2.5316455696202531E-2</v>
      </c>
      <c r="V3274" t="s">
        <v>29</v>
      </c>
    </row>
    <row r="3275" spans="1:22">
      <c r="A3275" s="3">
        <v>45794</v>
      </c>
      <c r="B3275" t="str">
        <f t="shared" si="357"/>
        <v>yyyy-05</v>
      </c>
      <c r="C3275">
        <f t="shared" si="358"/>
        <v>20</v>
      </c>
      <c r="D3275" t="s">
        <v>42</v>
      </c>
      <c r="E3275" t="s">
        <v>43</v>
      </c>
      <c r="F3275" t="s">
        <v>44</v>
      </c>
      <c r="G3275" t="s">
        <v>27</v>
      </c>
      <c r="H3275" t="s">
        <v>28</v>
      </c>
      <c r="I3275" s="5">
        <v>487</v>
      </c>
      <c r="J3275" s="5">
        <v>383</v>
      </c>
      <c r="K3275" s="5">
        <v>28</v>
      </c>
      <c r="L3275" s="5">
        <v>7</v>
      </c>
      <c r="M3275" s="5">
        <v>7</v>
      </c>
      <c r="N3275" s="7">
        <v>1277.51</v>
      </c>
      <c r="O3275" s="7">
        <f t="shared" si="359"/>
        <v>8942.57</v>
      </c>
      <c r="P3275" s="4">
        <v>0</v>
      </c>
      <c r="Q3275" s="7">
        <f t="shared" si="360"/>
        <v>0</v>
      </c>
      <c r="R3275" s="7">
        <f t="shared" si="361"/>
        <v>8942.57</v>
      </c>
      <c r="S3275" s="7">
        <f t="shared" si="362"/>
        <v>1277.51</v>
      </c>
      <c r="T3275" s="6">
        <f t="shared" si="363"/>
        <v>1.4373716632443531E-2</v>
      </c>
      <c r="V3275" t="s">
        <v>29</v>
      </c>
    </row>
    <row r="3276" spans="1:22">
      <c r="A3276" s="3">
        <v>45794</v>
      </c>
      <c r="B3276" t="str">
        <f t="shared" si="357"/>
        <v>yyyy-05</v>
      </c>
      <c r="C3276">
        <f t="shared" si="358"/>
        <v>20</v>
      </c>
      <c r="D3276" t="s">
        <v>42</v>
      </c>
      <c r="E3276" t="s">
        <v>43</v>
      </c>
      <c r="F3276" t="s">
        <v>46</v>
      </c>
      <c r="G3276" t="s">
        <v>27</v>
      </c>
      <c r="H3276" t="s">
        <v>45</v>
      </c>
      <c r="I3276" s="5">
        <v>482</v>
      </c>
      <c r="J3276" s="5">
        <v>252</v>
      </c>
      <c r="K3276" s="5">
        <v>26</v>
      </c>
      <c r="L3276" s="5">
        <v>9</v>
      </c>
      <c r="M3276" s="5">
        <v>9</v>
      </c>
      <c r="N3276" s="7">
        <v>2229.4899999999998</v>
      </c>
      <c r="O3276" s="7">
        <f t="shared" si="359"/>
        <v>20065.409999999996</v>
      </c>
      <c r="P3276" s="4">
        <v>0</v>
      </c>
      <c r="Q3276" s="7">
        <f t="shared" si="360"/>
        <v>0</v>
      </c>
      <c r="R3276" s="7">
        <f t="shared" si="361"/>
        <v>20065.409999999996</v>
      </c>
      <c r="S3276" s="7">
        <f t="shared" si="362"/>
        <v>2229.4899999999998</v>
      </c>
      <c r="T3276" s="6">
        <f t="shared" si="363"/>
        <v>1.8672199170124481E-2</v>
      </c>
      <c r="V3276" t="s">
        <v>29</v>
      </c>
    </row>
    <row r="3277" spans="1:22">
      <c r="A3277" s="3">
        <v>45794</v>
      </c>
      <c r="B3277" t="str">
        <f t="shared" si="357"/>
        <v>yyyy-05</v>
      </c>
      <c r="C3277">
        <f t="shared" si="358"/>
        <v>20</v>
      </c>
      <c r="D3277" t="s">
        <v>42</v>
      </c>
      <c r="E3277" t="s">
        <v>43</v>
      </c>
      <c r="F3277" t="s">
        <v>47</v>
      </c>
      <c r="G3277" t="s">
        <v>27</v>
      </c>
      <c r="H3277" t="s">
        <v>45</v>
      </c>
      <c r="I3277" s="5">
        <v>547</v>
      </c>
      <c r="J3277" s="5">
        <v>314</v>
      </c>
      <c r="K3277" s="5">
        <v>44</v>
      </c>
      <c r="L3277" s="5">
        <v>9</v>
      </c>
      <c r="M3277" s="5">
        <v>9</v>
      </c>
      <c r="N3277" s="7">
        <v>594.6</v>
      </c>
      <c r="O3277" s="7">
        <f t="shared" si="359"/>
        <v>5351.4000000000005</v>
      </c>
      <c r="P3277" s="4">
        <v>0</v>
      </c>
      <c r="Q3277" s="7">
        <f t="shared" si="360"/>
        <v>0</v>
      </c>
      <c r="R3277" s="7">
        <f t="shared" si="361"/>
        <v>5351.4000000000005</v>
      </c>
      <c r="S3277" s="7">
        <f t="shared" si="362"/>
        <v>594.6</v>
      </c>
      <c r="T3277" s="6">
        <f t="shared" si="363"/>
        <v>1.6453382084095063E-2</v>
      </c>
      <c r="V3277" t="s">
        <v>29</v>
      </c>
    </row>
    <row r="3278" spans="1:22">
      <c r="A3278" s="3">
        <v>45794</v>
      </c>
      <c r="B3278" t="str">
        <f t="shared" si="357"/>
        <v>yyyy-05</v>
      </c>
      <c r="C3278">
        <f t="shared" si="358"/>
        <v>20</v>
      </c>
      <c r="D3278" t="s">
        <v>42</v>
      </c>
      <c r="E3278" t="s">
        <v>49</v>
      </c>
      <c r="F3278" t="s">
        <v>50</v>
      </c>
      <c r="G3278" t="s">
        <v>36</v>
      </c>
      <c r="H3278" t="s">
        <v>37</v>
      </c>
      <c r="I3278" s="5">
        <v>228</v>
      </c>
      <c r="J3278" s="5">
        <v>167</v>
      </c>
      <c r="K3278" s="5">
        <v>12</v>
      </c>
      <c r="L3278" s="5">
        <v>2</v>
      </c>
      <c r="M3278" s="5">
        <v>2</v>
      </c>
      <c r="N3278" s="7">
        <v>968.73</v>
      </c>
      <c r="O3278" s="7">
        <f t="shared" si="359"/>
        <v>1937.46</v>
      </c>
      <c r="P3278" s="4">
        <v>0.03</v>
      </c>
      <c r="Q3278" s="7">
        <f t="shared" si="360"/>
        <v>58.123799999999996</v>
      </c>
      <c r="R3278" s="7">
        <f t="shared" si="361"/>
        <v>1879.3362</v>
      </c>
      <c r="S3278" s="7">
        <f t="shared" si="362"/>
        <v>939.66809999999998</v>
      </c>
      <c r="T3278" s="6">
        <f t="shared" si="363"/>
        <v>8.771929824561403E-3</v>
      </c>
      <c r="V3278" t="s">
        <v>29</v>
      </c>
    </row>
    <row r="3279" spans="1:22">
      <c r="A3279" s="3">
        <v>45794</v>
      </c>
      <c r="B3279" t="str">
        <f t="shared" si="357"/>
        <v>yyyy-05</v>
      </c>
      <c r="C3279">
        <f t="shared" si="358"/>
        <v>20</v>
      </c>
      <c r="D3279" t="s">
        <v>42</v>
      </c>
      <c r="E3279" t="s">
        <v>51</v>
      </c>
      <c r="F3279" t="s">
        <v>52</v>
      </c>
      <c r="G3279" t="s">
        <v>27</v>
      </c>
      <c r="H3279" t="s">
        <v>45</v>
      </c>
      <c r="I3279" s="5">
        <v>243</v>
      </c>
      <c r="J3279" s="5">
        <v>189</v>
      </c>
      <c r="K3279" s="5">
        <v>13</v>
      </c>
      <c r="L3279" s="5">
        <v>4</v>
      </c>
      <c r="M3279" s="5">
        <v>4</v>
      </c>
      <c r="N3279" s="7">
        <v>589.87</v>
      </c>
      <c r="O3279" s="7">
        <f t="shared" si="359"/>
        <v>2359.48</v>
      </c>
      <c r="P3279" s="4">
        <v>0</v>
      </c>
      <c r="Q3279" s="7">
        <f t="shared" si="360"/>
        <v>0</v>
      </c>
      <c r="R3279" s="7">
        <f t="shared" si="361"/>
        <v>2359.48</v>
      </c>
      <c r="S3279" s="7">
        <f t="shared" si="362"/>
        <v>589.87</v>
      </c>
      <c r="T3279" s="6">
        <f t="shared" si="363"/>
        <v>1.646090534979424E-2</v>
      </c>
      <c r="V3279" t="s">
        <v>29</v>
      </c>
    </row>
    <row r="3280" spans="1:22">
      <c r="A3280" s="3">
        <v>45794</v>
      </c>
      <c r="B3280" t="str">
        <f t="shared" si="357"/>
        <v>yyyy-05</v>
      </c>
      <c r="C3280">
        <f t="shared" si="358"/>
        <v>20</v>
      </c>
      <c r="D3280" t="s">
        <v>53</v>
      </c>
      <c r="E3280" t="s">
        <v>54</v>
      </c>
      <c r="F3280" t="s">
        <v>55</v>
      </c>
      <c r="G3280" t="s">
        <v>27</v>
      </c>
      <c r="H3280" t="s">
        <v>28</v>
      </c>
      <c r="I3280" s="5">
        <v>196</v>
      </c>
      <c r="J3280" s="5">
        <v>105</v>
      </c>
      <c r="K3280" s="5">
        <v>8</v>
      </c>
      <c r="L3280" s="5">
        <v>2</v>
      </c>
      <c r="M3280" s="5">
        <v>2</v>
      </c>
      <c r="N3280" s="7">
        <v>1321.49</v>
      </c>
      <c r="O3280" s="7">
        <f t="shared" si="359"/>
        <v>2642.98</v>
      </c>
      <c r="P3280" s="4">
        <v>0.03</v>
      </c>
      <c r="Q3280" s="7">
        <f t="shared" si="360"/>
        <v>79.289400000000001</v>
      </c>
      <c r="R3280" s="7">
        <f t="shared" si="361"/>
        <v>2563.6905999999999</v>
      </c>
      <c r="S3280" s="7">
        <f t="shared" si="362"/>
        <v>1281.8453</v>
      </c>
      <c r="T3280" s="6">
        <f t="shared" si="363"/>
        <v>1.020408163265306E-2</v>
      </c>
      <c r="V3280" t="s">
        <v>29</v>
      </c>
    </row>
    <row r="3281" spans="1:22">
      <c r="A3281" s="3">
        <v>45794</v>
      </c>
      <c r="B3281" t="str">
        <f t="shared" si="357"/>
        <v>yyyy-05</v>
      </c>
      <c r="C3281">
        <f t="shared" si="358"/>
        <v>20</v>
      </c>
      <c r="D3281" t="s">
        <v>53</v>
      </c>
      <c r="E3281" t="s">
        <v>56</v>
      </c>
      <c r="F3281" t="s">
        <v>57</v>
      </c>
      <c r="G3281" t="s">
        <v>27</v>
      </c>
      <c r="H3281" t="s">
        <v>28</v>
      </c>
      <c r="I3281" s="5">
        <v>257</v>
      </c>
      <c r="J3281" s="5">
        <v>173</v>
      </c>
      <c r="K3281" s="5">
        <v>14</v>
      </c>
      <c r="L3281" s="5">
        <v>3</v>
      </c>
      <c r="M3281" s="5">
        <v>3</v>
      </c>
      <c r="N3281" s="7">
        <v>730.17</v>
      </c>
      <c r="O3281" s="7">
        <f t="shared" si="359"/>
        <v>2190.5099999999998</v>
      </c>
      <c r="P3281" s="4">
        <v>0</v>
      </c>
      <c r="Q3281" s="7">
        <f t="shared" si="360"/>
        <v>0</v>
      </c>
      <c r="R3281" s="7">
        <f t="shared" si="361"/>
        <v>2190.5099999999998</v>
      </c>
      <c r="S3281" s="7">
        <f t="shared" si="362"/>
        <v>730.17</v>
      </c>
      <c r="T3281" s="6">
        <f t="shared" si="363"/>
        <v>1.1673151750972763E-2</v>
      </c>
      <c r="V3281" t="s">
        <v>29</v>
      </c>
    </row>
    <row r="3282" spans="1:22">
      <c r="A3282" s="3">
        <v>45794</v>
      </c>
      <c r="B3282" t="str">
        <f t="shared" si="357"/>
        <v>yyyy-05</v>
      </c>
      <c r="C3282">
        <f t="shared" si="358"/>
        <v>20</v>
      </c>
      <c r="D3282" t="s">
        <v>53</v>
      </c>
      <c r="E3282" t="s">
        <v>56</v>
      </c>
      <c r="F3282" t="s">
        <v>58</v>
      </c>
      <c r="G3282" t="s">
        <v>36</v>
      </c>
      <c r="H3282" t="s">
        <v>37</v>
      </c>
      <c r="I3282" s="5">
        <v>376</v>
      </c>
      <c r="J3282" s="5">
        <v>299</v>
      </c>
      <c r="K3282" s="5">
        <v>15</v>
      </c>
      <c r="L3282" s="5">
        <v>3</v>
      </c>
      <c r="M3282" s="5">
        <v>3</v>
      </c>
      <c r="N3282" s="7">
        <v>899.38</v>
      </c>
      <c r="O3282" s="7">
        <f t="shared" si="359"/>
        <v>2698.14</v>
      </c>
      <c r="P3282" s="4">
        <v>0.03</v>
      </c>
      <c r="Q3282" s="7">
        <f t="shared" si="360"/>
        <v>80.944199999999995</v>
      </c>
      <c r="R3282" s="7">
        <f t="shared" si="361"/>
        <v>2617.1958</v>
      </c>
      <c r="S3282" s="7">
        <f t="shared" si="362"/>
        <v>872.39859999999999</v>
      </c>
      <c r="T3282" s="6">
        <f t="shared" si="363"/>
        <v>7.9787234042553185E-3</v>
      </c>
      <c r="V3282" t="s">
        <v>78</v>
      </c>
    </row>
    <row r="3283" spans="1:22">
      <c r="A3283" s="3">
        <v>45794</v>
      </c>
      <c r="B3283" t="str">
        <f t="shared" si="357"/>
        <v>yyyy-05</v>
      </c>
      <c r="C3283">
        <f t="shared" si="358"/>
        <v>20</v>
      </c>
      <c r="D3283" t="s">
        <v>53</v>
      </c>
      <c r="E3283" t="s">
        <v>59</v>
      </c>
      <c r="F3283" t="s">
        <v>60</v>
      </c>
      <c r="G3283" t="s">
        <v>27</v>
      </c>
      <c r="H3283" t="s">
        <v>63</v>
      </c>
      <c r="I3283" s="5">
        <v>136</v>
      </c>
      <c r="J3283" s="5">
        <v>104</v>
      </c>
      <c r="K3283" s="5">
        <v>5</v>
      </c>
      <c r="L3283" s="5">
        <v>1</v>
      </c>
      <c r="M3283" s="5">
        <v>1</v>
      </c>
      <c r="N3283" s="7">
        <v>698.55</v>
      </c>
      <c r="O3283" s="7">
        <f t="shared" si="359"/>
        <v>698.55</v>
      </c>
      <c r="P3283" s="4">
        <v>0</v>
      </c>
      <c r="Q3283" s="7">
        <f t="shared" si="360"/>
        <v>0</v>
      </c>
      <c r="R3283" s="7">
        <f t="shared" si="361"/>
        <v>698.55</v>
      </c>
      <c r="S3283" s="7">
        <f t="shared" si="362"/>
        <v>698.55</v>
      </c>
      <c r="T3283" s="6">
        <f t="shared" si="363"/>
        <v>7.3529411764705881E-3</v>
      </c>
      <c r="V3283" t="s">
        <v>29</v>
      </c>
    </row>
    <row r="3284" spans="1:22">
      <c r="A3284" s="3">
        <v>45794</v>
      </c>
      <c r="B3284" t="str">
        <f t="shared" si="357"/>
        <v>yyyy-05</v>
      </c>
      <c r="C3284">
        <f t="shared" si="358"/>
        <v>20</v>
      </c>
      <c r="D3284" t="s">
        <v>53</v>
      </c>
      <c r="E3284" t="s">
        <v>61</v>
      </c>
      <c r="F3284" t="s">
        <v>62</v>
      </c>
      <c r="G3284" t="s">
        <v>27</v>
      </c>
      <c r="H3284" t="s">
        <v>28</v>
      </c>
      <c r="I3284" s="5">
        <v>225</v>
      </c>
      <c r="J3284" s="5">
        <v>121</v>
      </c>
      <c r="K3284" s="5">
        <v>11</v>
      </c>
      <c r="L3284" s="5">
        <v>2</v>
      </c>
      <c r="M3284" s="5">
        <v>2</v>
      </c>
      <c r="N3284" s="7">
        <v>498.8</v>
      </c>
      <c r="O3284" s="7">
        <f t="shared" si="359"/>
        <v>997.6</v>
      </c>
      <c r="P3284" s="4">
        <v>0.03</v>
      </c>
      <c r="Q3284" s="7">
        <f t="shared" si="360"/>
        <v>29.928000000000001</v>
      </c>
      <c r="R3284" s="7">
        <f t="shared" si="361"/>
        <v>967.67200000000003</v>
      </c>
      <c r="S3284" s="7">
        <f t="shared" si="362"/>
        <v>483.83600000000001</v>
      </c>
      <c r="T3284" s="6">
        <f t="shared" si="363"/>
        <v>8.8888888888888889E-3</v>
      </c>
      <c r="V3284" t="s">
        <v>29</v>
      </c>
    </row>
    <row r="3285" spans="1:22">
      <c r="A3285" s="3">
        <v>45794</v>
      </c>
      <c r="B3285" t="str">
        <f t="shared" si="357"/>
        <v>yyyy-05</v>
      </c>
      <c r="C3285">
        <f t="shared" si="358"/>
        <v>20</v>
      </c>
      <c r="D3285" t="s">
        <v>53</v>
      </c>
      <c r="E3285" t="s">
        <v>64</v>
      </c>
      <c r="F3285" t="s">
        <v>65</v>
      </c>
      <c r="G3285" t="s">
        <v>36</v>
      </c>
      <c r="H3285" t="s">
        <v>37</v>
      </c>
      <c r="I3285" s="5">
        <v>199</v>
      </c>
      <c r="J3285" s="5">
        <v>125</v>
      </c>
      <c r="K3285" s="5">
        <v>11</v>
      </c>
      <c r="L3285" s="5">
        <v>3</v>
      </c>
      <c r="M3285" s="5">
        <v>3</v>
      </c>
      <c r="N3285" s="7">
        <v>784.82</v>
      </c>
      <c r="O3285" s="7">
        <f t="shared" si="359"/>
        <v>2354.46</v>
      </c>
      <c r="P3285" s="4">
        <v>0.12</v>
      </c>
      <c r="Q3285" s="7">
        <f t="shared" si="360"/>
        <v>282.53519999999997</v>
      </c>
      <c r="R3285" s="7">
        <f t="shared" si="361"/>
        <v>2071.9248000000002</v>
      </c>
      <c r="S3285" s="7">
        <f t="shared" si="362"/>
        <v>690.64160000000004</v>
      </c>
      <c r="T3285" s="6">
        <f t="shared" si="363"/>
        <v>1.507537688442211E-2</v>
      </c>
      <c r="U3285" t="s">
        <v>97</v>
      </c>
      <c r="V3285" t="s">
        <v>29</v>
      </c>
    </row>
    <row r="3286" spans="1:22">
      <c r="A3286" s="3">
        <v>45794</v>
      </c>
      <c r="B3286" t="str">
        <f t="shared" si="357"/>
        <v>yyyy-05</v>
      </c>
      <c r="C3286">
        <f t="shared" si="358"/>
        <v>20</v>
      </c>
      <c r="D3286" t="s">
        <v>66</v>
      </c>
      <c r="E3286" t="s">
        <v>67</v>
      </c>
      <c r="F3286" t="s">
        <v>68</v>
      </c>
      <c r="G3286" t="s">
        <v>36</v>
      </c>
      <c r="H3286" t="s">
        <v>37</v>
      </c>
      <c r="I3286" s="5">
        <v>408</v>
      </c>
      <c r="J3286" s="5">
        <v>294</v>
      </c>
      <c r="K3286" s="5">
        <v>25</v>
      </c>
      <c r="L3286" s="5">
        <v>8</v>
      </c>
      <c r="M3286" s="5">
        <v>8</v>
      </c>
      <c r="N3286" s="7">
        <v>697.53</v>
      </c>
      <c r="O3286" s="7">
        <f t="shared" si="359"/>
        <v>5580.24</v>
      </c>
      <c r="P3286" s="4">
        <v>0</v>
      </c>
      <c r="Q3286" s="7">
        <f t="shared" si="360"/>
        <v>0</v>
      </c>
      <c r="R3286" s="7">
        <f t="shared" si="361"/>
        <v>5580.24</v>
      </c>
      <c r="S3286" s="7">
        <f t="shared" si="362"/>
        <v>697.53</v>
      </c>
      <c r="T3286" s="6">
        <f t="shared" si="363"/>
        <v>1.9607843137254902E-2</v>
      </c>
      <c r="V3286" t="s">
        <v>29</v>
      </c>
    </row>
    <row r="3287" spans="1:22">
      <c r="A3287" s="3">
        <v>45794</v>
      </c>
      <c r="B3287" t="str">
        <f t="shared" si="357"/>
        <v>yyyy-05</v>
      </c>
      <c r="C3287">
        <f t="shared" si="358"/>
        <v>20</v>
      </c>
      <c r="D3287" t="s">
        <v>66</v>
      </c>
      <c r="E3287" t="s">
        <v>67</v>
      </c>
      <c r="F3287" t="s">
        <v>69</v>
      </c>
      <c r="G3287" t="s">
        <v>36</v>
      </c>
      <c r="H3287" t="s">
        <v>37</v>
      </c>
      <c r="I3287" s="5">
        <v>613</v>
      </c>
      <c r="J3287" s="5">
        <v>373</v>
      </c>
      <c r="K3287" s="5">
        <v>25</v>
      </c>
      <c r="L3287" s="5">
        <v>9</v>
      </c>
      <c r="M3287" s="5">
        <v>9</v>
      </c>
      <c r="N3287" s="7">
        <v>386.88</v>
      </c>
      <c r="O3287" s="7">
        <f t="shared" si="359"/>
        <v>3481.92</v>
      </c>
      <c r="P3287" s="4">
        <v>0</v>
      </c>
      <c r="Q3287" s="7">
        <f t="shared" si="360"/>
        <v>0</v>
      </c>
      <c r="R3287" s="7">
        <f t="shared" si="361"/>
        <v>3481.92</v>
      </c>
      <c r="S3287" s="7">
        <f t="shared" si="362"/>
        <v>386.88</v>
      </c>
      <c r="T3287" s="6">
        <f t="shared" si="363"/>
        <v>1.468189233278956E-2</v>
      </c>
      <c r="V3287" t="s">
        <v>29</v>
      </c>
    </row>
    <row r="3288" spans="1:22">
      <c r="A3288" s="3">
        <v>45794</v>
      </c>
      <c r="B3288" t="str">
        <f t="shared" si="357"/>
        <v>yyyy-05</v>
      </c>
      <c r="C3288">
        <f t="shared" si="358"/>
        <v>20</v>
      </c>
      <c r="D3288" t="s">
        <v>66</v>
      </c>
      <c r="E3288" t="s">
        <v>67</v>
      </c>
      <c r="F3288" t="s">
        <v>70</v>
      </c>
      <c r="G3288" t="s">
        <v>36</v>
      </c>
      <c r="H3288" t="s">
        <v>37</v>
      </c>
      <c r="I3288" s="5">
        <v>355</v>
      </c>
      <c r="J3288" s="5">
        <v>283</v>
      </c>
      <c r="K3288" s="5">
        <v>33</v>
      </c>
      <c r="L3288" s="5">
        <v>5</v>
      </c>
      <c r="M3288" s="5">
        <v>5</v>
      </c>
      <c r="N3288" s="7">
        <v>353.76</v>
      </c>
      <c r="O3288" s="7">
        <f t="shared" si="359"/>
        <v>1768.8</v>
      </c>
      <c r="P3288" s="4">
        <v>0.05</v>
      </c>
      <c r="Q3288" s="7">
        <f t="shared" si="360"/>
        <v>88.44</v>
      </c>
      <c r="R3288" s="7">
        <f t="shared" si="361"/>
        <v>1680.36</v>
      </c>
      <c r="S3288" s="7">
        <f t="shared" si="362"/>
        <v>336.072</v>
      </c>
      <c r="T3288" s="6">
        <f t="shared" si="363"/>
        <v>1.4084507042253521E-2</v>
      </c>
      <c r="V3288" t="s">
        <v>29</v>
      </c>
    </row>
    <row r="3289" spans="1:22">
      <c r="A3289" s="3">
        <v>45794</v>
      </c>
      <c r="B3289" t="str">
        <f t="shared" si="357"/>
        <v>yyyy-05</v>
      </c>
      <c r="C3289">
        <f t="shared" si="358"/>
        <v>20</v>
      </c>
      <c r="D3289" t="s">
        <v>66</v>
      </c>
      <c r="E3289" t="s">
        <v>71</v>
      </c>
      <c r="F3289" t="s">
        <v>72</v>
      </c>
      <c r="G3289" t="s">
        <v>27</v>
      </c>
      <c r="H3289" t="s">
        <v>45</v>
      </c>
      <c r="I3289" s="5">
        <v>404</v>
      </c>
      <c r="J3289" s="5">
        <v>259</v>
      </c>
      <c r="K3289" s="5">
        <v>32</v>
      </c>
      <c r="L3289" s="5">
        <v>7</v>
      </c>
      <c r="M3289" s="5">
        <v>9</v>
      </c>
      <c r="N3289" s="7">
        <v>124.56</v>
      </c>
      <c r="O3289" s="7">
        <f t="shared" si="359"/>
        <v>1121.04</v>
      </c>
      <c r="P3289" s="4">
        <v>0.05</v>
      </c>
      <c r="Q3289" s="7">
        <f t="shared" si="360"/>
        <v>56.052</v>
      </c>
      <c r="R3289" s="7">
        <f t="shared" si="361"/>
        <v>1064.9880000000001</v>
      </c>
      <c r="S3289" s="7">
        <f t="shared" si="362"/>
        <v>152.14114285714285</v>
      </c>
      <c r="T3289" s="6">
        <f t="shared" si="363"/>
        <v>1.7326732673267328E-2</v>
      </c>
      <c r="V3289" t="s">
        <v>29</v>
      </c>
    </row>
    <row r="3290" spans="1:22">
      <c r="A3290" s="3">
        <v>45794</v>
      </c>
      <c r="B3290" t="str">
        <f t="shared" si="357"/>
        <v>yyyy-05</v>
      </c>
      <c r="C3290">
        <f t="shared" si="358"/>
        <v>20</v>
      </c>
      <c r="D3290" t="s">
        <v>66</v>
      </c>
      <c r="E3290" t="s">
        <v>73</v>
      </c>
      <c r="F3290" t="s">
        <v>74</v>
      </c>
      <c r="G3290" t="s">
        <v>27</v>
      </c>
      <c r="H3290" t="s">
        <v>48</v>
      </c>
      <c r="I3290" s="5">
        <v>243</v>
      </c>
      <c r="J3290" s="5">
        <v>179</v>
      </c>
      <c r="K3290" s="5">
        <v>10</v>
      </c>
      <c r="L3290" s="5">
        <v>4</v>
      </c>
      <c r="M3290" s="5">
        <v>4</v>
      </c>
      <c r="N3290" s="7">
        <v>1207.8399999999999</v>
      </c>
      <c r="O3290" s="7">
        <f t="shared" si="359"/>
        <v>4831.3599999999997</v>
      </c>
      <c r="P3290" s="4">
        <v>0</v>
      </c>
      <c r="Q3290" s="7">
        <f t="shared" si="360"/>
        <v>0</v>
      </c>
      <c r="R3290" s="7">
        <f t="shared" si="361"/>
        <v>4831.3599999999997</v>
      </c>
      <c r="S3290" s="7">
        <f t="shared" si="362"/>
        <v>1207.8399999999999</v>
      </c>
      <c r="T3290" s="6">
        <f t="shared" si="363"/>
        <v>1.646090534979424E-2</v>
      </c>
      <c r="V3290" t="s">
        <v>29</v>
      </c>
    </row>
    <row r="3291" spans="1:22">
      <c r="A3291" s="3">
        <v>45794</v>
      </c>
      <c r="B3291" t="str">
        <f t="shared" si="357"/>
        <v>yyyy-05</v>
      </c>
      <c r="C3291">
        <f t="shared" si="358"/>
        <v>20</v>
      </c>
      <c r="D3291" t="s">
        <v>66</v>
      </c>
      <c r="E3291" t="s">
        <v>71</v>
      </c>
      <c r="F3291" t="s">
        <v>75</v>
      </c>
      <c r="G3291" t="s">
        <v>27</v>
      </c>
      <c r="H3291" t="s">
        <v>45</v>
      </c>
      <c r="I3291" s="5">
        <v>368</v>
      </c>
      <c r="J3291" s="5">
        <v>244</v>
      </c>
      <c r="K3291" s="5">
        <v>21</v>
      </c>
      <c r="L3291" s="5">
        <v>5</v>
      </c>
      <c r="M3291" s="5">
        <v>6</v>
      </c>
      <c r="N3291" s="7">
        <v>37.57</v>
      </c>
      <c r="O3291" s="7">
        <f t="shared" si="359"/>
        <v>225.42000000000002</v>
      </c>
      <c r="P3291" s="4">
        <v>0</v>
      </c>
      <c r="Q3291" s="7">
        <f t="shared" si="360"/>
        <v>0</v>
      </c>
      <c r="R3291" s="7">
        <f t="shared" si="361"/>
        <v>225.42000000000002</v>
      </c>
      <c r="S3291" s="7">
        <f t="shared" si="362"/>
        <v>45.084000000000003</v>
      </c>
      <c r="T3291" s="6">
        <f t="shared" si="363"/>
        <v>1.358695652173913E-2</v>
      </c>
      <c r="V3291" t="s">
        <v>29</v>
      </c>
    </row>
    <row r="3292" spans="1:22">
      <c r="A3292" s="3">
        <v>45794</v>
      </c>
      <c r="B3292" t="str">
        <f t="shared" si="357"/>
        <v>yyyy-05</v>
      </c>
      <c r="C3292">
        <f t="shared" si="358"/>
        <v>20</v>
      </c>
      <c r="D3292" t="s">
        <v>24</v>
      </c>
      <c r="E3292" t="s">
        <v>76</v>
      </c>
      <c r="F3292" t="s">
        <v>77</v>
      </c>
      <c r="G3292" t="s">
        <v>27</v>
      </c>
      <c r="H3292" t="s">
        <v>48</v>
      </c>
      <c r="I3292" s="5">
        <v>364</v>
      </c>
      <c r="J3292" s="5">
        <v>216</v>
      </c>
      <c r="K3292" s="5">
        <v>18</v>
      </c>
      <c r="L3292" s="5">
        <v>8</v>
      </c>
      <c r="M3292" s="5">
        <v>11</v>
      </c>
      <c r="N3292" s="7">
        <v>201.52</v>
      </c>
      <c r="O3292" s="7">
        <f t="shared" si="359"/>
        <v>2216.7200000000003</v>
      </c>
      <c r="P3292" s="4">
        <v>0</v>
      </c>
      <c r="Q3292" s="7">
        <f t="shared" si="360"/>
        <v>0</v>
      </c>
      <c r="R3292" s="7">
        <f t="shared" si="361"/>
        <v>2216.7200000000003</v>
      </c>
      <c r="S3292" s="7">
        <f t="shared" si="362"/>
        <v>277.09000000000003</v>
      </c>
      <c r="T3292" s="6">
        <f t="shared" si="363"/>
        <v>2.197802197802198E-2</v>
      </c>
      <c r="V3292" t="s">
        <v>29</v>
      </c>
    </row>
    <row r="3293" spans="1:22">
      <c r="A3293" s="3">
        <v>45795</v>
      </c>
      <c r="B3293" t="str">
        <f t="shared" si="357"/>
        <v>yyyy-05</v>
      </c>
      <c r="C3293">
        <f t="shared" si="358"/>
        <v>20</v>
      </c>
      <c r="D3293" t="s">
        <v>24</v>
      </c>
      <c r="E3293" t="s">
        <v>25</v>
      </c>
      <c r="F3293" t="s">
        <v>26</v>
      </c>
      <c r="G3293" t="s">
        <v>36</v>
      </c>
      <c r="H3293" t="s">
        <v>37</v>
      </c>
      <c r="I3293" s="5">
        <v>2113</v>
      </c>
      <c r="J3293" s="5">
        <v>1605</v>
      </c>
      <c r="K3293" s="5">
        <v>177</v>
      </c>
      <c r="L3293" s="5">
        <v>45</v>
      </c>
      <c r="M3293" s="5">
        <v>45</v>
      </c>
      <c r="N3293" s="7">
        <v>960.36</v>
      </c>
      <c r="O3293" s="7">
        <f t="shared" si="359"/>
        <v>43216.2</v>
      </c>
      <c r="P3293" s="4">
        <v>0.14000000000000001</v>
      </c>
      <c r="Q3293" s="7">
        <f t="shared" si="360"/>
        <v>6050.268</v>
      </c>
      <c r="R3293" s="7">
        <f t="shared" si="361"/>
        <v>37165.932000000001</v>
      </c>
      <c r="S3293" s="7">
        <f t="shared" si="362"/>
        <v>825.90960000000007</v>
      </c>
      <c r="T3293" s="6">
        <f t="shared" si="363"/>
        <v>2.1296734500709891E-2</v>
      </c>
      <c r="U3293" t="s">
        <v>96</v>
      </c>
      <c r="V3293" t="s">
        <v>29</v>
      </c>
    </row>
    <row r="3294" spans="1:22">
      <c r="A3294" s="3">
        <v>45795</v>
      </c>
      <c r="B3294" t="str">
        <f t="shared" si="357"/>
        <v>yyyy-05</v>
      </c>
      <c r="C3294">
        <f t="shared" si="358"/>
        <v>20</v>
      </c>
      <c r="D3294" t="s">
        <v>24</v>
      </c>
      <c r="E3294" t="s">
        <v>25</v>
      </c>
      <c r="F3294" t="s">
        <v>30</v>
      </c>
      <c r="G3294" t="s">
        <v>36</v>
      </c>
      <c r="H3294" t="s">
        <v>37</v>
      </c>
      <c r="I3294" s="5">
        <v>2198</v>
      </c>
      <c r="J3294" s="5">
        <v>1631</v>
      </c>
      <c r="K3294" s="5">
        <v>301</v>
      </c>
      <c r="L3294" s="5">
        <v>64</v>
      </c>
      <c r="M3294" s="5">
        <v>64</v>
      </c>
      <c r="N3294" s="7">
        <v>402.92</v>
      </c>
      <c r="O3294" s="7">
        <f t="shared" si="359"/>
        <v>25786.880000000001</v>
      </c>
      <c r="P3294" s="4">
        <v>0.14000000000000001</v>
      </c>
      <c r="Q3294" s="7">
        <f t="shared" si="360"/>
        <v>3610.1632000000004</v>
      </c>
      <c r="R3294" s="7">
        <f t="shared" si="361"/>
        <v>22176.716800000002</v>
      </c>
      <c r="S3294" s="7">
        <f t="shared" si="362"/>
        <v>346.51120000000003</v>
      </c>
      <c r="T3294" s="6">
        <f t="shared" si="363"/>
        <v>2.9117379435850774E-2</v>
      </c>
      <c r="U3294" t="s">
        <v>96</v>
      </c>
      <c r="V3294" t="s">
        <v>29</v>
      </c>
    </row>
    <row r="3295" spans="1:22">
      <c r="A3295" s="3">
        <v>45795</v>
      </c>
      <c r="B3295" t="str">
        <f t="shared" si="357"/>
        <v>yyyy-05</v>
      </c>
      <c r="C3295">
        <f t="shared" si="358"/>
        <v>20</v>
      </c>
      <c r="D3295" t="s">
        <v>24</v>
      </c>
      <c r="E3295" t="s">
        <v>25</v>
      </c>
      <c r="F3295" t="s">
        <v>33</v>
      </c>
      <c r="G3295" t="s">
        <v>31</v>
      </c>
      <c r="H3295" t="s">
        <v>32</v>
      </c>
      <c r="I3295" s="5">
        <v>2020</v>
      </c>
      <c r="J3295" s="5">
        <v>1493</v>
      </c>
      <c r="K3295" s="5">
        <v>200</v>
      </c>
      <c r="L3295" s="5">
        <v>45</v>
      </c>
      <c r="M3295" s="5">
        <v>45</v>
      </c>
      <c r="N3295" s="7">
        <v>1754.34</v>
      </c>
      <c r="O3295" s="7">
        <f t="shared" si="359"/>
        <v>78945.3</v>
      </c>
      <c r="P3295" s="4">
        <v>0.14000000000000001</v>
      </c>
      <c r="Q3295" s="7">
        <f t="shared" si="360"/>
        <v>11052.342000000001</v>
      </c>
      <c r="R3295" s="7">
        <f t="shared" si="361"/>
        <v>67892.957999999999</v>
      </c>
      <c r="S3295" s="7">
        <f t="shared" si="362"/>
        <v>1508.7323999999999</v>
      </c>
      <c r="T3295" s="6">
        <f t="shared" si="363"/>
        <v>2.2277227722772276E-2</v>
      </c>
      <c r="U3295" t="s">
        <v>96</v>
      </c>
      <c r="V3295" t="s">
        <v>29</v>
      </c>
    </row>
    <row r="3296" spans="1:22">
      <c r="A3296" s="3">
        <v>45795</v>
      </c>
      <c r="B3296" t="str">
        <f t="shared" si="357"/>
        <v>yyyy-05</v>
      </c>
      <c r="C3296">
        <f t="shared" si="358"/>
        <v>20</v>
      </c>
      <c r="D3296" t="s">
        <v>24</v>
      </c>
      <c r="E3296" t="s">
        <v>34</v>
      </c>
      <c r="F3296" t="s">
        <v>35</v>
      </c>
      <c r="G3296" t="s">
        <v>31</v>
      </c>
      <c r="H3296" t="s">
        <v>32</v>
      </c>
      <c r="I3296" s="5">
        <v>1636</v>
      </c>
      <c r="J3296" s="5">
        <v>928</v>
      </c>
      <c r="K3296" s="5">
        <v>78</v>
      </c>
      <c r="L3296" s="5">
        <v>30</v>
      </c>
      <c r="M3296" s="5">
        <v>30</v>
      </c>
      <c r="N3296" s="7">
        <v>895.1</v>
      </c>
      <c r="O3296" s="7">
        <f t="shared" si="359"/>
        <v>26853</v>
      </c>
      <c r="P3296" s="4">
        <v>0.05</v>
      </c>
      <c r="Q3296" s="7">
        <f t="shared" si="360"/>
        <v>1342.65</v>
      </c>
      <c r="R3296" s="7">
        <f t="shared" si="361"/>
        <v>25510.35</v>
      </c>
      <c r="S3296" s="7">
        <f t="shared" si="362"/>
        <v>850.34499999999991</v>
      </c>
      <c r="T3296" s="6">
        <f t="shared" si="363"/>
        <v>1.8337408312958436E-2</v>
      </c>
      <c r="V3296" t="s">
        <v>29</v>
      </c>
    </row>
    <row r="3297" spans="1:22">
      <c r="A3297" s="3">
        <v>45795</v>
      </c>
      <c r="B3297" t="str">
        <f t="shared" si="357"/>
        <v>yyyy-05</v>
      </c>
      <c r="C3297">
        <f t="shared" si="358"/>
        <v>20</v>
      </c>
      <c r="D3297" t="s">
        <v>24</v>
      </c>
      <c r="E3297" t="s">
        <v>38</v>
      </c>
      <c r="F3297" t="s">
        <v>39</v>
      </c>
      <c r="G3297" t="s">
        <v>27</v>
      </c>
      <c r="H3297" t="s">
        <v>63</v>
      </c>
      <c r="I3297" s="5">
        <v>614</v>
      </c>
      <c r="J3297" s="5">
        <v>505</v>
      </c>
      <c r="K3297" s="5">
        <v>39</v>
      </c>
      <c r="L3297" s="5">
        <v>11</v>
      </c>
      <c r="M3297" s="5">
        <v>11</v>
      </c>
      <c r="N3297" s="7">
        <v>317.2</v>
      </c>
      <c r="O3297" s="7">
        <f t="shared" si="359"/>
        <v>3489.2</v>
      </c>
      <c r="P3297" s="4">
        <v>0</v>
      </c>
      <c r="Q3297" s="7">
        <f t="shared" si="360"/>
        <v>0</v>
      </c>
      <c r="R3297" s="7">
        <f t="shared" si="361"/>
        <v>3489.2</v>
      </c>
      <c r="S3297" s="7">
        <f t="shared" si="362"/>
        <v>317.2</v>
      </c>
      <c r="T3297" s="6">
        <f t="shared" si="363"/>
        <v>1.7915309446254073E-2</v>
      </c>
      <c r="V3297" t="s">
        <v>29</v>
      </c>
    </row>
    <row r="3298" spans="1:22">
      <c r="A3298" s="3">
        <v>45795</v>
      </c>
      <c r="B3298" t="str">
        <f t="shared" si="357"/>
        <v>yyyy-05</v>
      </c>
      <c r="C3298">
        <f t="shared" si="358"/>
        <v>20</v>
      </c>
      <c r="D3298" t="s">
        <v>24</v>
      </c>
      <c r="E3298" t="s">
        <v>40</v>
      </c>
      <c r="F3298" t="s">
        <v>41</v>
      </c>
      <c r="G3298" t="s">
        <v>31</v>
      </c>
      <c r="H3298" t="s">
        <v>32</v>
      </c>
      <c r="I3298" s="5">
        <v>1397</v>
      </c>
      <c r="J3298" s="5">
        <v>1026</v>
      </c>
      <c r="K3298" s="5">
        <v>115</v>
      </c>
      <c r="L3298" s="5">
        <v>35</v>
      </c>
      <c r="M3298" s="5">
        <v>39</v>
      </c>
      <c r="N3298" s="7">
        <v>174.41</v>
      </c>
      <c r="O3298" s="7">
        <f t="shared" si="359"/>
        <v>6801.99</v>
      </c>
      <c r="P3298" s="4">
        <v>0.05</v>
      </c>
      <c r="Q3298" s="7">
        <f t="shared" si="360"/>
        <v>340.09950000000003</v>
      </c>
      <c r="R3298" s="7">
        <f t="shared" si="361"/>
        <v>6461.8904999999995</v>
      </c>
      <c r="S3298" s="7">
        <f t="shared" si="362"/>
        <v>184.62544285714284</v>
      </c>
      <c r="T3298" s="6">
        <f t="shared" si="363"/>
        <v>2.5053686471009307E-2</v>
      </c>
      <c r="V3298" t="s">
        <v>29</v>
      </c>
    </row>
    <row r="3299" spans="1:22">
      <c r="A3299" s="3">
        <v>45795</v>
      </c>
      <c r="B3299" t="str">
        <f t="shared" si="357"/>
        <v>yyyy-05</v>
      </c>
      <c r="C3299">
        <f t="shared" si="358"/>
        <v>20</v>
      </c>
      <c r="D3299" t="s">
        <v>42</v>
      </c>
      <c r="E3299" t="s">
        <v>43</v>
      </c>
      <c r="F3299" t="s">
        <v>44</v>
      </c>
      <c r="G3299" t="s">
        <v>27</v>
      </c>
      <c r="H3299" t="s">
        <v>45</v>
      </c>
      <c r="I3299" s="5">
        <v>622</v>
      </c>
      <c r="J3299" s="5">
        <v>442</v>
      </c>
      <c r="K3299" s="5">
        <v>45</v>
      </c>
      <c r="L3299" s="5">
        <v>11</v>
      </c>
      <c r="M3299" s="5">
        <v>11</v>
      </c>
      <c r="N3299" s="7">
        <v>1324.51</v>
      </c>
      <c r="O3299" s="7">
        <f t="shared" si="359"/>
        <v>14569.61</v>
      </c>
      <c r="P3299" s="4">
        <v>0</v>
      </c>
      <c r="Q3299" s="7">
        <f t="shared" si="360"/>
        <v>0</v>
      </c>
      <c r="R3299" s="7">
        <f t="shared" si="361"/>
        <v>14569.61</v>
      </c>
      <c r="S3299" s="7">
        <f t="shared" si="362"/>
        <v>1324.51</v>
      </c>
      <c r="T3299" s="6">
        <f t="shared" si="363"/>
        <v>1.7684887459807074E-2</v>
      </c>
      <c r="V3299" t="s">
        <v>29</v>
      </c>
    </row>
    <row r="3300" spans="1:22">
      <c r="A3300" s="3">
        <v>45795</v>
      </c>
      <c r="B3300" t="str">
        <f t="shared" si="357"/>
        <v>yyyy-05</v>
      </c>
      <c r="C3300">
        <f t="shared" si="358"/>
        <v>20</v>
      </c>
      <c r="D3300" t="s">
        <v>42</v>
      </c>
      <c r="E3300" t="s">
        <v>43</v>
      </c>
      <c r="F3300" t="s">
        <v>46</v>
      </c>
      <c r="G3300" t="s">
        <v>31</v>
      </c>
      <c r="H3300" t="s">
        <v>32</v>
      </c>
      <c r="I3300" s="5">
        <v>860</v>
      </c>
      <c r="J3300" s="5">
        <v>528</v>
      </c>
      <c r="K3300" s="5">
        <v>61</v>
      </c>
      <c r="L3300" s="5">
        <v>9</v>
      </c>
      <c r="M3300" s="5">
        <v>9</v>
      </c>
      <c r="N3300" s="7">
        <v>2117.73</v>
      </c>
      <c r="O3300" s="7">
        <f t="shared" si="359"/>
        <v>19059.57</v>
      </c>
      <c r="P3300" s="4">
        <v>0</v>
      </c>
      <c r="Q3300" s="7">
        <f t="shared" si="360"/>
        <v>0</v>
      </c>
      <c r="R3300" s="7">
        <f t="shared" si="361"/>
        <v>19059.57</v>
      </c>
      <c r="S3300" s="7">
        <f t="shared" si="362"/>
        <v>2117.73</v>
      </c>
      <c r="T3300" s="6">
        <f t="shared" si="363"/>
        <v>1.0465116279069767E-2</v>
      </c>
      <c r="V3300" t="s">
        <v>29</v>
      </c>
    </row>
    <row r="3301" spans="1:22">
      <c r="A3301" s="3">
        <v>45795</v>
      </c>
      <c r="B3301" t="str">
        <f t="shared" si="357"/>
        <v>yyyy-05</v>
      </c>
      <c r="C3301">
        <f t="shared" si="358"/>
        <v>20</v>
      </c>
      <c r="D3301" t="s">
        <v>42</v>
      </c>
      <c r="E3301" t="s">
        <v>43</v>
      </c>
      <c r="F3301" t="s">
        <v>47</v>
      </c>
      <c r="G3301" t="s">
        <v>27</v>
      </c>
      <c r="H3301" t="s">
        <v>28</v>
      </c>
      <c r="I3301" s="5">
        <v>478</v>
      </c>
      <c r="J3301" s="5">
        <v>293</v>
      </c>
      <c r="K3301" s="5">
        <v>31</v>
      </c>
      <c r="L3301" s="5">
        <v>6</v>
      </c>
      <c r="M3301" s="5">
        <v>6</v>
      </c>
      <c r="N3301" s="7">
        <v>578.91</v>
      </c>
      <c r="O3301" s="7">
        <f t="shared" si="359"/>
        <v>3473.46</v>
      </c>
      <c r="P3301" s="4">
        <v>0.03</v>
      </c>
      <c r="Q3301" s="7">
        <f t="shared" si="360"/>
        <v>104.2038</v>
      </c>
      <c r="R3301" s="7">
        <f t="shared" si="361"/>
        <v>3369.2561999999998</v>
      </c>
      <c r="S3301" s="7">
        <f t="shared" si="362"/>
        <v>561.54269999999997</v>
      </c>
      <c r="T3301" s="6">
        <f t="shared" si="363"/>
        <v>1.2552301255230125E-2</v>
      </c>
      <c r="V3301" t="s">
        <v>29</v>
      </c>
    </row>
    <row r="3302" spans="1:22">
      <c r="A3302" s="3">
        <v>45795</v>
      </c>
      <c r="B3302" t="str">
        <f t="shared" si="357"/>
        <v>yyyy-05</v>
      </c>
      <c r="C3302">
        <f t="shared" si="358"/>
        <v>20</v>
      </c>
      <c r="D3302" t="s">
        <v>42</v>
      </c>
      <c r="E3302" t="s">
        <v>49</v>
      </c>
      <c r="F3302" t="s">
        <v>50</v>
      </c>
      <c r="G3302" t="s">
        <v>27</v>
      </c>
      <c r="H3302" t="s">
        <v>28</v>
      </c>
      <c r="I3302" s="5">
        <v>169</v>
      </c>
      <c r="J3302" s="5">
        <v>95</v>
      </c>
      <c r="K3302" s="5">
        <v>7</v>
      </c>
      <c r="L3302" s="5">
        <v>2</v>
      </c>
      <c r="M3302" s="5">
        <v>2</v>
      </c>
      <c r="N3302" s="7">
        <v>992.7</v>
      </c>
      <c r="O3302" s="7">
        <f t="shared" si="359"/>
        <v>1985.4</v>
      </c>
      <c r="P3302" s="4">
        <v>0.03</v>
      </c>
      <c r="Q3302" s="7">
        <f t="shared" si="360"/>
        <v>59.561999999999998</v>
      </c>
      <c r="R3302" s="7">
        <f t="shared" si="361"/>
        <v>1925.8380000000002</v>
      </c>
      <c r="S3302" s="7">
        <f t="shared" si="362"/>
        <v>962.9190000000001</v>
      </c>
      <c r="T3302" s="6">
        <f t="shared" si="363"/>
        <v>1.1834319526627219E-2</v>
      </c>
      <c r="V3302" t="s">
        <v>78</v>
      </c>
    </row>
    <row r="3303" spans="1:22">
      <c r="A3303" s="3">
        <v>45795</v>
      </c>
      <c r="B3303" t="str">
        <f t="shared" si="357"/>
        <v>yyyy-05</v>
      </c>
      <c r="C3303">
        <f t="shared" si="358"/>
        <v>20</v>
      </c>
      <c r="D3303" t="s">
        <v>42</v>
      </c>
      <c r="E3303" t="s">
        <v>51</v>
      </c>
      <c r="F3303" t="s">
        <v>52</v>
      </c>
      <c r="G3303" t="s">
        <v>27</v>
      </c>
      <c r="H3303" t="s">
        <v>45</v>
      </c>
      <c r="I3303" s="5">
        <v>326</v>
      </c>
      <c r="J3303" s="5">
        <v>213</v>
      </c>
      <c r="K3303" s="5">
        <v>19</v>
      </c>
      <c r="L3303" s="5">
        <v>6</v>
      </c>
      <c r="M3303" s="5">
        <v>6</v>
      </c>
      <c r="N3303" s="7">
        <v>585.84</v>
      </c>
      <c r="O3303" s="7">
        <f t="shared" si="359"/>
        <v>3515.04</v>
      </c>
      <c r="P3303" s="4">
        <v>0</v>
      </c>
      <c r="Q3303" s="7">
        <f t="shared" si="360"/>
        <v>0</v>
      </c>
      <c r="R3303" s="7">
        <f t="shared" si="361"/>
        <v>3515.04</v>
      </c>
      <c r="S3303" s="7">
        <f t="shared" si="362"/>
        <v>585.84</v>
      </c>
      <c r="T3303" s="6">
        <f t="shared" si="363"/>
        <v>1.8404907975460124E-2</v>
      </c>
      <c r="V3303" t="s">
        <v>29</v>
      </c>
    </row>
    <row r="3304" spans="1:22">
      <c r="A3304" s="3">
        <v>45795</v>
      </c>
      <c r="B3304" t="str">
        <f t="shared" si="357"/>
        <v>yyyy-05</v>
      </c>
      <c r="C3304">
        <f t="shared" si="358"/>
        <v>20</v>
      </c>
      <c r="D3304" t="s">
        <v>53</v>
      </c>
      <c r="E3304" t="s">
        <v>54</v>
      </c>
      <c r="F3304" t="s">
        <v>55</v>
      </c>
      <c r="G3304" t="s">
        <v>27</v>
      </c>
      <c r="H3304" t="s">
        <v>63</v>
      </c>
      <c r="I3304" s="5">
        <v>151</v>
      </c>
      <c r="J3304" s="5">
        <v>121</v>
      </c>
      <c r="K3304" s="5">
        <v>7</v>
      </c>
      <c r="L3304" s="5">
        <v>1</v>
      </c>
      <c r="M3304" s="5">
        <v>1</v>
      </c>
      <c r="N3304" s="7">
        <v>1289.74</v>
      </c>
      <c r="O3304" s="7">
        <f t="shared" si="359"/>
        <v>1289.74</v>
      </c>
      <c r="P3304" s="4">
        <v>0.05</v>
      </c>
      <c r="Q3304" s="7">
        <f t="shared" si="360"/>
        <v>64.487000000000009</v>
      </c>
      <c r="R3304" s="7">
        <f t="shared" si="361"/>
        <v>1225.2529999999999</v>
      </c>
      <c r="S3304" s="7">
        <f t="shared" si="362"/>
        <v>1225.2529999999999</v>
      </c>
      <c r="T3304" s="6">
        <f t="shared" si="363"/>
        <v>6.6225165562913907E-3</v>
      </c>
      <c r="V3304" t="s">
        <v>29</v>
      </c>
    </row>
    <row r="3305" spans="1:22">
      <c r="A3305" s="3">
        <v>45795</v>
      </c>
      <c r="B3305" t="str">
        <f t="shared" si="357"/>
        <v>yyyy-05</v>
      </c>
      <c r="C3305">
        <f t="shared" si="358"/>
        <v>20</v>
      </c>
      <c r="D3305" t="s">
        <v>53</v>
      </c>
      <c r="E3305" t="s">
        <v>56</v>
      </c>
      <c r="F3305" t="s">
        <v>57</v>
      </c>
      <c r="G3305" t="s">
        <v>27</v>
      </c>
      <c r="H3305" t="s">
        <v>28</v>
      </c>
      <c r="I3305" s="5">
        <v>188</v>
      </c>
      <c r="J3305" s="5">
        <v>114</v>
      </c>
      <c r="K3305" s="5">
        <v>9</v>
      </c>
      <c r="L3305" s="5">
        <v>2</v>
      </c>
      <c r="M3305" s="5">
        <v>2</v>
      </c>
      <c r="N3305" s="7">
        <v>751.49</v>
      </c>
      <c r="O3305" s="7">
        <f t="shared" si="359"/>
        <v>1502.98</v>
      </c>
      <c r="P3305" s="4">
        <v>0.03</v>
      </c>
      <c r="Q3305" s="7">
        <f t="shared" si="360"/>
        <v>45.089399999999998</v>
      </c>
      <c r="R3305" s="7">
        <f t="shared" si="361"/>
        <v>1457.8905999999999</v>
      </c>
      <c r="S3305" s="7">
        <f t="shared" si="362"/>
        <v>728.94529999999997</v>
      </c>
      <c r="T3305" s="6">
        <f t="shared" si="363"/>
        <v>1.0638297872340425E-2</v>
      </c>
      <c r="V3305" t="s">
        <v>29</v>
      </c>
    </row>
    <row r="3306" spans="1:22">
      <c r="A3306" s="3">
        <v>45795</v>
      </c>
      <c r="B3306" t="str">
        <f t="shared" si="357"/>
        <v>yyyy-05</v>
      </c>
      <c r="C3306">
        <f t="shared" si="358"/>
        <v>20</v>
      </c>
      <c r="D3306" t="s">
        <v>53</v>
      </c>
      <c r="E3306" t="s">
        <v>56</v>
      </c>
      <c r="F3306" t="s">
        <v>58</v>
      </c>
      <c r="G3306" t="s">
        <v>27</v>
      </c>
      <c r="H3306" t="s">
        <v>45</v>
      </c>
      <c r="I3306" s="5">
        <v>225</v>
      </c>
      <c r="J3306" s="5">
        <v>185</v>
      </c>
      <c r="K3306" s="5">
        <v>16</v>
      </c>
      <c r="L3306" s="5">
        <v>2</v>
      </c>
      <c r="M3306" s="5">
        <v>2</v>
      </c>
      <c r="N3306" s="7">
        <v>886.23</v>
      </c>
      <c r="O3306" s="7">
        <f t="shared" si="359"/>
        <v>1772.46</v>
      </c>
      <c r="P3306" s="4">
        <v>0</v>
      </c>
      <c r="Q3306" s="7">
        <f t="shared" si="360"/>
        <v>0</v>
      </c>
      <c r="R3306" s="7">
        <f t="shared" si="361"/>
        <v>1772.46</v>
      </c>
      <c r="S3306" s="7">
        <f t="shared" si="362"/>
        <v>886.23</v>
      </c>
      <c r="T3306" s="6">
        <f t="shared" si="363"/>
        <v>8.8888888888888889E-3</v>
      </c>
      <c r="V3306" t="s">
        <v>29</v>
      </c>
    </row>
    <row r="3307" spans="1:22">
      <c r="A3307" s="3">
        <v>45795</v>
      </c>
      <c r="B3307" t="str">
        <f t="shared" si="357"/>
        <v>yyyy-05</v>
      </c>
      <c r="C3307">
        <f t="shared" si="358"/>
        <v>20</v>
      </c>
      <c r="D3307" t="s">
        <v>53</v>
      </c>
      <c r="E3307" t="s">
        <v>59</v>
      </c>
      <c r="F3307" t="s">
        <v>60</v>
      </c>
      <c r="G3307" t="s">
        <v>27</v>
      </c>
      <c r="H3307" t="s">
        <v>63</v>
      </c>
      <c r="I3307" s="5">
        <v>98</v>
      </c>
      <c r="J3307" s="5">
        <v>61</v>
      </c>
      <c r="K3307" s="5">
        <v>4</v>
      </c>
      <c r="L3307" s="5">
        <v>1</v>
      </c>
      <c r="M3307" s="5">
        <v>1</v>
      </c>
      <c r="N3307" s="7">
        <v>700.54</v>
      </c>
      <c r="O3307" s="7">
        <f t="shared" si="359"/>
        <v>700.54</v>
      </c>
      <c r="P3307" s="4">
        <v>0</v>
      </c>
      <c r="Q3307" s="7">
        <f t="shared" si="360"/>
        <v>0</v>
      </c>
      <c r="R3307" s="7">
        <f t="shared" si="361"/>
        <v>700.54</v>
      </c>
      <c r="S3307" s="7">
        <f t="shared" si="362"/>
        <v>700.54</v>
      </c>
      <c r="T3307" s="6">
        <f t="shared" si="363"/>
        <v>1.020408163265306E-2</v>
      </c>
      <c r="V3307" t="s">
        <v>29</v>
      </c>
    </row>
    <row r="3308" spans="1:22">
      <c r="A3308" s="3">
        <v>45795</v>
      </c>
      <c r="B3308" t="str">
        <f t="shared" si="357"/>
        <v>yyyy-05</v>
      </c>
      <c r="C3308">
        <f t="shared" si="358"/>
        <v>20</v>
      </c>
      <c r="D3308" t="s">
        <v>53</v>
      </c>
      <c r="E3308" t="s">
        <v>61</v>
      </c>
      <c r="F3308" t="s">
        <v>62</v>
      </c>
      <c r="G3308" t="s">
        <v>36</v>
      </c>
      <c r="H3308" t="s">
        <v>37</v>
      </c>
      <c r="I3308" s="5">
        <v>214</v>
      </c>
      <c r="J3308" s="5">
        <v>126</v>
      </c>
      <c r="K3308" s="5">
        <v>13</v>
      </c>
      <c r="L3308" s="5">
        <v>3</v>
      </c>
      <c r="M3308" s="5">
        <v>3</v>
      </c>
      <c r="N3308" s="7">
        <v>490.85</v>
      </c>
      <c r="O3308" s="7">
        <f t="shared" si="359"/>
        <v>1472.5500000000002</v>
      </c>
      <c r="P3308" s="4">
        <v>0.05</v>
      </c>
      <c r="Q3308" s="7">
        <f t="shared" si="360"/>
        <v>73.627500000000012</v>
      </c>
      <c r="R3308" s="7">
        <f t="shared" si="361"/>
        <v>1398.9225000000001</v>
      </c>
      <c r="S3308" s="7">
        <f t="shared" si="362"/>
        <v>466.30750000000006</v>
      </c>
      <c r="T3308" s="6">
        <f t="shared" si="363"/>
        <v>1.4018691588785047E-2</v>
      </c>
      <c r="V3308" t="s">
        <v>29</v>
      </c>
    </row>
    <row r="3309" spans="1:22">
      <c r="A3309" s="3">
        <v>45795</v>
      </c>
      <c r="B3309" t="str">
        <f t="shared" si="357"/>
        <v>yyyy-05</v>
      </c>
      <c r="C3309">
        <f t="shared" si="358"/>
        <v>20</v>
      </c>
      <c r="D3309" t="s">
        <v>53</v>
      </c>
      <c r="E3309" t="s">
        <v>64</v>
      </c>
      <c r="F3309" t="s">
        <v>65</v>
      </c>
      <c r="G3309" t="s">
        <v>27</v>
      </c>
      <c r="H3309" t="s">
        <v>48</v>
      </c>
      <c r="I3309" s="5">
        <v>230</v>
      </c>
      <c r="J3309" s="5">
        <v>125</v>
      </c>
      <c r="K3309" s="5">
        <v>14</v>
      </c>
      <c r="L3309" s="5">
        <v>3</v>
      </c>
      <c r="M3309" s="5">
        <v>3</v>
      </c>
      <c r="N3309" s="7">
        <v>803.91</v>
      </c>
      <c r="O3309" s="7">
        <f t="shared" si="359"/>
        <v>2411.73</v>
      </c>
      <c r="P3309" s="4">
        <v>0.12</v>
      </c>
      <c r="Q3309" s="7">
        <f t="shared" si="360"/>
        <v>289.4076</v>
      </c>
      <c r="R3309" s="7">
        <f t="shared" si="361"/>
        <v>2122.3224</v>
      </c>
      <c r="S3309" s="7">
        <f t="shared" si="362"/>
        <v>707.44079999999997</v>
      </c>
      <c r="T3309" s="6">
        <f t="shared" si="363"/>
        <v>1.3043478260869565E-2</v>
      </c>
      <c r="U3309" t="s">
        <v>97</v>
      </c>
      <c r="V3309" t="s">
        <v>29</v>
      </c>
    </row>
    <row r="3310" spans="1:22">
      <c r="A3310" s="3">
        <v>45795</v>
      </c>
      <c r="B3310" t="str">
        <f t="shared" si="357"/>
        <v>yyyy-05</v>
      </c>
      <c r="C3310">
        <f t="shared" si="358"/>
        <v>20</v>
      </c>
      <c r="D3310" t="s">
        <v>66</v>
      </c>
      <c r="E3310" t="s">
        <v>67</v>
      </c>
      <c r="F3310" t="s">
        <v>68</v>
      </c>
      <c r="G3310" t="s">
        <v>36</v>
      </c>
      <c r="H3310" t="s">
        <v>37</v>
      </c>
      <c r="I3310" s="5">
        <v>462</v>
      </c>
      <c r="J3310" s="5">
        <v>380</v>
      </c>
      <c r="K3310" s="5">
        <v>53</v>
      </c>
      <c r="L3310" s="5">
        <v>11</v>
      </c>
      <c r="M3310" s="5">
        <v>11</v>
      </c>
      <c r="N3310" s="7">
        <v>695.09</v>
      </c>
      <c r="O3310" s="7">
        <f t="shared" si="359"/>
        <v>7645.9900000000007</v>
      </c>
      <c r="P3310" s="4">
        <v>0.05</v>
      </c>
      <c r="Q3310" s="7">
        <f t="shared" si="360"/>
        <v>382.29950000000008</v>
      </c>
      <c r="R3310" s="7">
        <f t="shared" si="361"/>
        <v>7263.6905000000006</v>
      </c>
      <c r="S3310" s="7">
        <f t="shared" si="362"/>
        <v>660.33550000000002</v>
      </c>
      <c r="T3310" s="6">
        <f t="shared" si="363"/>
        <v>2.3809523809523808E-2</v>
      </c>
      <c r="V3310" t="s">
        <v>29</v>
      </c>
    </row>
    <row r="3311" spans="1:22">
      <c r="A3311" s="3">
        <v>45795</v>
      </c>
      <c r="B3311" t="str">
        <f t="shared" si="357"/>
        <v>yyyy-05</v>
      </c>
      <c r="C3311">
        <f t="shared" si="358"/>
        <v>20</v>
      </c>
      <c r="D3311" t="s">
        <v>66</v>
      </c>
      <c r="E3311" t="s">
        <v>67</v>
      </c>
      <c r="F3311" t="s">
        <v>69</v>
      </c>
      <c r="G3311" t="s">
        <v>36</v>
      </c>
      <c r="H3311" t="s">
        <v>37</v>
      </c>
      <c r="I3311" s="5">
        <v>419</v>
      </c>
      <c r="J3311" s="5">
        <v>219</v>
      </c>
      <c r="K3311" s="5">
        <v>25</v>
      </c>
      <c r="L3311" s="5">
        <v>6</v>
      </c>
      <c r="M3311" s="5">
        <v>6</v>
      </c>
      <c r="N3311" s="7">
        <v>403.69</v>
      </c>
      <c r="O3311" s="7">
        <f t="shared" si="359"/>
        <v>2422.14</v>
      </c>
      <c r="P3311" s="4">
        <v>0</v>
      </c>
      <c r="Q3311" s="7">
        <f t="shared" si="360"/>
        <v>0</v>
      </c>
      <c r="R3311" s="7">
        <f t="shared" si="361"/>
        <v>2422.14</v>
      </c>
      <c r="S3311" s="7">
        <f t="shared" si="362"/>
        <v>403.69</v>
      </c>
      <c r="T3311" s="6">
        <f t="shared" si="363"/>
        <v>1.4319809069212411E-2</v>
      </c>
      <c r="V3311" t="s">
        <v>78</v>
      </c>
    </row>
    <row r="3312" spans="1:22">
      <c r="A3312" s="3">
        <v>45795</v>
      </c>
      <c r="B3312" t="str">
        <f t="shared" si="357"/>
        <v>yyyy-05</v>
      </c>
      <c r="C3312">
        <f t="shared" si="358"/>
        <v>20</v>
      </c>
      <c r="D3312" t="s">
        <v>66</v>
      </c>
      <c r="E3312" t="s">
        <v>67</v>
      </c>
      <c r="F3312" t="s">
        <v>70</v>
      </c>
      <c r="G3312" t="s">
        <v>27</v>
      </c>
      <c r="H3312" t="s">
        <v>63</v>
      </c>
      <c r="I3312" s="5">
        <v>347</v>
      </c>
      <c r="J3312" s="5">
        <v>206</v>
      </c>
      <c r="K3312" s="5">
        <v>35</v>
      </c>
      <c r="L3312" s="5">
        <v>7</v>
      </c>
      <c r="M3312" s="5">
        <v>7</v>
      </c>
      <c r="N3312" s="7">
        <v>349.49</v>
      </c>
      <c r="O3312" s="7">
        <f t="shared" si="359"/>
        <v>2446.4300000000003</v>
      </c>
      <c r="P3312" s="4">
        <v>0</v>
      </c>
      <c r="Q3312" s="7">
        <f t="shared" si="360"/>
        <v>0</v>
      </c>
      <c r="R3312" s="7">
        <f t="shared" si="361"/>
        <v>2446.4300000000003</v>
      </c>
      <c r="S3312" s="7">
        <f t="shared" si="362"/>
        <v>349.49000000000007</v>
      </c>
      <c r="T3312" s="6">
        <f t="shared" si="363"/>
        <v>2.0172910662824207E-2</v>
      </c>
      <c r="V3312" t="s">
        <v>29</v>
      </c>
    </row>
    <row r="3313" spans="1:22">
      <c r="A3313" s="3">
        <v>45795</v>
      </c>
      <c r="B3313" t="str">
        <f t="shared" si="357"/>
        <v>yyyy-05</v>
      </c>
      <c r="C3313">
        <f t="shared" si="358"/>
        <v>20</v>
      </c>
      <c r="D3313" t="s">
        <v>66</v>
      </c>
      <c r="E3313" t="s">
        <v>71</v>
      </c>
      <c r="F3313" t="s">
        <v>72</v>
      </c>
      <c r="G3313" t="s">
        <v>31</v>
      </c>
      <c r="H3313" t="s">
        <v>32</v>
      </c>
      <c r="I3313" s="5">
        <v>435</v>
      </c>
      <c r="J3313" s="5">
        <v>227</v>
      </c>
      <c r="K3313" s="5">
        <v>26</v>
      </c>
      <c r="L3313" s="5">
        <v>6</v>
      </c>
      <c r="M3313" s="5">
        <v>7</v>
      </c>
      <c r="N3313" s="7">
        <v>124.22</v>
      </c>
      <c r="O3313" s="7">
        <f t="shared" si="359"/>
        <v>869.54</v>
      </c>
      <c r="P3313" s="4">
        <v>0</v>
      </c>
      <c r="Q3313" s="7">
        <f t="shared" si="360"/>
        <v>0</v>
      </c>
      <c r="R3313" s="7">
        <f t="shared" si="361"/>
        <v>869.54</v>
      </c>
      <c r="S3313" s="7">
        <f t="shared" si="362"/>
        <v>144.92333333333332</v>
      </c>
      <c r="T3313" s="6">
        <f t="shared" si="363"/>
        <v>1.3793103448275862E-2</v>
      </c>
      <c r="V3313" t="s">
        <v>29</v>
      </c>
    </row>
    <row r="3314" spans="1:22">
      <c r="A3314" s="3">
        <v>45795</v>
      </c>
      <c r="B3314" t="str">
        <f t="shared" si="357"/>
        <v>yyyy-05</v>
      </c>
      <c r="C3314">
        <f t="shared" si="358"/>
        <v>20</v>
      </c>
      <c r="D3314" t="s">
        <v>66</v>
      </c>
      <c r="E3314" t="s">
        <v>73</v>
      </c>
      <c r="F3314" t="s">
        <v>74</v>
      </c>
      <c r="G3314" t="s">
        <v>36</v>
      </c>
      <c r="H3314" t="s">
        <v>37</v>
      </c>
      <c r="I3314" s="5">
        <v>234</v>
      </c>
      <c r="J3314" s="5">
        <v>143</v>
      </c>
      <c r="K3314" s="5">
        <v>22</v>
      </c>
      <c r="L3314" s="5">
        <v>5</v>
      </c>
      <c r="M3314" s="5">
        <v>5</v>
      </c>
      <c r="N3314" s="7">
        <v>1215.03</v>
      </c>
      <c r="O3314" s="7">
        <f t="shared" si="359"/>
        <v>6075.15</v>
      </c>
      <c r="P3314" s="4">
        <v>0</v>
      </c>
      <c r="Q3314" s="7">
        <f t="shared" si="360"/>
        <v>0</v>
      </c>
      <c r="R3314" s="7">
        <f t="shared" si="361"/>
        <v>6075.15</v>
      </c>
      <c r="S3314" s="7">
        <f t="shared" si="362"/>
        <v>1215.03</v>
      </c>
      <c r="T3314" s="6">
        <f t="shared" si="363"/>
        <v>2.1367521367521368E-2</v>
      </c>
      <c r="V3314" t="s">
        <v>29</v>
      </c>
    </row>
    <row r="3315" spans="1:22">
      <c r="A3315" s="3">
        <v>45795</v>
      </c>
      <c r="B3315" t="str">
        <f t="shared" si="357"/>
        <v>yyyy-05</v>
      </c>
      <c r="C3315">
        <f t="shared" si="358"/>
        <v>20</v>
      </c>
      <c r="D3315" t="s">
        <v>66</v>
      </c>
      <c r="E3315" t="s">
        <v>71</v>
      </c>
      <c r="F3315" t="s">
        <v>75</v>
      </c>
      <c r="G3315" t="s">
        <v>27</v>
      </c>
      <c r="H3315" t="s">
        <v>45</v>
      </c>
      <c r="I3315" s="5">
        <v>330</v>
      </c>
      <c r="J3315" s="5">
        <v>228</v>
      </c>
      <c r="K3315" s="5">
        <v>24</v>
      </c>
      <c r="L3315" s="5">
        <v>6</v>
      </c>
      <c r="M3315" s="5">
        <v>7</v>
      </c>
      <c r="N3315" s="7">
        <v>39.15</v>
      </c>
      <c r="O3315" s="7">
        <f t="shared" si="359"/>
        <v>274.05</v>
      </c>
      <c r="P3315" s="4">
        <v>0</v>
      </c>
      <c r="Q3315" s="7">
        <f t="shared" si="360"/>
        <v>0</v>
      </c>
      <c r="R3315" s="7">
        <f t="shared" si="361"/>
        <v>274.05</v>
      </c>
      <c r="S3315" s="7">
        <f t="shared" si="362"/>
        <v>45.675000000000004</v>
      </c>
      <c r="T3315" s="6">
        <f t="shared" si="363"/>
        <v>1.8181818181818181E-2</v>
      </c>
      <c r="V3315" t="s">
        <v>29</v>
      </c>
    </row>
    <row r="3316" spans="1:22">
      <c r="A3316" s="3">
        <v>45795</v>
      </c>
      <c r="B3316" t="str">
        <f t="shared" si="357"/>
        <v>yyyy-05</v>
      </c>
      <c r="C3316">
        <f t="shared" si="358"/>
        <v>20</v>
      </c>
      <c r="D3316" t="s">
        <v>24</v>
      </c>
      <c r="E3316" t="s">
        <v>76</v>
      </c>
      <c r="F3316" t="s">
        <v>77</v>
      </c>
      <c r="G3316" t="s">
        <v>27</v>
      </c>
      <c r="H3316" t="s">
        <v>48</v>
      </c>
      <c r="I3316" s="5">
        <v>413</v>
      </c>
      <c r="J3316" s="5">
        <v>281</v>
      </c>
      <c r="K3316" s="5">
        <v>47</v>
      </c>
      <c r="L3316" s="5">
        <v>10</v>
      </c>
      <c r="M3316" s="5">
        <v>11</v>
      </c>
      <c r="N3316" s="7">
        <v>195.5</v>
      </c>
      <c r="O3316" s="7">
        <f t="shared" si="359"/>
        <v>2150.5</v>
      </c>
      <c r="P3316" s="4">
        <v>0</v>
      </c>
      <c r="Q3316" s="7">
        <f t="shared" si="360"/>
        <v>0</v>
      </c>
      <c r="R3316" s="7">
        <f t="shared" si="361"/>
        <v>2150.5</v>
      </c>
      <c r="S3316" s="7">
        <f t="shared" si="362"/>
        <v>215.05</v>
      </c>
      <c r="T3316" s="6">
        <f t="shared" si="363"/>
        <v>2.4213075060532687E-2</v>
      </c>
      <c r="V3316" t="s">
        <v>29</v>
      </c>
    </row>
    <row r="3317" spans="1:22">
      <c r="A3317" s="3">
        <v>45796</v>
      </c>
      <c r="B3317" t="str">
        <f t="shared" si="357"/>
        <v>yyyy-05</v>
      </c>
      <c r="C3317">
        <f t="shared" si="358"/>
        <v>21</v>
      </c>
      <c r="D3317" t="s">
        <v>24</v>
      </c>
      <c r="E3317" t="s">
        <v>25</v>
      </c>
      <c r="F3317" t="s">
        <v>26</v>
      </c>
      <c r="G3317" t="s">
        <v>27</v>
      </c>
      <c r="H3317" t="s">
        <v>63</v>
      </c>
      <c r="I3317" s="5">
        <v>1031</v>
      </c>
      <c r="J3317" s="5">
        <v>603</v>
      </c>
      <c r="K3317" s="5">
        <v>112</v>
      </c>
      <c r="L3317" s="5">
        <v>24</v>
      </c>
      <c r="M3317" s="5">
        <v>24</v>
      </c>
      <c r="N3317" s="7">
        <v>1005.9</v>
      </c>
      <c r="O3317" s="7">
        <f t="shared" si="359"/>
        <v>24141.599999999999</v>
      </c>
      <c r="P3317" s="4">
        <v>0.05</v>
      </c>
      <c r="Q3317" s="7">
        <f t="shared" si="360"/>
        <v>1207.08</v>
      </c>
      <c r="R3317" s="7">
        <f t="shared" si="361"/>
        <v>22934.519999999997</v>
      </c>
      <c r="S3317" s="7">
        <f t="shared" si="362"/>
        <v>955.6049999999999</v>
      </c>
      <c r="T3317" s="6">
        <f t="shared" si="363"/>
        <v>2.3278370514064017E-2</v>
      </c>
      <c r="V3317" t="s">
        <v>29</v>
      </c>
    </row>
    <row r="3318" spans="1:22">
      <c r="A3318" s="3">
        <v>45796</v>
      </c>
      <c r="B3318" t="str">
        <f t="shared" si="357"/>
        <v>yyyy-05</v>
      </c>
      <c r="C3318">
        <f t="shared" si="358"/>
        <v>21</v>
      </c>
      <c r="D3318" t="s">
        <v>24</v>
      </c>
      <c r="E3318" t="s">
        <v>25</v>
      </c>
      <c r="F3318" t="s">
        <v>30</v>
      </c>
      <c r="G3318" t="s">
        <v>27</v>
      </c>
      <c r="H3318" t="s">
        <v>63</v>
      </c>
      <c r="I3318" s="5">
        <v>1501</v>
      </c>
      <c r="J3318" s="5">
        <v>857</v>
      </c>
      <c r="K3318" s="5">
        <v>115</v>
      </c>
      <c r="L3318" s="5">
        <v>35</v>
      </c>
      <c r="M3318" s="5">
        <v>35</v>
      </c>
      <c r="N3318" s="7">
        <v>404.8</v>
      </c>
      <c r="O3318" s="7">
        <f t="shared" si="359"/>
        <v>14168</v>
      </c>
      <c r="P3318" s="4">
        <v>0</v>
      </c>
      <c r="Q3318" s="7">
        <f t="shared" si="360"/>
        <v>0</v>
      </c>
      <c r="R3318" s="7">
        <f t="shared" si="361"/>
        <v>14168</v>
      </c>
      <c r="S3318" s="7">
        <f t="shared" si="362"/>
        <v>404.8</v>
      </c>
      <c r="T3318" s="6">
        <f t="shared" si="363"/>
        <v>2.3317788141239172E-2</v>
      </c>
      <c r="V3318" t="s">
        <v>29</v>
      </c>
    </row>
    <row r="3319" spans="1:22">
      <c r="A3319" s="3">
        <v>45796</v>
      </c>
      <c r="B3319" t="str">
        <f t="shared" si="357"/>
        <v>yyyy-05</v>
      </c>
      <c r="C3319">
        <f t="shared" si="358"/>
        <v>21</v>
      </c>
      <c r="D3319" t="s">
        <v>24</v>
      </c>
      <c r="E3319" t="s">
        <v>25</v>
      </c>
      <c r="F3319" t="s">
        <v>33</v>
      </c>
      <c r="G3319" t="s">
        <v>27</v>
      </c>
      <c r="H3319" t="s">
        <v>28</v>
      </c>
      <c r="I3319" s="5">
        <v>1987</v>
      </c>
      <c r="J3319" s="5">
        <v>1151</v>
      </c>
      <c r="K3319" s="5">
        <v>183</v>
      </c>
      <c r="L3319" s="5">
        <v>51</v>
      </c>
      <c r="M3319" s="5">
        <v>51</v>
      </c>
      <c r="N3319" s="7">
        <v>1802.04</v>
      </c>
      <c r="O3319" s="7">
        <f t="shared" si="359"/>
        <v>91904.04</v>
      </c>
      <c r="P3319" s="4">
        <v>0</v>
      </c>
      <c r="Q3319" s="7">
        <f t="shared" si="360"/>
        <v>0</v>
      </c>
      <c r="R3319" s="7">
        <f t="shared" si="361"/>
        <v>91904.04</v>
      </c>
      <c r="S3319" s="7">
        <f t="shared" si="362"/>
        <v>1802.04</v>
      </c>
      <c r="T3319" s="6">
        <f t="shared" si="363"/>
        <v>2.5666834423754403E-2</v>
      </c>
      <c r="V3319" t="s">
        <v>29</v>
      </c>
    </row>
    <row r="3320" spans="1:22">
      <c r="A3320" s="3">
        <v>45796</v>
      </c>
      <c r="B3320" t="str">
        <f t="shared" si="357"/>
        <v>yyyy-05</v>
      </c>
      <c r="C3320">
        <f t="shared" si="358"/>
        <v>21</v>
      </c>
      <c r="D3320" t="s">
        <v>24</v>
      </c>
      <c r="E3320" t="s">
        <v>34</v>
      </c>
      <c r="F3320" t="s">
        <v>35</v>
      </c>
      <c r="G3320" t="s">
        <v>36</v>
      </c>
      <c r="H3320" t="s">
        <v>37</v>
      </c>
      <c r="I3320" s="5">
        <v>913</v>
      </c>
      <c r="J3320" s="5">
        <v>562</v>
      </c>
      <c r="K3320" s="5">
        <v>79</v>
      </c>
      <c r="L3320" s="5">
        <v>18</v>
      </c>
      <c r="M3320" s="5">
        <v>18</v>
      </c>
      <c r="N3320" s="7">
        <v>902.85</v>
      </c>
      <c r="O3320" s="7">
        <f t="shared" si="359"/>
        <v>16251.300000000001</v>
      </c>
      <c r="P3320" s="4">
        <v>0</v>
      </c>
      <c r="Q3320" s="7">
        <f t="shared" si="360"/>
        <v>0</v>
      </c>
      <c r="R3320" s="7">
        <f t="shared" si="361"/>
        <v>16251.300000000001</v>
      </c>
      <c r="S3320" s="7">
        <f t="shared" si="362"/>
        <v>902.85</v>
      </c>
      <c r="T3320" s="6">
        <f t="shared" si="363"/>
        <v>1.9715224534501644E-2</v>
      </c>
      <c r="V3320" t="s">
        <v>29</v>
      </c>
    </row>
    <row r="3321" spans="1:22">
      <c r="A3321" s="3">
        <v>45796</v>
      </c>
      <c r="B3321" t="str">
        <f t="shared" si="357"/>
        <v>yyyy-05</v>
      </c>
      <c r="C3321">
        <f t="shared" si="358"/>
        <v>21</v>
      </c>
      <c r="D3321" t="s">
        <v>24</v>
      </c>
      <c r="E3321" t="s">
        <v>38</v>
      </c>
      <c r="F3321" t="s">
        <v>39</v>
      </c>
      <c r="G3321" t="s">
        <v>27</v>
      </c>
      <c r="H3321" t="s">
        <v>63</v>
      </c>
      <c r="I3321" s="5">
        <v>646</v>
      </c>
      <c r="J3321" s="5">
        <v>362</v>
      </c>
      <c r="K3321" s="5">
        <v>30</v>
      </c>
      <c r="L3321" s="5">
        <v>13</v>
      </c>
      <c r="M3321" s="5">
        <v>13</v>
      </c>
      <c r="N3321" s="7">
        <v>333.41</v>
      </c>
      <c r="O3321" s="7">
        <f t="shared" si="359"/>
        <v>4334.33</v>
      </c>
      <c r="P3321" s="4">
        <v>0</v>
      </c>
      <c r="Q3321" s="7">
        <f t="shared" si="360"/>
        <v>0</v>
      </c>
      <c r="R3321" s="7">
        <f t="shared" si="361"/>
        <v>4334.33</v>
      </c>
      <c r="S3321" s="7">
        <f t="shared" si="362"/>
        <v>333.40999999999997</v>
      </c>
      <c r="T3321" s="6">
        <f t="shared" si="363"/>
        <v>2.0123839009287926E-2</v>
      </c>
      <c r="V3321" t="s">
        <v>29</v>
      </c>
    </row>
    <row r="3322" spans="1:22">
      <c r="A3322" s="3">
        <v>45796</v>
      </c>
      <c r="B3322" t="str">
        <f t="shared" si="357"/>
        <v>yyyy-05</v>
      </c>
      <c r="C3322">
        <f t="shared" si="358"/>
        <v>21</v>
      </c>
      <c r="D3322" t="s">
        <v>24</v>
      </c>
      <c r="E3322" t="s">
        <v>40</v>
      </c>
      <c r="F3322" t="s">
        <v>41</v>
      </c>
      <c r="G3322" t="s">
        <v>27</v>
      </c>
      <c r="H3322" t="s">
        <v>28</v>
      </c>
      <c r="I3322" s="5">
        <v>963</v>
      </c>
      <c r="J3322" s="5">
        <v>537</v>
      </c>
      <c r="K3322" s="5">
        <v>52</v>
      </c>
      <c r="L3322" s="5">
        <v>18</v>
      </c>
      <c r="M3322" s="5">
        <v>19</v>
      </c>
      <c r="N3322" s="7">
        <v>180.18</v>
      </c>
      <c r="O3322" s="7">
        <f t="shared" si="359"/>
        <v>3423.42</v>
      </c>
      <c r="P3322" s="4">
        <v>0</v>
      </c>
      <c r="Q3322" s="7">
        <f t="shared" si="360"/>
        <v>0</v>
      </c>
      <c r="R3322" s="7">
        <f t="shared" si="361"/>
        <v>3423.42</v>
      </c>
      <c r="S3322" s="7">
        <f t="shared" si="362"/>
        <v>190.19</v>
      </c>
      <c r="T3322" s="6">
        <f t="shared" si="363"/>
        <v>1.8691588785046728E-2</v>
      </c>
      <c r="V3322" t="s">
        <v>29</v>
      </c>
    </row>
    <row r="3323" spans="1:22">
      <c r="A3323" s="3">
        <v>45796</v>
      </c>
      <c r="B3323" t="str">
        <f t="shared" si="357"/>
        <v>yyyy-05</v>
      </c>
      <c r="C3323">
        <f t="shared" si="358"/>
        <v>21</v>
      </c>
      <c r="D3323" t="s">
        <v>42</v>
      </c>
      <c r="E3323" t="s">
        <v>43</v>
      </c>
      <c r="F3323" t="s">
        <v>44</v>
      </c>
      <c r="G3323" t="s">
        <v>36</v>
      </c>
      <c r="H3323" t="s">
        <v>37</v>
      </c>
      <c r="I3323" s="5">
        <v>603</v>
      </c>
      <c r="J3323" s="5">
        <v>371</v>
      </c>
      <c r="K3323" s="5">
        <v>22</v>
      </c>
      <c r="L3323" s="5">
        <v>7</v>
      </c>
      <c r="M3323" s="5">
        <v>7</v>
      </c>
      <c r="N3323" s="7">
        <v>1279.31</v>
      </c>
      <c r="O3323" s="7">
        <f t="shared" si="359"/>
        <v>8955.17</v>
      </c>
      <c r="P3323" s="4">
        <v>0</v>
      </c>
      <c r="Q3323" s="7">
        <f t="shared" si="360"/>
        <v>0</v>
      </c>
      <c r="R3323" s="7">
        <f t="shared" si="361"/>
        <v>8955.17</v>
      </c>
      <c r="S3323" s="7">
        <f t="shared" si="362"/>
        <v>1279.31</v>
      </c>
      <c r="T3323" s="6">
        <f t="shared" si="363"/>
        <v>1.1608623548922056E-2</v>
      </c>
      <c r="V3323" t="s">
        <v>29</v>
      </c>
    </row>
    <row r="3324" spans="1:22">
      <c r="A3324" s="3">
        <v>45796</v>
      </c>
      <c r="B3324" t="str">
        <f t="shared" si="357"/>
        <v>yyyy-05</v>
      </c>
      <c r="C3324">
        <f t="shared" si="358"/>
        <v>21</v>
      </c>
      <c r="D3324" t="s">
        <v>42</v>
      </c>
      <c r="E3324" t="s">
        <v>43</v>
      </c>
      <c r="F3324" t="s">
        <v>46</v>
      </c>
      <c r="G3324" t="s">
        <v>36</v>
      </c>
      <c r="H3324" t="s">
        <v>37</v>
      </c>
      <c r="I3324" s="5">
        <v>623</v>
      </c>
      <c r="J3324" s="5">
        <v>501</v>
      </c>
      <c r="K3324" s="5">
        <v>51</v>
      </c>
      <c r="L3324" s="5">
        <v>11</v>
      </c>
      <c r="M3324" s="5">
        <v>11</v>
      </c>
      <c r="N3324" s="7">
        <v>2179.17</v>
      </c>
      <c r="O3324" s="7">
        <f t="shared" si="359"/>
        <v>23970.870000000003</v>
      </c>
      <c r="P3324" s="4">
        <v>0</v>
      </c>
      <c r="Q3324" s="7">
        <f t="shared" si="360"/>
        <v>0</v>
      </c>
      <c r="R3324" s="7">
        <f t="shared" si="361"/>
        <v>23970.870000000003</v>
      </c>
      <c r="S3324" s="7">
        <f t="shared" si="362"/>
        <v>2179.17</v>
      </c>
      <c r="T3324" s="6">
        <f t="shared" si="363"/>
        <v>1.7656500802568219E-2</v>
      </c>
      <c r="V3324" t="s">
        <v>29</v>
      </c>
    </row>
    <row r="3325" spans="1:22">
      <c r="A3325" s="3">
        <v>45796</v>
      </c>
      <c r="B3325" t="str">
        <f t="shared" si="357"/>
        <v>yyyy-05</v>
      </c>
      <c r="C3325">
        <f t="shared" si="358"/>
        <v>21</v>
      </c>
      <c r="D3325" t="s">
        <v>42</v>
      </c>
      <c r="E3325" t="s">
        <v>43</v>
      </c>
      <c r="F3325" t="s">
        <v>47</v>
      </c>
      <c r="G3325" t="s">
        <v>31</v>
      </c>
      <c r="H3325" t="s">
        <v>32</v>
      </c>
      <c r="I3325" s="5">
        <v>653</v>
      </c>
      <c r="J3325" s="5">
        <v>483</v>
      </c>
      <c r="K3325" s="5">
        <v>54</v>
      </c>
      <c r="L3325" s="5">
        <v>8</v>
      </c>
      <c r="M3325" s="5">
        <v>8</v>
      </c>
      <c r="N3325" s="7">
        <v>581.35</v>
      </c>
      <c r="O3325" s="7">
        <f t="shared" si="359"/>
        <v>4650.8</v>
      </c>
      <c r="P3325" s="4">
        <v>0.05</v>
      </c>
      <c r="Q3325" s="7">
        <f t="shared" si="360"/>
        <v>232.54000000000002</v>
      </c>
      <c r="R3325" s="7">
        <f t="shared" si="361"/>
        <v>4418.26</v>
      </c>
      <c r="S3325" s="7">
        <f t="shared" si="362"/>
        <v>552.28250000000003</v>
      </c>
      <c r="T3325" s="6">
        <f t="shared" si="363"/>
        <v>1.2251148545176111E-2</v>
      </c>
      <c r="V3325" t="s">
        <v>29</v>
      </c>
    </row>
    <row r="3326" spans="1:22">
      <c r="A3326" s="3">
        <v>45796</v>
      </c>
      <c r="B3326" t="str">
        <f t="shared" si="357"/>
        <v>yyyy-05</v>
      </c>
      <c r="C3326">
        <f t="shared" si="358"/>
        <v>21</v>
      </c>
      <c r="D3326" t="s">
        <v>42</v>
      </c>
      <c r="E3326" t="s">
        <v>49</v>
      </c>
      <c r="F3326" t="s">
        <v>50</v>
      </c>
      <c r="G3326" t="s">
        <v>36</v>
      </c>
      <c r="H3326" t="s">
        <v>37</v>
      </c>
      <c r="I3326" s="5">
        <v>160</v>
      </c>
      <c r="J3326" s="5">
        <v>120</v>
      </c>
      <c r="K3326" s="5">
        <v>14</v>
      </c>
      <c r="L3326" s="5">
        <v>3</v>
      </c>
      <c r="M3326" s="5">
        <v>3</v>
      </c>
      <c r="N3326" s="7">
        <v>1018.48</v>
      </c>
      <c r="O3326" s="7">
        <f t="shared" si="359"/>
        <v>3055.44</v>
      </c>
      <c r="P3326" s="4">
        <v>0</v>
      </c>
      <c r="Q3326" s="7">
        <f t="shared" si="360"/>
        <v>0</v>
      </c>
      <c r="R3326" s="7">
        <f t="shared" si="361"/>
        <v>3055.44</v>
      </c>
      <c r="S3326" s="7">
        <f t="shared" si="362"/>
        <v>1018.48</v>
      </c>
      <c r="T3326" s="6">
        <f t="shared" si="363"/>
        <v>1.8749999999999999E-2</v>
      </c>
      <c r="V3326" t="s">
        <v>29</v>
      </c>
    </row>
    <row r="3327" spans="1:22">
      <c r="A3327" s="3">
        <v>45796</v>
      </c>
      <c r="B3327" t="str">
        <f t="shared" si="357"/>
        <v>yyyy-05</v>
      </c>
      <c r="C3327">
        <f t="shared" si="358"/>
        <v>21</v>
      </c>
      <c r="D3327" t="s">
        <v>42</v>
      </c>
      <c r="E3327" t="s">
        <v>51</v>
      </c>
      <c r="F3327" t="s">
        <v>52</v>
      </c>
      <c r="G3327" t="s">
        <v>27</v>
      </c>
      <c r="H3327" t="s">
        <v>28</v>
      </c>
      <c r="I3327" s="5">
        <v>301</v>
      </c>
      <c r="J3327" s="5">
        <v>238</v>
      </c>
      <c r="K3327" s="5">
        <v>19</v>
      </c>
      <c r="L3327" s="5">
        <v>5</v>
      </c>
      <c r="M3327" s="5">
        <v>5</v>
      </c>
      <c r="N3327" s="7">
        <v>610.69000000000005</v>
      </c>
      <c r="O3327" s="7">
        <f t="shared" si="359"/>
        <v>3053.4500000000003</v>
      </c>
      <c r="P3327" s="4">
        <v>0</v>
      </c>
      <c r="Q3327" s="7">
        <f t="shared" si="360"/>
        <v>0</v>
      </c>
      <c r="R3327" s="7">
        <f t="shared" si="361"/>
        <v>3053.4500000000003</v>
      </c>
      <c r="S3327" s="7">
        <f t="shared" si="362"/>
        <v>610.69000000000005</v>
      </c>
      <c r="T3327" s="6">
        <f t="shared" si="363"/>
        <v>1.6611295681063124E-2</v>
      </c>
      <c r="V3327" t="s">
        <v>29</v>
      </c>
    </row>
    <row r="3328" spans="1:22">
      <c r="A3328" s="3">
        <v>45796</v>
      </c>
      <c r="B3328" t="str">
        <f t="shared" si="357"/>
        <v>yyyy-05</v>
      </c>
      <c r="C3328">
        <f t="shared" si="358"/>
        <v>21</v>
      </c>
      <c r="D3328" t="s">
        <v>53</v>
      </c>
      <c r="E3328" t="s">
        <v>54</v>
      </c>
      <c r="F3328" t="s">
        <v>55</v>
      </c>
      <c r="G3328" t="s">
        <v>27</v>
      </c>
      <c r="H3328" t="s">
        <v>48</v>
      </c>
      <c r="I3328" s="5">
        <v>138</v>
      </c>
      <c r="J3328" s="5">
        <v>105</v>
      </c>
      <c r="K3328" s="5">
        <v>4</v>
      </c>
      <c r="L3328" s="5">
        <v>1</v>
      </c>
      <c r="M3328" s="5">
        <v>1</v>
      </c>
      <c r="N3328" s="7">
        <v>1253.76</v>
      </c>
      <c r="O3328" s="7">
        <f t="shared" si="359"/>
        <v>1253.76</v>
      </c>
      <c r="P3328" s="4">
        <v>0</v>
      </c>
      <c r="Q3328" s="7">
        <f t="shared" si="360"/>
        <v>0</v>
      </c>
      <c r="R3328" s="7">
        <f t="shared" si="361"/>
        <v>1253.76</v>
      </c>
      <c r="S3328" s="7">
        <f t="shared" si="362"/>
        <v>1253.76</v>
      </c>
      <c r="T3328" s="6">
        <f t="shared" si="363"/>
        <v>7.246376811594203E-3</v>
      </c>
      <c r="V3328" t="s">
        <v>29</v>
      </c>
    </row>
    <row r="3329" spans="1:22">
      <c r="A3329" s="3">
        <v>45796</v>
      </c>
      <c r="B3329" t="str">
        <f t="shared" si="357"/>
        <v>yyyy-05</v>
      </c>
      <c r="C3329">
        <f t="shared" si="358"/>
        <v>21</v>
      </c>
      <c r="D3329" t="s">
        <v>53</v>
      </c>
      <c r="E3329" t="s">
        <v>56</v>
      </c>
      <c r="F3329" t="s">
        <v>57</v>
      </c>
      <c r="G3329" t="s">
        <v>27</v>
      </c>
      <c r="H3329" t="s">
        <v>28</v>
      </c>
      <c r="I3329" s="5">
        <v>250</v>
      </c>
      <c r="J3329" s="5">
        <v>141</v>
      </c>
      <c r="K3329" s="5">
        <v>15</v>
      </c>
      <c r="L3329" s="5">
        <v>2</v>
      </c>
      <c r="M3329" s="5">
        <v>2</v>
      </c>
      <c r="N3329" s="7">
        <v>740.23</v>
      </c>
      <c r="O3329" s="7">
        <f t="shared" si="359"/>
        <v>1480.46</v>
      </c>
      <c r="P3329" s="4">
        <v>0</v>
      </c>
      <c r="Q3329" s="7">
        <f t="shared" si="360"/>
        <v>0</v>
      </c>
      <c r="R3329" s="7">
        <f t="shared" si="361"/>
        <v>1480.46</v>
      </c>
      <c r="S3329" s="7">
        <f t="shared" si="362"/>
        <v>740.23</v>
      </c>
      <c r="T3329" s="6">
        <f t="shared" si="363"/>
        <v>8.0000000000000002E-3</v>
      </c>
      <c r="V3329" t="s">
        <v>29</v>
      </c>
    </row>
    <row r="3330" spans="1:22">
      <c r="A3330" s="3">
        <v>45796</v>
      </c>
      <c r="B3330" t="str">
        <f t="shared" si="357"/>
        <v>yyyy-05</v>
      </c>
      <c r="C3330">
        <f t="shared" si="358"/>
        <v>21</v>
      </c>
      <c r="D3330" t="s">
        <v>53</v>
      </c>
      <c r="E3330" t="s">
        <v>56</v>
      </c>
      <c r="F3330" t="s">
        <v>58</v>
      </c>
      <c r="G3330" t="s">
        <v>36</v>
      </c>
      <c r="H3330" t="s">
        <v>37</v>
      </c>
      <c r="I3330" s="5">
        <v>279</v>
      </c>
      <c r="J3330" s="5">
        <v>201</v>
      </c>
      <c r="K3330" s="5">
        <v>20</v>
      </c>
      <c r="L3330" s="5">
        <v>4</v>
      </c>
      <c r="M3330" s="5">
        <v>4</v>
      </c>
      <c r="N3330" s="7">
        <v>906.35</v>
      </c>
      <c r="O3330" s="7">
        <f t="shared" si="359"/>
        <v>3625.4</v>
      </c>
      <c r="P3330" s="4">
        <v>0</v>
      </c>
      <c r="Q3330" s="7">
        <f t="shared" si="360"/>
        <v>0</v>
      </c>
      <c r="R3330" s="7">
        <f t="shared" si="361"/>
        <v>3625.4</v>
      </c>
      <c r="S3330" s="7">
        <f t="shared" si="362"/>
        <v>906.35</v>
      </c>
      <c r="T3330" s="6">
        <f t="shared" si="363"/>
        <v>1.4336917562724014E-2</v>
      </c>
      <c r="V3330" t="s">
        <v>29</v>
      </c>
    </row>
    <row r="3331" spans="1:22">
      <c r="A3331" s="3">
        <v>45796</v>
      </c>
      <c r="B3331" t="str">
        <f t="shared" si="357"/>
        <v>yyyy-05</v>
      </c>
      <c r="C3331">
        <f t="shared" si="358"/>
        <v>21</v>
      </c>
      <c r="D3331" t="s">
        <v>53</v>
      </c>
      <c r="E3331" t="s">
        <v>59</v>
      </c>
      <c r="F3331" t="s">
        <v>60</v>
      </c>
      <c r="G3331" t="s">
        <v>36</v>
      </c>
      <c r="H3331" t="s">
        <v>37</v>
      </c>
      <c r="I3331" s="5">
        <v>148</v>
      </c>
      <c r="J3331" s="5">
        <v>79</v>
      </c>
      <c r="K3331" s="5">
        <v>9</v>
      </c>
      <c r="L3331" s="5">
        <v>2</v>
      </c>
      <c r="M3331" s="5">
        <v>2</v>
      </c>
      <c r="N3331" s="7">
        <v>671.94</v>
      </c>
      <c r="O3331" s="7">
        <f t="shared" si="359"/>
        <v>1343.88</v>
      </c>
      <c r="P3331" s="4">
        <v>0.03</v>
      </c>
      <c r="Q3331" s="7">
        <f t="shared" si="360"/>
        <v>40.316400000000002</v>
      </c>
      <c r="R3331" s="7">
        <f t="shared" si="361"/>
        <v>1303.5636000000002</v>
      </c>
      <c r="S3331" s="7">
        <f t="shared" si="362"/>
        <v>651.78180000000009</v>
      </c>
      <c r="T3331" s="6">
        <f t="shared" si="363"/>
        <v>1.3513513513513514E-2</v>
      </c>
      <c r="V3331" t="s">
        <v>29</v>
      </c>
    </row>
    <row r="3332" spans="1:22">
      <c r="A3332" s="3">
        <v>45796</v>
      </c>
      <c r="B3332" t="str">
        <f t="shared" si="357"/>
        <v>yyyy-05</v>
      </c>
      <c r="C3332">
        <f t="shared" si="358"/>
        <v>21</v>
      </c>
      <c r="D3332" t="s">
        <v>53</v>
      </c>
      <c r="E3332" t="s">
        <v>61</v>
      </c>
      <c r="F3332" t="s">
        <v>62</v>
      </c>
      <c r="G3332" t="s">
        <v>27</v>
      </c>
      <c r="H3332" t="s">
        <v>45</v>
      </c>
      <c r="I3332" s="5">
        <v>194</v>
      </c>
      <c r="J3332" s="5">
        <v>147</v>
      </c>
      <c r="K3332" s="5">
        <v>14</v>
      </c>
      <c r="L3332" s="5">
        <v>2</v>
      </c>
      <c r="M3332" s="5">
        <v>2</v>
      </c>
      <c r="N3332" s="7">
        <v>506.19</v>
      </c>
      <c r="O3332" s="7">
        <f t="shared" si="359"/>
        <v>1012.38</v>
      </c>
      <c r="P3332" s="4">
        <v>0</v>
      </c>
      <c r="Q3332" s="7">
        <f t="shared" si="360"/>
        <v>0</v>
      </c>
      <c r="R3332" s="7">
        <f t="shared" si="361"/>
        <v>1012.38</v>
      </c>
      <c r="S3332" s="7">
        <f t="shared" si="362"/>
        <v>506.19</v>
      </c>
      <c r="T3332" s="6">
        <f t="shared" si="363"/>
        <v>1.0309278350515464E-2</v>
      </c>
      <c r="V3332" t="s">
        <v>29</v>
      </c>
    </row>
    <row r="3333" spans="1:22">
      <c r="A3333" s="3">
        <v>45796</v>
      </c>
      <c r="B3333" t="str">
        <f t="shared" ref="B3333:B3396" si="364">TEXT(A3333,"yyyy-mm")</f>
        <v>yyyy-05</v>
      </c>
      <c r="C3333">
        <f t="shared" ref="C3333:C3396" si="365">WEEKNUM(A3333,2)</f>
        <v>21</v>
      </c>
      <c r="D3333" t="s">
        <v>53</v>
      </c>
      <c r="E3333" t="s">
        <v>64</v>
      </c>
      <c r="F3333" t="s">
        <v>65</v>
      </c>
      <c r="G3333" t="s">
        <v>31</v>
      </c>
      <c r="H3333" t="s">
        <v>32</v>
      </c>
      <c r="I3333" s="5">
        <v>295</v>
      </c>
      <c r="J3333" s="5">
        <v>225</v>
      </c>
      <c r="K3333" s="5">
        <v>26</v>
      </c>
      <c r="L3333" s="5">
        <v>5</v>
      </c>
      <c r="M3333" s="5">
        <v>5</v>
      </c>
      <c r="N3333" s="7">
        <v>778.57</v>
      </c>
      <c r="O3333" s="7">
        <f t="shared" ref="O3333:O3396" si="366">M3333*N3333</f>
        <v>3892.8500000000004</v>
      </c>
      <c r="P3333" s="4">
        <v>0.12</v>
      </c>
      <c r="Q3333" s="7">
        <f t="shared" ref="Q3333:Q3396" si="367">O3333*P3333</f>
        <v>467.14200000000005</v>
      </c>
      <c r="R3333" s="7">
        <f t="shared" ref="R3333:R3396" si="368">O3333-Q3333</f>
        <v>3425.7080000000005</v>
      </c>
      <c r="S3333" s="7">
        <f t="shared" ref="S3333:S3396" si="369">IFERROR(R3333/L3333,0)</f>
        <v>685.14160000000015</v>
      </c>
      <c r="T3333" s="6">
        <f t="shared" ref="T3333:T3396" si="370">IFERROR(L3333/I3333,0)</f>
        <v>1.6949152542372881E-2</v>
      </c>
      <c r="U3333" t="s">
        <v>97</v>
      </c>
      <c r="V3333" t="s">
        <v>29</v>
      </c>
    </row>
    <row r="3334" spans="1:22">
      <c r="A3334" s="3">
        <v>45796</v>
      </c>
      <c r="B3334" t="str">
        <f t="shared" si="364"/>
        <v>yyyy-05</v>
      </c>
      <c r="C3334">
        <f t="shared" si="365"/>
        <v>21</v>
      </c>
      <c r="D3334" t="s">
        <v>66</v>
      </c>
      <c r="E3334" t="s">
        <v>67</v>
      </c>
      <c r="F3334" t="s">
        <v>68</v>
      </c>
      <c r="G3334" t="s">
        <v>27</v>
      </c>
      <c r="H3334" t="s">
        <v>45</v>
      </c>
      <c r="I3334" s="5">
        <v>447</v>
      </c>
      <c r="J3334" s="5">
        <v>270</v>
      </c>
      <c r="K3334" s="5">
        <v>49</v>
      </c>
      <c r="L3334" s="5">
        <v>10</v>
      </c>
      <c r="M3334" s="5">
        <v>10</v>
      </c>
      <c r="N3334" s="7">
        <v>672.46</v>
      </c>
      <c r="O3334" s="7">
        <f t="shared" si="366"/>
        <v>6724.6</v>
      </c>
      <c r="P3334" s="4">
        <v>0.05</v>
      </c>
      <c r="Q3334" s="7">
        <f t="shared" si="367"/>
        <v>336.23</v>
      </c>
      <c r="R3334" s="7">
        <f t="shared" si="368"/>
        <v>6388.3700000000008</v>
      </c>
      <c r="S3334" s="7">
        <f t="shared" si="369"/>
        <v>638.8370000000001</v>
      </c>
      <c r="T3334" s="6">
        <f t="shared" si="370"/>
        <v>2.2371364653243849E-2</v>
      </c>
      <c r="V3334" t="s">
        <v>29</v>
      </c>
    </row>
    <row r="3335" spans="1:22">
      <c r="A3335" s="3">
        <v>45796</v>
      </c>
      <c r="B3335" t="str">
        <f t="shared" si="364"/>
        <v>yyyy-05</v>
      </c>
      <c r="C3335">
        <f t="shared" si="365"/>
        <v>21</v>
      </c>
      <c r="D3335" t="s">
        <v>66</v>
      </c>
      <c r="E3335" t="s">
        <v>67</v>
      </c>
      <c r="F3335" t="s">
        <v>69</v>
      </c>
      <c r="G3335" t="s">
        <v>27</v>
      </c>
      <c r="H3335" t="s">
        <v>45</v>
      </c>
      <c r="I3335" s="5">
        <v>400</v>
      </c>
      <c r="J3335" s="5">
        <v>289</v>
      </c>
      <c r="K3335" s="5">
        <v>29</v>
      </c>
      <c r="L3335" s="5">
        <v>7</v>
      </c>
      <c r="M3335" s="5">
        <v>7</v>
      </c>
      <c r="N3335" s="7">
        <v>387.38</v>
      </c>
      <c r="O3335" s="7">
        <f t="shared" si="366"/>
        <v>2711.66</v>
      </c>
      <c r="P3335" s="4">
        <v>0</v>
      </c>
      <c r="Q3335" s="7">
        <f t="shared" si="367"/>
        <v>0</v>
      </c>
      <c r="R3335" s="7">
        <f t="shared" si="368"/>
        <v>2711.66</v>
      </c>
      <c r="S3335" s="7">
        <f t="shared" si="369"/>
        <v>387.38</v>
      </c>
      <c r="T3335" s="6">
        <f t="shared" si="370"/>
        <v>1.7500000000000002E-2</v>
      </c>
      <c r="V3335" t="s">
        <v>29</v>
      </c>
    </row>
    <row r="3336" spans="1:22">
      <c r="A3336" s="3">
        <v>45796</v>
      </c>
      <c r="B3336" t="str">
        <f t="shared" si="364"/>
        <v>yyyy-05</v>
      </c>
      <c r="C3336">
        <f t="shared" si="365"/>
        <v>21</v>
      </c>
      <c r="D3336" t="s">
        <v>66</v>
      </c>
      <c r="E3336" t="s">
        <v>67</v>
      </c>
      <c r="F3336" t="s">
        <v>70</v>
      </c>
      <c r="G3336" t="s">
        <v>27</v>
      </c>
      <c r="H3336" t="s">
        <v>63</v>
      </c>
      <c r="I3336" s="5">
        <v>265</v>
      </c>
      <c r="J3336" s="5">
        <v>199</v>
      </c>
      <c r="K3336" s="5">
        <v>15</v>
      </c>
      <c r="L3336" s="5">
        <v>5</v>
      </c>
      <c r="M3336" s="5">
        <v>5</v>
      </c>
      <c r="N3336" s="7">
        <v>336.81</v>
      </c>
      <c r="O3336" s="7">
        <f t="shared" si="366"/>
        <v>1684.05</v>
      </c>
      <c r="P3336" s="4">
        <v>0</v>
      </c>
      <c r="Q3336" s="7">
        <f t="shared" si="367"/>
        <v>0</v>
      </c>
      <c r="R3336" s="7">
        <f t="shared" si="368"/>
        <v>1684.05</v>
      </c>
      <c r="S3336" s="7">
        <f t="shared" si="369"/>
        <v>336.81</v>
      </c>
      <c r="T3336" s="6">
        <f t="shared" si="370"/>
        <v>1.8867924528301886E-2</v>
      </c>
      <c r="V3336" t="s">
        <v>29</v>
      </c>
    </row>
    <row r="3337" spans="1:22">
      <c r="A3337" s="3">
        <v>45796</v>
      </c>
      <c r="B3337" t="str">
        <f t="shared" si="364"/>
        <v>yyyy-05</v>
      </c>
      <c r="C3337">
        <f t="shared" si="365"/>
        <v>21</v>
      </c>
      <c r="D3337" t="s">
        <v>66</v>
      </c>
      <c r="E3337" t="s">
        <v>71</v>
      </c>
      <c r="F3337" t="s">
        <v>72</v>
      </c>
      <c r="G3337" t="s">
        <v>27</v>
      </c>
      <c r="H3337" t="s">
        <v>45</v>
      </c>
      <c r="I3337" s="5">
        <v>277</v>
      </c>
      <c r="J3337" s="5">
        <v>216</v>
      </c>
      <c r="K3337" s="5">
        <v>17</v>
      </c>
      <c r="L3337" s="5">
        <v>4</v>
      </c>
      <c r="M3337" s="5">
        <v>5</v>
      </c>
      <c r="N3337" s="7">
        <v>124.71</v>
      </c>
      <c r="O3337" s="7">
        <f t="shared" si="366"/>
        <v>623.54999999999995</v>
      </c>
      <c r="P3337" s="4">
        <v>0.05</v>
      </c>
      <c r="Q3337" s="7">
        <f t="shared" si="367"/>
        <v>31.177499999999998</v>
      </c>
      <c r="R3337" s="7">
        <f t="shared" si="368"/>
        <v>592.37249999999995</v>
      </c>
      <c r="S3337" s="7">
        <f t="shared" si="369"/>
        <v>148.09312499999999</v>
      </c>
      <c r="T3337" s="6">
        <f t="shared" si="370"/>
        <v>1.444043321299639E-2</v>
      </c>
      <c r="V3337" t="s">
        <v>29</v>
      </c>
    </row>
    <row r="3338" spans="1:22">
      <c r="A3338" s="3">
        <v>45796</v>
      </c>
      <c r="B3338" t="str">
        <f t="shared" si="364"/>
        <v>yyyy-05</v>
      </c>
      <c r="C3338">
        <f t="shared" si="365"/>
        <v>21</v>
      </c>
      <c r="D3338" t="s">
        <v>66</v>
      </c>
      <c r="E3338" t="s">
        <v>73</v>
      </c>
      <c r="F3338" t="s">
        <v>74</v>
      </c>
      <c r="G3338" t="s">
        <v>27</v>
      </c>
      <c r="H3338" t="s">
        <v>63</v>
      </c>
      <c r="I3338" s="5">
        <v>102</v>
      </c>
      <c r="J3338" s="5">
        <v>81</v>
      </c>
      <c r="K3338" s="5">
        <v>10</v>
      </c>
      <c r="L3338" s="5">
        <v>2</v>
      </c>
      <c r="M3338" s="5">
        <v>2</v>
      </c>
      <c r="N3338" s="7">
        <v>1165.77</v>
      </c>
      <c r="O3338" s="7">
        <f t="shared" si="366"/>
        <v>2331.54</v>
      </c>
      <c r="P3338" s="4">
        <v>0.05</v>
      </c>
      <c r="Q3338" s="7">
        <f t="shared" si="367"/>
        <v>116.577</v>
      </c>
      <c r="R3338" s="7">
        <f t="shared" si="368"/>
        <v>2214.9629999999997</v>
      </c>
      <c r="S3338" s="7">
        <f t="shared" si="369"/>
        <v>1107.4814999999999</v>
      </c>
      <c r="T3338" s="6">
        <f t="shared" si="370"/>
        <v>1.9607843137254902E-2</v>
      </c>
      <c r="V3338" t="s">
        <v>29</v>
      </c>
    </row>
    <row r="3339" spans="1:22">
      <c r="A3339" s="3">
        <v>45796</v>
      </c>
      <c r="B3339" t="str">
        <f t="shared" si="364"/>
        <v>yyyy-05</v>
      </c>
      <c r="C3339">
        <f t="shared" si="365"/>
        <v>21</v>
      </c>
      <c r="D3339" t="s">
        <v>66</v>
      </c>
      <c r="E3339" t="s">
        <v>71</v>
      </c>
      <c r="F3339" t="s">
        <v>75</v>
      </c>
      <c r="G3339" t="s">
        <v>36</v>
      </c>
      <c r="H3339" t="s">
        <v>37</v>
      </c>
      <c r="I3339" s="5">
        <v>366</v>
      </c>
      <c r="J3339" s="5">
        <v>256</v>
      </c>
      <c r="K3339" s="5">
        <v>27</v>
      </c>
      <c r="L3339" s="5">
        <v>6</v>
      </c>
      <c r="M3339" s="5">
        <v>8</v>
      </c>
      <c r="N3339" s="7">
        <v>38.729999999999997</v>
      </c>
      <c r="O3339" s="7">
        <f t="shared" si="366"/>
        <v>309.83999999999997</v>
      </c>
      <c r="P3339" s="4">
        <v>0.03</v>
      </c>
      <c r="Q3339" s="7">
        <f t="shared" si="367"/>
        <v>9.2951999999999995</v>
      </c>
      <c r="R3339" s="7">
        <f t="shared" si="368"/>
        <v>300.54479999999995</v>
      </c>
      <c r="S3339" s="7">
        <f t="shared" si="369"/>
        <v>50.090799999999994</v>
      </c>
      <c r="T3339" s="6">
        <f t="shared" si="370"/>
        <v>1.6393442622950821E-2</v>
      </c>
      <c r="V3339" t="s">
        <v>29</v>
      </c>
    </row>
    <row r="3340" spans="1:22">
      <c r="A3340" s="3">
        <v>45796</v>
      </c>
      <c r="B3340" t="str">
        <f t="shared" si="364"/>
        <v>yyyy-05</v>
      </c>
      <c r="C3340">
        <f t="shared" si="365"/>
        <v>21</v>
      </c>
      <c r="D3340" t="s">
        <v>24</v>
      </c>
      <c r="E3340" t="s">
        <v>76</v>
      </c>
      <c r="F3340" t="s">
        <v>77</v>
      </c>
      <c r="G3340" t="s">
        <v>27</v>
      </c>
      <c r="H3340" t="s">
        <v>48</v>
      </c>
      <c r="I3340" s="5">
        <v>586</v>
      </c>
      <c r="J3340" s="5">
        <v>469</v>
      </c>
      <c r="K3340" s="5">
        <v>52</v>
      </c>
      <c r="L3340" s="5">
        <v>15</v>
      </c>
      <c r="M3340" s="5">
        <v>20</v>
      </c>
      <c r="N3340" s="7">
        <v>201.22</v>
      </c>
      <c r="O3340" s="7">
        <f t="shared" si="366"/>
        <v>4024.4</v>
      </c>
      <c r="P3340" s="4">
        <v>0.1</v>
      </c>
      <c r="Q3340" s="7">
        <f t="shared" si="367"/>
        <v>402.44000000000005</v>
      </c>
      <c r="R3340" s="7">
        <f t="shared" si="368"/>
        <v>3621.96</v>
      </c>
      <c r="S3340" s="7">
        <f t="shared" si="369"/>
        <v>241.464</v>
      </c>
      <c r="T3340" s="6">
        <f t="shared" si="370"/>
        <v>2.5597269624573378E-2</v>
      </c>
      <c r="U3340" t="s">
        <v>98</v>
      </c>
      <c r="V3340" t="s">
        <v>29</v>
      </c>
    </row>
    <row r="3341" spans="1:22">
      <c r="A3341" s="3">
        <v>45797</v>
      </c>
      <c r="B3341" t="str">
        <f t="shared" si="364"/>
        <v>yyyy-05</v>
      </c>
      <c r="C3341">
        <f t="shared" si="365"/>
        <v>21</v>
      </c>
      <c r="D3341" t="s">
        <v>24</v>
      </c>
      <c r="E3341" t="s">
        <v>25</v>
      </c>
      <c r="F3341" t="s">
        <v>26</v>
      </c>
      <c r="G3341" t="s">
        <v>31</v>
      </c>
      <c r="H3341" t="s">
        <v>32</v>
      </c>
      <c r="I3341" s="5">
        <v>509</v>
      </c>
      <c r="J3341" s="5">
        <v>377</v>
      </c>
      <c r="K3341" s="5">
        <v>11</v>
      </c>
      <c r="L3341" s="5">
        <v>0</v>
      </c>
      <c r="M3341" s="5">
        <v>0</v>
      </c>
      <c r="N3341" s="7">
        <v>1016.11</v>
      </c>
      <c r="O3341" s="7">
        <f t="shared" si="366"/>
        <v>0</v>
      </c>
      <c r="P3341" s="4">
        <v>0</v>
      </c>
      <c r="Q3341" s="7">
        <f t="shared" si="367"/>
        <v>0</v>
      </c>
      <c r="R3341" s="7">
        <f t="shared" si="368"/>
        <v>0</v>
      </c>
      <c r="S3341" s="7">
        <f t="shared" si="369"/>
        <v>0</v>
      </c>
      <c r="T3341" s="6">
        <f t="shared" si="370"/>
        <v>0</v>
      </c>
      <c r="V3341" t="s">
        <v>81</v>
      </c>
    </row>
    <row r="3342" spans="1:22">
      <c r="A3342" s="3">
        <v>45797</v>
      </c>
      <c r="B3342" t="str">
        <f t="shared" si="364"/>
        <v>yyyy-05</v>
      </c>
      <c r="C3342">
        <f t="shared" si="365"/>
        <v>21</v>
      </c>
      <c r="D3342" t="s">
        <v>24</v>
      </c>
      <c r="E3342" t="s">
        <v>25</v>
      </c>
      <c r="F3342" t="s">
        <v>30</v>
      </c>
      <c r="G3342" t="s">
        <v>27</v>
      </c>
      <c r="H3342" t="s">
        <v>45</v>
      </c>
      <c r="I3342" s="5">
        <v>1302</v>
      </c>
      <c r="J3342" s="5">
        <v>786</v>
      </c>
      <c r="K3342" s="5">
        <v>121</v>
      </c>
      <c r="L3342" s="5">
        <v>25</v>
      </c>
      <c r="M3342" s="5">
        <v>25</v>
      </c>
      <c r="N3342" s="7">
        <v>396.43</v>
      </c>
      <c r="O3342" s="7">
        <f t="shared" si="366"/>
        <v>9910.75</v>
      </c>
      <c r="P3342" s="4">
        <v>0</v>
      </c>
      <c r="Q3342" s="7">
        <f t="shared" si="367"/>
        <v>0</v>
      </c>
      <c r="R3342" s="7">
        <f t="shared" si="368"/>
        <v>9910.75</v>
      </c>
      <c r="S3342" s="7">
        <f t="shared" si="369"/>
        <v>396.43</v>
      </c>
      <c r="T3342" s="6">
        <f t="shared" si="370"/>
        <v>1.9201228878648235E-2</v>
      </c>
      <c r="V3342" t="s">
        <v>78</v>
      </c>
    </row>
    <row r="3343" spans="1:22">
      <c r="A3343" s="3">
        <v>45797</v>
      </c>
      <c r="B3343" t="str">
        <f t="shared" si="364"/>
        <v>yyyy-05</v>
      </c>
      <c r="C3343">
        <f t="shared" si="365"/>
        <v>21</v>
      </c>
      <c r="D3343" t="s">
        <v>24</v>
      </c>
      <c r="E3343" t="s">
        <v>25</v>
      </c>
      <c r="F3343" t="s">
        <v>33</v>
      </c>
      <c r="G3343" t="s">
        <v>31</v>
      </c>
      <c r="H3343" t="s">
        <v>32</v>
      </c>
      <c r="I3343" s="5">
        <v>1844</v>
      </c>
      <c r="J3343" s="5">
        <v>1467</v>
      </c>
      <c r="K3343" s="5">
        <v>150</v>
      </c>
      <c r="L3343" s="5">
        <v>33</v>
      </c>
      <c r="M3343" s="5">
        <v>33</v>
      </c>
      <c r="N3343" s="7">
        <v>1812.01</v>
      </c>
      <c r="O3343" s="7">
        <f t="shared" si="366"/>
        <v>59796.33</v>
      </c>
      <c r="P3343" s="4">
        <v>0</v>
      </c>
      <c r="Q3343" s="7">
        <f t="shared" si="367"/>
        <v>0</v>
      </c>
      <c r="R3343" s="7">
        <f t="shared" si="368"/>
        <v>59796.33</v>
      </c>
      <c r="S3343" s="7">
        <f t="shared" si="369"/>
        <v>1812.01</v>
      </c>
      <c r="T3343" s="6">
        <f t="shared" si="370"/>
        <v>1.7895878524945771E-2</v>
      </c>
      <c r="V3343" t="s">
        <v>29</v>
      </c>
    </row>
    <row r="3344" spans="1:22">
      <c r="A3344" s="3">
        <v>45797</v>
      </c>
      <c r="B3344" t="str">
        <f t="shared" si="364"/>
        <v>yyyy-05</v>
      </c>
      <c r="C3344">
        <f t="shared" si="365"/>
        <v>21</v>
      </c>
      <c r="D3344" t="s">
        <v>24</v>
      </c>
      <c r="E3344" t="s">
        <v>34</v>
      </c>
      <c r="F3344" t="s">
        <v>35</v>
      </c>
      <c r="G3344" t="s">
        <v>27</v>
      </c>
      <c r="H3344" t="s">
        <v>48</v>
      </c>
      <c r="I3344" s="5">
        <v>646</v>
      </c>
      <c r="J3344" s="5">
        <v>378</v>
      </c>
      <c r="K3344" s="5">
        <v>40</v>
      </c>
      <c r="L3344" s="5">
        <v>11</v>
      </c>
      <c r="M3344" s="5">
        <v>11</v>
      </c>
      <c r="N3344" s="7">
        <v>882.42</v>
      </c>
      <c r="O3344" s="7">
        <f t="shared" si="366"/>
        <v>9706.619999999999</v>
      </c>
      <c r="P3344" s="4">
        <v>0.03</v>
      </c>
      <c r="Q3344" s="7">
        <f t="shared" si="367"/>
        <v>291.19859999999994</v>
      </c>
      <c r="R3344" s="7">
        <f t="shared" si="368"/>
        <v>9415.4213999999993</v>
      </c>
      <c r="S3344" s="7">
        <f t="shared" si="369"/>
        <v>855.9473999999999</v>
      </c>
      <c r="T3344" s="6">
        <f t="shared" si="370"/>
        <v>1.7027863777089782E-2</v>
      </c>
      <c r="V3344" t="s">
        <v>29</v>
      </c>
    </row>
    <row r="3345" spans="1:22">
      <c r="A3345" s="3">
        <v>45797</v>
      </c>
      <c r="B3345" t="str">
        <f t="shared" si="364"/>
        <v>yyyy-05</v>
      </c>
      <c r="C3345">
        <f t="shared" si="365"/>
        <v>21</v>
      </c>
      <c r="D3345" t="s">
        <v>24</v>
      </c>
      <c r="E3345" t="s">
        <v>38</v>
      </c>
      <c r="F3345" t="s">
        <v>39</v>
      </c>
      <c r="G3345" t="s">
        <v>36</v>
      </c>
      <c r="H3345" t="s">
        <v>37</v>
      </c>
      <c r="I3345" s="5">
        <v>762</v>
      </c>
      <c r="J3345" s="5">
        <v>407</v>
      </c>
      <c r="K3345" s="5">
        <v>61</v>
      </c>
      <c r="L3345" s="5">
        <v>13</v>
      </c>
      <c r="M3345" s="5">
        <v>13</v>
      </c>
      <c r="N3345" s="7">
        <v>328.42</v>
      </c>
      <c r="O3345" s="7">
        <f t="shared" si="366"/>
        <v>4269.46</v>
      </c>
      <c r="P3345" s="4">
        <v>0</v>
      </c>
      <c r="Q3345" s="7">
        <f t="shared" si="367"/>
        <v>0</v>
      </c>
      <c r="R3345" s="7">
        <f t="shared" si="368"/>
        <v>4269.46</v>
      </c>
      <c r="S3345" s="7">
        <f t="shared" si="369"/>
        <v>328.42</v>
      </c>
      <c r="T3345" s="6">
        <f t="shared" si="370"/>
        <v>1.7060367454068241E-2</v>
      </c>
      <c r="V3345" t="s">
        <v>29</v>
      </c>
    </row>
    <row r="3346" spans="1:22">
      <c r="A3346" s="3">
        <v>45797</v>
      </c>
      <c r="B3346" t="str">
        <f t="shared" si="364"/>
        <v>yyyy-05</v>
      </c>
      <c r="C3346">
        <f t="shared" si="365"/>
        <v>21</v>
      </c>
      <c r="D3346" t="s">
        <v>24</v>
      </c>
      <c r="E3346" t="s">
        <v>40</v>
      </c>
      <c r="F3346" t="s">
        <v>41</v>
      </c>
      <c r="G3346" t="s">
        <v>27</v>
      </c>
      <c r="H3346" t="s">
        <v>63</v>
      </c>
      <c r="I3346" s="5">
        <v>507</v>
      </c>
      <c r="J3346" s="5">
        <v>276</v>
      </c>
      <c r="K3346" s="5">
        <v>27</v>
      </c>
      <c r="L3346" s="5">
        <v>10</v>
      </c>
      <c r="M3346" s="5">
        <v>13</v>
      </c>
      <c r="N3346" s="7">
        <v>180.82</v>
      </c>
      <c r="O3346" s="7">
        <f t="shared" si="366"/>
        <v>2350.66</v>
      </c>
      <c r="P3346" s="4">
        <v>0</v>
      </c>
      <c r="Q3346" s="7">
        <f t="shared" si="367"/>
        <v>0</v>
      </c>
      <c r="R3346" s="7">
        <f t="shared" si="368"/>
        <v>2350.66</v>
      </c>
      <c r="S3346" s="7">
        <f t="shared" si="369"/>
        <v>235.06599999999997</v>
      </c>
      <c r="T3346" s="6">
        <f t="shared" si="370"/>
        <v>1.9723865877712032E-2</v>
      </c>
      <c r="V3346" t="s">
        <v>29</v>
      </c>
    </row>
    <row r="3347" spans="1:22">
      <c r="A3347" s="3">
        <v>45797</v>
      </c>
      <c r="B3347" t="str">
        <f t="shared" si="364"/>
        <v>yyyy-05</v>
      </c>
      <c r="C3347">
        <f t="shared" si="365"/>
        <v>21</v>
      </c>
      <c r="D3347" t="s">
        <v>42</v>
      </c>
      <c r="E3347" t="s">
        <v>43</v>
      </c>
      <c r="F3347" t="s">
        <v>44</v>
      </c>
      <c r="G3347" t="s">
        <v>27</v>
      </c>
      <c r="H3347" t="s">
        <v>48</v>
      </c>
      <c r="I3347" s="5">
        <v>382</v>
      </c>
      <c r="J3347" s="5">
        <v>269</v>
      </c>
      <c r="K3347" s="5">
        <v>17</v>
      </c>
      <c r="L3347" s="5">
        <v>4</v>
      </c>
      <c r="M3347" s="5">
        <v>4</v>
      </c>
      <c r="N3347" s="7">
        <v>1303.76</v>
      </c>
      <c r="O3347" s="7">
        <f t="shared" si="366"/>
        <v>5215.04</v>
      </c>
      <c r="P3347" s="4">
        <v>0</v>
      </c>
      <c r="Q3347" s="7">
        <f t="shared" si="367"/>
        <v>0</v>
      </c>
      <c r="R3347" s="7">
        <f t="shared" si="368"/>
        <v>5215.04</v>
      </c>
      <c r="S3347" s="7">
        <f t="shared" si="369"/>
        <v>1303.76</v>
      </c>
      <c r="T3347" s="6">
        <f t="shared" si="370"/>
        <v>1.0471204188481676E-2</v>
      </c>
      <c r="V3347" t="s">
        <v>29</v>
      </c>
    </row>
    <row r="3348" spans="1:22">
      <c r="A3348" s="3">
        <v>45797</v>
      </c>
      <c r="B3348" t="str">
        <f t="shared" si="364"/>
        <v>yyyy-05</v>
      </c>
      <c r="C3348">
        <f t="shared" si="365"/>
        <v>21</v>
      </c>
      <c r="D3348" t="s">
        <v>42</v>
      </c>
      <c r="E3348" t="s">
        <v>43</v>
      </c>
      <c r="F3348" t="s">
        <v>46</v>
      </c>
      <c r="G3348" t="s">
        <v>31</v>
      </c>
      <c r="H3348" t="s">
        <v>32</v>
      </c>
      <c r="I3348" s="5">
        <v>532</v>
      </c>
      <c r="J3348" s="5">
        <v>326</v>
      </c>
      <c r="K3348" s="5">
        <v>32</v>
      </c>
      <c r="L3348" s="5">
        <v>7</v>
      </c>
      <c r="M3348" s="5">
        <v>7</v>
      </c>
      <c r="N3348" s="7">
        <v>2121.8200000000002</v>
      </c>
      <c r="O3348" s="7">
        <f t="shared" si="366"/>
        <v>14852.740000000002</v>
      </c>
      <c r="P3348" s="4">
        <v>0</v>
      </c>
      <c r="Q3348" s="7">
        <f t="shared" si="367"/>
        <v>0</v>
      </c>
      <c r="R3348" s="7">
        <f t="shared" si="368"/>
        <v>14852.740000000002</v>
      </c>
      <c r="S3348" s="7">
        <f t="shared" si="369"/>
        <v>2121.8200000000002</v>
      </c>
      <c r="T3348" s="6">
        <f t="shared" si="370"/>
        <v>1.3157894736842105E-2</v>
      </c>
      <c r="V3348" t="s">
        <v>29</v>
      </c>
    </row>
    <row r="3349" spans="1:22">
      <c r="A3349" s="3">
        <v>45797</v>
      </c>
      <c r="B3349" t="str">
        <f t="shared" si="364"/>
        <v>yyyy-05</v>
      </c>
      <c r="C3349">
        <f t="shared" si="365"/>
        <v>21</v>
      </c>
      <c r="D3349" t="s">
        <v>42</v>
      </c>
      <c r="E3349" t="s">
        <v>43</v>
      </c>
      <c r="F3349" t="s">
        <v>47</v>
      </c>
      <c r="G3349" t="s">
        <v>31</v>
      </c>
      <c r="H3349" t="s">
        <v>32</v>
      </c>
      <c r="I3349" s="5">
        <v>644</v>
      </c>
      <c r="J3349" s="5">
        <v>426</v>
      </c>
      <c r="K3349" s="5">
        <v>43</v>
      </c>
      <c r="L3349" s="5">
        <v>11</v>
      </c>
      <c r="M3349" s="5">
        <v>11</v>
      </c>
      <c r="N3349" s="7">
        <v>606.41999999999996</v>
      </c>
      <c r="O3349" s="7">
        <f t="shared" si="366"/>
        <v>6670.62</v>
      </c>
      <c r="P3349" s="4">
        <v>0.03</v>
      </c>
      <c r="Q3349" s="7">
        <f t="shared" si="367"/>
        <v>200.11859999999999</v>
      </c>
      <c r="R3349" s="7">
        <f t="shared" si="368"/>
        <v>6470.5014000000001</v>
      </c>
      <c r="S3349" s="7">
        <f t="shared" si="369"/>
        <v>588.22739999999999</v>
      </c>
      <c r="T3349" s="6">
        <f t="shared" si="370"/>
        <v>1.7080745341614908E-2</v>
      </c>
      <c r="V3349" t="s">
        <v>29</v>
      </c>
    </row>
    <row r="3350" spans="1:22">
      <c r="A3350" s="3">
        <v>45797</v>
      </c>
      <c r="B3350" t="str">
        <f t="shared" si="364"/>
        <v>yyyy-05</v>
      </c>
      <c r="C3350">
        <f t="shared" si="365"/>
        <v>21</v>
      </c>
      <c r="D3350" t="s">
        <v>42</v>
      </c>
      <c r="E3350" t="s">
        <v>49</v>
      </c>
      <c r="F3350" t="s">
        <v>50</v>
      </c>
      <c r="G3350" t="s">
        <v>27</v>
      </c>
      <c r="H3350" t="s">
        <v>28</v>
      </c>
      <c r="I3350" s="5">
        <v>212</v>
      </c>
      <c r="J3350" s="5">
        <v>154</v>
      </c>
      <c r="K3350" s="5">
        <v>18</v>
      </c>
      <c r="L3350" s="5">
        <v>4</v>
      </c>
      <c r="M3350" s="5">
        <v>4</v>
      </c>
      <c r="N3350" s="7">
        <v>1017.19</v>
      </c>
      <c r="O3350" s="7">
        <f t="shared" si="366"/>
        <v>4068.76</v>
      </c>
      <c r="P3350" s="4">
        <v>0.05</v>
      </c>
      <c r="Q3350" s="7">
        <f t="shared" si="367"/>
        <v>203.43800000000002</v>
      </c>
      <c r="R3350" s="7">
        <f t="shared" si="368"/>
        <v>3865.3220000000001</v>
      </c>
      <c r="S3350" s="7">
        <f t="shared" si="369"/>
        <v>966.33050000000003</v>
      </c>
      <c r="T3350" s="6">
        <f t="shared" si="370"/>
        <v>1.8867924528301886E-2</v>
      </c>
      <c r="V3350" t="s">
        <v>29</v>
      </c>
    </row>
    <row r="3351" spans="1:22">
      <c r="A3351" s="3">
        <v>45797</v>
      </c>
      <c r="B3351" t="str">
        <f t="shared" si="364"/>
        <v>yyyy-05</v>
      </c>
      <c r="C3351">
        <f t="shared" si="365"/>
        <v>21</v>
      </c>
      <c r="D3351" t="s">
        <v>42</v>
      </c>
      <c r="E3351" t="s">
        <v>51</v>
      </c>
      <c r="F3351" t="s">
        <v>52</v>
      </c>
      <c r="G3351" t="s">
        <v>31</v>
      </c>
      <c r="H3351" t="s">
        <v>32</v>
      </c>
      <c r="I3351" s="5">
        <v>279</v>
      </c>
      <c r="J3351" s="5">
        <v>193</v>
      </c>
      <c r="K3351" s="5">
        <v>21</v>
      </c>
      <c r="L3351" s="5">
        <v>5</v>
      </c>
      <c r="M3351" s="5">
        <v>5</v>
      </c>
      <c r="N3351" s="7">
        <v>577.07000000000005</v>
      </c>
      <c r="O3351" s="7">
        <f t="shared" si="366"/>
        <v>2885.3500000000004</v>
      </c>
      <c r="P3351" s="4">
        <v>0</v>
      </c>
      <c r="Q3351" s="7">
        <f t="shared" si="367"/>
        <v>0</v>
      </c>
      <c r="R3351" s="7">
        <f t="shared" si="368"/>
        <v>2885.3500000000004</v>
      </c>
      <c r="S3351" s="7">
        <f t="shared" si="369"/>
        <v>577.07000000000005</v>
      </c>
      <c r="T3351" s="6">
        <f t="shared" si="370"/>
        <v>1.7921146953405017E-2</v>
      </c>
      <c r="V3351" t="s">
        <v>29</v>
      </c>
    </row>
    <row r="3352" spans="1:22">
      <c r="A3352" s="3">
        <v>45797</v>
      </c>
      <c r="B3352" t="str">
        <f t="shared" si="364"/>
        <v>yyyy-05</v>
      </c>
      <c r="C3352">
        <f t="shared" si="365"/>
        <v>21</v>
      </c>
      <c r="D3352" t="s">
        <v>53</v>
      </c>
      <c r="E3352" t="s">
        <v>54</v>
      </c>
      <c r="F3352" t="s">
        <v>55</v>
      </c>
      <c r="G3352" t="s">
        <v>27</v>
      </c>
      <c r="H3352" t="s">
        <v>28</v>
      </c>
      <c r="I3352" s="5">
        <v>127</v>
      </c>
      <c r="J3352" s="5">
        <v>79</v>
      </c>
      <c r="K3352" s="5">
        <v>5</v>
      </c>
      <c r="L3352" s="5">
        <v>1</v>
      </c>
      <c r="M3352" s="5">
        <v>1</v>
      </c>
      <c r="N3352" s="7">
        <v>1305.57</v>
      </c>
      <c r="O3352" s="7">
        <f t="shared" si="366"/>
        <v>1305.57</v>
      </c>
      <c r="P3352" s="4">
        <v>0</v>
      </c>
      <c r="Q3352" s="7">
        <f t="shared" si="367"/>
        <v>0</v>
      </c>
      <c r="R3352" s="7">
        <f t="shared" si="368"/>
        <v>1305.57</v>
      </c>
      <c r="S3352" s="7">
        <f t="shared" si="369"/>
        <v>1305.57</v>
      </c>
      <c r="T3352" s="6">
        <f t="shared" si="370"/>
        <v>7.874015748031496E-3</v>
      </c>
      <c r="V3352" t="s">
        <v>29</v>
      </c>
    </row>
    <row r="3353" spans="1:22">
      <c r="A3353" s="3">
        <v>45797</v>
      </c>
      <c r="B3353" t="str">
        <f t="shared" si="364"/>
        <v>yyyy-05</v>
      </c>
      <c r="C3353">
        <f t="shared" si="365"/>
        <v>21</v>
      </c>
      <c r="D3353" t="s">
        <v>53</v>
      </c>
      <c r="E3353" t="s">
        <v>56</v>
      </c>
      <c r="F3353" t="s">
        <v>57</v>
      </c>
      <c r="G3353" t="s">
        <v>27</v>
      </c>
      <c r="H3353" t="s">
        <v>45</v>
      </c>
      <c r="I3353" s="5">
        <v>186</v>
      </c>
      <c r="J3353" s="5">
        <v>106</v>
      </c>
      <c r="K3353" s="5">
        <v>10</v>
      </c>
      <c r="L3353" s="5">
        <v>2</v>
      </c>
      <c r="M3353" s="5">
        <v>2</v>
      </c>
      <c r="N3353" s="7">
        <v>737.42</v>
      </c>
      <c r="O3353" s="7">
        <f t="shared" si="366"/>
        <v>1474.84</v>
      </c>
      <c r="P3353" s="4">
        <v>0.03</v>
      </c>
      <c r="Q3353" s="7">
        <f t="shared" si="367"/>
        <v>44.245199999999997</v>
      </c>
      <c r="R3353" s="7">
        <f t="shared" si="368"/>
        <v>1430.5947999999999</v>
      </c>
      <c r="S3353" s="7">
        <f t="shared" si="369"/>
        <v>715.29739999999993</v>
      </c>
      <c r="T3353" s="6">
        <f t="shared" si="370"/>
        <v>1.0752688172043012E-2</v>
      </c>
      <c r="V3353" t="s">
        <v>29</v>
      </c>
    </row>
    <row r="3354" spans="1:22">
      <c r="A3354" s="3">
        <v>45797</v>
      </c>
      <c r="B3354" t="str">
        <f t="shared" si="364"/>
        <v>yyyy-05</v>
      </c>
      <c r="C3354">
        <f t="shared" si="365"/>
        <v>21</v>
      </c>
      <c r="D3354" t="s">
        <v>53</v>
      </c>
      <c r="E3354" t="s">
        <v>56</v>
      </c>
      <c r="F3354" t="s">
        <v>58</v>
      </c>
      <c r="G3354" t="s">
        <v>36</v>
      </c>
      <c r="H3354" t="s">
        <v>37</v>
      </c>
      <c r="I3354" s="5">
        <v>239</v>
      </c>
      <c r="J3354" s="5">
        <v>164</v>
      </c>
      <c r="K3354" s="5">
        <v>9</v>
      </c>
      <c r="L3354" s="5">
        <v>2</v>
      </c>
      <c r="M3354" s="5">
        <v>2</v>
      </c>
      <c r="N3354" s="7">
        <v>916.59</v>
      </c>
      <c r="O3354" s="7">
        <f t="shared" si="366"/>
        <v>1833.18</v>
      </c>
      <c r="P3354" s="4">
        <v>0.05</v>
      </c>
      <c r="Q3354" s="7">
        <f t="shared" si="367"/>
        <v>91.659000000000006</v>
      </c>
      <c r="R3354" s="7">
        <f t="shared" si="368"/>
        <v>1741.521</v>
      </c>
      <c r="S3354" s="7">
        <f t="shared" si="369"/>
        <v>870.76049999999998</v>
      </c>
      <c r="T3354" s="6">
        <f t="shared" si="370"/>
        <v>8.368200836820083E-3</v>
      </c>
      <c r="V3354" t="s">
        <v>78</v>
      </c>
    </row>
    <row r="3355" spans="1:22">
      <c r="A3355" s="3">
        <v>45797</v>
      </c>
      <c r="B3355" t="str">
        <f t="shared" si="364"/>
        <v>yyyy-05</v>
      </c>
      <c r="C3355">
        <f t="shared" si="365"/>
        <v>21</v>
      </c>
      <c r="D3355" t="s">
        <v>53</v>
      </c>
      <c r="E3355" t="s">
        <v>59</v>
      </c>
      <c r="F3355" t="s">
        <v>60</v>
      </c>
      <c r="G3355" t="s">
        <v>27</v>
      </c>
      <c r="H3355" t="s">
        <v>48</v>
      </c>
      <c r="I3355" s="5">
        <v>109</v>
      </c>
      <c r="J3355" s="5">
        <v>70</v>
      </c>
      <c r="K3355" s="5">
        <v>8</v>
      </c>
      <c r="L3355" s="5">
        <v>1</v>
      </c>
      <c r="M3355" s="5">
        <v>1</v>
      </c>
      <c r="N3355" s="7">
        <v>703.27</v>
      </c>
      <c r="O3355" s="7">
        <f t="shared" si="366"/>
        <v>703.27</v>
      </c>
      <c r="P3355" s="4">
        <v>0.05</v>
      </c>
      <c r="Q3355" s="7">
        <f t="shared" si="367"/>
        <v>35.163499999999999</v>
      </c>
      <c r="R3355" s="7">
        <f t="shared" si="368"/>
        <v>668.10649999999998</v>
      </c>
      <c r="S3355" s="7">
        <f t="shared" si="369"/>
        <v>668.10649999999998</v>
      </c>
      <c r="T3355" s="6">
        <f t="shared" si="370"/>
        <v>9.1743119266055051E-3</v>
      </c>
      <c r="V3355" t="s">
        <v>29</v>
      </c>
    </row>
    <row r="3356" spans="1:22">
      <c r="A3356" s="3">
        <v>45797</v>
      </c>
      <c r="B3356" t="str">
        <f t="shared" si="364"/>
        <v>yyyy-05</v>
      </c>
      <c r="C3356">
        <f t="shared" si="365"/>
        <v>21</v>
      </c>
      <c r="D3356" t="s">
        <v>53</v>
      </c>
      <c r="E3356" t="s">
        <v>61</v>
      </c>
      <c r="F3356" t="s">
        <v>62</v>
      </c>
      <c r="G3356" t="s">
        <v>31</v>
      </c>
      <c r="H3356" t="s">
        <v>32</v>
      </c>
      <c r="I3356" s="5">
        <v>222</v>
      </c>
      <c r="J3356" s="5">
        <v>183</v>
      </c>
      <c r="K3356" s="5">
        <v>18</v>
      </c>
      <c r="L3356" s="5">
        <v>2</v>
      </c>
      <c r="M3356" s="5">
        <v>2</v>
      </c>
      <c r="N3356" s="7">
        <v>504.27</v>
      </c>
      <c r="O3356" s="7">
        <f t="shared" si="366"/>
        <v>1008.54</v>
      </c>
      <c r="P3356" s="4">
        <v>0</v>
      </c>
      <c r="Q3356" s="7">
        <f t="shared" si="367"/>
        <v>0</v>
      </c>
      <c r="R3356" s="7">
        <f t="shared" si="368"/>
        <v>1008.54</v>
      </c>
      <c r="S3356" s="7">
        <f t="shared" si="369"/>
        <v>504.27</v>
      </c>
      <c r="T3356" s="6">
        <f t="shared" si="370"/>
        <v>9.0090090090090089E-3</v>
      </c>
      <c r="V3356" t="s">
        <v>29</v>
      </c>
    </row>
    <row r="3357" spans="1:22">
      <c r="A3357" s="3">
        <v>45797</v>
      </c>
      <c r="B3357" t="str">
        <f t="shared" si="364"/>
        <v>yyyy-05</v>
      </c>
      <c r="C3357">
        <f t="shared" si="365"/>
        <v>21</v>
      </c>
      <c r="D3357" t="s">
        <v>53</v>
      </c>
      <c r="E3357" t="s">
        <v>64</v>
      </c>
      <c r="F3357" t="s">
        <v>65</v>
      </c>
      <c r="G3357" t="s">
        <v>31</v>
      </c>
      <c r="H3357" t="s">
        <v>32</v>
      </c>
      <c r="I3357" s="5">
        <v>269</v>
      </c>
      <c r="J3357" s="5">
        <v>144</v>
      </c>
      <c r="K3357" s="5">
        <v>13</v>
      </c>
      <c r="L3357" s="5">
        <v>3</v>
      </c>
      <c r="M3357" s="5">
        <v>3</v>
      </c>
      <c r="N3357" s="7">
        <v>801.25</v>
      </c>
      <c r="O3357" s="7">
        <f t="shared" si="366"/>
        <v>2403.75</v>
      </c>
      <c r="P3357" s="4">
        <v>0.12</v>
      </c>
      <c r="Q3357" s="7">
        <f t="shared" si="367"/>
        <v>288.45</v>
      </c>
      <c r="R3357" s="7">
        <f t="shared" si="368"/>
        <v>2115.3000000000002</v>
      </c>
      <c r="S3357" s="7">
        <f t="shared" si="369"/>
        <v>705.1</v>
      </c>
      <c r="T3357" s="6">
        <f t="shared" si="370"/>
        <v>1.1152416356877323E-2</v>
      </c>
      <c r="U3357" t="s">
        <v>97</v>
      </c>
      <c r="V3357" t="s">
        <v>78</v>
      </c>
    </row>
    <row r="3358" spans="1:22">
      <c r="A3358" s="3">
        <v>45797</v>
      </c>
      <c r="B3358" t="str">
        <f t="shared" si="364"/>
        <v>yyyy-05</v>
      </c>
      <c r="C3358">
        <f t="shared" si="365"/>
        <v>21</v>
      </c>
      <c r="D3358" t="s">
        <v>66</v>
      </c>
      <c r="E3358" t="s">
        <v>67</v>
      </c>
      <c r="F3358" t="s">
        <v>68</v>
      </c>
      <c r="G3358" t="s">
        <v>27</v>
      </c>
      <c r="H3358" t="s">
        <v>45</v>
      </c>
      <c r="I3358" s="5">
        <v>422</v>
      </c>
      <c r="J3358" s="5">
        <v>224</v>
      </c>
      <c r="K3358" s="5">
        <v>39</v>
      </c>
      <c r="L3358" s="5">
        <v>9</v>
      </c>
      <c r="M3358" s="5">
        <v>9</v>
      </c>
      <c r="N3358" s="7">
        <v>694.97</v>
      </c>
      <c r="O3358" s="7">
        <f t="shared" si="366"/>
        <v>6254.7300000000005</v>
      </c>
      <c r="P3358" s="4">
        <v>0.03</v>
      </c>
      <c r="Q3358" s="7">
        <f t="shared" si="367"/>
        <v>187.64190000000002</v>
      </c>
      <c r="R3358" s="7">
        <f t="shared" si="368"/>
        <v>6067.0881000000008</v>
      </c>
      <c r="S3358" s="7">
        <f t="shared" si="369"/>
        <v>674.12090000000012</v>
      </c>
      <c r="T3358" s="6">
        <f t="shared" si="370"/>
        <v>2.132701421800948E-2</v>
      </c>
      <c r="V3358" t="s">
        <v>29</v>
      </c>
    </row>
    <row r="3359" spans="1:22">
      <c r="A3359" s="3">
        <v>45797</v>
      </c>
      <c r="B3359" t="str">
        <f t="shared" si="364"/>
        <v>yyyy-05</v>
      </c>
      <c r="C3359">
        <f t="shared" si="365"/>
        <v>21</v>
      </c>
      <c r="D3359" t="s">
        <v>66</v>
      </c>
      <c r="E3359" t="s">
        <v>67</v>
      </c>
      <c r="F3359" t="s">
        <v>69</v>
      </c>
      <c r="G3359" t="s">
        <v>27</v>
      </c>
      <c r="H3359" t="s">
        <v>48</v>
      </c>
      <c r="I3359" s="5">
        <v>246</v>
      </c>
      <c r="J3359" s="5">
        <v>179</v>
      </c>
      <c r="K3359" s="5">
        <v>17</v>
      </c>
      <c r="L3359" s="5">
        <v>5</v>
      </c>
      <c r="M3359" s="5">
        <v>5</v>
      </c>
      <c r="N3359" s="7">
        <v>393.58</v>
      </c>
      <c r="O3359" s="7">
        <f t="shared" si="366"/>
        <v>1967.8999999999999</v>
      </c>
      <c r="P3359" s="4">
        <v>0.03</v>
      </c>
      <c r="Q3359" s="7">
        <f t="shared" si="367"/>
        <v>59.036999999999992</v>
      </c>
      <c r="R3359" s="7">
        <f t="shared" si="368"/>
        <v>1908.8629999999998</v>
      </c>
      <c r="S3359" s="7">
        <f t="shared" si="369"/>
        <v>381.77259999999995</v>
      </c>
      <c r="T3359" s="6">
        <f t="shared" si="370"/>
        <v>2.032520325203252E-2</v>
      </c>
      <c r="V3359" t="s">
        <v>29</v>
      </c>
    </row>
    <row r="3360" spans="1:22">
      <c r="A3360" s="3">
        <v>45797</v>
      </c>
      <c r="B3360" t="str">
        <f t="shared" si="364"/>
        <v>yyyy-05</v>
      </c>
      <c r="C3360">
        <f t="shared" si="365"/>
        <v>21</v>
      </c>
      <c r="D3360" t="s">
        <v>66</v>
      </c>
      <c r="E3360" t="s">
        <v>67</v>
      </c>
      <c r="F3360" t="s">
        <v>70</v>
      </c>
      <c r="G3360" t="s">
        <v>36</v>
      </c>
      <c r="H3360" t="s">
        <v>37</v>
      </c>
      <c r="I3360" s="5">
        <v>430</v>
      </c>
      <c r="J3360" s="5">
        <v>278</v>
      </c>
      <c r="K3360" s="5">
        <v>21</v>
      </c>
      <c r="L3360" s="5">
        <v>6</v>
      </c>
      <c r="M3360" s="5">
        <v>6</v>
      </c>
      <c r="N3360" s="7">
        <v>353.12</v>
      </c>
      <c r="O3360" s="7">
        <f t="shared" si="366"/>
        <v>2118.7200000000003</v>
      </c>
      <c r="P3360" s="4">
        <v>0.05</v>
      </c>
      <c r="Q3360" s="7">
        <f t="shared" si="367"/>
        <v>105.93600000000002</v>
      </c>
      <c r="R3360" s="7">
        <f t="shared" si="368"/>
        <v>2012.7840000000003</v>
      </c>
      <c r="S3360" s="7">
        <f t="shared" si="369"/>
        <v>335.46400000000006</v>
      </c>
      <c r="T3360" s="6">
        <f t="shared" si="370"/>
        <v>1.3953488372093023E-2</v>
      </c>
      <c r="V3360" t="s">
        <v>29</v>
      </c>
    </row>
    <row r="3361" spans="1:22">
      <c r="A3361" s="3">
        <v>45797</v>
      </c>
      <c r="B3361" t="str">
        <f t="shared" si="364"/>
        <v>yyyy-05</v>
      </c>
      <c r="C3361">
        <f t="shared" si="365"/>
        <v>21</v>
      </c>
      <c r="D3361" t="s">
        <v>66</v>
      </c>
      <c r="E3361" t="s">
        <v>71</v>
      </c>
      <c r="F3361" t="s">
        <v>72</v>
      </c>
      <c r="G3361" t="s">
        <v>27</v>
      </c>
      <c r="H3361" t="s">
        <v>45</v>
      </c>
      <c r="I3361" s="5">
        <v>356</v>
      </c>
      <c r="J3361" s="5">
        <v>224</v>
      </c>
      <c r="K3361" s="5">
        <v>26</v>
      </c>
      <c r="L3361" s="5">
        <v>6</v>
      </c>
      <c r="M3361" s="5">
        <v>7</v>
      </c>
      <c r="N3361" s="7">
        <v>127.3</v>
      </c>
      <c r="O3361" s="7">
        <f t="shared" si="366"/>
        <v>891.1</v>
      </c>
      <c r="P3361" s="4">
        <v>0</v>
      </c>
      <c r="Q3361" s="7">
        <f t="shared" si="367"/>
        <v>0</v>
      </c>
      <c r="R3361" s="7">
        <f t="shared" si="368"/>
        <v>891.1</v>
      </c>
      <c r="S3361" s="7">
        <f t="shared" si="369"/>
        <v>148.51666666666668</v>
      </c>
      <c r="T3361" s="6">
        <f t="shared" si="370"/>
        <v>1.6853932584269662E-2</v>
      </c>
      <c r="V3361" t="s">
        <v>29</v>
      </c>
    </row>
    <row r="3362" spans="1:22">
      <c r="A3362" s="3">
        <v>45797</v>
      </c>
      <c r="B3362" t="str">
        <f t="shared" si="364"/>
        <v>yyyy-05</v>
      </c>
      <c r="C3362">
        <f t="shared" si="365"/>
        <v>21</v>
      </c>
      <c r="D3362" t="s">
        <v>66</v>
      </c>
      <c r="E3362" t="s">
        <v>73</v>
      </c>
      <c r="F3362" t="s">
        <v>74</v>
      </c>
      <c r="G3362" t="s">
        <v>27</v>
      </c>
      <c r="H3362" t="s">
        <v>28</v>
      </c>
      <c r="I3362" s="5">
        <v>257</v>
      </c>
      <c r="J3362" s="5">
        <v>161</v>
      </c>
      <c r="K3362" s="5">
        <v>27</v>
      </c>
      <c r="L3362" s="5">
        <v>6</v>
      </c>
      <c r="M3362" s="5">
        <v>6</v>
      </c>
      <c r="N3362" s="7">
        <v>1175.06</v>
      </c>
      <c r="O3362" s="7">
        <f t="shared" si="366"/>
        <v>7050.36</v>
      </c>
      <c r="P3362" s="4">
        <v>0</v>
      </c>
      <c r="Q3362" s="7">
        <f t="shared" si="367"/>
        <v>0</v>
      </c>
      <c r="R3362" s="7">
        <f t="shared" si="368"/>
        <v>7050.36</v>
      </c>
      <c r="S3362" s="7">
        <f t="shared" si="369"/>
        <v>1175.06</v>
      </c>
      <c r="T3362" s="6">
        <f t="shared" si="370"/>
        <v>2.3346303501945526E-2</v>
      </c>
      <c r="V3362" t="s">
        <v>29</v>
      </c>
    </row>
    <row r="3363" spans="1:22">
      <c r="A3363" s="3">
        <v>45797</v>
      </c>
      <c r="B3363" t="str">
        <f t="shared" si="364"/>
        <v>yyyy-05</v>
      </c>
      <c r="C3363">
        <f t="shared" si="365"/>
        <v>21</v>
      </c>
      <c r="D3363" t="s">
        <v>66</v>
      </c>
      <c r="E3363" t="s">
        <v>71</v>
      </c>
      <c r="F3363" t="s">
        <v>75</v>
      </c>
      <c r="G3363" t="s">
        <v>31</v>
      </c>
      <c r="H3363" t="s">
        <v>32</v>
      </c>
      <c r="I3363" s="5">
        <v>384</v>
      </c>
      <c r="J3363" s="5">
        <v>272</v>
      </c>
      <c r="K3363" s="5">
        <v>15</v>
      </c>
      <c r="L3363" s="5">
        <v>7</v>
      </c>
      <c r="M3363" s="5">
        <v>9</v>
      </c>
      <c r="N3363" s="7">
        <v>38.99</v>
      </c>
      <c r="O3363" s="7">
        <f t="shared" si="366"/>
        <v>350.91</v>
      </c>
      <c r="P3363" s="4">
        <v>0</v>
      </c>
      <c r="Q3363" s="7">
        <f t="shared" si="367"/>
        <v>0</v>
      </c>
      <c r="R3363" s="7">
        <f t="shared" si="368"/>
        <v>350.91</v>
      </c>
      <c r="S3363" s="7">
        <f t="shared" si="369"/>
        <v>50.13</v>
      </c>
      <c r="T3363" s="6">
        <f t="shared" si="370"/>
        <v>1.8229166666666668E-2</v>
      </c>
      <c r="V3363" t="s">
        <v>78</v>
      </c>
    </row>
    <row r="3364" spans="1:22">
      <c r="A3364" s="3">
        <v>45797</v>
      </c>
      <c r="B3364" t="str">
        <f t="shared" si="364"/>
        <v>yyyy-05</v>
      </c>
      <c r="C3364">
        <f t="shared" si="365"/>
        <v>21</v>
      </c>
      <c r="D3364" t="s">
        <v>24</v>
      </c>
      <c r="E3364" t="s">
        <v>76</v>
      </c>
      <c r="F3364" t="s">
        <v>77</v>
      </c>
      <c r="G3364" t="s">
        <v>27</v>
      </c>
      <c r="H3364" t="s">
        <v>48</v>
      </c>
      <c r="I3364" s="5">
        <v>488</v>
      </c>
      <c r="J3364" s="5">
        <v>397</v>
      </c>
      <c r="K3364" s="5">
        <v>37</v>
      </c>
      <c r="L3364" s="5">
        <v>11</v>
      </c>
      <c r="M3364" s="5">
        <v>14</v>
      </c>
      <c r="N3364" s="7">
        <v>199.59</v>
      </c>
      <c r="O3364" s="7">
        <f t="shared" si="366"/>
        <v>2794.26</v>
      </c>
      <c r="P3364" s="4">
        <v>0.1</v>
      </c>
      <c r="Q3364" s="7">
        <f t="shared" si="367"/>
        <v>279.42600000000004</v>
      </c>
      <c r="R3364" s="7">
        <f t="shared" si="368"/>
        <v>2514.8340000000003</v>
      </c>
      <c r="S3364" s="7">
        <f t="shared" si="369"/>
        <v>228.62127272727275</v>
      </c>
      <c r="T3364" s="6">
        <f t="shared" si="370"/>
        <v>2.2540983606557378E-2</v>
      </c>
      <c r="U3364" t="s">
        <v>98</v>
      </c>
      <c r="V3364" t="s">
        <v>29</v>
      </c>
    </row>
    <row r="3365" spans="1:22">
      <c r="A3365" s="3">
        <v>45798</v>
      </c>
      <c r="B3365" t="str">
        <f t="shared" si="364"/>
        <v>yyyy-05</v>
      </c>
      <c r="C3365">
        <f t="shared" si="365"/>
        <v>21</v>
      </c>
      <c r="D3365" t="s">
        <v>24</v>
      </c>
      <c r="E3365" t="s">
        <v>25</v>
      </c>
      <c r="F3365" t="s">
        <v>26</v>
      </c>
      <c r="G3365" t="s">
        <v>31</v>
      </c>
      <c r="H3365" t="s">
        <v>32</v>
      </c>
      <c r="I3365" s="5">
        <v>2175</v>
      </c>
      <c r="J3365" s="5">
        <v>1157</v>
      </c>
      <c r="K3365" s="5">
        <v>126</v>
      </c>
      <c r="L3365" s="5">
        <v>42</v>
      </c>
      <c r="M3365" s="5">
        <v>42</v>
      </c>
      <c r="N3365" s="7">
        <v>979.59</v>
      </c>
      <c r="O3365" s="7">
        <f t="shared" si="366"/>
        <v>41142.78</v>
      </c>
      <c r="P3365" s="4">
        <v>0</v>
      </c>
      <c r="Q3365" s="7">
        <f t="shared" si="367"/>
        <v>0</v>
      </c>
      <c r="R3365" s="7">
        <f t="shared" si="368"/>
        <v>41142.78</v>
      </c>
      <c r="S3365" s="7">
        <f t="shared" si="369"/>
        <v>979.58999999999992</v>
      </c>
      <c r="T3365" s="6">
        <f t="shared" si="370"/>
        <v>1.9310344827586208E-2</v>
      </c>
      <c r="V3365" t="s">
        <v>29</v>
      </c>
    </row>
    <row r="3366" spans="1:22">
      <c r="A3366" s="3">
        <v>45798</v>
      </c>
      <c r="B3366" t="str">
        <f t="shared" si="364"/>
        <v>yyyy-05</v>
      </c>
      <c r="C3366">
        <f t="shared" si="365"/>
        <v>21</v>
      </c>
      <c r="D3366" t="s">
        <v>24</v>
      </c>
      <c r="E3366" t="s">
        <v>25</v>
      </c>
      <c r="F3366" t="s">
        <v>30</v>
      </c>
      <c r="G3366" t="s">
        <v>27</v>
      </c>
      <c r="H3366" t="s">
        <v>28</v>
      </c>
      <c r="I3366" s="5">
        <v>1259</v>
      </c>
      <c r="J3366" s="5">
        <v>945</v>
      </c>
      <c r="K3366" s="5">
        <v>91</v>
      </c>
      <c r="L3366" s="5">
        <v>24</v>
      </c>
      <c r="M3366" s="5">
        <v>24</v>
      </c>
      <c r="N3366" s="7">
        <v>387.83</v>
      </c>
      <c r="O3366" s="7">
        <f t="shared" si="366"/>
        <v>9307.92</v>
      </c>
      <c r="P3366" s="4">
        <v>0</v>
      </c>
      <c r="Q3366" s="7">
        <f t="shared" si="367"/>
        <v>0</v>
      </c>
      <c r="R3366" s="7">
        <f t="shared" si="368"/>
        <v>9307.92</v>
      </c>
      <c r="S3366" s="7">
        <f t="shared" si="369"/>
        <v>387.83</v>
      </c>
      <c r="T3366" s="6">
        <f t="shared" si="370"/>
        <v>1.9062748212867357E-2</v>
      </c>
      <c r="V3366" t="s">
        <v>29</v>
      </c>
    </row>
    <row r="3367" spans="1:22">
      <c r="A3367" s="3">
        <v>45798</v>
      </c>
      <c r="B3367" t="str">
        <f t="shared" si="364"/>
        <v>yyyy-05</v>
      </c>
      <c r="C3367">
        <f t="shared" si="365"/>
        <v>21</v>
      </c>
      <c r="D3367" t="s">
        <v>24</v>
      </c>
      <c r="E3367" t="s">
        <v>25</v>
      </c>
      <c r="F3367" t="s">
        <v>33</v>
      </c>
      <c r="G3367" t="s">
        <v>27</v>
      </c>
      <c r="H3367" t="s">
        <v>45</v>
      </c>
      <c r="I3367" s="5">
        <v>1841</v>
      </c>
      <c r="J3367" s="5">
        <v>1161</v>
      </c>
      <c r="K3367" s="5">
        <v>118</v>
      </c>
      <c r="L3367" s="5">
        <v>45</v>
      </c>
      <c r="M3367" s="5">
        <v>45</v>
      </c>
      <c r="N3367" s="7">
        <v>1809.84</v>
      </c>
      <c r="O3367" s="7">
        <f t="shared" si="366"/>
        <v>81442.8</v>
      </c>
      <c r="P3367" s="4">
        <v>0.03</v>
      </c>
      <c r="Q3367" s="7">
        <f t="shared" si="367"/>
        <v>2443.2840000000001</v>
      </c>
      <c r="R3367" s="7">
        <f t="shared" si="368"/>
        <v>78999.516000000003</v>
      </c>
      <c r="S3367" s="7">
        <f t="shared" si="369"/>
        <v>1755.5448000000001</v>
      </c>
      <c r="T3367" s="6">
        <f t="shared" si="370"/>
        <v>2.4443237370994023E-2</v>
      </c>
      <c r="V3367" t="s">
        <v>29</v>
      </c>
    </row>
    <row r="3368" spans="1:22">
      <c r="A3368" s="3">
        <v>45798</v>
      </c>
      <c r="B3368" t="str">
        <f t="shared" si="364"/>
        <v>yyyy-05</v>
      </c>
      <c r="C3368">
        <f t="shared" si="365"/>
        <v>21</v>
      </c>
      <c r="D3368" t="s">
        <v>24</v>
      </c>
      <c r="E3368" t="s">
        <v>34</v>
      </c>
      <c r="F3368" t="s">
        <v>35</v>
      </c>
      <c r="G3368" t="s">
        <v>27</v>
      </c>
      <c r="H3368" t="s">
        <v>28</v>
      </c>
      <c r="I3368" s="5">
        <v>1080</v>
      </c>
      <c r="J3368" s="5">
        <v>726</v>
      </c>
      <c r="K3368" s="5">
        <v>95</v>
      </c>
      <c r="L3368" s="5">
        <v>19</v>
      </c>
      <c r="M3368" s="5">
        <v>19</v>
      </c>
      <c r="N3368" s="7">
        <v>891.78</v>
      </c>
      <c r="O3368" s="7">
        <f t="shared" si="366"/>
        <v>16943.82</v>
      </c>
      <c r="P3368" s="4">
        <v>0</v>
      </c>
      <c r="Q3368" s="7">
        <f t="shared" si="367"/>
        <v>0</v>
      </c>
      <c r="R3368" s="7">
        <f t="shared" si="368"/>
        <v>16943.82</v>
      </c>
      <c r="S3368" s="7">
        <f t="shared" si="369"/>
        <v>891.78</v>
      </c>
      <c r="T3368" s="6">
        <f t="shared" si="370"/>
        <v>1.7592592592592594E-2</v>
      </c>
      <c r="V3368" t="s">
        <v>29</v>
      </c>
    </row>
    <row r="3369" spans="1:22">
      <c r="A3369" s="3">
        <v>45798</v>
      </c>
      <c r="B3369" t="str">
        <f t="shared" si="364"/>
        <v>yyyy-05</v>
      </c>
      <c r="C3369">
        <f t="shared" si="365"/>
        <v>21</v>
      </c>
      <c r="D3369" t="s">
        <v>24</v>
      </c>
      <c r="E3369" t="s">
        <v>38</v>
      </c>
      <c r="F3369" t="s">
        <v>39</v>
      </c>
      <c r="G3369" t="s">
        <v>36</v>
      </c>
      <c r="H3369" t="s">
        <v>37</v>
      </c>
      <c r="I3369" s="5">
        <v>1126</v>
      </c>
      <c r="J3369" s="5">
        <v>747</v>
      </c>
      <c r="K3369" s="5">
        <v>126</v>
      </c>
      <c r="L3369" s="5">
        <v>28</v>
      </c>
      <c r="M3369" s="5">
        <v>28</v>
      </c>
      <c r="N3369" s="7">
        <v>325.66000000000003</v>
      </c>
      <c r="O3369" s="7">
        <f t="shared" si="366"/>
        <v>9118.4800000000014</v>
      </c>
      <c r="P3369" s="4">
        <v>0</v>
      </c>
      <c r="Q3369" s="7">
        <f t="shared" si="367"/>
        <v>0</v>
      </c>
      <c r="R3369" s="7">
        <f t="shared" si="368"/>
        <v>9118.4800000000014</v>
      </c>
      <c r="S3369" s="7">
        <f t="shared" si="369"/>
        <v>325.66000000000003</v>
      </c>
      <c r="T3369" s="6">
        <f t="shared" si="370"/>
        <v>2.4866785079928951E-2</v>
      </c>
      <c r="V3369" t="s">
        <v>29</v>
      </c>
    </row>
    <row r="3370" spans="1:22">
      <c r="A3370" s="3">
        <v>45798</v>
      </c>
      <c r="B3370" t="str">
        <f t="shared" si="364"/>
        <v>yyyy-05</v>
      </c>
      <c r="C3370">
        <f t="shared" si="365"/>
        <v>21</v>
      </c>
      <c r="D3370" t="s">
        <v>24</v>
      </c>
      <c r="E3370" t="s">
        <v>40</v>
      </c>
      <c r="F3370" t="s">
        <v>41</v>
      </c>
      <c r="G3370" t="s">
        <v>31</v>
      </c>
      <c r="H3370" t="s">
        <v>32</v>
      </c>
      <c r="I3370" s="5">
        <v>859</v>
      </c>
      <c r="J3370" s="5">
        <v>502</v>
      </c>
      <c r="K3370" s="5">
        <v>58</v>
      </c>
      <c r="L3370" s="5">
        <v>13</v>
      </c>
      <c r="M3370" s="5">
        <v>17</v>
      </c>
      <c r="N3370" s="7">
        <v>179.72</v>
      </c>
      <c r="O3370" s="7">
        <f t="shared" si="366"/>
        <v>3055.24</v>
      </c>
      <c r="P3370" s="4">
        <v>0</v>
      </c>
      <c r="Q3370" s="7">
        <f t="shared" si="367"/>
        <v>0</v>
      </c>
      <c r="R3370" s="7">
        <f t="shared" si="368"/>
        <v>3055.24</v>
      </c>
      <c r="S3370" s="7">
        <f t="shared" si="369"/>
        <v>235.01846153846151</v>
      </c>
      <c r="T3370" s="6">
        <f t="shared" si="370"/>
        <v>1.5133876600698487E-2</v>
      </c>
      <c r="V3370" t="s">
        <v>29</v>
      </c>
    </row>
    <row r="3371" spans="1:22">
      <c r="A3371" s="3">
        <v>45798</v>
      </c>
      <c r="B3371" t="str">
        <f t="shared" si="364"/>
        <v>yyyy-05</v>
      </c>
      <c r="C3371">
        <f t="shared" si="365"/>
        <v>21</v>
      </c>
      <c r="D3371" t="s">
        <v>42</v>
      </c>
      <c r="E3371" t="s">
        <v>43</v>
      </c>
      <c r="F3371" t="s">
        <v>44</v>
      </c>
      <c r="G3371" t="s">
        <v>27</v>
      </c>
      <c r="H3371" t="s">
        <v>45</v>
      </c>
      <c r="I3371" s="5">
        <v>266</v>
      </c>
      <c r="J3371" s="5">
        <v>159</v>
      </c>
      <c r="K3371" s="5">
        <v>4</v>
      </c>
      <c r="L3371" s="5">
        <v>0</v>
      </c>
      <c r="M3371" s="5">
        <v>0</v>
      </c>
      <c r="N3371" s="7">
        <v>1267.8599999999999</v>
      </c>
      <c r="O3371" s="7">
        <f t="shared" si="366"/>
        <v>0</v>
      </c>
      <c r="P3371" s="4">
        <v>0</v>
      </c>
      <c r="Q3371" s="7">
        <f t="shared" si="367"/>
        <v>0</v>
      </c>
      <c r="R3371" s="7">
        <f t="shared" si="368"/>
        <v>0</v>
      </c>
      <c r="S3371" s="7">
        <f t="shared" si="369"/>
        <v>0</v>
      </c>
      <c r="T3371" s="6">
        <f t="shared" si="370"/>
        <v>0</v>
      </c>
      <c r="V3371" t="s">
        <v>81</v>
      </c>
    </row>
    <row r="3372" spans="1:22">
      <c r="A3372" s="3">
        <v>45798</v>
      </c>
      <c r="B3372" t="str">
        <f t="shared" si="364"/>
        <v>yyyy-05</v>
      </c>
      <c r="C3372">
        <f t="shared" si="365"/>
        <v>21</v>
      </c>
      <c r="D3372" t="s">
        <v>42</v>
      </c>
      <c r="E3372" t="s">
        <v>43</v>
      </c>
      <c r="F3372" t="s">
        <v>46</v>
      </c>
      <c r="G3372" t="s">
        <v>31</v>
      </c>
      <c r="H3372" t="s">
        <v>32</v>
      </c>
      <c r="I3372" s="5">
        <v>558</v>
      </c>
      <c r="J3372" s="5">
        <v>399</v>
      </c>
      <c r="K3372" s="5">
        <v>35</v>
      </c>
      <c r="L3372" s="5">
        <v>8</v>
      </c>
      <c r="M3372" s="5">
        <v>8</v>
      </c>
      <c r="N3372" s="7">
        <v>2148.11</v>
      </c>
      <c r="O3372" s="7">
        <f t="shared" si="366"/>
        <v>17184.88</v>
      </c>
      <c r="P3372" s="4">
        <v>0</v>
      </c>
      <c r="Q3372" s="7">
        <f t="shared" si="367"/>
        <v>0</v>
      </c>
      <c r="R3372" s="7">
        <f t="shared" si="368"/>
        <v>17184.88</v>
      </c>
      <c r="S3372" s="7">
        <f t="shared" si="369"/>
        <v>2148.11</v>
      </c>
      <c r="T3372" s="6">
        <f t="shared" si="370"/>
        <v>1.4336917562724014E-2</v>
      </c>
      <c r="V3372" t="s">
        <v>29</v>
      </c>
    </row>
    <row r="3373" spans="1:22">
      <c r="A3373" s="3">
        <v>45798</v>
      </c>
      <c r="B3373" t="str">
        <f t="shared" si="364"/>
        <v>yyyy-05</v>
      </c>
      <c r="C3373">
        <f t="shared" si="365"/>
        <v>21</v>
      </c>
      <c r="D3373" t="s">
        <v>42</v>
      </c>
      <c r="E3373" t="s">
        <v>43</v>
      </c>
      <c r="F3373" t="s">
        <v>47</v>
      </c>
      <c r="G3373" t="s">
        <v>36</v>
      </c>
      <c r="H3373" t="s">
        <v>37</v>
      </c>
      <c r="I3373" s="5">
        <v>471</v>
      </c>
      <c r="J3373" s="5">
        <v>336</v>
      </c>
      <c r="K3373" s="5">
        <v>25</v>
      </c>
      <c r="L3373" s="5">
        <v>5</v>
      </c>
      <c r="M3373" s="5">
        <v>5</v>
      </c>
      <c r="N3373" s="7">
        <v>596.33000000000004</v>
      </c>
      <c r="O3373" s="7">
        <f t="shared" si="366"/>
        <v>2981.65</v>
      </c>
      <c r="P3373" s="4">
        <v>0</v>
      </c>
      <c r="Q3373" s="7">
        <f t="shared" si="367"/>
        <v>0</v>
      </c>
      <c r="R3373" s="7">
        <f t="shared" si="368"/>
        <v>2981.65</v>
      </c>
      <c r="S3373" s="7">
        <f t="shared" si="369"/>
        <v>596.33000000000004</v>
      </c>
      <c r="T3373" s="6">
        <f t="shared" si="370"/>
        <v>1.0615711252653927E-2</v>
      </c>
      <c r="V3373" t="s">
        <v>29</v>
      </c>
    </row>
    <row r="3374" spans="1:22">
      <c r="A3374" s="3">
        <v>45798</v>
      </c>
      <c r="B3374" t="str">
        <f t="shared" si="364"/>
        <v>yyyy-05</v>
      </c>
      <c r="C3374">
        <f t="shared" si="365"/>
        <v>21</v>
      </c>
      <c r="D3374" t="s">
        <v>42</v>
      </c>
      <c r="E3374" t="s">
        <v>49</v>
      </c>
      <c r="F3374" t="s">
        <v>50</v>
      </c>
      <c r="G3374" t="s">
        <v>27</v>
      </c>
      <c r="H3374" t="s">
        <v>45</v>
      </c>
      <c r="I3374" s="5">
        <v>115</v>
      </c>
      <c r="J3374" s="5">
        <v>86</v>
      </c>
      <c r="K3374" s="5">
        <v>10</v>
      </c>
      <c r="L3374" s="5">
        <v>2</v>
      </c>
      <c r="M3374" s="5">
        <v>2</v>
      </c>
      <c r="N3374" s="7">
        <v>993.29</v>
      </c>
      <c r="O3374" s="7">
        <f t="shared" si="366"/>
        <v>1986.58</v>
      </c>
      <c r="P3374" s="4">
        <v>0.05</v>
      </c>
      <c r="Q3374" s="7">
        <f t="shared" si="367"/>
        <v>99.329000000000008</v>
      </c>
      <c r="R3374" s="7">
        <f t="shared" si="368"/>
        <v>1887.251</v>
      </c>
      <c r="S3374" s="7">
        <f t="shared" si="369"/>
        <v>943.62549999999999</v>
      </c>
      <c r="T3374" s="6">
        <f t="shared" si="370"/>
        <v>1.7391304347826087E-2</v>
      </c>
      <c r="V3374" t="s">
        <v>29</v>
      </c>
    </row>
    <row r="3375" spans="1:22">
      <c r="A3375" s="3">
        <v>45798</v>
      </c>
      <c r="B3375" t="str">
        <f t="shared" si="364"/>
        <v>yyyy-05</v>
      </c>
      <c r="C3375">
        <f t="shared" si="365"/>
        <v>21</v>
      </c>
      <c r="D3375" t="s">
        <v>42</v>
      </c>
      <c r="E3375" t="s">
        <v>51</v>
      </c>
      <c r="F3375" t="s">
        <v>52</v>
      </c>
      <c r="G3375" t="s">
        <v>36</v>
      </c>
      <c r="H3375" t="s">
        <v>37</v>
      </c>
      <c r="I3375" s="5">
        <v>291</v>
      </c>
      <c r="J3375" s="5">
        <v>184</v>
      </c>
      <c r="K3375" s="5">
        <v>18</v>
      </c>
      <c r="L3375" s="5">
        <v>5</v>
      </c>
      <c r="M3375" s="5">
        <v>5</v>
      </c>
      <c r="N3375" s="7">
        <v>599.88</v>
      </c>
      <c r="O3375" s="7">
        <f t="shared" si="366"/>
        <v>2999.4</v>
      </c>
      <c r="P3375" s="4">
        <v>0</v>
      </c>
      <c r="Q3375" s="7">
        <f t="shared" si="367"/>
        <v>0</v>
      </c>
      <c r="R3375" s="7">
        <f t="shared" si="368"/>
        <v>2999.4</v>
      </c>
      <c r="S3375" s="7">
        <f t="shared" si="369"/>
        <v>599.88</v>
      </c>
      <c r="T3375" s="6">
        <f t="shared" si="370"/>
        <v>1.7182130584192441E-2</v>
      </c>
      <c r="V3375" t="s">
        <v>29</v>
      </c>
    </row>
    <row r="3376" spans="1:22">
      <c r="A3376" s="3">
        <v>45798</v>
      </c>
      <c r="B3376" t="str">
        <f t="shared" si="364"/>
        <v>yyyy-05</v>
      </c>
      <c r="C3376">
        <f t="shared" si="365"/>
        <v>21</v>
      </c>
      <c r="D3376" t="s">
        <v>53</v>
      </c>
      <c r="E3376" t="s">
        <v>54</v>
      </c>
      <c r="F3376" t="s">
        <v>55</v>
      </c>
      <c r="G3376" t="s">
        <v>31</v>
      </c>
      <c r="H3376" t="s">
        <v>32</v>
      </c>
      <c r="I3376" s="5">
        <v>204</v>
      </c>
      <c r="J3376" s="5">
        <v>140</v>
      </c>
      <c r="K3376" s="5">
        <v>8</v>
      </c>
      <c r="L3376" s="5">
        <v>2</v>
      </c>
      <c r="M3376" s="5">
        <v>2</v>
      </c>
      <c r="N3376" s="7">
        <v>1269.5899999999999</v>
      </c>
      <c r="O3376" s="7">
        <f t="shared" si="366"/>
        <v>2539.1799999999998</v>
      </c>
      <c r="P3376" s="4">
        <v>0</v>
      </c>
      <c r="Q3376" s="7">
        <f t="shared" si="367"/>
        <v>0</v>
      </c>
      <c r="R3376" s="7">
        <f t="shared" si="368"/>
        <v>2539.1799999999998</v>
      </c>
      <c r="S3376" s="7">
        <f t="shared" si="369"/>
        <v>1269.5899999999999</v>
      </c>
      <c r="T3376" s="6">
        <f t="shared" si="370"/>
        <v>9.8039215686274508E-3</v>
      </c>
      <c r="V3376" t="s">
        <v>29</v>
      </c>
    </row>
    <row r="3377" spans="1:22">
      <c r="A3377" s="3">
        <v>45798</v>
      </c>
      <c r="B3377" t="str">
        <f t="shared" si="364"/>
        <v>yyyy-05</v>
      </c>
      <c r="C3377">
        <f t="shared" si="365"/>
        <v>21</v>
      </c>
      <c r="D3377" t="s">
        <v>53</v>
      </c>
      <c r="E3377" t="s">
        <v>56</v>
      </c>
      <c r="F3377" t="s">
        <v>57</v>
      </c>
      <c r="G3377" t="s">
        <v>36</v>
      </c>
      <c r="H3377" t="s">
        <v>37</v>
      </c>
      <c r="I3377" s="5">
        <v>257</v>
      </c>
      <c r="J3377" s="5">
        <v>210</v>
      </c>
      <c r="K3377" s="5">
        <v>17</v>
      </c>
      <c r="L3377" s="5">
        <v>4</v>
      </c>
      <c r="M3377" s="5">
        <v>4</v>
      </c>
      <c r="N3377" s="7">
        <v>746.76</v>
      </c>
      <c r="O3377" s="7">
        <f t="shared" si="366"/>
        <v>2987.04</v>
      </c>
      <c r="P3377" s="4">
        <v>0.05</v>
      </c>
      <c r="Q3377" s="7">
        <f t="shared" si="367"/>
        <v>149.352</v>
      </c>
      <c r="R3377" s="7">
        <f t="shared" si="368"/>
        <v>2837.6880000000001</v>
      </c>
      <c r="S3377" s="7">
        <f t="shared" si="369"/>
        <v>709.42200000000003</v>
      </c>
      <c r="T3377" s="6">
        <f t="shared" si="370"/>
        <v>1.556420233463035E-2</v>
      </c>
      <c r="V3377" t="s">
        <v>29</v>
      </c>
    </row>
    <row r="3378" spans="1:22">
      <c r="A3378" s="3">
        <v>45798</v>
      </c>
      <c r="B3378" t="str">
        <f t="shared" si="364"/>
        <v>yyyy-05</v>
      </c>
      <c r="C3378">
        <f t="shared" si="365"/>
        <v>21</v>
      </c>
      <c r="D3378" t="s">
        <v>53</v>
      </c>
      <c r="E3378" t="s">
        <v>56</v>
      </c>
      <c r="F3378" t="s">
        <v>58</v>
      </c>
      <c r="G3378" t="s">
        <v>36</v>
      </c>
      <c r="H3378" t="s">
        <v>37</v>
      </c>
      <c r="I3378" s="5">
        <v>224</v>
      </c>
      <c r="J3378" s="5">
        <v>155</v>
      </c>
      <c r="K3378" s="5">
        <v>11</v>
      </c>
      <c r="L3378" s="5">
        <v>3</v>
      </c>
      <c r="M3378" s="5">
        <v>3</v>
      </c>
      <c r="N3378" s="7">
        <v>887.68</v>
      </c>
      <c r="O3378" s="7">
        <f t="shared" si="366"/>
        <v>2663.04</v>
      </c>
      <c r="P3378" s="4">
        <v>0</v>
      </c>
      <c r="Q3378" s="7">
        <f t="shared" si="367"/>
        <v>0</v>
      </c>
      <c r="R3378" s="7">
        <f t="shared" si="368"/>
        <v>2663.04</v>
      </c>
      <c r="S3378" s="7">
        <f t="shared" si="369"/>
        <v>887.68</v>
      </c>
      <c r="T3378" s="6">
        <f t="shared" si="370"/>
        <v>1.3392857142857142E-2</v>
      </c>
      <c r="V3378" t="s">
        <v>29</v>
      </c>
    </row>
    <row r="3379" spans="1:22">
      <c r="A3379" s="3">
        <v>45798</v>
      </c>
      <c r="B3379" t="str">
        <f t="shared" si="364"/>
        <v>yyyy-05</v>
      </c>
      <c r="C3379">
        <f t="shared" si="365"/>
        <v>21</v>
      </c>
      <c r="D3379" t="s">
        <v>53</v>
      </c>
      <c r="E3379" t="s">
        <v>59</v>
      </c>
      <c r="F3379" t="s">
        <v>60</v>
      </c>
      <c r="G3379" t="s">
        <v>27</v>
      </c>
      <c r="H3379" t="s">
        <v>48</v>
      </c>
      <c r="I3379" s="5">
        <v>118</v>
      </c>
      <c r="J3379" s="5">
        <v>69</v>
      </c>
      <c r="K3379" s="5">
        <v>4</v>
      </c>
      <c r="L3379" s="5">
        <v>1</v>
      </c>
      <c r="M3379" s="5">
        <v>1</v>
      </c>
      <c r="N3379" s="7">
        <v>677.96</v>
      </c>
      <c r="O3379" s="7">
        <f t="shared" si="366"/>
        <v>677.96</v>
      </c>
      <c r="P3379" s="4">
        <v>0</v>
      </c>
      <c r="Q3379" s="7">
        <f t="shared" si="367"/>
        <v>0</v>
      </c>
      <c r="R3379" s="7">
        <f t="shared" si="368"/>
        <v>677.96</v>
      </c>
      <c r="S3379" s="7">
        <f t="shared" si="369"/>
        <v>677.96</v>
      </c>
      <c r="T3379" s="6">
        <f t="shared" si="370"/>
        <v>8.4745762711864406E-3</v>
      </c>
      <c r="V3379" t="s">
        <v>29</v>
      </c>
    </row>
    <row r="3380" spans="1:22">
      <c r="A3380" s="3">
        <v>45798</v>
      </c>
      <c r="B3380" t="str">
        <f t="shared" si="364"/>
        <v>yyyy-05</v>
      </c>
      <c r="C3380">
        <f t="shared" si="365"/>
        <v>21</v>
      </c>
      <c r="D3380" t="s">
        <v>53</v>
      </c>
      <c r="E3380" t="s">
        <v>61</v>
      </c>
      <c r="F3380" t="s">
        <v>62</v>
      </c>
      <c r="G3380" t="s">
        <v>27</v>
      </c>
      <c r="H3380" t="s">
        <v>28</v>
      </c>
      <c r="I3380" s="5">
        <v>150</v>
      </c>
      <c r="J3380" s="5">
        <v>116</v>
      </c>
      <c r="K3380" s="5">
        <v>8</v>
      </c>
      <c r="L3380" s="5">
        <v>2</v>
      </c>
      <c r="M3380" s="5">
        <v>2</v>
      </c>
      <c r="N3380" s="7">
        <v>481.46</v>
      </c>
      <c r="O3380" s="7">
        <f t="shared" si="366"/>
        <v>962.92</v>
      </c>
      <c r="P3380" s="4">
        <v>0</v>
      </c>
      <c r="Q3380" s="7">
        <f t="shared" si="367"/>
        <v>0</v>
      </c>
      <c r="R3380" s="7">
        <f t="shared" si="368"/>
        <v>962.92</v>
      </c>
      <c r="S3380" s="7">
        <f t="shared" si="369"/>
        <v>481.46</v>
      </c>
      <c r="T3380" s="6">
        <f t="shared" si="370"/>
        <v>1.3333333333333334E-2</v>
      </c>
      <c r="V3380" t="s">
        <v>29</v>
      </c>
    </row>
    <row r="3381" spans="1:22">
      <c r="A3381" s="3">
        <v>45798</v>
      </c>
      <c r="B3381" t="str">
        <f t="shared" si="364"/>
        <v>yyyy-05</v>
      </c>
      <c r="C3381">
        <f t="shared" si="365"/>
        <v>21</v>
      </c>
      <c r="D3381" t="s">
        <v>53</v>
      </c>
      <c r="E3381" t="s">
        <v>64</v>
      </c>
      <c r="F3381" t="s">
        <v>65</v>
      </c>
      <c r="G3381" t="s">
        <v>27</v>
      </c>
      <c r="H3381" t="s">
        <v>45</v>
      </c>
      <c r="I3381" s="5">
        <v>188</v>
      </c>
      <c r="J3381" s="5">
        <v>123</v>
      </c>
      <c r="K3381" s="5">
        <v>9</v>
      </c>
      <c r="L3381" s="5">
        <v>2</v>
      </c>
      <c r="M3381" s="5">
        <v>2</v>
      </c>
      <c r="N3381" s="7">
        <v>799.21</v>
      </c>
      <c r="O3381" s="7">
        <f t="shared" si="366"/>
        <v>1598.42</v>
      </c>
      <c r="P3381" s="4">
        <v>0.12</v>
      </c>
      <c r="Q3381" s="7">
        <f t="shared" si="367"/>
        <v>191.81040000000002</v>
      </c>
      <c r="R3381" s="7">
        <f t="shared" si="368"/>
        <v>1406.6096</v>
      </c>
      <c r="S3381" s="7">
        <f t="shared" si="369"/>
        <v>703.3048</v>
      </c>
      <c r="T3381" s="6">
        <f t="shared" si="370"/>
        <v>1.0638297872340425E-2</v>
      </c>
      <c r="U3381" t="s">
        <v>97</v>
      </c>
      <c r="V3381" t="s">
        <v>78</v>
      </c>
    </row>
    <row r="3382" spans="1:22">
      <c r="A3382" s="3">
        <v>45798</v>
      </c>
      <c r="B3382" t="str">
        <f t="shared" si="364"/>
        <v>yyyy-05</v>
      </c>
      <c r="C3382">
        <f t="shared" si="365"/>
        <v>21</v>
      </c>
      <c r="D3382" t="s">
        <v>66</v>
      </c>
      <c r="E3382" t="s">
        <v>67</v>
      </c>
      <c r="F3382" t="s">
        <v>68</v>
      </c>
      <c r="G3382" t="s">
        <v>31</v>
      </c>
      <c r="H3382" t="s">
        <v>32</v>
      </c>
      <c r="I3382" s="5">
        <v>531</v>
      </c>
      <c r="J3382" s="5">
        <v>439</v>
      </c>
      <c r="K3382" s="5">
        <v>48</v>
      </c>
      <c r="L3382" s="5">
        <v>10</v>
      </c>
      <c r="M3382" s="5">
        <v>10</v>
      </c>
      <c r="N3382" s="7">
        <v>705.8</v>
      </c>
      <c r="O3382" s="7">
        <f t="shared" si="366"/>
        <v>7058</v>
      </c>
      <c r="P3382" s="4">
        <v>0.05</v>
      </c>
      <c r="Q3382" s="7">
        <f t="shared" si="367"/>
        <v>352.90000000000003</v>
      </c>
      <c r="R3382" s="7">
        <f t="shared" si="368"/>
        <v>6705.1</v>
      </c>
      <c r="S3382" s="7">
        <f t="shared" si="369"/>
        <v>670.51</v>
      </c>
      <c r="T3382" s="6">
        <f t="shared" si="370"/>
        <v>1.8832391713747645E-2</v>
      </c>
      <c r="V3382" t="s">
        <v>29</v>
      </c>
    </row>
    <row r="3383" spans="1:22">
      <c r="A3383" s="3">
        <v>45798</v>
      </c>
      <c r="B3383" t="str">
        <f t="shared" si="364"/>
        <v>yyyy-05</v>
      </c>
      <c r="C3383">
        <f t="shared" si="365"/>
        <v>21</v>
      </c>
      <c r="D3383" t="s">
        <v>66</v>
      </c>
      <c r="E3383" t="s">
        <v>67</v>
      </c>
      <c r="F3383" t="s">
        <v>69</v>
      </c>
      <c r="G3383" t="s">
        <v>27</v>
      </c>
      <c r="H3383" t="s">
        <v>28</v>
      </c>
      <c r="I3383" s="5">
        <v>444</v>
      </c>
      <c r="J3383" s="5">
        <v>330</v>
      </c>
      <c r="K3383" s="5">
        <v>25</v>
      </c>
      <c r="L3383" s="5">
        <v>6</v>
      </c>
      <c r="M3383" s="5">
        <v>6</v>
      </c>
      <c r="N3383" s="7">
        <v>391.06</v>
      </c>
      <c r="O3383" s="7">
        <f t="shared" si="366"/>
        <v>2346.36</v>
      </c>
      <c r="P3383" s="4">
        <v>0.03</v>
      </c>
      <c r="Q3383" s="7">
        <f t="shared" si="367"/>
        <v>70.390799999999999</v>
      </c>
      <c r="R3383" s="7">
        <f t="shared" si="368"/>
        <v>2275.9692</v>
      </c>
      <c r="S3383" s="7">
        <f t="shared" si="369"/>
        <v>379.32819999999998</v>
      </c>
      <c r="T3383" s="6">
        <f t="shared" si="370"/>
        <v>1.3513513513513514E-2</v>
      </c>
      <c r="V3383" t="s">
        <v>29</v>
      </c>
    </row>
    <row r="3384" spans="1:22">
      <c r="A3384" s="3">
        <v>45798</v>
      </c>
      <c r="B3384" t="str">
        <f t="shared" si="364"/>
        <v>yyyy-05</v>
      </c>
      <c r="C3384">
        <f t="shared" si="365"/>
        <v>21</v>
      </c>
      <c r="D3384" t="s">
        <v>66</v>
      </c>
      <c r="E3384" t="s">
        <v>67</v>
      </c>
      <c r="F3384" t="s">
        <v>70</v>
      </c>
      <c r="G3384" t="s">
        <v>36</v>
      </c>
      <c r="H3384" t="s">
        <v>37</v>
      </c>
      <c r="I3384" s="5">
        <v>499</v>
      </c>
      <c r="J3384" s="5">
        <v>283</v>
      </c>
      <c r="K3384" s="5">
        <v>30</v>
      </c>
      <c r="L3384" s="5">
        <v>8</v>
      </c>
      <c r="M3384" s="5">
        <v>8</v>
      </c>
      <c r="N3384" s="7">
        <v>354.04</v>
      </c>
      <c r="O3384" s="7">
        <f t="shared" si="366"/>
        <v>2832.32</v>
      </c>
      <c r="P3384" s="4">
        <v>0</v>
      </c>
      <c r="Q3384" s="7">
        <f t="shared" si="367"/>
        <v>0</v>
      </c>
      <c r="R3384" s="7">
        <f t="shared" si="368"/>
        <v>2832.32</v>
      </c>
      <c r="S3384" s="7">
        <f t="shared" si="369"/>
        <v>354.04</v>
      </c>
      <c r="T3384" s="6">
        <f t="shared" si="370"/>
        <v>1.6032064128256512E-2</v>
      </c>
      <c r="V3384" t="s">
        <v>29</v>
      </c>
    </row>
    <row r="3385" spans="1:22">
      <c r="A3385" s="3">
        <v>45798</v>
      </c>
      <c r="B3385" t="str">
        <f t="shared" si="364"/>
        <v>yyyy-05</v>
      </c>
      <c r="C3385">
        <f t="shared" si="365"/>
        <v>21</v>
      </c>
      <c r="D3385" t="s">
        <v>66</v>
      </c>
      <c r="E3385" t="s">
        <v>71</v>
      </c>
      <c r="F3385" t="s">
        <v>72</v>
      </c>
      <c r="G3385" t="s">
        <v>36</v>
      </c>
      <c r="H3385" t="s">
        <v>37</v>
      </c>
      <c r="I3385" s="5">
        <v>428</v>
      </c>
      <c r="J3385" s="5">
        <v>302</v>
      </c>
      <c r="K3385" s="5">
        <v>38</v>
      </c>
      <c r="L3385" s="5">
        <v>8</v>
      </c>
      <c r="M3385" s="5">
        <v>9</v>
      </c>
      <c r="N3385" s="7">
        <v>128.19999999999999</v>
      </c>
      <c r="O3385" s="7">
        <f t="shared" si="366"/>
        <v>1153.8</v>
      </c>
      <c r="P3385" s="4">
        <v>0</v>
      </c>
      <c r="Q3385" s="7">
        <f t="shared" si="367"/>
        <v>0</v>
      </c>
      <c r="R3385" s="7">
        <f t="shared" si="368"/>
        <v>1153.8</v>
      </c>
      <c r="S3385" s="7">
        <f t="shared" si="369"/>
        <v>144.22499999999999</v>
      </c>
      <c r="T3385" s="6">
        <f t="shared" si="370"/>
        <v>1.8691588785046728E-2</v>
      </c>
      <c r="V3385" t="s">
        <v>29</v>
      </c>
    </row>
    <row r="3386" spans="1:22">
      <c r="A3386" s="3">
        <v>45798</v>
      </c>
      <c r="B3386" t="str">
        <f t="shared" si="364"/>
        <v>yyyy-05</v>
      </c>
      <c r="C3386">
        <f t="shared" si="365"/>
        <v>21</v>
      </c>
      <c r="D3386" t="s">
        <v>66</v>
      </c>
      <c r="E3386" t="s">
        <v>73</v>
      </c>
      <c r="F3386" t="s">
        <v>74</v>
      </c>
      <c r="G3386" t="s">
        <v>36</v>
      </c>
      <c r="H3386" t="s">
        <v>37</v>
      </c>
      <c r="I3386" s="5">
        <v>248</v>
      </c>
      <c r="J3386" s="5">
        <v>156</v>
      </c>
      <c r="K3386" s="5">
        <v>20</v>
      </c>
      <c r="L3386" s="5">
        <v>5</v>
      </c>
      <c r="M3386" s="5">
        <v>5</v>
      </c>
      <c r="N3386" s="7">
        <v>1184.8499999999999</v>
      </c>
      <c r="O3386" s="7">
        <f t="shared" si="366"/>
        <v>5924.25</v>
      </c>
      <c r="P3386" s="4">
        <v>0.05</v>
      </c>
      <c r="Q3386" s="7">
        <f t="shared" si="367"/>
        <v>296.21250000000003</v>
      </c>
      <c r="R3386" s="7">
        <f t="shared" si="368"/>
        <v>5628.0375000000004</v>
      </c>
      <c r="S3386" s="7">
        <f t="shared" si="369"/>
        <v>1125.6075000000001</v>
      </c>
      <c r="T3386" s="6">
        <f t="shared" si="370"/>
        <v>2.0161290322580645E-2</v>
      </c>
      <c r="V3386" t="s">
        <v>29</v>
      </c>
    </row>
    <row r="3387" spans="1:22">
      <c r="A3387" s="3">
        <v>45798</v>
      </c>
      <c r="B3387" t="str">
        <f t="shared" si="364"/>
        <v>yyyy-05</v>
      </c>
      <c r="C3387">
        <f t="shared" si="365"/>
        <v>21</v>
      </c>
      <c r="D3387" t="s">
        <v>66</v>
      </c>
      <c r="E3387" t="s">
        <v>71</v>
      </c>
      <c r="F3387" t="s">
        <v>75</v>
      </c>
      <c r="G3387" t="s">
        <v>27</v>
      </c>
      <c r="H3387" t="s">
        <v>28</v>
      </c>
      <c r="I3387" s="5">
        <v>414</v>
      </c>
      <c r="J3387" s="5">
        <v>217</v>
      </c>
      <c r="K3387" s="5">
        <v>22</v>
      </c>
      <c r="L3387" s="5">
        <v>5</v>
      </c>
      <c r="M3387" s="5">
        <v>6</v>
      </c>
      <c r="N3387" s="7">
        <v>39.01</v>
      </c>
      <c r="O3387" s="7">
        <f t="shared" si="366"/>
        <v>234.06</v>
      </c>
      <c r="P3387" s="4">
        <v>0</v>
      </c>
      <c r="Q3387" s="7">
        <f t="shared" si="367"/>
        <v>0</v>
      </c>
      <c r="R3387" s="7">
        <f t="shared" si="368"/>
        <v>234.06</v>
      </c>
      <c r="S3387" s="7">
        <f t="shared" si="369"/>
        <v>46.811999999999998</v>
      </c>
      <c r="T3387" s="6">
        <f t="shared" si="370"/>
        <v>1.2077294685990338E-2</v>
      </c>
      <c r="V3387" t="s">
        <v>78</v>
      </c>
    </row>
    <row r="3388" spans="1:22">
      <c r="A3388" s="3">
        <v>45798</v>
      </c>
      <c r="B3388" t="str">
        <f t="shared" si="364"/>
        <v>yyyy-05</v>
      </c>
      <c r="C3388">
        <f t="shared" si="365"/>
        <v>21</v>
      </c>
      <c r="D3388" t="s">
        <v>24</v>
      </c>
      <c r="E3388" t="s">
        <v>76</v>
      </c>
      <c r="F3388" t="s">
        <v>77</v>
      </c>
      <c r="G3388" t="s">
        <v>31</v>
      </c>
      <c r="H3388" t="s">
        <v>32</v>
      </c>
      <c r="I3388" s="5">
        <v>888</v>
      </c>
      <c r="J3388" s="5">
        <v>507</v>
      </c>
      <c r="K3388" s="5">
        <v>99</v>
      </c>
      <c r="L3388" s="5">
        <v>25</v>
      </c>
      <c r="M3388" s="5">
        <v>32</v>
      </c>
      <c r="N3388" s="7">
        <v>200.91</v>
      </c>
      <c r="O3388" s="7">
        <f t="shared" si="366"/>
        <v>6429.12</v>
      </c>
      <c r="P3388" s="4">
        <v>0.1</v>
      </c>
      <c r="Q3388" s="7">
        <f t="shared" si="367"/>
        <v>642.91200000000003</v>
      </c>
      <c r="R3388" s="7">
        <f t="shared" si="368"/>
        <v>5786.2079999999996</v>
      </c>
      <c r="S3388" s="7">
        <f t="shared" si="369"/>
        <v>231.44832</v>
      </c>
      <c r="T3388" s="6">
        <f t="shared" si="370"/>
        <v>2.8153153153153154E-2</v>
      </c>
      <c r="U3388" t="s">
        <v>98</v>
      </c>
      <c r="V3388" t="s">
        <v>29</v>
      </c>
    </row>
    <row r="3389" spans="1:22">
      <c r="A3389" s="3">
        <v>45799</v>
      </c>
      <c r="B3389" t="str">
        <f t="shared" si="364"/>
        <v>yyyy-05</v>
      </c>
      <c r="C3389">
        <f t="shared" si="365"/>
        <v>21</v>
      </c>
      <c r="D3389" t="s">
        <v>24</v>
      </c>
      <c r="E3389" t="s">
        <v>25</v>
      </c>
      <c r="F3389" t="s">
        <v>26</v>
      </c>
      <c r="G3389" t="s">
        <v>31</v>
      </c>
      <c r="H3389" t="s">
        <v>32</v>
      </c>
      <c r="I3389" s="5">
        <v>2240</v>
      </c>
      <c r="J3389" s="5">
        <v>1556</v>
      </c>
      <c r="K3389" s="5">
        <v>145</v>
      </c>
      <c r="L3389" s="5">
        <v>48</v>
      </c>
      <c r="M3389" s="5">
        <v>48</v>
      </c>
      <c r="N3389" s="7">
        <v>959.34</v>
      </c>
      <c r="O3389" s="7">
        <f t="shared" si="366"/>
        <v>46048.32</v>
      </c>
      <c r="P3389" s="4">
        <v>0.05</v>
      </c>
      <c r="Q3389" s="7">
        <f t="shared" si="367"/>
        <v>2302.4160000000002</v>
      </c>
      <c r="R3389" s="7">
        <f t="shared" si="368"/>
        <v>43745.904000000002</v>
      </c>
      <c r="S3389" s="7">
        <f t="shared" si="369"/>
        <v>911.37300000000005</v>
      </c>
      <c r="T3389" s="6">
        <f t="shared" si="370"/>
        <v>2.1428571428571429E-2</v>
      </c>
      <c r="V3389" t="s">
        <v>29</v>
      </c>
    </row>
    <row r="3390" spans="1:22">
      <c r="A3390" s="3">
        <v>45799</v>
      </c>
      <c r="B3390" t="str">
        <f t="shared" si="364"/>
        <v>yyyy-05</v>
      </c>
      <c r="C3390">
        <f t="shared" si="365"/>
        <v>21</v>
      </c>
      <c r="D3390" t="s">
        <v>24</v>
      </c>
      <c r="E3390" t="s">
        <v>25</v>
      </c>
      <c r="F3390" t="s">
        <v>30</v>
      </c>
      <c r="G3390" t="s">
        <v>31</v>
      </c>
      <c r="H3390" t="s">
        <v>32</v>
      </c>
      <c r="I3390" s="5">
        <v>1800</v>
      </c>
      <c r="J3390" s="5">
        <v>941</v>
      </c>
      <c r="K3390" s="5">
        <v>92</v>
      </c>
      <c r="L3390" s="5">
        <v>28</v>
      </c>
      <c r="M3390" s="5">
        <v>28</v>
      </c>
      <c r="N3390" s="7">
        <v>400.45</v>
      </c>
      <c r="O3390" s="7">
        <f t="shared" si="366"/>
        <v>11212.6</v>
      </c>
      <c r="P3390" s="4">
        <v>0</v>
      </c>
      <c r="Q3390" s="7">
        <f t="shared" si="367"/>
        <v>0</v>
      </c>
      <c r="R3390" s="7">
        <f t="shared" si="368"/>
        <v>11212.6</v>
      </c>
      <c r="S3390" s="7">
        <f t="shared" si="369"/>
        <v>400.45</v>
      </c>
      <c r="T3390" s="6">
        <f t="shared" si="370"/>
        <v>1.5555555555555555E-2</v>
      </c>
      <c r="V3390" t="s">
        <v>78</v>
      </c>
    </row>
    <row r="3391" spans="1:22">
      <c r="A3391" s="3">
        <v>45799</v>
      </c>
      <c r="B3391" t="str">
        <f t="shared" si="364"/>
        <v>yyyy-05</v>
      </c>
      <c r="C3391">
        <f t="shared" si="365"/>
        <v>21</v>
      </c>
      <c r="D3391" t="s">
        <v>24</v>
      </c>
      <c r="E3391" t="s">
        <v>25</v>
      </c>
      <c r="F3391" t="s">
        <v>33</v>
      </c>
      <c r="G3391" t="s">
        <v>27</v>
      </c>
      <c r="H3391" t="s">
        <v>45</v>
      </c>
      <c r="I3391" s="5">
        <v>1483</v>
      </c>
      <c r="J3391" s="5">
        <v>911</v>
      </c>
      <c r="K3391" s="5">
        <v>151</v>
      </c>
      <c r="L3391" s="5">
        <v>35</v>
      </c>
      <c r="M3391" s="5">
        <v>35</v>
      </c>
      <c r="N3391" s="7">
        <v>1788.68</v>
      </c>
      <c r="O3391" s="7">
        <f t="shared" si="366"/>
        <v>62603.8</v>
      </c>
      <c r="P3391" s="4">
        <v>0</v>
      </c>
      <c r="Q3391" s="7">
        <f t="shared" si="367"/>
        <v>0</v>
      </c>
      <c r="R3391" s="7">
        <f t="shared" si="368"/>
        <v>62603.8</v>
      </c>
      <c r="S3391" s="7">
        <f t="shared" si="369"/>
        <v>1788.68</v>
      </c>
      <c r="T3391" s="6">
        <f t="shared" si="370"/>
        <v>2.3600809170600135E-2</v>
      </c>
      <c r="V3391" t="s">
        <v>29</v>
      </c>
    </row>
    <row r="3392" spans="1:22">
      <c r="A3392" s="3">
        <v>45799</v>
      </c>
      <c r="B3392" t="str">
        <f t="shared" si="364"/>
        <v>yyyy-05</v>
      </c>
      <c r="C3392">
        <f t="shared" si="365"/>
        <v>21</v>
      </c>
      <c r="D3392" t="s">
        <v>24</v>
      </c>
      <c r="E3392" t="s">
        <v>34</v>
      </c>
      <c r="F3392" t="s">
        <v>35</v>
      </c>
      <c r="G3392" t="s">
        <v>27</v>
      </c>
      <c r="H3392" t="s">
        <v>45</v>
      </c>
      <c r="I3392" s="5">
        <v>797</v>
      </c>
      <c r="J3392" s="5">
        <v>502</v>
      </c>
      <c r="K3392" s="5">
        <v>72</v>
      </c>
      <c r="L3392" s="5">
        <v>15</v>
      </c>
      <c r="M3392" s="5">
        <v>15</v>
      </c>
      <c r="N3392" s="7">
        <v>916.53</v>
      </c>
      <c r="O3392" s="7">
        <f t="shared" si="366"/>
        <v>13747.949999999999</v>
      </c>
      <c r="P3392" s="4">
        <v>0.05</v>
      </c>
      <c r="Q3392" s="7">
        <f t="shared" si="367"/>
        <v>687.39750000000004</v>
      </c>
      <c r="R3392" s="7">
        <f t="shared" si="368"/>
        <v>13060.552499999998</v>
      </c>
      <c r="S3392" s="7">
        <f t="shared" si="369"/>
        <v>870.70349999999985</v>
      </c>
      <c r="T3392" s="6">
        <f t="shared" si="370"/>
        <v>1.8820577164366373E-2</v>
      </c>
      <c r="V3392" t="s">
        <v>29</v>
      </c>
    </row>
    <row r="3393" spans="1:22">
      <c r="A3393" s="3">
        <v>45799</v>
      </c>
      <c r="B3393" t="str">
        <f t="shared" si="364"/>
        <v>yyyy-05</v>
      </c>
      <c r="C3393">
        <f t="shared" si="365"/>
        <v>21</v>
      </c>
      <c r="D3393" t="s">
        <v>24</v>
      </c>
      <c r="E3393" t="s">
        <v>38</v>
      </c>
      <c r="F3393" t="s">
        <v>39</v>
      </c>
      <c r="G3393" t="s">
        <v>27</v>
      </c>
      <c r="H3393" t="s">
        <v>45</v>
      </c>
      <c r="I3393" s="5">
        <v>681</v>
      </c>
      <c r="J3393" s="5">
        <v>548</v>
      </c>
      <c r="K3393" s="5">
        <v>58</v>
      </c>
      <c r="L3393" s="5">
        <v>12</v>
      </c>
      <c r="M3393" s="5">
        <v>12</v>
      </c>
      <c r="N3393" s="7">
        <v>328.91</v>
      </c>
      <c r="O3393" s="7">
        <f t="shared" si="366"/>
        <v>3946.92</v>
      </c>
      <c r="P3393" s="4">
        <v>0.03</v>
      </c>
      <c r="Q3393" s="7">
        <f t="shared" si="367"/>
        <v>118.4076</v>
      </c>
      <c r="R3393" s="7">
        <f t="shared" si="368"/>
        <v>3828.5124000000001</v>
      </c>
      <c r="S3393" s="7">
        <f t="shared" si="369"/>
        <v>319.04270000000002</v>
      </c>
      <c r="T3393" s="6">
        <f t="shared" si="370"/>
        <v>1.7621145374449341E-2</v>
      </c>
      <c r="V3393" t="s">
        <v>29</v>
      </c>
    </row>
    <row r="3394" spans="1:22">
      <c r="A3394" s="3">
        <v>45799</v>
      </c>
      <c r="B3394" t="str">
        <f t="shared" si="364"/>
        <v>yyyy-05</v>
      </c>
      <c r="C3394">
        <f t="shared" si="365"/>
        <v>21</v>
      </c>
      <c r="D3394" t="s">
        <v>24</v>
      </c>
      <c r="E3394" t="s">
        <v>40</v>
      </c>
      <c r="F3394" t="s">
        <v>41</v>
      </c>
      <c r="G3394" t="s">
        <v>27</v>
      </c>
      <c r="H3394" t="s">
        <v>28</v>
      </c>
      <c r="I3394" s="5">
        <v>689</v>
      </c>
      <c r="J3394" s="5">
        <v>419</v>
      </c>
      <c r="K3394" s="5">
        <v>71</v>
      </c>
      <c r="L3394" s="5">
        <v>16</v>
      </c>
      <c r="M3394" s="5">
        <v>19</v>
      </c>
      <c r="N3394" s="7">
        <v>182.17</v>
      </c>
      <c r="O3394" s="7">
        <f t="shared" si="366"/>
        <v>3461.2299999999996</v>
      </c>
      <c r="P3394" s="4">
        <v>0.03</v>
      </c>
      <c r="Q3394" s="7">
        <f t="shared" si="367"/>
        <v>103.83689999999999</v>
      </c>
      <c r="R3394" s="7">
        <f t="shared" si="368"/>
        <v>3357.3930999999998</v>
      </c>
      <c r="S3394" s="7">
        <f t="shared" si="369"/>
        <v>209.83706874999999</v>
      </c>
      <c r="T3394" s="6">
        <f t="shared" si="370"/>
        <v>2.3222060957910014E-2</v>
      </c>
      <c r="V3394" t="s">
        <v>29</v>
      </c>
    </row>
    <row r="3395" spans="1:22">
      <c r="A3395" s="3">
        <v>45799</v>
      </c>
      <c r="B3395" t="str">
        <f t="shared" si="364"/>
        <v>yyyy-05</v>
      </c>
      <c r="C3395">
        <f t="shared" si="365"/>
        <v>21</v>
      </c>
      <c r="D3395" t="s">
        <v>42</v>
      </c>
      <c r="E3395" t="s">
        <v>43</v>
      </c>
      <c r="F3395" t="s">
        <v>44</v>
      </c>
      <c r="G3395" t="s">
        <v>27</v>
      </c>
      <c r="H3395" t="s">
        <v>48</v>
      </c>
      <c r="I3395" s="5">
        <v>442</v>
      </c>
      <c r="J3395" s="5">
        <v>362</v>
      </c>
      <c r="K3395" s="5">
        <v>40</v>
      </c>
      <c r="L3395" s="5">
        <v>6</v>
      </c>
      <c r="M3395" s="5">
        <v>6</v>
      </c>
      <c r="N3395" s="7">
        <v>1305.04</v>
      </c>
      <c r="O3395" s="7">
        <f t="shared" si="366"/>
        <v>7830.24</v>
      </c>
      <c r="P3395" s="4">
        <v>0</v>
      </c>
      <c r="Q3395" s="7">
        <f t="shared" si="367"/>
        <v>0</v>
      </c>
      <c r="R3395" s="7">
        <f t="shared" si="368"/>
        <v>7830.24</v>
      </c>
      <c r="S3395" s="7">
        <f t="shared" si="369"/>
        <v>1305.04</v>
      </c>
      <c r="T3395" s="6">
        <f t="shared" si="370"/>
        <v>1.3574660633484163E-2</v>
      </c>
      <c r="V3395" t="s">
        <v>29</v>
      </c>
    </row>
    <row r="3396" spans="1:22">
      <c r="A3396" s="3">
        <v>45799</v>
      </c>
      <c r="B3396" t="str">
        <f t="shared" si="364"/>
        <v>yyyy-05</v>
      </c>
      <c r="C3396">
        <f t="shared" si="365"/>
        <v>21</v>
      </c>
      <c r="D3396" t="s">
        <v>42</v>
      </c>
      <c r="E3396" t="s">
        <v>43</v>
      </c>
      <c r="F3396" t="s">
        <v>46</v>
      </c>
      <c r="G3396" t="s">
        <v>27</v>
      </c>
      <c r="H3396" t="s">
        <v>45</v>
      </c>
      <c r="I3396" s="5">
        <v>376</v>
      </c>
      <c r="J3396" s="5">
        <v>253</v>
      </c>
      <c r="K3396" s="5">
        <v>24</v>
      </c>
      <c r="L3396" s="5">
        <v>6</v>
      </c>
      <c r="M3396" s="5">
        <v>6</v>
      </c>
      <c r="N3396" s="7">
        <v>2156.5300000000002</v>
      </c>
      <c r="O3396" s="7">
        <f t="shared" si="366"/>
        <v>12939.18</v>
      </c>
      <c r="P3396" s="4">
        <v>0.05</v>
      </c>
      <c r="Q3396" s="7">
        <f t="shared" si="367"/>
        <v>646.95900000000006</v>
      </c>
      <c r="R3396" s="7">
        <f t="shared" si="368"/>
        <v>12292.221</v>
      </c>
      <c r="S3396" s="7">
        <f t="shared" si="369"/>
        <v>2048.7035000000001</v>
      </c>
      <c r="T3396" s="6">
        <f t="shared" si="370"/>
        <v>1.5957446808510637E-2</v>
      </c>
      <c r="V3396" t="s">
        <v>29</v>
      </c>
    </row>
    <row r="3397" spans="1:22">
      <c r="A3397" s="3">
        <v>45799</v>
      </c>
      <c r="B3397" t="str">
        <f t="shared" ref="B3397:B3460" si="371">TEXT(A3397,"yyyy-mm")</f>
        <v>yyyy-05</v>
      </c>
      <c r="C3397">
        <f t="shared" ref="C3397:C3460" si="372">WEEKNUM(A3397,2)</f>
        <v>21</v>
      </c>
      <c r="D3397" t="s">
        <v>42</v>
      </c>
      <c r="E3397" t="s">
        <v>43</v>
      </c>
      <c r="F3397" t="s">
        <v>47</v>
      </c>
      <c r="G3397" t="s">
        <v>27</v>
      </c>
      <c r="H3397" t="s">
        <v>63</v>
      </c>
      <c r="I3397" s="5">
        <v>264</v>
      </c>
      <c r="J3397" s="5">
        <v>197</v>
      </c>
      <c r="K3397" s="5">
        <v>22</v>
      </c>
      <c r="L3397" s="5">
        <v>4</v>
      </c>
      <c r="M3397" s="5">
        <v>4</v>
      </c>
      <c r="N3397" s="7">
        <v>594.44000000000005</v>
      </c>
      <c r="O3397" s="7">
        <f t="shared" ref="O3397:O3460" si="373">M3397*N3397</f>
        <v>2377.7600000000002</v>
      </c>
      <c r="P3397" s="4">
        <v>0.03</v>
      </c>
      <c r="Q3397" s="7">
        <f t="shared" ref="Q3397:Q3460" si="374">O3397*P3397</f>
        <v>71.332800000000006</v>
      </c>
      <c r="R3397" s="7">
        <f t="shared" ref="R3397:R3460" si="375">O3397-Q3397</f>
        <v>2306.4272000000001</v>
      </c>
      <c r="S3397" s="7">
        <f t="shared" ref="S3397:S3460" si="376">IFERROR(R3397/L3397,0)</f>
        <v>576.60680000000002</v>
      </c>
      <c r="T3397" s="6">
        <f t="shared" ref="T3397:T3460" si="377">IFERROR(L3397/I3397,0)</f>
        <v>1.5151515151515152E-2</v>
      </c>
      <c r="V3397" t="s">
        <v>29</v>
      </c>
    </row>
    <row r="3398" spans="1:22">
      <c r="A3398" s="3">
        <v>45799</v>
      </c>
      <c r="B3398" t="str">
        <f t="shared" si="371"/>
        <v>yyyy-05</v>
      </c>
      <c r="C3398">
        <f t="shared" si="372"/>
        <v>21</v>
      </c>
      <c r="D3398" t="s">
        <v>42</v>
      </c>
      <c r="E3398" t="s">
        <v>49</v>
      </c>
      <c r="F3398" t="s">
        <v>50</v>
      </c>
      <c r="G3398" t="s">
        <v>31</v>
      </c>
      <c r="H3398" t="s">
        <v>32</v>
      </c>
      <c r="I3398" s="5">
        <v>185</v>
      </c>
      <c r="J3398" s="5">
        <v>142</v>
      </c>
      <c r="K3398" s="5">
        <v>10</v>
      </c>
      <c r="L3398" s="5">
        <v>2</v>
      </c>
      <c r="M3398" s="5">
        <v>2</v>
      </c>
      <c r="N3398" s="7">
        <v>978.16</v>
      </c>
      <c r="O3398" s="7">
        <f t="shared" si="373"/>
        <v>1956.32</v>
      </c>
      <c r="P3398" s="4">
        <v>0</v>
      </c>
      <c r="Q3398" s="7">
        <f t="shared" si="374"/>
        <v>0</v>
      </c>
      <c r="R3398" s="7">
        <f t="shared" si="375"/>
        <v>1956.32</v>
      </c>
      <c r="S3398" s="7">
        <f t="shared" si="376"/>
        <v>978.16</v>
      </c>
      <c r="T3398" s="6">
        <f t="shared" si="377"/>
        <v>1.0810810810810811E-2</v>
      </c>
      <c r="V3398" t="s">
        <v>29</v>
      </c>
    </row>
    <row r="3399" spans="1:22">
      <c r="A3399" s="3">
        <v>45799</v>
      </c>
      <c r="B3399" t="str">
        <f t="shared" si="371"/>
        <v>yyyy-05</v>
      </c>
      <c r="C3399">
        <f t="shared" si="372"/>
        <v>21</v>
      </c>
      <c r="D3399" t="s">
        <v>42</v>
      </c>
      <c r="E3399" t="s">
        <v>51</v>
      </c>
      <c r="F3399" t="s">
        <v>52</v>
      </c>
      <c r="G3399" t="s">
        <v>31</v>
      </c>
      <c r="H3399" t="s">
        <v>32</v>
      </c>
      <c r="I3399" s="5">
        <v>346</v>
      </c>
      <c r="J3399" s="5">
        <v>205</v>
      </c>
      <c r="K3399" s="5">
        <v>19</v>
      </c>
      <c r="L3399" s="5">
        <v>5</v>
      </c>
      <c r="M3399" s="5">
        <v>5</v>
      </c>
      <c r="N3399" s="7">
        <v>599.23</v>
      </c>
      <c r="O3399" s="7">
        <f t="shared" si="373"/>
        <v>2996.15</v>
      </c>
      <c r="P3399" s="4">
        <v>0</v>
      </c>
      <c r="Q3399" s="7">
        <f t="shared" si="374"/>
        <v>0</v>
      </c>
      <c r="R3399" s="7">
        <f t="shared" si="375"/>
        <v>2996.15</v>
      </c>
      <c r="S3399" s="7">
        <f t="shared" si="376"/>
        <v>599.23</v>
      </c>
      <c r="T3399" s="6">
        <f t="shared" si="377"/>
        <v>1.4450867052023121E-2</v>
      </c>
      <c r="V3399" t="s">
        <v>29</v>
      </c>
    </row>
    <row r="3400" spans="1:22">
      <c r="A3400" s="3">
        <v>45799</v>
      </c>
      <c r="B3400" t="str">
        <f t="shared" si="371"/>
        <v>yyyy-05</v>
      </c>
      <c r="C3400">
        <f t="shared" si="372"/>
        <v>21</v>
      </c>
      <c r="D3400" t="s">
        <v>53</v>
      </c>
      <c r="E3400" t="s">
        <v>54</v>
      </c>
      <c r="F3400" t="s">
        <v>55</v>
      </c>
      <c r="G3400" t="s">
        <v>36</v>
      </c>
      <c r="H3400" t="s">
        <v>37</v>
      </c>
      <c r="I3400" s="5">
        <v>202</v>
      </c>
      <c r="J3400" s="5">
        <v>115</v>
      </c>
      <c r="K3400" s="5">
        <v>13</v>
      </c>
      <c r="L3400" s="5">
        <v>3</v>
      </c>
      <c r="M3400" s="5">
        <v>3</v>
      </c>
      <c r="N3400" s="7">
        <v>1274.97</v>
      </c>
      <c r="O3400" s="7">
        <f t="shared" si="373"/>
        <v>3824.91</v>
      </c>
      <c r="P3400" s="4">
        <v>0.03</v>
      </c>
      <c r="Q3400" s="7">
        <f t="shared" si="374"/>
        <v>114.7473</v>
      </c>
      <c r="R3400" s="7">
        <f t="shared" si="375"/>
        <v>3710.1626999999999</v>
      </c>
      <c r="S3400" s="7">
        <f t="shared" si="376"/>
        <v>1236.7209</v>
      </c>
      <c r="T3400" s="6">
        <f t="shared" si="377"/>
        <v>1.4851485148514851E-2</v>
      </c>
      <c r="V3400" t="s">
        <v>29</v>
      </c>
    </row>
    <row r="3401" spans="1:22">
      <c r="A3401" s="3">
        <v>45799</v>
      </c>
      <c r="B3401" t="str">
        <f t="shared" si="371"/>
        <v>yyyy-05</v>
      </c>
      <c r="C3401">
        <f t="shared" si="372"/>
        <v>21</v>
      </c>
      <c r="D3401" t="s">
        <v>53</v>
      </c>
      <c r="E3401" t="s">
        <v>56</v>
      </c>
      <c r="F3401" t="s">
        <v>57</v>
      </c>
      <c r="G3401" t="s">
        <v>27</v>
      </c>
      <c r="H3401" t="s">
        <v>28</v>
      </c>
      <c r="I3401" s="5">
        <v>246</v>
      </c>
      <c r="J3401" s="5">
        <v>135</v>
      </c>
      <c r="K3401" s="5">
        <v>8</v>
      </c>
      <c r="L3401" s="5">
        <v>3</v>
      </c>
      <c r="M3401" s="5">
        <v>3</v>
      </c>
      <c r="N3401" s="7">
        <v>739.35</v>
      </c>
      <c r="O3401" s="7">
        <f t="shared" si="373"/>
        <v>2218.0500000000002</v>
      </c>
      <c r="P3401" s="4">
        <v>0.03</v>
      </c>
      <c r="Q3401" s="7">
        <f t="shared" si="374"/>
        <v>66.541499999999999</v>
      </c>
      <c r="R3401" s="7">
        <f t="shared" si="375"/>
        <v>2151.5085000000004</v>
      </c>
      <c r="S3401" s="7">
        <f t="shared" si="376"/>
        <v>717.16950000000008</v>
      </c>
      <c r="T3401" s="6">
        <f t="shared" si="377"/>
        <v>1.2195121951219513E-2</v>
      </c>
      <c r="V3401" t="s">
        <v>29</v>
      </c>
    </row>
    <row r="3402" spans="1:22">
      <c r="A3402" s="3">
        <v>45799</v>
      </c>
      <c r="B3402" t="str">
        <f t="shared" si="371"/>
        <v>yyyy-05</v>
      </c>
      <c r="C3402">
        <f t="shared" si="372"/>
        <v>21</v>
      </c>
      <c r="D3402" t="s">
        <v>53</v>
      </c>
      <c r="E3402" t="s">
        <v>56</v>
      </c>
      <c r="F3402" t="s">
        <v>58</v>
      </c>
      <c r="G3402" t="s">
        <v>31</v>
      </c>
      <c r="H3402" t="s">
        <v>32</v>
      </c>
      <c r="I3402" s="5">
        <v>267</v>
      </c>
      <c r="J3402" s="5">
        <v>166</v>
      </c>
      <c r="K3402" s="5">
        <v>12</v>
      </c>
      <c r="L3402" s="5">
        <v>2</v>
      </c>
      <c r="M3402" s="5">
        <v>2</v>
      </c>
      <c r="N3402" s="7">
        <v>863.08</v>
      </c>
      <c r="O3402" s="7">
        <f t="shared" si="373"/>
        <v>1726.16</v>
      </c>
      <c r="P3402" s="4">
        <v>0.03</v>
      </c>
      <c r="Q3402" s="7">
        <f t="shared" si="374"/>
        <v>51.784799999999997</v>
      </c>
      <c r="R3402" s="7">
        <f t="shared" si="375"/>
        <v>1674.3752000000002</v>
      </c>
      <c r="S3402" s="7">
        <f t="shared" si="376"/>
        <v>837.18760000000009</v>
      </c>
      <c r="T3402" s="6">
        <f t="shared" si="377"/>
        <v>7.4906367041198503E-3</v>
      </c>
      <c r="V3402" t="s">
        <v>78</v>
      </c>
    </row>
    <row r="3403" spans="1:22">
      <c r="A3403" s="3">
        <v>45799</v>
      </c>
      <c r="B3403" t="str">
        <f t="shared" si="371"/>
        <v>yyyy-05</v>
      </c>
      <c r="C3403">
        <f t="shared" si="372"/>
        <v>21</v>
      </c>
      <c r="D3403" t="s">
        <v>53</v>
      </c>
      <c r="E3403" t="s">
        <v>59</v>
      </c>
      <c r="F3403" t="s">
        <v>60</v>
      </c>
      <c r="G3403" t="s">
        <v>36</v>
      </c>
      <c r="H3403" t="s">
        <v>37</v>
      </c>
      <c r="I3403" s="5">
        <v>156</v>
      </c>
      <c r="J3403" s="5">
        <v>103</v>
      </c>
      <c r="K3403" s="5">
        <v>10</v>
      </c>
      <c r="L3403" s="5">
        <v>2</v>
      </c>
      <c r="M3403" s="5">
        <v>2</v>
      </c>
      <c r="N3403" s="7">
        <v>708</v>
      </c>
      <c r="O3403" s="7">
        <f t="shared" si="373"/>
        <v>1416</v>
      </c>
      <c r="P3403" s="4">
        <v>0</v>
      </c>
      <c r="Q3403" s="7">
        <f t="shared" si="374"/>
        <v>0</v>
      </c>
      <c r="R3403" s="7">
        <f t="shared" si="375"/>
        <v>1416</v>
      </c>
      <c r="S3403" s="7">
        <f t="shared" si="376"/>
        <v>708</v>
      </c>
      <c r="T3403" s="6">
        <f t="shared" si="377"/>
        <v>1.282051282051282E-2</v>
      </c>
      <c r="V3403" t="s">
        <v>29</v>
      </c>
    </row>
    <row r="3404" spans="1:22">
      <c r="A3404" s="3">
        <v>45799</v>
      </c>
      <c r="B3404" t="str">
        <f t="shared" si="371"/>
        <v>yyyy-05</v>
      </c>
      <c r="C3404">
        <f t="shared" si="372"/>
        <v>21</v>
      </c>
      <c r="D3404" t="s">
        <v>53</v>
      </c>
      <c r="E3404" t="s">
        <v>61</v>
      </c>
      <c r="F3404" t="s">
        <v>62</v>
      </c>
      <c r="G3404" t="s">
        <v>36</v>
      </c>
      <c r="H3404" t="s">
        <v>37</v>
      </c>
      <c r="I3404" s="5">
        <v>215</v>
      </c>
      <c r="J3404" s="5">
        <v>165</v>
      </c>
      <c r="K3404" s="5">
        <v>16</v>
      </c>
      <c r="L3404" s="5">
        <v>2</v>
      </c>
      <c r="M3404" s="5">
        <v>2</v>
      </c>
      <c r="N3404" s="7">
        <v>503.48</v>
      </c>
      <c r="O3404" s="7">
        <f t="shared" si="373"/>
        <v>1006.96</v>
      </c>
      <c r="P3404" s="4">
        <v>0</v>
      </c>
      <c r="Q3404" s="7">
        <f t="shared" si="374"/>
        <v>0</v>
      </c>
      <c r="R3404" s="7">
        <f t="shared" si="375"/>
        <v>1006.96</v>
      </c>
      <c r="S3404" s="7">
        <f t="shared" si="376"/>
        <v>503.48</v>
      </c>
      <c r="T3404" s="6">
        <f t="shared" si="377"/>
        <v>9.3023255813953487E-3</v>
      </c>
      <c r="V3404" t="s">
        <v>29</v>
      </c>
    </row>
    <row r="3405" spans="1:22">
      <c r="A3405" s="3">
        <v>45799</v>
      </c>
      <c r="B3405" t="str">
        <f t="shared" si="371"/>
        <v>yyyy-05</v>
      </c>
      <c r="C3405">
        <f t="shared" si="372"/>
        <v>21</v>
      </c>
      <c r="D3405" t="s">
        <v>53</v>
      </c>
      <c r="E3405" t="s">
        <v>64</v>
      </c>
      <c r="F3405" t="s">
        <v>65</v>
      </c>
      <c r="G3405" t="s">
        <v>36</v>
      </c>
      <c r="H3405" t="s">
        <v>37</v>
      </c>
      <c r="I3405" s="5">
        <v>207</v>
      </c>
      <c r="J3405" s="5">
        <v>153</v>
      </c>
      <c r="K3405" s="5">
        <v>14</v>
      </c>
      <c r="L3405" s="5">
        <v>3</v>
      </c>
      <c r="M3405" s="5">
        <v>3</v>
      </c>
      <c r="N3405" s="7">
        <v>810.33</v>
      </c>
      <c r="O3405" s="7">
        <f t="shared" si="373"/>
        <v>2430.9900000000002</v>
      </c>
      <c r="P3405" s="4">
        <v>0.12</v>
      </c>
      <c r="Q3405" s="7">
        <f t="shared" si="374"/>
        <v>291.71880000000004</v>
      </c>
      <c r="R3405" s="7">
        <f t="shared" si="375"/>
        <v>2139.2712000000001</v>
      </c>
      <c r="S3405" s="7">
        <f t="shared" si="376"/>
        <v>713.09040000000005</v>
      </c>
      <c r="T3405" s="6">
        <f t="shared" si="377"/>
        <v>1.4492753623188406E-2</v>
      </c>
      <c r="U3405" t="s">
        <v>97</v>
      </c>
      <c r="V3405" t="s">
        <v>29</v>
      </c>
    </row>
    <row r="3406" spans="1:22">
      <c r="A3406" s="3">
        <v>45799</v>
      </c>
      <c r="B3406" t="str">
        <f t="shared" si="371"/>
        <v>yyyy-05</v>
      </c>
      <c r="C3406">
        <f t="shared" si="372"/>
        <v>21</v>
      </c>
      <c r="D3406" t="s">
        <v>66</v>
      </c>
      <c r="E3406" t="s">
        <v>67</v>
      </c>
      <c r="F3406" t="s">
        <v>68</v>
      </c>
      <c r="G3406" t="s">
        <v>31</v>
      </c>
      <c r="H3406" t="s">
        <v>32</v>
      </c>
      <c r="I3406" s="5">
        <v>570</v>
      </c>
      <c r="J3406" s="5">
        <v>388</v>
      </c>
      <c r="K3406" s="5">
        <v>24</v>
      </c>
      <c r="L3406" s="5">
        <v>9</v>
      </c>
      <c r="M3406" s="5">
        <v>9</v>
      </c>
      <c r="N3406" s="7">
        <v>693.85</v>
      </c>
      <c r="O3406" s="7">
        <f t="shared" si="373"/>
        <v>6244.6500000000005</v>
      </c>
      <c r="P3406" s="4">
        <v>0</v>
      </c>
      <c r="Q3406" s="7">
        <f t="shared" si="374"/>
        <v>0</v>
      </c>
      <c r="R3406" s="7">
        <f t="shared" si="375"/>
        <v>6244.6500000000005</v>
      </c>
      <c r="S3406" s="7">
        <f t="shared" si="376"/>
        <v>693.85</v>
      </c>
      <c r="T3406" s="6">
        <f t="shared" si="377"/>
        <v>1.5789473684210527E-2</v>
      </c>
      <c r="V3406" t="s">
        <v>29</v>
      </c>
    </row>
    <row r="3407" spans="1:22">
      <c r="A3407" s="3">
        <v>45799</v>
      </c>
      <c r="B3407" t="str">
        <f t="shared" si="371"/>
        <v>yyyy-05</v>
      </c>
      <c r="C3407">
        <f t="shared" si="372"/>
        <v>21</v>
      </c>
      <c r="D3407" t="s">
        <v>66</v>
      </c>
      <c r="E3407" t="s">
        <v>67</v>
      </c>
      <c r="F3407" t="s">
        <v>69</v>
      </c>
      <c r="G3407" t="s">
        <v>27</v>
      </c>
      <c r="H3407" t="s">
        <v>45</v>
      </c>
      <c r="I3407" s="5">
        <v>388</v>
      </c>
      <c r="J3407" s="5">
        <v>239</v>
      </c>
      <c r="K3407" s="5">
        <v>34</v>
      </c>
      <c r="L3407" s="5">
        <v>8</v>
      </c>
      <c r="M3407" s="5">
        <v>8</v>
      </c>
      <c r="N3407" s="7">
        <v>397.07</v>
      </c>
      <c r="O3407" s="7">
        <f t="shared" si="373"/>
        <v>3176.56</v>
      </c>
      <c r="P3407" s="4">
        <v>0.05</v>
      </c>
      <c r="Q3407" s="7">
        <f t="shared" si="374"/>
        <v>158.828</v>
      </c>
      <c r="R3407" s="7">
        <f t="shared" si="375"/>
        <v>3017.732</v>
      </c>
      <c r="S3407" s="7">
        <f t="shared" si="376"/>
        <v>377.2165</v>
      </c>
      <c r="T3407" s="6">
        <f t="shared" si="377"/>
        <v>2.0618556701030927E-2</v>
      </c>
      <c r="V3407" t="s">
        <v>29</v>
      </c>
    </row>
    <row r="3408" spans="1:22">
      <c r="A3408" s="3">
        <v>45799</v>
      </c>
      <c r="B3408" t="str">
        <f t="shared" si="371"/>
        <v>yyyy-05</v>
      </c>
      <c r="C3408">
        <f t="shared" si="372"/>
        <v>21</v>
      </c>
      <c r="D3408" t="s">
        <v>66</v>
      </c>
      <c r="E3408" t="s">
        <v>67</v>
      </c>
      <c r="F3408" t="s">
        <v>70</v>
      </c>
      <c r="G3408" t="s">
        <v>27</v>
      </c>
      <c r="H3408" t="s">
        <v>45</v>
      </c>
      <c r="I3408" s="5">
        <v>379</v>
      </c>
      <c r="J3408" s="5">
        <v>258</v>
      </c>
      <c r="K3408" s="5">
        <v>28</v>
      </c>
      <c r="L3408" s="5">
        <v>6</v>
      </c>
      <c r="M3408" s="5">
        <v>6</v>
      </c>
      <c r="N3408" s="7">
        <v>338.9</v>
      </c>
      <c r="O3408" s="7">
        <f t="shared" si="373"/>
        <v>2033.3999999999999</v>
      </c>
      <c r="P3408" s="4">
        <v>0</v>
      </c>
      <c r="Q3408" s="7">
        <f t="shared" si="374"/>
        <v>0</v>
      </c>
      <c r="R3408" s="7">
        <f t="shared" si="375"/>
        <v>2033.3999999999999</v>
      </c>
      <c r="S3408" s="7">
        <f t="shared" si="376"/>
        <v>338.9</v>
      </c>
      <c r="T3408" s="6">
        <f t="shared" si="377"/>
        <v>1.5831134564643801E-2</v>
      </c>
      <c r="V3408" t="s">
        <v>29</v>
      </c>
    </row>
    <row r="3409" spans="1:22">
      <c r="A3409" s="3">
        <v>45799</v>
      </c>
      <c r="B3409" t="str">
        <f t="shared" si="371"/>
        <v>yyyy-05</v>
      </c>
      <c r="C3409">
        <f t="shared" si="372"/>
        <v>21</v>
      </c>
      <c r="D3409" t="s">
        <v>66</v>
      </c>
      <c r="E3409" t="s">
        <v>71</v>
      </c>
      <c r="F3409" t="s">
        <v>72</v>
      </c>
      <c r="G3409" t="s">
        <v>36</v>
      </c>
      <c r="H3409" t="s">
        <v>37</v>
      </c>
      <c r="I3409" s="5">
        <v>447</v>
      </c>
      <c r="J3409" s="5">
        <v>358</v>
      </c>
      <c r="K3409" s="5">
        <v>41</v>
      </c>
      <c r="L3409" s="5">
        <v>9</v>
      </c>
      <c r="M3409" s="5">
        <v>12</v>
      </c>
      <c r="N3409" s="7">
        <v>128.47</v>
      </c>
      <c r="O3409" s="7">
        <f t="shared" si="373"/>
        <v>1541.6399999999999</v>
      </c>
      <c r="P3409" s="4">
        <v>0</v>
      </c>
      <c r="Q3409" s="7">
        <f t="shared" si="374"/>
        <v>0</v>
      </c>
      <c r="R3409" s="7">
        <f t="shared" si="375"/>
        <v>1541.6399999999999</v>
      </c>
      <c r="S3409" s="7">
        <f t="shared" si="376"/>
        <v>171.29333333333332</v>
      </c>
      <c r="T3409" s="6">
        <f t="shared" si="377"/>
        <v>2.0134228187919462E-2</v>
      </c>
      <c r="V3409" t="s">
        <v>29</v>
      </c>
    </row>
    <row r="3410" spans="1:22">
      <c r="A3410" s="3">
        <v>45799</v>
      </c>
      <c r="B3410" t="str">
        <f t="shared" si="371"/>
        <v>yyyy-05</v>
      </c>
      <c r="C3410">
        <f t="shared" si="372"/>
        <v>21</v>
      </c>
      <c r="D3410" t="s">
        <v>66</v>
      </c>
      <c r="E3410" t="s">
        <v>73</v>
      </c>
      <c r="F3410" t="s">
        <v>74</v>
      </c>
      <c r="G3410" t="s">
        <v>27</v>
      </c>
      <c r="H3410" t="s">
        <v>28</v>
      </c>
      <c r="I3410" s="5">
        <v>252</v>
      </c>
      <c r="J3410" s="5">
        <v>202</v>
      </c>
      <c r="K3410" s="5">
        <v>21</v>
      </c>
      <c r="L3410" s="5">
        <v>5</v>
      </c>
      <c r="M3410" s="5">
        <v>5</v>
      </c>
      <c r="N3410" s="7">
        <v>1176.67</v>
      </c>
      <c r="O3410" s="7">
        <f t="shared" si="373"/>
        <v>5883.35</v>
      </c>
      <c r="P3410" s="4">
        <v>0.03</v>
      </c>
      <c r="Q3410" s="7">
        <f t="shared" si="374"/>
        <v>176.50050000000002</v>
      </c>
      <c r="R3410" s="7">
        <f t="shared" si="375"/>
        <v>5706.8495000000003</v>
      </c>
      <c r="S3410" s="7">
        <f t="shared" si="376"/>
        <v>1141.3699000000001</v>
      </c>
      <c r="T3410" s="6">
        <f t="shared" si="377"/>
        <v>1.984126984126984E-2</v>
      </c>
      <c r="V3410" t="s">
        <v>29</v>
      </c>
    </row>
    <row r="3411" spans="1:22">
      <c r="A3411" s="3">
        <v>45799</v>
      </c>
      <c r="B3411" t="str">
        <f t="shared" si="371"/>
        <v>yyyy-05</v>
      </c>
      <c r="C3411">
        <f t="shared" si="372"/>
        <v>21</v>
      </c>
      <c r="D3411" t="s">
        <v>66</v>
      </c>
      <c r="E3411" t="s">
        <v>71</v>
      </c>
      <c r="F3411" t="s">
        <v>75</v>
      </c>
      <c r="G3411" t="s">
        <v>31</v>
      </c>
      <c r="H3411" t="s">
        <v>32</v>
      </c>
      <c r="I3411" s="5">
        <v>415</v>
      </c>
      <c r="J3411" s="5">
        <v>323</v>
      </c>
      <c r="K3411" s="5">
        <v>29</v>
      </c>
      <c r="L3411" s="5">
        <v>8</v>
      </c>
      <c r="M3411" s="5">
        <v>9</v>
      </c>
      <c r="N3411" s="7">
        <v>38.99</v>
      </c>
      <c r="O3411" s="7">
        <f t="shared" si="373"/>
        <v>350.91</v>
      </c>
      <c r="P3411" s="4">
        <v>0</v>
      </c>
      <c r="Q3411" s="7">
        <f t="shared" si="374"/>
        <v>0</v>
      </c>
      <c r="R3411" s="7">
        <f t="shared" si="375"/>
        <v>350.91</v>
      </c>
      <c r="S3411" s="7">
        <f t="shared" si="376"/>
        <v>43.863750000000003</v>
      </c>
      <c r="T3411" s="6">
        <f t="shared" si="377"/>
        <v>1.9277108433734941E-2</v>
      </c>
      <c r="V3411" t="s">
        <v>29</v>
      </c>
    </row>
    <row r="3412" spans="1:22">
      <c r="A3412" s="3">
        <v>45799</v>
      </c>
      <c r="B3412" t="str">
        <f t="shared" si="371"/>
        <v>yyyy-05</v>
      </c>
      <c r="C3412">
        <f t="shared" si="372"/>
        <v>21</v>
      </c>
      <c r="D3412" t="s">
        <v>24</v>
      </c>
      <c r="E3412" t="s">
        <v>76</v>
      </c>
      <c r="F3412" t="s">
        <v>77</v>
      </c>
      <c r="G3412" t="s">
        <v>31</v>
      </c>
      <c r="H3412" t="s">
        <v>32</v>
      </c>
      <c r="I3412" s="5">
        <v>203</v>
      </c>
      <c r="J3412" s="5">
        <v>125</v>
      </c>
      <c r="K3412" s="5">
        <v>3</v>
      </c>
      <c r="L3412" s="5">
        <v>0</v>
      </c>
      <c r="M3412" s="5">
        <v>0</v>
      </c>
      <c r="N3412" s="7">
        <v>201.02</v>
      </c>
      <c r="O3412" s="7">
        <f t="shared" si="373"/>
        <v>0</v>
      </c>
      <c r="P3412" s="4">
        <v>0.1</v>
      </c>
      <c r="Q3412" s="7">
        <f t="shared" si="374"/>
        <v>0</v>
      </c>
      <c r="R3412" s="7">
        <f t="shared" si="375"/>
        <v>0</v>
      </c>
      <c r="S3412" s="7">
        <f t="shared" si="376"/>
        <v>0</v>
      </c>
      <c r="T3412" s="6">
        <f t="shared" si="377"/>
        <v>0</v>
      </c>
      <c r="U3412" t="s">
        <v>98</v>
      </c>
      <c r="V3412" t="s">
        <v>81</v>
      </c>
    </row>
    <row r="3413" spans="1:22">
      <c r="A3413" s="3">
        <v>45800</v>
      </c>
      <c r="B3413" t="str">
        <f t="shared" si="371"/>
        <v>yyyy-05</v>
      </c>
      <c r="C3413">
        <f t="shared" si="372"/>
        <v>21</v>
      </c>
      <c r="D3413" t="s">
        <v>24</v>
      </c>
      <c r="E3413" t="s">
        <v>25</v>
      </c>
      <c r="F3413" t="s">
        <v>26</v>
      </c>
      <c r="G3413" t="s">
        <v>27</v>
      </c>
      <c r="H3413" t="s">
        <v>63</v>
      </c>
      <c r="I3413" s="5">
        <v>1503</v>
      </c>
      <c r="J3413" s="5">
        <v>1242</v>
      </c>
      <c r="K3413" s="5">
        <v>119</v>
      </c>
      <c r="L3413" s="5">
        <v>23</v>
      </c>
      <c r="M3413" s="5">
        <v>23</v>
      </c>
      <c r="N3413" s="7">
        <v>995.01</v>
      </c>
      <c r="O3413" s="7">
        <f t="shared" si="373"/>
        <v>22885.23</v>
      </c>
      <c r="P3413" s="4">
        <v>0.03</v>
      </c>
      <c r="Q3413" s="7">
        <f t="shared" si="374"/>
        <v>686.55689999999993</v>
      </c>
      <c r="R3413" s="7">
        <f t="shared" si="375"/>
        <v>22198.6731</v>
      </c>
      <c r="S3413" s="7">
        <f t="shared" si="376"/>
        <v>965.15970000000004</v>
      </c>
      <c r="T3413" s="6">
        <f t="shared" si="377"/>
        <v>1.5302727877578177E-2</v>
      </c>
      <c r="V3413" t="s">
        <v>29</v>
      </c>
    </row>
    <row r="3414" spans="1:22">
      <c r="A3414" s="3">
        <v>45800</v>
      </c>
      <c r="B3414" t="str">
        <f t="shared" si="371"/>
        <v>yyyy-05</v>
      </c>
      <c r="C3414">
        <f t="shared" si="372"/>
        <v>21</v>
      </c>
      <c r="D3414" t="s">
        <v>24</v>
      </c>
      <c r="E3414" t="s">
        <v>25</v>
      </c>
      <c r="F3414" t="s">
        <v>30</v>
      </c>
      <c r="G3414" t="s">
        <v>31</v>
      </c>
      <c r="H3414" t="s">
        <v>32</v>
      </c>
      <c r="I3414" s="5">
        <v>1797</v>
      </c>
      <c r="J3414" s="5">
        <v>1387</v>
      </c>
      <c r="K3414" s="5">
        <v>119</v>
      </c>
      <c r="L3414" s="5">
        <v>28</v>
      </c>
      <c r="M3414" s="5">
        <v>28</v>
      </c>
      <c r="N3414" s="7">
        <v>386.95</v>
      </c>
      <c r="O3414" s="7">
        <f t="shared" si="373"/>
        <v>10834.6</v>
      </c>
      <c r="P3414" s="4">
        <v>0.03</v>
      </c>
      <c r="Q3414" s="7">
        <f t="shared" si="374"/>
        <v>325.03800000000001</v>
      </c>
      <c r="R3414" s="7">
        <f t="shared" si="375"/>
        <v>10509.562</v>
      </c>
      <c r="S3414" s="7">
        <f t="shared" si="376"/>
        <v>375.3415</v>
      </c>
      <c r="T3414" s="6">
        <f t="shared" si="377"/>
        <v>1.5581524763494713E-2</v>
      </c>
      <c r="V3414" t="s">
        <v>29</v>
      </c>
    </row>
    <row r="3415" spans="1:22">
      <c r="A3415" s="3">
        <v>45800</v>
      </c>
      <c r="B3415" t="str">
        <f t="shared" si="371"/>
        <v>yyyy-05</v>
      </c>
      <c r="C3415">
        <f t="shared" si="372"/>
        <v>21</v>
      </c>
      <c r="D3415" t="s">
        <v>24</v>
      </c>
      <c r="E3415" t="s">
        <v>25</v>
      </c>
      <c r="F3415" t="s">
        <v>33</v>
      </c>
      <c r="G3415" t="s">
        <v>31</v>
      </c>
      <c r="H3415" t="s">
        <v>32</v>
      </c>
      <c r="I3415" s="5">
        <v>2298</v>
      </c>
      <c r="J3415" s="5">
        <v>1224</v>
      </c>
      <c r="K3415" s="5">
        <v>179</v>
      </c>
      <c r="L3415" s="5">
        <v>36</v>
      </c>
      <c r="M3415" s="5">
        <v>36</v>
      </c>
      <c r="N3415" s="7">
        <v>1821.25</v>
      </c>
      <c r="O3415" s="7">
        <f t="shared" si="373"/>
        <v>65565</v>
      </c>
      <c r="P3415" s="4">
        <v>0.03</v>
      </c>
      <c r="Q3415" s="7">
        <f t="shared" si="374"/>
        <v>1966.9499999999998</v>
      </c>
      <c r="R3415" s="7">
        <f t="shared" si="375"/>
        <v>63598.05</v>
      </c>
      <c r="S3415" s="7">
        <f t="shared" si="376"/>
        <v>1766.6125000000002</v>
      </c>
      <c r="T3415" s="6">
        <f t="shared" si="377"/>
        <v>1.5665796344647518E-2</v>
      </c>
      <c r="V3415" t="s">
        <v>29</v>
      </c>
    </row>
    <row r="3416" spans="1:22">
      <c r="A3416" s="3">
        <v>45800</v>
      </c>
      <c r="B3416" t="str">
        <f t="shared" si="371"/>
        <v>yyyy-05</v>
      </c>
      <c r="C3416">
        <f t="shared" si="372"/>
        <v>21</v>
      </c>
      <c r="D3416" t="s">
        <v>24</v>
      </c>
      <c r="E3416" t="s">
        <v>34</v>
      </c>
      <c r="F3416" t="s">
        <v>35</v>
      </c>
      <c r="G3416" t="s">
        <v>31</v>
      </c>
      <c r="H3416" t="s">
        <v>32</v>
      </c>
      <c r="I3416" s="5">
        <v>979</v>
      </c>
      <c r="J3416" s="5">
        <v>667</v>
      </c>
      <c r="K3416" s="5">
        <v>51</v>
      </c>
      <c r="L3416" s="5">
        <v>18</v>
      </c>
      <c r="M3416" s="5">
        <v>18</v>
      </c>
      <c r="N3416" s="7">
        <v>892.22</v>
      </c>
      <c r="O3416" s="7">
        <f t="shared" si="373"/>
        <v>16059.960000000001</v>
      </c>
      <c r="P3416" s="4">
        <v>0</v>
      </c>
      <c r="Q3416" s="7">
        <f t="shared" si="374"/>
        <v>0</v>
      </c>
      <c r="R3416" s="7">
        <f t="shared" si="375"/>
        <v>16059.960000000001</v>
      </c>
      <c r="S3416" s="7">
        <f t="shared" si="376"/>
        <v>892.22</v>
      </c>
      <c r="T3416" s="6">
        <f t="shared" si="377"/>
        <v>1.8386108273748723E-2</v>
      </c>
      <c r="V3416" t="s">
        <v>29</v>
      </c>
    </row>
    <row r="3417" spans="1:22">
      <c r="A3417" s="3">
        <v>45800</v>
      </c>
      <c r="B3417" t="str">
        <f t="shared" si="371"/>
        <v>yyyy-05</v>
      </c>
      <c r="C3417">
        <f t="shared" si="372"/>
        <v>21</v>
      </c>
      <c r="D3417" t="s">
        <v>24</v>
      </c>
      <c r="E3417" t="s">
        <v>38</v>
      </c>
      <c r="F3417" t="s">
        <v>39</v>
      </c>
      <c r="G3417" t="s">
        <v>36</v>
      </c>
      <c r="H3417" t="s">
        <v>37</v>
      </c>
      <c r="I3417" s="5">
        <v>1265</v>
      </c>
      <c r="J3417" s="5">
        <v>728</v>
      </c>
      <c r="K3417" s="5">
        <v>94</v>
      </c>
      <c r="L3417" s="5">
        <v>19</v>
      </c>
      <c r="M3417" s="5">
        <v>19</v>
      </c>
      <c r="N3417" s="7">
        <v>316.49</v>
      </c>
      <c r="O3417" s="7">
        <f t="shared" si="373"/>
        <v>6013.31</v>
      </c>
      <c r="P3417" s="4">
        <v>0</v>
      </c>
      <c r="Q3417" s="7">
        <f t="shared" si="374"/>
        <v>0</v>
      </c>
      <c r="R3417" s="7">
        <f t="shared" si="375"/>
        <v>6013.31</v>
      </c>
      <c r="S3417" s="7">
        <f t="shared" si="376"/>
        <v>316.49</v>
      </c>
      <c r="T3417" s="6">
        <f t="shared" si="377"/>
        <v>1.5019762845849802E-2</v>
      </c>
      <c r="V3417" t="s">
        <v>78</v>
      </c>
    </row>
    <row r="3418" spans="1:22">
      <c r="A3418" s="3">
        <v>45800</v>
      </c>
      <c r="B3418" t="str">
        <f t="shared" si="371"/>
        <v>yyyy-05</v>
      </c>
      <c r="C3418">
        <f t="shared" si="372"/>
        <v>21</v>
      </c>
      <c r="D3418" t="s">
        <v>24</v>
      </c>
      <c r="E3418" t="s">
        <v>40</v>
      </c>
      <c r="F3418" t="s">
        <v>41</v>
      </c>
      <c r="G3418" t="s">
        <v>31</v>
      </c>
      <c r="H3418" t="s">
        <v>32</v>
      </c>
      <c r="I3418" s="5">
        <v>750</v>
      </c>
      <c r="J3418" s="5">
        <v>527</v>
      </c>
      <c r="K3418" s="5">
        <v>87</v>
      </c>
      <c r="L3418" s="5">
        <v>18</v>
      </c>
      <c r="M3418" s="5">
        <v>22</v>
      </c>
      <c r="N3418" s="7">
        <v>172.84</v>
      </c>
      <c r="O3418" s="7">
        <f t="shared" si="373"/>
        <v>3802.48</v>
      </c>
      <c r="P3418" s="4">
        <v>0</v>
      </c>
      <c r="Q3418" s="7">
        <f t="shared" si="374"/>
        <v>0</v>
      </c>
      <c r="R3418" s="7">
        <f t="shared" si="375"/>
        <v>3802.48</v>
      </c>
      <c r="S3418" s="7">
        <f t="shared" si="376"/>
        <v>211.2488888888889</v>
      </c>
      <c r="T3418" s="6">
        <f t="shared" si="377"/>
        <v>2.4E-2</v>
      </c>
      <c r="V3418" t="s">
        <v>29</v>
      </c>
    </row>
    <row r="3419" spans="1:22">
      <c r="A3419" s="3">
        <v>45800</v>
      </c>
      <c r="B3419" t="str">
        <f t="shared" si="371"/>
        <v>yyyy-05</v>
      </c>
      <c r="C3419">
        <f t="shared" si="372"/>
        <v>21</v>
      </c>
      <c r="D3419" t="s">
        <v>42</v>
      </c>
      <c r="E3419" t="s">
        <v>43</v>
      </c>
      <c r="F3419" t="s">
        <v>44</v>
      </c>
      <c r="G3419" t="s">
        <v>31</v>
      </c>
      <c r="H3419" t="s">
        <v>32</v>
      </c>
      <c r="I3419" s="5">
        <v>652</v>
      </c>
      <c r="J3419" s="5">
        <v>355</v>
      </c>
      <c r="K3419" s="5">
        <v>39</v>
      </c>
      <c r="L3419" s="5">
        <v>7</v>
      </c>
      <c r="M3419" s="5">
        <v>7</v>
      </c>
      <c r="N3419" s="7">
        <v>1302.4100000000001</v>
      </c>
      <c r="O3419" s="7">
        <f t="shared" si="373"/>
        <v>9116.8700000000008</v>
      </c>
      <c r="P3419" s="4">
        <v>0.03</v>
      </c>
      <c r="Q3419" s="7">
        <f t="shared" si="374"/>
        <v>273.5061</v>
      </c>
      <c r="R3419" s="7">
        <f t="shared" si="375"/>
        <v>8843.3639000000003</v>
      </c>
      <c r="S3419" s="7">
        <f t="shared" si="376"/>
        <v>1263.3377</v>
      </c>
      <c r="T3419" s="6">
        <f t="shared" si="377"/>
        <v>1.0736196319018405E-2</v>
      </c>
      <c r="V3419" t="s">
        <v>29</v>
      </c>
    </row>
    <row r="3420" spans="1:22">
      <c r="A3420" s="3">
        <v>45800</v>
      </c>
      <c r="B3420" t="str">
        <f t="shared" si="371"/>
        <v>yyyy-05</v>
      </c>
      <c r="C3420">
        <f t="shared" si="372"/>
        <v>21</v>
      </c>
      <c r="D3420" t="s">
        <v>42</v>
      </c>
      <c r="E3420" t="s">
        <v>43</v>
      </c>
      <c r="F3420" t="s">
        <v>46</v>
      </c>
      <c r="G3420" t="s">
        <v>27</v>
      </c>
      <c r="H3420" t="s">
        <v>45</v>
      </c>
      <c r="I3420" s="5">
        <v>459</v>
      </c>
      <c r="J3420" s="5">
        <v>325</v>
      </c>
      <c r="K3420" s="5">
        <v>21</v>
      </c>
      <c r="L3420" s="5">
        <v>6</v>
      </c>
      <c r="M3420" s="5">
        <v>6</v>
      </c>
      <c r="N3420" s="7">
        <v>2188.06</v>
      </c>
      <c r="O3420" s="7">
        <f t="shared" si="373"/>
        <v>13128.36</v>
      </c>
      <c r="P3420" s="4">
        <v>0.05</v>
      </c>
      <c r="Q3420" s="7">
        <f t="shared" si="374"/>
        <v>656.41800000000012</v>
      </c>
      <c r="R3420" s="7">
        <f t="shared" si="375"/>
        <v>12471.942000000001</v>
      </c>
      <c r="S3420" s="7">
        <f t="shared" si="376"/>
        <v>2078.6570000000002</v>
      </c>
      <c r="T3420" s="6">
        <f t="shared" si="377"/>
        <v>1.3071895424836602E-2</v>
      </c>
      <c r="V3420" t="s">
        <v>29</v>
      </c>
    </row>
    <row r="3421" spans="1:22">
      <c r="A3421" s="3">
        <v>45800</v>
      </c>
      <c r="B3421" t="str">
        <f t="shared" si="371"/>
        <v>yyyy-05</v>
      </c>
      <c r="C3421">
        <f t="shared" si="372"/>
        <v>21</v>
      </c>
      <c r="D3421" t="s">
        <v>42</v>
      </c>
      <c r="E3421" t="s">
        <v>43</v>
      </c>
      <c r="F3421" t="s">
        <v>47</v>
      </c>
      <c r="G3421" t="s">
        <v>27</v>
      </c>
      <c r="H3421" t="s">
        <v>45</v>
      </c>
      <c r="I3421" s="5">
        <v>504</v>
      </c>
      <c r="J3421" s="5">
        <v>385</v>
      </c>
      <c r="K3421" s="5">
        <v>41</v>
      </c>
      <c r="L3421" s="5">
        <v>6</v>
      </c>
      <c r="M3421" s="5">
        <v>6</v>
      </c>
      <c r="N3421" s="7">
        <v>587.29</v>
      </c>
      <c r="O3421" s="7">
        <f t="shared" si="373"/>
        <v>3523.74</v>
      </c>
      <c r="P3421" s="4">
        <v>0</v>
      </c>
      <c r="Q3421" s="7">
        <f t="shared" si="374"/>
        <v>0</v>
      </c>
      <c r="R3421" s="7">
        <f t="shared" si="375"/>
        <v>3523.74</v>
      </c>
      <c r="S3421" s="7">
        <f t="shared" si="376"/>
        <v>587.29</v>
      </c>
      <c r="T3421" s="6">
        <f t="shared" si="377"/>
        <v>1.1904761904761904E-2</v>
      </c>
      <c r="V3421" t="s">
        <v>29</v>
      </c>
    </row>
    <row r="3422" spans="1:22">
      <c r="A3422" s="3">
        <v>45800</v>
      </c>
      <c r="B3422" t="str">
        <f t="shared" si="371"/>
        <v>yyyy-05</v>
      </c>
      <c r="C3422">
        <f t="shared" si="372"/>
        <v>21</v>
      </c>
      <c r="D3422" t="s">
        <v>42</v>
      </c>
      <c r="E3422" t="s">
        <v>49</v>
      </c>
      <c r="F3422" t="s">
        <v>50</v>
      </c>
      <c r="G3422" t="s">
        <v>36</v>
      </c>
      <c r="H3422" t="s">
        <v>37</v>
      </c>
      <c r="I3422" s="5">
        <v>180</v>
      </c>
      <c r="J3422" s="5">
        <v>132</v>
      </c>
      <c r="K3422" s="5">
        <v>14</v>
      </c>
      <c r="L3422" s="5">
        <v>3</v>
      </c>
      <c r="M3422" s="5">
        <v>3</v>
      </c>
      <c r="N3422" s="7">
        <v>1011.88</v>
      </c>
      <c r="O3422" s="7">
        <f t="shared" si="373"/>
        <v>3035.64</v>
      </c>
      <c r="P3422" s="4">
        <v>0.05</v>
      </c>
      <c r="Q3422" s="7">
        <f t="shared" si="374"/>
        <v>151.78200000000001</v>
      </c>
      <c r="R3422" s="7">
        <f t="shared" si="375"/>
        <v>2883.8579999999997</v>
      </c>
      <c r="S3422" s="7">
        <f t="shared" si="376"/>
        <v>961.28599999999994</v>
      </c>
      <c r="T3422" s="6">
        <f t="shared" si="377"/>
        <v>1.6666666666666666E-2</v>
      </c>
      <c r="V3422" t="s">
        <v>29</v>
      </c>
    </row>
    <row r="3423" spans="1:22">
      <c r="A3423" s="3">
        <v>45800</v>
      </c>
      <c r="B3423" t="str">
        <f t="shared" si="371"/>
        <v>yyyy-05</v>
      </c>
      <c r="C3423">
        <f t="shared" si="372"/>
        <v>21</v>
      </c>
      <c r="D3423" t="s">
        <v>42</v>
      </c>
      <c r="E3423" t="s">
        <v>51</v>
      </c>
      <c r="F3423" t="s">
        <v>52</v>
      </c>
      <c r="G3423" t="s">
        <v>27</v>
      </c>
      <c r="H3423" t="s">
        <v>45</v>
      </c>
      <c r="I3423" s="5">
        <v>269</v>
      </c>
      <c r="J3423" s="5">
        <v>143</v>
      </c>
      <c r="K3423" s="5">
        <v>8</v>
      </c>
      <c r="L3423" s="5">
        <v>3</v>
      </c>
      <c r="M3423" s="5">
        <v>3</v>
      </c>
      <c r="N3423" s="7">
        <v>577.38</v>
      </c>
      <c r="O3423" s="7">
        <f t="shared" si="373"/>
        <v>1732.1399999999999</v>
      </c>
      <c r="P3423" s="4">
        <v>0.05</v>
      </c>
      <c r="Q3423" s="7">
        <f t="shared" si="374"/>
        <v>86.606999999999999</v>
      </c>
      <c r="R3423" s="7">
        <f t="shared" si="375"/>
        <v>1645.5329999999999</v>
      </c>
      <c r="S3423" s="7">
        <f t="shared" si="376"/>
        <v>548.51099999999997</v>
      </c>
      <c r="T3423" s="6">
        <f t="shared" si="377"/>
        <v>1.1152416356877323E-2</v>
      </c>
      <c r="V3423" t="s">
        <v>29</v>
      </c>
    </row>
    <row r="3424" spans="1:22">
      <c r="A3424" s="3">
        <v>45800</v>
      </c>
      <c r="B3424" t="str">
        <f t="shared" si="371"/>
        <v>yyyy-05</v>
      </c>
      <c r="C3424">
        <f t="shared" si="372"/>
        <v>21</v>
      </c>
      <c r="D3424" t="s">
        <v>53</v>
      </c>
      <c r="E3424" t="s">
        <v>54</v>
      </c>
      <c r="F3424" t="s">
        <v>55</v>
      </c>
      <c r="G3424" t="s">
        <v>27</v>
      </c>
      <c r="H3424" t="s">
        <v>45</v>
      </c>
      <c r="I3424" s="5">
        <v>124</v>
      </c>
      <c r="J3424" s="5">
        <v>64</v>
      </c>
      <c r="K3424" s="5">
        <v>7</v>
      </c>
      <c r="L3424" s="5">
        <v>1</v>
      </c>
      <c r="M3424" s="5">
        <v>1</v>
      </c>
      <c r="N3424" s="7">
        <v>1320.41</v>
      </c>
      <c r="O3424" s="7">
        <f t="shared" si="373"/>
        <v>1320.41</v>
      </c>
      <c r="P3424" s="4">
        <v>0</v>
      </c>
      <c r="Q3424" s="7">
        <f t="shared" si="374"/>
        <v>0</v>
      </c>
      <c r="R3424" s="7">
        <f t="shared" si="375"/>
        <v>1320.41</v>
      </c>
      <c r="S3424" s="7">
        <f t="shared" si="376"/>
        <v>1320.41</v>
      </c>
      <c r="T3424" s="6">
        <f t="shared" si="377"/>
        <v>8.0645161290322578E-3</v>
      </c>
      <c r="V3424" t="s">
        <v>29</v>
      </c>
    </row>
    <row r="3425" spans="1:22">
      <c r="A3425" s="3">
        <v>45800</v>
      </c>
      <c r="B3425" t="str">
        <f t="shared" si="371"/>
        <v>yyyy-05</v>
      </c>
      <c r="C3425">
        <f t="shared" si="372"/>
        <v>21</v>
      </c>
      <c r="D3425" t="s">
        <v>53</v>
      </c>
      <c r="E3425" t="s">
        <v>56</v>
      </c>
      <c r="F3425" t="s">
        <v>57</v>
      </c>
      <c r="G3425" t="s">
        <v>27</v>
      </c>
      <c r="H3425" t="s">
        <v>48</v>
      </c>
      <c r="I3425" s="5">
        <v>175</v>
      </c>
      <c r="J3425" s="5">
        <v>136</v>
      </c>
      <c r="K3425" s="5">
        <v>13</v>
      </c>
      <c r="L3425" s="5">
        <v>2</v>
      </c>
      <c r="M3425" s="5">
        <v>2</v>
      </c>
      <c r="N3425" s="7">
        <v>741.49</v>
      </c>
      <c r="O3425" s="7">
        <f t="shared" si="373"/>
        <v>1482.98</v>
      </c>
      <c r="P3425" s="4">
        <v>0</v>
      </c>
      <c r="Q3425" s="7">
        <f t="shared" si="374"/>
        <v>0</v>
      </c>
      <c r="R3425" s="7">
        <f t="shared" si="375"/>
        <v>1482.98</v>
      </c>
      <c r="S3425" s="7">
        <f t="shared" si="376"/>
        <v>741.49</v>
      </c>
      <c r="T3425" s="6">
        <f t="shared" si="377"/>
        <v>1.1428571428571429E-2</v>
      </c>
      <c r="V3425" t="s">
        <v>29</v>
      </c>
    </row>
    <row r="3426" spans="1:22">
      <c r="A3426" s="3">
        <v>45800</v>
      </c>
      <c r="B3426" t="str">
        <f t="shared" si="371"/>
        <v>yyyy-05</v>
      </c>
      <c r="C3426">
        <f t="shared" si="372"/>
        <v>21</v>
      </c>
      <c r="D3426" t="s">
        <v>53</v>
      </c>
      <c r="E3426" t="s">
        <v>56</v>
      </c>
      <c r="F3426" t="s">
        <v>58</v>
      </c>
      <c r="G3426" t="s">
        <v>31</v>
      </c>
      <c r="H3426" t="s">
        <v>32</v>
      </c>
      <c r="I3426" s="5">
        <v>195</v>
      </c>
      <c r="J3426" s="5">
        <v>134</v>
      </c>
      <c r="K3426" s="5">
        <v>9</v>
      </c>
      <c r="L3426" s="5">
        <v>2</v>
      </c>
      <c r="M3426" s="5">
        <v>2</v>
      </c>
      <c r="N3426" s="7">
        <v>878.17</v>
      </c>
      <c r="O3426" s="7">
        <f t="shared" si="373"/>
        <v>1756.34</v>
      </c>
      <c r="P3426" s="4">
        <v>0</v>
      </c>
      <c r="Q3426" s="7">
        <f t="shared" si="374"/>
        <v>0</v>
      </c>
      <c r="R3426" s="7">
        <f t="shared" si="375"/>
        <v>1756.34</v>
      </c>
      <c r="S3426" s="7">
        <f t="shared" si="376"/>
        <v>878.17</v>
      </c>
      <c r="T3426" s="6">
        <f t="shared" si="377"/>
        <v>1.0256410256410256E-2</v>
      </c>
      <c r="V3426" t="s">
        <v>29</v>
      </c>
    </row>
    <row r="3427" spans="1:22">
      <c r="A3427" s="3">
        <v>45800</v>
      </c>
      <c r="B3427" t="str">
        <f t="shared" si="371"/>
        <v>yyyy-05</v>
      </c>
      <c r="C3427">
        <f t="shared" si="372"/>
        <v>21</v>
      </c>
      <c r="D3427" t="s">
        <v>53</v>
      </c>
      <c r="E3427" t="s">
        <v>59</v>
      </c>
      <c r="F3427" t="s">
        <v>60</v>
      </c>
      <c r="G3427" t="s">
        <v>27</v>
      </c>
      <c r="H3427" t="s">
        <v>48</v>
      </c>
      <c r="I3427" s="5">
        <v>158</v>
      </c>
      <c r="J3427" s="5">
        <v>123</v>
      </c>
      <c r="K3427" s="5">
        <v>10</v>
      </c>
      <c r="L3427" s="5">
        <v>2</v>
      </c>
      <c r="M3427" s="5">
        <v>2</v>
      </c>
      <c r="N3427" s="7">
        <v>688.4</v>
      </c>
      <c r="O3427" s="7">
        <f t="shared" si="373"/>
        <v>1376.8</v>
      </c>
      <c r="P3427" s="4">
        <v>0</v>
      </c>
      <c r="Q3427" s="7">
        <f t="shared" si="374"/>
        <v>0</v>
      </c>
      <c r="R3427" s="7">
        <f t="shared" si="375"/>
        <v>1376.8</v>
      </c>
      <c r="S3427" s="7">
        <f t="shared" si="376"/>
        <v>688.4</v>
      </c>
      <c r="T3427" s="6">
        <f t="shared" si="377"/>
        <v>1.2658227848101266E-2</v>
      </c>
      <c r="V3427" t="s">
        <v>29</v>
      </c>
    </row>
    <row r="3428" spans="1:22">
      <c r="A3428" s="3">
        <v>45800</v>
      </c>
      <c r="B3428" t="str">
        <f t="shared" si="371"/>
        <v>yyyy-05</v>
      </c>
      <c r="C3428">
        <f t="shared" si="372"/>
        <v>21</v>
      </c>
      <c r="D3428" t="s">
        <v>53</v>
      </c>
      <c r="E3428" t="s">
        <v>61</v>
      </c>
      <c r="F3428" t="s">
        <v>62</v>
      </c>
      <c r="G3428" t="s">
        <v>31</v>
      </c>
      <c r="H3428" t="s">
        <v>32</v>
      </c>
      <c r="I3428" s="5">
        <v>218</v>
      </c>
      <c r="J3428" s="5">
        <v>140</v>
      </c>
      <c r="K3428" s="5">
        <v>13</v>
      </c>
      <c r="L3428" s="5">
        <v>3</v>
      </c>
      <c r="M3428" s="5">
        <v>3</v>
      </c>
      <c r="N3428" s="7">
        <v>495.4</v>
      </c>
      <c r="O3428" s="7">
        <f t="shared" si="373"/>
        <v>1486.1999999999998</v>
      </c>
      <c r="P3428" s="4">
        <v>0</v>
      </c>
      <c r="Q3428" s="7">
        <f t="shared" si="374"/>
        <v>0</v>
      </c>
      <c r="R3428" s="7">
        <f t="shared" si="375"/>
        <v>1486.1999999999998</v>
      </c>
      <c r="S3428" s="7">
        <f t="shared" si="376"/>
        <v>495.39999999999992</v>
      </c>
      <c r="T3428" s="6">
        <f t="shared" si="377"/>
        <v>1.3761467889908258E-2</v>
      </c>
      <c r="V3428" t="s">
        <v>29</v>
      </c>
    </row>
    <row r="3429" spans="1:22">
      <c r="A3429" s="3">
        <v>45800</v>
      </c>
      <c r="B3429" t="str">
        <f t="shared" si="371"/>
        <v>yyyy-05</v>
      </c>
      <c r="C3429">
        <f t="shared" si="372"/>
        <v>21</v>
      </c>
      <c r="D3429" t="s">
        <v>53</v>
      </c>
      <c r="E3429" t="s">
        <v>64</v>
      </c>
      <c r="F3429" t="s">
        <v>65</v>
      </c>
      <c r="G3429" t="s">
        <v>27</v>
      </c>
      <c r="H3429" t="s">
        <v>48</v>
      </c>
      <c r="I3429" s="5">
        <v>195</v>
      </c>
      <c r="J3429" s="5">
        <v>138</v>
      </c>
      <c r="K3429" s="5">
        <v>13</v>
      </c>
      <c r="L3429" s="5">
        <v>2</v>
      </c>
      <c r="M3429" s="5">
        <v>2</v>
      </c>
      <c r="N3429" s="7">
        <v>798.58</v>
      </c>
      <c r="O3429" s="7">
        <f t="shared" si="373"/>
        <v>1597.16</v>
      </c>
      <c r="P3429" s="4">
        <v>0.12</v>
      </c>
      <c r="Q3429" s="7">
        <f t="shared" si="374"/>
        <v>191.6592</v>
      </c>
      <c r="R3429" s="7">
        <f t="shared" si="375"/>
        <v>1405.5008</v>
      </c>
      <c r="S3429" s="7">
        <f t="shared" si="376"/>
        <v>702.75040000000001</v>
      </c>
      <c r="T3429" s="6">
        <f t="shared" si="377"/>
        <v>1.0256410256410256E-2</v>
      </c>
      <c r="U3429" t="s">
        <v>97</v>
      </c>
      <c r="V3429" t="s">
        <v>29</v>
      </c>
    </row>
    <row r="3430" spans="1:22">
      <c r="A3430" s="3">
        <v>45800</v>
      </c>
      <c r="B3430" t="str">
        <f t="shared" si="371"/>
        <v>yyyy-05</v>
      </c>
      <c r="C3430">
        <f t="shared" si="372"/>
        <v>21</v>
      </c>
      <c r="D3430" t="s">
        <v>66</v>
      </c>
      <c r="E3430" t="s">
        <v>67</v>
      </c>
      <c r="F3430" t="s">
        <v>68</v>
      </c>
      <c r="G3430" t="s">
        <v>36</v>
      </c>
      <c r="H3430" t="s">
        <v>37</v>
      </c>
      <c r="I3430" s="5">
        <v>445</v>
      </c>
      <c r="J3430" s="5">
        <v>349</v>
      </c>
      <c r="K3430" s="5">
        <v>43</v>
      </c>
      <c r="L3430" s="5">
        <v>9</v>
      </c>
      <c r="M3430" s="5">
        <v>9</v>
      </c>
      <c r="N3430" s="7">
        <v>706.6</v>
      </c>
      <c r="O3430" s="7">
        <f t="shared" si="373"/>
        <v>6359.4000000000005</v>
      </c>
      <c r="P3430" s="4">
        <v>0</v>
      </c>
      <c r="Q3430" s="7">
        <f t="shared" si="374"/>
        <v>0</v>
      </c>
      <c r="R3430" s="7">
        <f t="shared" si="375"/>
        <v>6359.4000000000005</v>
      </c>
      <c r="S3430" s="7">
        <f t="shared" si="376"/>
        <v>706.6</v>
      </c>
      <c r="T3430" s="6">
        <f t="shared" si="377"/>
        <v>2.0224719101123594E-2</v>
      </c>
      <c r="V3430" t="s">
        <v>29</v>
      </c>
    </row>
    <row r="3431" spans="1:22">
      <c r="A3431" s="3">
        <v>45800</v>
      </c>
      <c r="B3431" t="str">
        <f t="shared" si="371"/>
        <v>yyyy-05</v>
      </c>
      <c r="C3431">
        <f t="shared" si="372"/>
        <v>21</v>
      </c>
      <c r="D3431" t="s">
        <v>66</v>
      </c>
      <c r="E3431" t="s">
        <v>67</v>
      </c>
      <c r="F3431" t="s">
        <v>69</v>
      </c>
      <c r="G3431" t="s">
        <v>27</v>
      </c>
      <c r="H3431" t="s">
        <v>45</v>
      </c>
      <c r="I3431" s="5">
        <v>271</v>
      </c>
      <c r="J3431" s="5">
        <v>191</v>
      </c>
      <c r="K3431" s="5">
        <v>27</v>
      </c>
      <c r="L3431" s="5">
        <v>6</v>
      </c>
      <c r="M3431" s="5">
        <v>6</v>
      </c>
      <c r="N3431" s="7">
        <v>385.33</v>
      </c>
      <c r="O3431" s="7">
        <f t="shared" si="373"/>
        <v>2311.98</v>
      </c>
      <c r="P3431" s="4">
        <v>0.05</v>
      </c>
      <c r="Q3431" s="7">
        <f t="shared" si="374"/>
        <v>115.599</v>
      </c>
      <c r="R3431" s="7">
        <f t="shared" si="375"/>
        <v>2196.3809999999999</v>
      </c>
      <c r="S3431" s="7">
        <f t="shared" si="376"/>
        <v>366.06349999999998</v>
      </c>
      <c r="T3431" s="6">
        <f t="shared" si="377"/>
        <v>2.2140221402214021E-2</v>
      </c>
      <c r="V3431" t="s">
        <v>29</v>
      </c>
    </row>
    <row r="3432" spans="1:22">
      <c r="A3432" s="3">
        <v>45800</v>
      </c>
      <c r="B3432" t="str">
        <f t="shared" si="371"/>
        <v>yyyy-05</v>
      </c>
      <c r="C3432">
        <f t="shared" si="372"/>
        <v>21</v>
      </c>
      <c r="D3432" t="s">
        <v>66</v>
      </c>
      <c r="E3432" t="s">
        <v>67</v>
      </c>
      <c r="F3432" t="s">
        <v>70</v>
      </c>
      <c r="G3432" t="s">
        <v>27</v>
      </c>
      <c r="H3432" t="s">
        <v>63</v>
      </c>
      <c r="I3432" s="5">
        <v>302</v>
      </c>
      <c r="J3432" s="5">
        <v>206</v>
      </c>
      <c r="K3432" s="5">
        <v>25</v>
      </c>
      <c r="L3432" s="5">
        <v>6</v>
      </c>
      <c r="M3432" s="5">
        <v>6</v>
      </c>
      <c r="N3432" s="7">
        <v>349.12</v>
      </c>
      <c r="O3432" s="7">
        <f t="shared" si="373"/>
        <v>2094.7200000000003</v>
      </c>
      <c r="P3432" s="4">
        <v>0</v>
      </c>
      <c r="Q3432" s="7">
        <f t="shared" si="374"/>
        <v>0</v>
      </c>
      <c r="R3432" s="7">
        <f t="shared" si="375"/>
        <v>2094.7200000000003</v>
      </c>
      <c r="S3432" s="7">
        <f t="shared" si="376"/>
        <v>349.12000000000006</v>
      </c>
      <c r="T3432" s="6">
        <f t="shared" si="377"/>
        <v>1.9867549668874173E-2</v>
      </c>
      <c r="V3432" t="s">
        <v>29</v>
      </c>
    </row>
    <row r="3433" spans="1:22">
      <c r="A3433" s="3">
        <v>45800</v>
      </c>
      <c r="B3433" t="str">
        <f t="shared" si="371"/>
        <v>yyyy-05</v>
      </c>
      <c r="C3433">
        <f t="shared" si="372"/>
        <v>21</v>
      </c>
      <c r="D3433" t="s">
        <v>66</v>
      </c>
      <c r="E3433" t="s">
        <v>71</v>
      </c>
      <c r="F3433" t="s">
        <v>72</v>
      </c>
      <c r="G3433" t="s">
        <v>36</v>
      </c>
      <c r="H3433" t="s">
        <v>37</v>
      </c>
      <c r="I3433" s="5">
        <v>413</v>
      </c>
      <c r="J3433" s="5">
        <v>314</v>
      </c>
      <c r="K3433" s="5">
        <v>33</v>
      </c>
      <c r="L3433" s="5">
        <v>8</v>
      </c>
      <c r="M3433" s="5">
        <v>11</v>
      </c>
      <c r="N3433" s="7">
        <v>124.5</v>
      </c>
      <c r="O3433" s="7">
        <f t="shared" si="373"/>
        <v>1369.5</v>
      </c>
      <c r="P3433" s="4">
        <v>0.03</v>
      </c>
      <c r="Q3433" s="7">
        <f t="shared" si="374"/>
        <v>41.085000000000001</v>
      </c>
      <c r="R3433" s="7">
        <f t="shared" si="375"/>
        <v>1328.415</v>
      </c>
      <c r="S3433" s="7">
        <f t="shared" si="376"/>
        <v>166.051875</v>
      </c>
      <c r="T3433" s="6">
        <f t="shared" si="377"/>
        <v>1.9370460048426151E-2</v>
      </c>
      <c r="V3433" t="s">
        <v>29</v>
      </c>
    </row>
    <row r="3434" spans="1:22">
      <c r="A3434" s="3">
        <v>45800</v>
      </c>
      <c r="B3434" t="str">
        <f t="shared" si="371"/>
        <v>yyyy-05</v>
      </c>
      <c r="C3434">
        <f t="shared" si="372"/>
        <v>21</v>
      </c>
      <c r="D3434" t="s">
        <v>66</v>
      </c>
      <c r="E3434" t="s">
        <v>73</v>
      </c>
      <c r="F3434" t="s">
        <v>74</v>
      </c>
      <c r="G3434" t="s">
        <v>27</v>
      </c>
      <c r="H3434" t="s">
        <v>45</v>
      </c>
      <c r="I3434" s="5">
        <v>197</v>
      </c>
      <c r="J3434" s="5">
        <v>146</v>
      </c>
      <c r="K3434" s="5">
        <v>8</v>
      </c>
      <c r="L3434" s="5">
        <v>3</v>
      </c>
      <c r="M3434" s="5">
        <v>3</v>
      </c>
      <c r="N3434" s="7">
        <v>1193.97</v>
      </c>
      <c r="O3434" s="7">
        <f t="shared" si="373"/>
        <v>3581.91</v>
      </c>
      <c r="P3434" s="4">
        <v>0</v>
      </c>
      <c r="Q3434" s="7">
        <f t="shared" si="374"/>
        <v>0</v>
      </c>
      <c r="R3434" s="7">
        <f t="shared" si="375"/>
        <v>3581.91</v>
      </c>
      <c r="S3434" s="7">
        <f t="shared" si="376"/>
        <v>1193.97</v>
      </c>
      <c r="T3434" s="6">
        <f t="shared" si="377"/>
        <v>1.5228426395939087E-2</v>
      </c>
      <c r="V3434" t="s">
        <v>29</v>
      </c>
    </row>
    <row r="3435" spans="1:22">
      <c r="A3435" s="3">
        <v>45800</v>
      </c>
      <c r="B3435" t="str">
        <f t="shared" si="371"/>
        <v>yyyy-05</v>
      </c>
      <c r="C3435">
        <f t="shared" si="372"/>
        <v>21</v>
      </c>
      <c r="D3435" t="s">
        <v>66</v>
      </c>
      <c r="E3435" t="s">
        <v>71</v>
      </c>
      <c r="F3435" t="s">
        <v>75</v>
      </c>
      <c r="G3435" t="s">
        <v>31</v>
      </c>
      <c r="H3435" t="s">
        <v>32</v>
      </c>
      <c r="I3435" s="5">
        <v>346</v>
      </c>
      <c r="J3435" s="5">
        <v>264</v>
      </c>
      <c r="K3435" s="5">
        <v>24</v>
      </c>
      <c r="L3435" s="5">
        <v>6</v>
      </c>
      <c r="M3435" s="5">
        <v>7</v>
      </c>
      <c r="N3435" s="7">
        <v>37.81</v>
      </c>
      <c r="O3435" s="7">
        <f t="shared" si="373"/>
        <v>264.67</v>
      </c>
      <c r="P3435" s="4">
        <v>0</v>
      </c>
      <c r="Q3435" s="7">
        <f t="shared" si="374"/>
        <v>0</v>
      </c>
      <c r="R3435" s="7">
        <f t="shared" si="375"/>
        <v>264.67</v>
      </c>
      <c r="S3435" s="7">
        <f t="shared" si="376"/>
        <v>44.111666666666672</v>
      </c>
      <c r="T3435" s="6">
        <f t="shared" si="377"/>
        <v>1.7341040462427744E-2</v>
      </c>
      <c r="V3435" t="s">
        <v>29</v>
      </c>
    </row>
    <row r="3436" spans="1:22">
      <c r="A3436" s="3">
        <v>45800</v>
      </c>
      <c r="B3436" t="str">
        <f t="shared" si="371"/>
        <v>yyyy-05</v>
      </c>
      <c r="C3436">
        <f t="shared" si="372"/>
        <v>21</v>
      </c>
      <c r="D3436" t="s">
        <v>24</v>
      </c>
      <c r="E3436" t="s">
        <v>76</v>
      </c>
      <c r="F3436" t="s">
        <v>77</v>
      </c>
      <c r="G3436" t="s">
        <v>27</v>
      </c>
      <c r="H3436" t="s">
        <v>28</v>
      </c>
      <c r="I3436" s="5">
        <v>531</v>
      </c>
      <c r="J3436" s="5">
        <v>388</v>
      </c>
      <c r="K3436" s="5">
        <v>27</v>
      </c>
      <c r="L3436" s="5">
        <v>10</v>
      </c>
      <c r="M3436" s="5">
        <v>13</v>
      </c>
      <c r="N3436" s="7">
        <v>202.41</v>
      </c>
      <c r="O3436" s="7">
        <f t="shared" si="373"/>
        <v>2631.33</v>
      </c>
      <c r="P3436" s="4">
        <v>0.1</v>
      </c>
      <c r="Q3436" s="7">
        <f t="shared" si="374"/>
        <v>263.13299999999998</v>
      </c>
      <c r="R3436" s="7">
        <f t="shared" si="375"/>
        <v>2368.1970000000001</v>
      </c>
      <c r="S3436" s="7">
        <f t="shared" si="376"/>
        <v>236.81970000000001</v>
      </c>
      <c r="T3436" s="6">
        <f t="shared" si="377"/>
        <v>1.8832391713747645E-2</v>
      </c>
      <c r="U3436" t="s">
        <v>98</v>
      </c>
      <c r="V3436" t="s">
        <v>29</v>
      </c>
    </row>
    <row r="3437" spans="1:22">
      <c r="A3437" s="3">
        <v>45801</v>
      </c>
      <c r="B3437" t="str">
        <f t="shared" si="371"/>
        <v>yyyy-05</v>
      </c>
      <c r="C3437">
        <f t="shared" si="372"/>
        <v>21</v>
      </c>
      <c r="D3437" t="s">
        <v>24</v>
      </c>
      <c r="E3437" t="s">
        <v>25</v>
      </c>
      <c r="F3437" t="s">
        <v>26</v>
      </c>
      <c r="G3437" t="s">
        <v>31</v>
      </c>
      <c r="H3437" t="s">
        <v>32</v>
      </c>
      <c r="I3437" s="5">
        <v>2079</v>
      </c>
      <c r="J3437" s="5">
        <v>1700</v>
      </c>
      <c r="K3437" s="5">
        <v>169</v>
      </c>
      <c r="L3437" s="5">
        <v>39</v>
      </c>
      <c r="M3437" s="5">
        <v>39</v>
      </c>
      <c r="N3437" s="7">
        <v>1008.86</v>
      </c>
      <c r="O3437" s="7">
        <f t="shared" si="373"/>
        <v>39345.54</v>
      </c>
      <c r="P3437" s="4">
        <v>0.05</v>
      </c>
      <c r="Q3437" s="7">
        <f t="shared" si="374"/>
        <v>1967.277</v>
      </c>
      <c r="R3437" s="7">
        <f t="shared" si="375"/>
        <v>37378.262999999999</v>
      </c>
      <c r="S3437" s="7">
        <f t="shared" si="376"/>
        <v>958.41700000000003</v>
      </c>
      <c r="T3437" s="6">
        <f t="shared" si="377"/>
        <v>1.875901875901876E-2</v>
      </c>
      <c r="V3437" t="s">
        <v>29</v>
      </c>
    </row>
    <row r="3438" spans="1:22">
      <c r="A3438" s="3">
        <v>45801</v>
      </c>
      <c r="B3438" t="str">
        <f t="shared" si="371"/>
        <v>yyyy-05</v>
      </c>
      <c r="C3438">
        <f t="shared" si="372"/>
        <v>21</v>
      </c>
      <c r="D3438" t="s">
        <v>24</v>
      </c>
      <c r="E3438" t="s">
        <v>25</v>
      </c>
      <c r="F3438" t="s">
        <v>30</v>
      </c>
      <c r="G3438" t="s">
        <v>31</v>
      </c>
      <c r="H3438" t="s">
        <v>32</v>
      </c>
      <c r="I3438" s="5">
        <v>2430</v>
      </c>
      <c r="J3438" s="5">
        <v>1657</v>
      </c>
      <c r="K3438" s="5">
        <v>201</v>
      </c>
      <c r="L3438" s="5">
        <v>53</v>
      </c>
      <c r="M3438" s="5">
        <v>53</v>
      </c>
      <c r="N3438" s="7">
        <v>393.88</v>
      </c>
      <c r="O3438" s="7">
        <f t="shared" si="373"/>
        <v>20875.64</v>
      </c>
      <c r="P3438" s="4">
        <v>0</v>
      </c>
      <c r="Q3438" s="7">
        <f t="shared" si="374"/>
        <v>0</v>
      </c>
      <c r="R3438" s="7">
        <f t="shared" si="375"/>
        <v>20875.64</v>
      </c>
      <c r="S3438" s="7">
        <f t="shared" si="376"/>
        <v>393.88</v>
      </c>
      <c r="T3438" s="6">
        <f t="shared" si="377"/>
        <v>2.1810699588477367E-2</v>
      </c>
      <c r="V3438" t="s">
        <v>29</v>
      </c>
    </row>
    <row r="3439" spans="1:22">
      <c r="A3439" s="3">
        <v>45801</v>
      </c>
      <c r="B3439" t="str">
        <f t="shared" si="371"/>
        <v>yyyy-05</v>
      </c>
      <c r="C3439">
        <f t="shared" si="372"/>
        <v>21</v>
      </c>
      <c r="D3439" t="s">
        <v>24</v>
      </c>
      <c r="E3439" t="s">
        <v>25</v>
      </c>
      <c r="F3439" t="s">
        <v>33</v>
      </c>
      <c r="G3439" t="s">
        <v>31</v>
      </c>
      <c r="H3439" t="s">
        <v>32</v>
      </c>
      <c r="I3439" s="5">
        <v>2465</v>
      </c>
      <c r="J3439" s="5">
        <v>1975</v>
      </c>
      <c r="K3439" s="5">
        <v>200</v>
      </c>
      <c r="L3439" s="5">
        <v>61</v>
      </c>
      <c r="M3439" s="5">
        <v>61</v>
      </c>
      <c r="N3439" s="7">
        <v>1747.38</v>
      </c>
      <c r="O3439" s="7">
        <f t="shared" si="373"/>
        <v>106590.18000000001</v>
      </c>
      <c r="P3439" s="4">
        <v>0</v>
      </c>
      <c r="Q3439" s="7">
        <f t="shared" si="374"/>
        <v>0</v>
      </c>
      <c r="R3439" s="7">
        <f t="shared" si="375"/>
        <v>106590.18000000001</v>
      </c>
      <c r="S3439" s="7">
        <f t="shared" si="376"/>
        <v>1747.38</v>
      </c>
      <c r="T3439" s="6">
        <f t="shared" si="377"/>
        <v>2.4746450304259635E-2</v>
      </c>
      <c r="V3439" t="s">
        <v>29</v>
      </c>
    </row>
    <row r="3440" spans="1:22">
      <c r="A3440" s="3">
        <v>45801</v>
      </c>
      <c r="B3440" t="str">
        <f t="shared" si="371"/>
        <v>yyyy-05</v>
      </c>
      <c r="C3440">
        <f t="shared" si="372"/>
        <v>21</v>
      </c>
      <c r="D3440" t="s">
        <v>24</v>
      </c>
      <c r="E3440" t="s">
        <v>34</v>
      </c>
      <c r="F3440" t="s">
        <v>35</v>
      </c>
      <c r="G3440" t="s">
        <v>31</v>
      </c>
      <c r="H3440" t="s">
        <v>32</v>
      </c>
      <c r="I3440" s="5">
        <v>1626</v>
      </c>
      <c r="J3440" s="5">
        <v>1054</v>
      </c>
      <c r="K3440" s="5">
        <v>146</v>
      </c>
      <c r="L3440" s="5">
        <v>30</v>
      </c>
      <c r="M3440" s="5">
        <v>30</v>
      </c>
      <c r="N3440" s="7">
        <v>878.58</v>
      </c>
      <c r="O3440" s="7">
        <f t="shared" si="373"/>
        <v>26357.4</v>
      </c>
      <c r="P3440" s="4">
        <v>0</v>
      </c>
      <c r="Q3440" s="7">
        <f t="shared" si="374"/>
        <v>0</v>
      </c>
      <c r="R3440" s="7">
        <f t="shared" si="375"/>
        <v>26357.4</v>
      </c>
      <c r="S3440" s="7">
        <f t="shared" si="376"/>
        <v>878.58</v>
      </c>
      <c r="T3440" s="6">
        <f t="shared" si="377"/>
        <v>1.8450184501845018E-2</v>
      </c>
      <c r="V3440" t="s">
        <v>29</v>
      </c>
    </row>
    <row r="3441" spans="1:22">
      <c r="A3441" s="3">
        <v>45801</v>
      </c>
      <c r="B3441" t="str">
        <f t="shared" si="371"/>
        <v>yyyy-05</v>
      </c>
      <c r="C3441">
        <f t="shared" si="372"/>
        <v>21</v>
      </c>
      <c r="D3441" t="s">
        <v>24</v>
      </c>
      <c r="E3441" t="s">
        <v>38</v>
      </c>
      <c r="F3441" t="s">
        <v>39</v>
      </c>
      <c r="G3441" t="s">
        <v>31</v>
      </c>
      <c r="H3441" t="s">
        <v>32</v>
      </c>
      <c r="I3441" s="5">
        <v>1152</v>
      </c>
      <c r="J3441" s="5">
        <v>814</v>
      </c>
      <c r="K3441" s="5">
        <v>133</v>
      </c>
      <c r="L3441" s="5">
        <v>28</v>
      </c>
      <c r="M3441" s="5">
        <v>28</v>
      </c>
      <c r="N3441" s="7">
        <v>333.93</v>
      </c>
      <c r="O3441" s="7">
        <f t="shared" si="373"/>
        <v>9350.0400000000009</v>
      </c>
      <c r="P3441" s="4">
        <v>0</v>
      </c>
      <c r="Q3441" s="7">
        <f t="shared" si="374"/>
        <v>0</v>
      </c>
      <c r="R3441" s="7">
        <f t="shared" si="375"/>
        <v>9350.0400000000009</v>
      </c>
      <c r="S3441" s="7">
        <f t="shared" si="376"/>
        <v>333.93</v>
      </c>
      <c r="T3441" s="6">
        <f t="shared" si="377"/>
        <v>2.4305555555555556E-2</v>
      </c>
      <c r="V3441" t="s">
        <v>29</v>
      </c>
    </row>
    <row r="3442" spans="1:22">
      <c r="A3442" s="3">
        <v>45801</v>
      </c>
      <c r="B3442" t="str">
        <f t="shared" si="371"/>
        <v>yyyy-05</v>
      </c>
      <c r="C3442">
        <f t="shared" si="372"/>
        <v>21</v>
      </c>
      <c r="D3442" t="s">
        <v>24</v>
      </c>
      <c r="E3442" t="s">
        <v>40</v>
      </c>
      <c r="F3442" t="s">
        <v>41</v>
      </c>
      <c r="G3442" t="s">
        <v>27</v>
      </c>
      <c r="H3442" t="s">
        <v>48</v>
      </c>
      <c r="I3442" s="5">
        <v>621</v>
      </c>
      <c r="J3442" s="5">
        <v>475</v>
      </c>
      <c r="K3442" s="5">
        <v>49</v>
      </c>
      <c r="L3442" s="5">
        <v>11</v>
      </c>
      <c r="M3442" s="5">
        <v>12</v>
      </c>
      <c r="N3442" s="7">
        <v>172.17</v>
      </c>
      <c r="O3442" s="7">
        <f t="shared" si="373"/>
        <v>2066.04</v>
      </c>
      <c r="P3442" s="4">
        <v>0</v>
      </c>
      <c r="Q3442" s="7">
        <f t="shared" si="374"/>
        <v>0</v>
      </c>
      <c r="R3442" s="7">
        <f t="shared" si="375"/>
        <v>2066.04</v>
      </c>
      <c r="S3442" s="7">
        <f t="shared" si="376"/>
        <v>187.82181818181817</v>
      </c>
      <c r="T3442" s="6">
        <f t="shared" si="377"/>
        <v>1.7713365539452495E-2</v>
      </c>
      <c r="V3442" t="s">
        <v>29</v>
      </c>
    </row>
    <row r="3443" spans="1:22">
      <c r="A3443" s="3">
        <v>45801</v>
      </c>
      <c r="B3443" t="str">
        <f t="shared" si="371"/>
        <v>yyyy-05</v>
      </c>
      <c r="C3443">
        <f t="shared" si="372"/>
        <v>21</v>
      </c>
      <c r="D3443" t="s">
        <v>42</v>
      </c>
      <c r="E3443" t="s">
        <v>43</v>
      </c>
      <c r="F3443" t="s">
        <v>44</v>
      </c>
      <c r="G3443" t="s">
        <v>27</v>
      </c>
      <c r="H3443" t="s">
        <v>48</v>
      </c>
      <c r="I3443" s="5">
        <v>452</v>
      </c>
      <c r="J3443" s="5">
        <v>355</v>
      </c>
      <c r="K3443" s="5">
        <v>39</v>
      </c>
      <c r="L3443" s="5">
        <v>7</v>
      </c>
      <c r="M3443" s="5">
        <v>7</v>
      </c>
      <c r="N3443" s="7">
        <v>1284.58</v>
      </c>
      <c r="O3443" s="7">
        <f t="shared" si="373"/>
        <v>8992.06</v>
      </c>
      <c r="P3443" s="4">
        <v>0</v>
      </c>
      <c r="Q3443" s="7">
        <f t="shared" si="374"/>
        <v>0</v>
      </c>
      <c r="R3443" s="7">
        <f t="shared" si="375"/>
        <v>8992.06</v>
      </c>
      <c r="S3443" s="7">
        <f t="shared" si="376"/>
        <v>1284.58</v>
      </c>
      <c r="T3443" s="6">
        <f t="shared" si="377"/>
        <v>1.5486725663716814E-2</v>
      </c>
      <c r="V3443" t="s">
        <v>29</v>
      </c>
    </row>
    <row r="3444" spans="1:22">
      <c r="A3444" s="3">
        <v>45801</v>
      </c>
      <c r="B3444" t="str">
        <f t="shared" si="371"/>
        <v>yyyy-05</v>
      </c>
      <c r="C3444">
        <f t="shared" si="372"/>
        <v>21</v>
      </c>
      <c r="D3444" t="s">
        <v>42</v>
      </c>
      <c r="E3444" t="s">
        <v>43</v>
      </c>
      <c r="F3444" t="s">
        <v>46</v>
      </c>
      <c r="G3444" t="s">
        <v>27</v>
      </c>
      <c r="H3444" t="s">
        <v>45</v>
      </c>
      <c r="I3444" s="5">
        <v>716</v>
      </c>
      <c r="J3444" s="5">
        <v>439</v>
      </c>
      <c r="K3444" s="5">
        <v>27</v>
      </c>
      <c r="L3444" s="5">
        <v>12</v>
      </c>
      <c r="M3444" s="5">
        <v>12</v>
      </c>
      <c r="N3444" s="7">
        <v>2233.8200000000002</v>
      </c>
      <c r="O3444" s="7">
        <f t="shared" si="373"/>
        <v>26805.840000000004</v>
      </c>
      <c r="P3444" s="4">
        <v>0</v>
      </c>
      <c r="Q3444" s="7">
        <f t="shared" si="374"/>
        <v>0</v>
      </c>
      <c r="R3444" s="7">
        <f t="shared" si="375"/>
        <v>26805.840000000004</v>
      </c>
      <c r="S3444" s="7">
        <f t="shared" si="376"/>
        <v>2233.8200000000002</v>
      </c>
      <c r="T3444" s="6">
        <f t="shared" si="377"/>
        <v>1.6759776536312849E-2</v>
      </c>
      <c r="V3444" t="s">
        <v>29</v>
      </c>
    </row>
    <row r="3445" spans="1:22">
      <c r="A3445" s="3">
        <v>45801</v>
      </c>
      <c r="B3445" t="str">
        <f t="shared" si="371"/>
        <v>yyyy-05</v>
      </c>
      <c r="C3445">
        <f t="shared" si="372"/>
        <v>21</v>
      </c>
      <c r="D3445" t="s">
        <v>42</v>
      </c>
      <c r="E3445" t="s">
        <v>43</v>
      </c>
      <c r="F3445" t="s">
        <v>47</v>
      </c>
      <c r="G3445" t="s">
        <v>31</v>
      </c>
      <c r="H3445" t="s">
        <v>32</v>
      </c>
      <c r="I3445" s="5">
        <v>612</v>
      </c>
      <c r="J3445" s="5">
        <v>447</v>
      </c>
      <c r="K3445" s="5">
        <v>22</v>
      </c>
      <c r="L3445" s="5">
        <v>10</v>
      </c>
      <c r="M3445" s="5">
        <v>10</v>
      </c>
      <c r="N3445" s="7">
        <v>575.6</v>
      </c>
      <c r="O3445" s="7">
        <f t="shared" si="373"/>
        <v>5756</v>
      </c>
      <c r="P3445" s="4">
        <v>0</v>
      </c>
      <c r="Q3445" s="7">
        <f t="shared" si="374"/>
        <v>0</v>
      </c>
      <c r="R3445" s="7">
        <f t="shared" si="375"/>
        <v>5756</v>
      </c>
      <c r="S3445" s="7">
        <f t="shared" si="376"/>
        <v>575.6</v>
      </c>
      <c r="T3445" s="6">
        <f t="shared" si="377"/>
        <v>1.6339869281045753E-2</v>
      </c>
      <c r="V3445" t="s">
        <v>29</v>
      </c>
    </row>
    <row r="3446" spans="1:22">
      <c r="A3446" s="3">
        <v>45801</v>
      </c>
      <c r="B3446" t="str">
        <f t="shared" si="371"/>
        <v>yyyy-05</v>
      </c>
      <c r="C3446">
        <f t="shared" si="372"/>
        <v>21</v>
      </c>
      <c r="D3446" t="s">
        <v>42</v>
      </c>
      <c r="E3446" t="s">
        <v>49</v>
      </c>
      <c r="F3446" t="s">
        <v>50</v>
      </c>
      <c r="G3446" t="s">
        <v>31</v>
      </c>
      <c r="H3446" t="s">
        <v>32</v>
      </c>
      <c r="I3446" s="5">
        <v>195</v>
      </c>
      <c r="J3446" s="5">
        <v>110</v>
      </c>
      <c r="K3446" s="5">
        <v>15</v>
      </c>
      <c r="L3446" s="5">
        <v>3</v>
      </c>
      <c r="M3446" s="5">
        <v>3</v>
      </c>
      <c r="N3446" s="7">
        <v>986.8</v>
      </c>
      <c r="O3446" s="7">
        <f t="shared" si="373"/>
        <v>2960.3999999999996</v>
      </c>
      <c r="P3446" s="4">
        <v>0.05</v>
      </c>
      <c r="Q3446" s="7">
        <f t="shared" si="374"/>
        <v>148.01999999999998</v>
      </c>
      <c r="R3446" s="7">
        <f t="shared" si="375"/>
        <v>2812.3799999999997</v>
      </c>
      <c r="S3446" s="7">
        <f t="shared" si="376"/>
        <v>937.45999999999992</v>
      </c>
      <c r="T3446" s="6">
        <f t="shared" si="377"/>
        <v>1.5384615384615385E-2</v>
      </c>
      <c r="V3446" t="s">
        <v>29</v>
      </c>
    </row>
    <row r="3447" spans="1:22">
      <c r="A3447" s="3">
        <v>45801</v>
      </c>
      <c r="B3447" t="str">
        <f t="shared" si="371"/>
        <v>yyyy-05</v>
      </c>
      <c r="C3447">
        <f t="shared" si="372"/>
        <v>21</v>
      </c>
      <c r="D3447" t="s">
        <v>42</v>
      </c>
      <c r="E3447" t="s">
        <v>51</v>
      </c>
      <c r="F3447" t="s">
        <v>52</v>
      </c>
      <c r="G3447" t="s">
        <v>27</v>
      </c>
      <c r="H3447" t="s">
        <v>45</v>
      </c>
      <c r="I3447" s="5">
        <v>276</v>
      </c>
      <c r="J3447" s="5">
        <v>184</v>
      </c>
      <c r="K3447" s="5">
        <v>22</v>
      </c>
      <c r="L3447" s="5">
        <v>5</v>
      </c>
      <c r="M3447" s="5">
        <v>5</v>
      </c>
      <c r="N3447" s="7">
        <v>606.19000000000005</v>
      </c>
      <c r="O3447" s="7">
        <f t="shared" si="373"/>
        <v>3030.9500000000003</v>
      </c>
      <c r="P3447" s="4">
        <v>0</v>
      </c>
      <c r="Q3447" s="7">
        <f t="shared" si="374"/>
        <v>0</v>
      </c>
      <c r="R3447" s="7">
        <f t="shared" si="375"/>
        <v>3030.9500000000003</v>
      </c>
      <c r="S3447" s="7">
        <f t="shared" si="376"/>
        <v>606.19000000000005</v>
      </c>
      <c r="T3447" s="6">
        <f t="shared" si="377"/>
        <v>1.8115942028985508E-2</v>
      </c>
      <c r="V3447" t="s">
        <v>29</v>
      </c>
    </row>
    <row r="3448" spans="1:22">
      <c r="A3448" s="3">
        <v>45801</v>
      </c>
      <c r="B3448" t="str">
        <f t="shared" si="371"/>
        <v>yyyy-05</v>
      </c>
      <c r="C3448">
        <f t="shared" si="372"/>
        <v>21</v>
      </c>
      <c r="D3448" t="s">
        <v>53</v>
      </c>
      <c r="E3448" t="s">
        <v>54</v>
      </c>
      <c r="F3448" t="s">
        <v>55</v>
      </c>
      <c r="G3448" t="s">
        <v>36</v>
      </c>
      <c r="H3448" t="s">
        <v>37</v>
      </c>
      <c r="I3448" s="5">
        <v>208</v>
      </c>
      <c r="J3448" s="5">
        <v>141</v>
      </c>
      <c r="K3448" s="5">
        <v>14</v>
      </c>
      <c r="L3448" s="5">
        <v>2</v>
      </c>
      <c r="M3448" s="5">
        <v>2</v>
      </c>
      <c r="N3448" s="7">
        <v>1285.54</v>
      </c>
      <c r="O3448" s="7">
        <f t="shared" si="373"/>
        <v>2571.08</v>
      </c>
      <c r="P3448" s="4">
        <v>0.05</v>
      </c>
      <c r="Q3448" s="7">
        <f t="shared" si="374"/>
        <v>128.554</v>
      </c>
      <c r="R3448" s="7">
        <f t="shared" si="375"/>
        <v>2442.5259999999998</v>
      </c>
      <c r="S3448" s="7">
        <f t="shared" si="376"/>
        <v>1221.2629999999999</v>
      </c>
      <c r="T3448" s="6">
        <f t="shared" si="377"/>
        <v>9.6153846153846159E-3</v>
      </c>
      <c r="V3448" t="s">
        <v>29</v>
      </c>
    </row>
    <row r="3449" spans="1:22">
      <c r="A3449" s="3">
        <v>45801</v>
      </c>
      <c r="B3449" t="str">
        <f t="shared" si="371"/>
        <v>yyyy-05</v>
      </c>
      <c r="C3449">
        <f t="shared" si="372"/>
        <v>21</v>
      </c>
      <c r="D3449" t="s">
        <v>53</v>
      </c>
      <c r="E3449" t="s">
        <v>56</v>
      </c>
      <c r="F3449" t="s">
        <v>57</v>
      </c>
      <c r="G3449" t="s">
        <v>27</v>
      </c>
      <c r="H3449" t="s">
        <v>28</v>
      </c>
      <c r="I3449" s="5">
        <v>251</v>
      </c>
      <c r="J3449" s="5">
        <v>155</v>
      </c>
      <c r="K3449" s="5">
        <v>12</v>
      </c>
      <c r="L3449" s="5">
        <v>3</v>
      </c>
      <c r="M3449" s="5">
        <v>3</v>
      </c>
      <c r="N3449" s="7">
        <v>742.7</v>
      </c>
      <c r="O3449" s="7">
        <f t="shared" si="373"/>
        <v>2228.1000000000004</v>
      </c>
      <c r="P3449" s="4">
        <v>0</v>
      </c>
      <c r="Q3449" s="7">
        <f t="shared" si="374"/>
        <v>0</v>
      </c>
      <c r="R3449" s="7">
        <f t="shared" si="375"/>
        <v>2228.1000000000004</v>
      </c>
      <c r="S3449" s="7">
        <f t="shared" si="376"/>
        <v>742.70000000000016</v>
      </c>
      <c r="T3449" s="6">
        <f t="shared" si="377"/>
        <v>1.1952191235059761E-2</v>
      </c>
      <c r="V3449" t="s">
        <v>29</v>
      </c>
    </row>
    <row r="3450" spans="1:22">
      <c r="A3450" s="3">
        <v>45801</v>
      </c>
      <c r="B3450" t="str">
        <f t="shared" si="371"/>
        <v>yyyy-05</v>
      </c>
      <c r="C3450">
        <f t="shared" si="372"/>
        <v>21</v>
      </c>
      <c r="D3450" t="s">
        <v>53</v>
      </c>
      <c r="E3450" t="s">
        <v>56</v>
      </c>
      <c r="F3450" t="s">
        <v>58</v>
      </c>
      <c r="G3450" t="s">
        <v>27</v>
      </c>
      <c r="H3450" t="s">
        <v>28</v>
      </c>
      <c r="I3450" s="5">
        <v>232</v>
      </c>
      <c r="J3450" s="5">
        <v>144</v>
      </c>
      <c r="K3450" s="5">
        <v>10</v>
      </c>
      <c r="L3450" s="5">
        <v>3</v>
      </c>
      <c r="M3450" s="5">
        <v>3</v>
      </c>
      <c r="N3450" s="7">
        <v>892.92</v>
      </c>
      <c r="O3450" s="7">
        <f t="shared" si="373"/>
        <v>2678.7599999999998</v>
      </c>
      <c r="P3450" s="4">
        <v>0</v>
      </c>
      <c r="Q3450" s="7">
        <f t="shared" si="374"/>
        <v>0</v>
      </c>
      <c r="R3450" s="7">
        <f t="shared" si="375"/>
        <v>2678.7599999999998</v>
      </c>
      <c r="S3450" s="7">
        <f t="shared" si="376"/>
        <v>892.92</v>
      </c>
      <c r="T3450" s="6">
        <f t="shared" si="377"/>
        <v>1.2931034482758621E-2</v>
      </c>
      <c r="V3450" t="s">
        <v>29</v>
      </c>
    </row>
    <row r="3451" spans="1:22">
      <c r="A3451" s="3">
        <v>45801</v>
      </c>
      <c r="B3451" t="str">
        <f t="shared" si="371"/>
        <v>yyyy-05</v>
      </c>
      <c r="C3451">
        <f t="shared" si="372"/>
        <v>21</v>
      </c>
      <c r="D3451" t="s">
        <v>53</v>
      </c>
      <c r="E3451" t="s">
        <v>59</v>
      </c>
      <c r="F3451" t="s">
        <v>60</v>
      </c>
      <c r="G3451" t="s">
        <v>27</v>
      </c>
      <c r="H3451" t="s">
        <v>28</v>
      </c>
      <c r="I3451" s="5">
        <v>229</v>
      </c>
      <c r="J3451" s="5">
        <v>150</v>
      </c>
      <c r="K3451" s="5">
        <v>11</v>
      </c>
      <c r="L3451" s="5">
        <v>3</v>
      </c>
      <c r="M3451" s="5">
        <v>3</v>
      </c>
      <c r="N3451" s="7">
        <v>672.9</v>
      </c>
      <c r="O3451" s="7">
        <f t="shared" si="373"/>
        <v>2018.6999999999998</v>
      </c>
      <c r="P3451" s="4">
        <v>0.03</v>
      </c>
      <c r="Q3451" s="7">
        <f t="shared" si="374"/>
        <v>60.560999999999993</v>
      </c>
      <c r="R3451" s="7">
        <f t="shared" si="375"/>
        <v>1958.1389999999999</v>
      </c>
      <c r="S3451" s="7">
        <f t="shared" si="376"/>
        <v>652.71299999999997</v>
      </c>
      <c r="T3451" s="6">
        <f t="shared" si="377"/>
        <v>1.3100436681222707E-2</v>
      </c>
      <c r="V3451" t="s">
        <v>29</v>
      </c>
    </row>
    <row r="3452" spans="1:22">
      <c r="A3452" s="3">
        <v>45801</v>
      </c>
      <c r="B3452" t="str">
        <f t="shared" si="371"/>
        <v>yyyy-05</v>
      </c>
      <c r="C3452">
        <f t="shared" si="372"/>
        <v>21</v>
      </c>
      <c r="D3452" t="s">
        <v>53</v>
      </c>
      <c r="E3452" t="s">
        <v>61</v>
      </c>
      <c r="F3452" t="s">
        <v>62</v>
      </c>
      <c r="G3452" t="s">
        <v>31</v>
      </c>
      <c r="H3452" t="s">
        <v>32</v>
      </c>
      <c r="I3452" s="5">
        <v>329</v>
      </c>
      <c r="J3452" s="5">
        <v>201</v>
      </c>
      <c r="K3452" s="5">
        <v>18</v>
      </c>
      <c r="L3452" s="5">
        <v>4</v>
      </c>
      <c r="M3452" s="5">
        <v>4</v>
      </c>
      <c r="N3452" s="7">
        <v>500.69</v>
      </c>
      <c r="O3452" s="7">
        <f t="shared" si="373"/>
        <v>2002.76</v>
      </c>
      <c r="P3452" s="4">
        <v>0.03</v>
      </c>
      <c r="Q3452" s="7">
        <f t="shared" si="374"/>
        <v>60.082799999999999</v>
      </c>
      <c r="R3452" s="7">
        <f t="shared" si="375"/>
        <v>1942.6772000000001</v>
      </c>
      <c r="S3452" s="7">
        <f t="shared" si="376"/>
        <v>485.66930000000002</v>
      </c>
      <c r="T3452" s="6">
        <f t="shared" si="377"/>
        <v>1.2158054711246201E-2</v>
      </c>
      <c r="V3452" t="s">
        <v>29</v>
      </c>
    </row>
    <row r="3453" spans="1:22">
      <c r="A3453" s="3">
        <v>45801</v>
      </c>
      <c r="B3453" t="str">
        <f t="shared" si="371"/>
        <v>yyyy-05</v>
      </c>
      <c r="C3453">
        <f t="shared" si="372"/>
        <v>21</v>
      </c>
      <c r="D3453" t="s">
        <v>53</v>
      </c>
      <c r="E3453" t="s">
        <v>64</v>
      </c>
      <c r="F3453" t="s">
        <v>65</v>
      </c>
      <c r="G3453" t="s">
        <v>31</v>
      </c>
      <c r="H3453" t="s">
        <v>32</v>
      </c>
      <c r="I3453" s="5">
        <v>293</v>
      </c>
      <c r="J3453" s="5">
        <v>228</v>
      </c>
      <c r="K3453" s="5">
        <v>19</v>
      </c>
      <c r="L3453" s="5">
        <v>3</v>
      </c>
      <c r="M3453" s="5">
        <v>3</v>
      </c>
      <c r="N3453" s="7">
        <v>796</v>
      </c>
      <c r="O3453" s="7">
        <f t="shared" si="373"/>
        <v>2388</v>
      </c>
      <c r="P3453" s="4">
        <v>0.12</v>
      </c>
      <c r="Q3453" s="7">
        <f t="shared" si="374"/>
        <v>286.56</v>
      </c>
      <c r="R3453" s="7">
        <f t="shared" si="375"/>
        <v>2101.44</v>
      </c>
      <c r="S3453" s="7">
        <f t="shared" si="376"/>
        <v>700.48</v>
      </c>
      <c r="T3453" s="6">
        <f t="shared" si="377"/>
        <v>1.0238907849829351E-2</v>
      </c>
      <c r="U3453" t="s">
        <v>97</v>
      </c>
      <c r="V3453" t="s">
        <v>29</v>
      </c>
    </row>
    <row r="3454" spans="1:22">
      <c r="A3454" s="3">
        <v>45801</v>
      </c>
      <c r="B3454" t="str">
        <f t="shared" si="371"/>
        <v>yyyy-05</v>
      </c>
      <c r="C3454">
        <f t="shared" si="372"/>
        <v>21</v>
      </c>
      <c r="D3454" t="s">
        <v>66</v>
      </c>
      <c r="E3454" t="s">
        <v>67</v>
      </c>
      <c r="F3454" t="s">
        <v>68</v>
      </c>
      <c r="G3454" t="s">
        <v>31</v>
      </c>
      <c r="H3454" t="s">
        <v>32</v>
      </c>
      <c r="I3454" s="5">
        <v>554</v>
      </c>
      <c r="J3454" s="5">
        <v>310</v>
      </c>
      <c r="K3454" s="5">
        <v>33</v>
      </c>
      <c r="L3454" s="5">
        <v>11</v>
      </c>
      <c r="M3454" s="5">
        <v>11</v>
      </c>
      <c r="N3454" s="7">
        <v>700.9</v>
      </c>
      <c r="O3454" s="7">
        <f t="shared" si="373"/>
        <v>7709.9</v>
      </c>
      <c r="P3454" s="4">
        <v>0.05</v>
      </c>
      <c r="Q3454" s="7">
        <f t="shared" si="374"/>
        <v>385.495</v>
      </c>
      <c r="R3454" s="7">
        <f t="shared" si="375"/>
        <v>7324.4049999999997</v>
      </c>
      <c r="S3454" s="7">
        <f t="shared" si="376"/>
        <v>665.85500000000002</v>
      </c>
      <c r="T3454" s="6">
        <f t="shared" si="377"/>
        <v>1.9855595667870037E-2</v>
      </c>
      <c r="V3454" t="s">
        <v>29</v>
      </c>
    </row>
    <row r="3455" spans="1:22">
      <c r="A3455" s="3">
        <v>45801</v>
      </c>
      <c r="B3455" t="str">
        <f t="shared" si="371"/>
        <v>yyyy-05</v>
      </c>
      <c r="C3455">
        <f t="shared" si="372"/>
        <v>21</v>
      </c>
      <c r="D3455" t="s">
        <v>66</v>
      </c>
      <c r="E3455" t="s">
        <v>67</v>
      </c>
      <c r="F3455" t="s">
        <v>69</v>
      </c>
      <c r="G3455" t="s">
        <v>27</v>
      </c>
      <c r="H3455" t="s">
        <v>63</v>
      </c>
      <c r="I3455" s="5">
        <v>315</v>
      </c>
      <c r="J3455" s="5">
        <v>243</v>
      </c>
      <c r="K3455" s="5">
        <v>15</v>
      </c>
      <c r="L3455" s="5">
        <v>4</v>
      </c>
      <c r="M3455" s="5">
        <v>4</v>
      </c>
      <c r="N3455" s="7">
        <v>389.89</v>
      </c>
      <c r="O3455" s="7">
        <f t="shared" si="373"/>
        <v>1559.56</v>
      </c>
      <c r="P3455" s="4">
        <v>0</v>
      </c>
      <c r="Q3455" s="7">
        <f t="shared" si="374"/>
        <v>0</v>
      </c>
      <c r="R3455" s="7">
        <f t="shared" si="375"/>
        <v>1559.56</v>
      </c>
      <c r="S3455" s="7">
        <f t="shared" si="376"/>
        <v>389.89</v>
      </c>
      <c r="T3455" s="6">
        <f t="shared" si="377"/>
        <v>1.2698412698412698E-2</v>
      </c>
      <c r="V3455" t="s">
        <v>29</v>
      </c>
    </row>
    <row r="3456" spans="1:22">
      <c r="A3456" s="3">
        <v>45801</v>
      </c>
      <c r="B3456" t="str">
        <f t="shared" si="371"/>
        <v>yyyy-05</v>
      </c>
      <c r="C3456">
        <f t="shared" si="372"/>
        <v>21</v>
      </c>
      <c r="D3456" t="s">
        <v>66</v>
      </c>
      <c r="E3456" t="s">
        <v>67</v>
      </c>
      <c r="F3456" t="s">
        <v>70</v>
      </c>
      <c r="G3456" t="s">
        <v>31</v>
      </c>
      <c r="H3456" t="s">
        <v>32</v>
      </c>
      <c r="I3456" s="5">
        <v>533</v>
      </c>
      <c r="J3456" s="5">
        <v>327</v>
      </c>
      <c r="K3456" s="5">
        <v>37</v>
      </c>
      <c r="L3456" s="5">
        <v>11</v>
      </c>
      <c r="M3456" s="5">
        <v>11</v>
      </c>
      <c r="N3456" s="7">
        <v>339.51</v>
      </c>
      <c r="O3456" s="7">
        <f t="shared" si="373"/>
        <v>3734.6099999999997</v>
      </c>
      <c r="P3456" s="4">
        <v>0.03</v>
      </c>
      <c r="Q3456" s="7">
        <f t="shared" si="374"/>
        <v>112.03829999999999</v>
      </c>
      <c r="R3456" s="7">
        <f t="shared" si="375"/>
        <v>3622.5716999999995</v>
      </c>
      <c r="S3456" s="7">
        <f t="shared" si="376"/>
        <v>329.32469999999995</v>
      </c>
      <c r="T3456" s="6">
        <f t="shared" si="377"/>
        <v>2.0637898686679174E-2</v>
      </c>
      <c r="V3456" t="s">
        <v>29</v>
      </c>
    </row>
    <row r="3457" spans="1:22">
      <c r="A3457" s="3">
        <v>45801</v>
      </c>
      <c r="B3457" t="str">
        <f t="shared" si="371"/>
        <v>yyyy-05</v>
      </c>
      <c r="C3457">
        <f t="shared" si="372"/>
        <v>21</v>
      </c>
      <c r="D3457" t="s">
        <v>66</v>
      </c>
      <c r="E3457" t="s">
        <v>71</v>
      </c>
      <c r="F3457" t="s">
        <v>72</v>
      </c>
      <c r="G3457" t="s">
        <v>27</v>
      </c>
      <c r="H3457" t="s">
        <v>28</v>
      </c>
      <c r="I3457" s="5">
        <v>420</v>
      </c>
      <c r="J3457" s="5">
        <v>329</v>
      </c>
      <c r="K3457" s="5">
        <v>37</v>
      </c>
      <c r="L3457" s="5">
        <v>7</v>
      </c>
      <c r="M3457" s="5">
        <v>9</v>
      </c>
      <c r="N3457" s="7">
        <v>131.06</v>
      </c>
      <c r="O3457" s="7">
        <f t="shared" si="373"/>
        <v>1179.54</v>
      </c>
      <c r="P3457" s="4">
        <v>0.03</v>
      </c>
      <c r="Q3457" s="7">
        <f t="shared" si="374"/>
        <v>35.386199999999995</v>
      </c>
      <c r="R3457" s="7">
        <f t="shared" si="375"/>
        <v>1144.1538</v>
      </c>
      <c r="S3457" s="7">
        <f t="shared" si="376"/>
        <v>163.45054285714286</v>
      </c>
      <c r="T3457" s="6">
        <f t="shared" si="377"/>
        <v>1.6666666666666666E-2</v>
      </c>
      <c r="V3457" t="s">
        <v>29</v>
      </c>
    </row>
    <row r="3458" spans="1:22">
      <c r="A3458" s="3">
        <v>45801</v>
      </c>
      <c r="B3458" t="str">
        <f t="shared" si="371"/>
        <v>yyyy-05</v>
      </c>
      <c r="C3458">
        <f t="shared" si="372"/>
        <v>21</v>
      </c>
      <c r="D3458" t="s">
        <v>66</v>
      </c>
      <c r="E3458" t="s">
        <v>73</v>
      </c>
      <c r="F3458" t="s">
        <v>74</v>
      </c>
      <c r="G3458" t="s">
        <v>31</v>
      </c>
      <c r="H3458" t="s">
        <v>32</v>
      </c>
      <c r="I3458" s="5">
        <v>318</v>
      </c>
      <c r="J3458" s="5">
        <v>211</v>
      </c>
      <c r="K3458" s="5">
        <v>21</v>
      </c>
      <c r="L3458" s="5">
        <v>5</v>
      </c>
      <c r="M3458" s="5">
        <v>5</v>
      </c>
      <c r="N3458" s="7">
        <v>1208</v>
      </c>
      <c r="O3458" s="7">
        <f t="shared" si="373"/>
        <v>6040</v>
      </c>
      <c r="P3458" s="4">
        <v>0</v>
      </c>
      <c r="Q3458" s="7">
        <f t="shared" si="374"/>
        <v>0</v>
      </c>
      <c r="R3458" s="7">
        <f t="shared" si="375"/>
        <v>6040</v>
      </c>
      <c r="S3458" s="7">
        <f t="shared" si="376"/>
        <v>1208</v>
      </c>
      <c r="T3458" s="6">
        <f t="shared" si="377"/>
        <v>1.5723270440251572E-2</v>
      </c>
      <c r="V3458" t="s">
        <v>29</v>
      </c>
    </row>
    <row r="3459" spans="1:22">
      <c r="A3459" s="3">
        <v>45801</v>
      </c>
      <c r="B3459" t="str">
        <f t="shared" si="371"/>
        <v>yyyy-05</v>
      </c>
      <c r="C3459">
        <f t="shared" si="372"/>
        <v>21</v>
      </c>
      <c r="D3459" t="s">
        <v>66</v>
      </c>
      <c r="E3459" t="s">
        <v>71</v>
      </c>
      <c r="F3459" t="s">
        <v>75</v>
      </c>
      <c r="G3459" t="s">
        <v>36</v>
      </c>
      <c r="H3459" t="s">
        <v>37</v>
      </c>
      <c r="I3459" s="5">
        <v>383</v>
      </c>
      <c r="J3459" s="5">
        <v>283</v>
      </c>
      <c r="K3459" s="5">
        <v>36</v>
      </c>
      <c r="L3459" s="5">
        <v>8</v>
      </c>
      <c r="M3459" s="5">
        <v>10</v>
      </c>
      <c r="N3459" s="7">
        <v>39.159999999999997</v>
      </c>
      <c r="O3459" s="7">
        <f t="shared" si="373"/>
        <v>391.59999999999997</v>
      </c>
      <c r="P3459" s="4">
        <v>0</v>
      </c>
      <c r="Q3459" s="7">
        <f t="shared" si="374"/>
        <v>0</v>
      </c>
      <c r="R3459" s="7">
        <f t="shared" si="375"/>
        <v>391.59999999999997</v>
      </c>
      <c r="S3459" s="7">
        <f t="shared" si="376"/>
        <v>48.949999999999996</v>
      </c>
      <c r="T3459" s="6">
        <f t="shared" si="377"/>
        <v>2.0887728459530026E-2</v>
      </c>
      <c r="V3459" t="s">
        <v>29</v>
      </c>
    </row>
    <row r="3460" spans="1:22">
      <c r="A3460" s="3">
        <v>45801</v>
      </c>
      <c r="B3460" t="str">
        <f t="shared" si="371"/>
        <v>yyyy-05</v>
      </c>
      <c r="C3460">
        <f t="shared" si="372"/>
        <v>21</v>
      </c>
      <c r="D3460" t="s">
        <v>24</v>
      </c>
      <c r="E3460" t="s">
        <v>76</v>
      </c>
      <c r="F3460" t="s">
        <v>77</v>
      </c>
      <c r="G3460" t="s">
        <v>27</v>
      </c>
      <c r="H3460" t="s">
        <v>28</v>
      </c>
      <c r="I3460" s="5">
        <v>619</v>
      </c>
      <c r="J3460" s="5">
        <v>500</v>
      </c>
      <c r="K3460" s="5">
        <v>48</v>
      </c>
      <c r="L3460" s="5">
        <v>16</v>
      </c>
      <c r="M3460" s="5">
        <v>21</v>
      </c>
      <c r="N3460" s="7">
        <v>201.58</v>
      </c>
      <c r="O3460" s="7">
        <f t="shared" si="373"/>
        <v>4233.18</v>
      </c>
      <c r="P3460" s="4">
        <v>0.1</v>
      </c>
      <c r="Q3460" s="7">
        <f t="shared" si="374"/>
        <v>423.31800000000004</v>
      </c>
      <c r="R3460" s="7">
        <f t="shared" si="375"/>
        <v>3809.8620000000001</v>
      </c>
      <c r="S3460" s="7">
        <f t="shared" si="376"/>
        <v>238.11637500000001</v>
      </c>
      <c r="T3460" s="6">
        <f t="shared" si="377"/>
        <v>2.5848142164781908E-2</v>
      </c>
      <c r="U3460" t="s">
        <v>98</v>
      </c>
      <c r="V3460" t="s">
        <v>29</v>
      </c>
    </row>
    <row r="3461" spans="1:22">
      <c r="A3461" s="3">
        <v>45802</v>
      </c>
      <c r="B3461" t="str">
        <f t="shared" ref="B3461:B3524" si="378">TEXT(A3461,"yyyy-mm")</f>
        <v>yyyy-05</v>
      </c>
      <c r="C3461">
        <f t="shared" ref="C3461:C3524" si="379">WEEKNUM(A3461,2)</f>
        <v>21</v>
      </c>
      <c r="D3461" t="s">
        <v>24</v>
      </c>
      <c r="E3461" t="s">
        <v>25</v>
      </c>
      <c r="F3461" t="s">
        <v>26</v>
      </c>
      <c r="G3461" t="s">
        <v>31</v>
      </c>
      <c r="H3461" t="s">
        <v>32</v>
      </c>
      <c r="I3461" s="5">
        <v>1941</v>
      </c>
      <c r="J3461" s="5">
        <v>1283</v>
      </c>
      <c r="K3461" s="5">
        <v>133</v>
      </c>
      <c r="L3461" s="5">
        <v>50</v>
      </c>
      <c r="M3461" s="5">
        <v>50</v>
      </c>
      <c r="N3461" s="7">
        <v>1013.17</v>
      </c>
      <c r="O3461" s="7">
        <f t="shared" ref="O3461:O3524" si="380">M3461*N3461</f>
        <v>50658.5</v>
      </c>
      <c r="P3461" s="4">
        <v>0.03</v>
      </c>
      <c r="Q3461" s="7">
        <f t="shared" ref="Q3461:Q3524" si="381">O3461*P3461</f>
        <v>1519.7549999999999</v>
      </c>
      <c r="R3461" s="7">
        <f t="shared" ref="R3461:R3524" si="382">O3461-Q3461</f>
        <v>49138.745000000003</v>
      </c>
      <c r="S3461" s="7">
        <f t="shared" ref="S3461:S3524" si="383">IFERROR(R3461/L3461,0)</f>
        <v>982.7749</v>
      </c>
      <c r="T3461" s="6">
        <f t="shared" ref="T3461:T3524" si="384">IFERROR(L3461/I3461,0)</f>
        <v>2.575991756826378E-2</v>
      </c>
      <c r="V3461" t="s">
        <v>29</v>
      </c>
    </row>
    <row r="3462" spans="1:22">
      <c r="A3462" s="3">
        <v>45802</v>
      </c>
      <c r="B3462" t="str">
        <f t="shared" si="378"/>
        <v>yyyy-05</v>
      </c>
      <c r="C3462">
        <f t="shared" si="379"/>
        <v>21</v>
      </c>
      <c r="D3462" t="s">
        <v>24</v>
      </c>
      <c r="E3462" t="s">
        <v>25</v>
      </c>
      <c r="F3462" t="s">
        <v>30</v>
      </c>
      <c r="G3462" t="s">
        <v>27</v>
      </c>
      <c r="H3462" t="s">
        <v>28</v>
      </c>
      <c r="I3462" s="5">
        <v>1844</v>
      </c>
      <c r="J3462" s="5">
        <v>1079</v>
      </c>
      <c r="K3462" s="5">
        <v>75</v>
      </c>
      <c r="L3462" s="5">
        <v>30</v>
      </c>
      <c r="M3462" s="5">
        <v>30</v>
      </c>
      <c r="N3462" s="7">
        <v>397.45</v>
      </c>
      <c r="O3462" s="7">
        <f t="shared" si="380"/>
        <v>11923.5</v>
      </c>
      <c r="P3462" s="4">
        <v>0</v>
      </c>
      <c r="Q3462" s="7">
        <f t="shared" si="381"/>
        <v>0</v>
      </c>
      <c r="R3462" s="7">
        <f t="shared" si="382"/>
        <v>11923.5</v>
      </c>
      <c r="S3462" s="7">
        <f t="shared" si="383"/>
        <v>397.45</v>
      </c>
      <c r="T3462" s="6">
        <f t="shared" si="384"/>
        <v>1.6268980477223426E-2</v>
      </c>
      <c r="V3462" t="s">
        <v>29</v>
      </c>
    </row>
    <row r="3463" spans="1:22">
      <c r="A3463" s="3">
        <v>45802</v>
      </c>
      <c r="B3463" t="str">
        <f t="shared" si="378"/>
        <v>yyyy-05</v>
      </c>
      <c r="C3463">
        <f t="shared" si="379"/>
        <v>21</v>
      </c>
      <c r="D3463" t="s">
        <v>24</v>
      </c>
      <c r="E3463" t="s">
        <v>25</v>
      </c>
      <c r="F3463" t="s">
        <v>33</v>
      </c>
      <c r="G3463" t="s">
        <v>36</v>
      </c>
      <c r="H3463" t="s">
        <v>37</v>
      </c>
      <c r="I3463" s="5">
        <v>1786</v>
      </c>
      <c r="J3463" s="5">
        <v>1043</v>
      </c>
      <c r="K3463" s="5">
        <v>120</v>
      </c>
      <c r="L3463" s="5">
        <v>29</v>
      </c>
      <c r="M3463" s="5">
        <v>29</v>
      </c>
      <c r="N3463" s="7">
        <v>1806.68</v>
      </c>
      <c r="O3463" s="7">
        <f t="shared" si="380"/>
        <v>52393.72</v>
      </c>
      <c r="P3463" s="4">
        <v>0</v>
      </c>
      <c r="Q3463" s="7">
        <f t="shared" si="381"/>
        <v>0</v>
      </c>
      <c r="R3463" s="7">
        <f t="shared" si="382"/>
        <v>52393.72</v>
      </c>
      <c r="S3463" s="7">
        <f t="shared" si="383"/>
        <v>1806.68</v>
      </c>
      <c r="T3463" s="6">
        <f t="shared" si="384"/>
        <v>1.6237402015677492E-2</v>
      </c>
      <c r="V3463" t="s">
        <v>29</v>
      </c>
    </row>
    <row r="3464" spans="1:22">
      <c r="A3464" s="3">
        <v>45802</v>
      </c>
      <c r="B3464" t="str">
        <f t="shared" si="378"/>
        <v>yyyy-05</v>
      </c>
      <c r="C3464">
        <f t="shared" si="379"/>
        <v>21</v>
      </c>
      <c r="D3464" t="s">
        <v>24</v>
      </c>
      <c r="E3464" t="s">
        <v>34</v>
      </c>
      <c r="F3464" t="s">
        <v>35</v>
      </c>
      <c r="G3464" t="s">
        <v>27</v>
      </c>
      <c r="H3464" t="s">
        <v>48</v>
      </c>
      <c r="I3464" s="5">
        <v>954</v>
      </c>
      <c r="J3464" s="5">
        <v>660</v>
      </c>
      <c r="K3464" s="5">
        <v>72</v>
      </c>
      <c r="L3464" s="5">
        <v>18</v>
      </c>
      <c r="M3464" s="5">
        <v>18</v>
      </c>
      <c r="N3464" s="7">
        <v>876.84</v>
      </c>
      <c r="O3464" s="7">
        <f t="shared" si="380"/>
        <v>15783.12</v>
      </c>
      <c r="P3464" s="4">
        <v>0</v>
      </c>
      <c r="Q3464" s="7">
        <f t="shared" si="381"/>
        <v>0</v>
      </c>
      <c r="R3464" s="7">
        <f t="shared" si="382"/>
        <v>15783.12</v>
      </c>
      <c r="S3464" s="7">
        <f t="shared" si="383"/>
        <v>876.84</v>
      </c>
      <c r="T3464" s="6">
        <f t="shared" si="384"/>
        <v>1.8867924528301886E-2</v>
      </c>
      <c r="V3464" t="s">
        <v>29</v>
      </c>
    </row>
    <row r="3465" spans="1:22">
      <c r="A3465" s="3">
        <v>45802</v>
      </c>
      <c r="B3465" t="str">
        <f t="shared" si="378"/>
        <v>yyyy-05</v>
      </c>
      <c r="C3465">
        <f t="shared" si="379"/>
        <v>21</v>
      </c>
      <c r="D3465" t="s">
        <v>24</v>
      </c>
      <c r="E3465" t="s">
        <v>38</v>
      </c>
      <c r="F3465" t="s">
        <v>39</v>
      </c>
      <c r="G3465" t="s">
        <v>36</v>
      </c>
      <c r="H3465" t="s">
        <v>37</v>
      </c>
      <c r="I3465" s="5">
        <v>593</v>
      </c>
      <c r="J3465" s="5">
        <v>448</v>
      </c>
      <c r="K3465" s="5">
        <v>53</v>
      </c>
      <c r="L3465" s="5">
        <v>12</v>
      </c>
      <c r="M3465" s="5">
        <v>12</v>
      </c>
      <c r="N3465" s="7">
        <v>323.29000000000002</v>
      </c>
      <c r="O3465" s="7">
        <f t="shared" si="380"/>
        <v>3879.4800000000005</v>
      </c>
      <c r="P3465" s="4">
        <v>0</v>
      </c>
      <c r="Q3465" s="7">
        <f t="shared" si="381"/>
        <v>0</v>
      </c>
      <c r="R3465" s="7">
        <f t="shared" si="382"/>
        <v>3879.4800000000005</v>
      </c>
      <c r="S3465" s="7">
        <f t="shared" si="383"/>
        <v>323.29000000000002</v>
      </c>
      <c r="T3465" s="6">
        <f t="shared" si="384"/>
        <v>2.0236087689713321E-2</v>
      </c>
      <c r="V3465" t="s">
        <v>29</v>
      </c>
    </row>
    <row r="3466" spans="1:22">
      <c r="A3466" s="3">
        <v>45802</v>
      </c>
      <c r="B3466" t="str">
        <f t="shared" si="378"/>
        <v>yyyy-05</v>
      </c>
      <c r="C3466">
        <f t="shared" si="379"/>
        <v>21</v>
      </c>
      <c r="D3466" t="s">
        <v>24</v>
      </c>
      <c r="E3466" t="s">
        <v>40</v>
      </c>
      <c r="F3466" t="s">
        <v>41</v>
      </c>
      <c r="G3466" t="s">
        <v>27</v>
      </c>
      <c r="H3466" t="s">
        <v>45</v>
      </c>
      <c r="I3466" s="5">
        <v>996</v>
      </c>
      <c r="J3466" s="5">
        <v>687</v>
      </c>
      <c r="K3466" s="5">
        <v>78</v>
      </c>
      <c r="L3466" s="5">
        <v>17</v>
      </c>
      <c r="M3466" s="5">
        <v>21</v>
      </c>
      <c r="N3466" s="7">
        <v>177.63</v>
      </c>
      <c r="O3466" s="7">
        <f t="shared" si="380"/>
        <v>3730.23</v>
      </c>
      <c r="P3466" s="4">
        <v>0</v>
      </c>
      <c r="Q3466" s="7">
        <f t="shared" si="381"/>
        <v>0</v>
      </c>
      <c r="R3466" s="7">
        <f t="shared" si="382"/>
        <v>3730.23</v>
      </c>
      <c r="S3466" s="7">
        <f t="shared" si="383"/>
        <v>219.42529411764707</v>
      </c>
      <c r="T3466" s="6">
        <f t="shared" si="384"/>
        <v>1.7068273092369479E-2</v>
      </c>
      <c r="V3466" t="s">
        <v>29</v>
      </c>
    </row>
    <row r="3467" spans="1:22">
      <c r="A3467" s="3">
        <v>45802</v>
      </c>
      <c r="B3467" t="str">
        <f t="shared" si="378"/>
        <v>yyyy-05</v>
      </c>
      <c r="C3467">
        <f t="shared" si="379"/>
        <v>21</v>
      </c>
      <c r="D3467" t="s">
        <v>42</v>
      </c>
      <c r="E3467" t="s">
        <v>43</v>
      </c>
      <c r="F3467" t="s">
        <v>44</v>
      </c>
      <c r="G3467" t="s">
        <v>31</v>
      </c>
      <c r="H3467" t="s">
        <v>32</v>
      </c>
      <c r="I3467" s="5">
        <v>497</v>
      </c>
      <c r="J3467" s="5">
        <v>341</v>
      </c>
      <c r="K3467" s="5">
        <v>34</v>
      </c>
      <c r="L3467" s="5">
        <v>7</v>
      </c>
      <c r="M3467" s="5">
        <v>7</v>
      </c>
      <c r="N3467" s="7">
        <v>1257.46</v>
      </c>
      <c r="O3467" s="7">
        <f t="shared" si="380"/>
        <v>8802.2200000000012</v>
      </c>
      <c r="P3467" s="4">
        <v>0</v>
      </c>
      <c r="Q3467" s="7">
        <f t="shared" si="381"/>
        <v>0</v>
      </c>
      <c r="R3467" s="7">
        <f t="shared" si="382"/>
        <v>8802.2200000000012</v>
      </c>
      <c r="S3467" s="7">
        <f t="shared" si="383"/>
        <v>1257.4600000000003</v>
      </c>
      <c r="T3467" s="6">
        <f t="shared" si="384"/>
        <v>1.4084507042253521E-2</v>
      </c>
      <c r="V3467" t="s">
        <v>29</v>
      </c>
    </row>
    <row r="3468" spans="1:22">
      <c r="A3468" s="3">
        <v>45802</v>
      </c>
      <c r="B3468" t="str">
        <f t="shared" si="378"/>
        <v>yyyy-05</v>
      </c>
      <c r="C3468">
        <f t="shared" si="379"/>
        <v>21</v>
      </c>
      <c r="D3468" t="s">
        <v>42</v>
      </c>
      <c r="E3468" t="s">
        <v>43</v>
      </c>
      <c r="F3468" t="s">
        <v>46</v>
      </c>
      <c r="G3468" t="s">
        <v>36</v>
      </c>
      <c r="H3468" t="s">
        <v>37</v>
      </c>
      <c r="I3468" s="5">
        <v>650</v>
      </c>
      <c r="J3468" s="5">
        <v>377</v>
      </c>
      <c r="K3468" s="5">
        <v>39</v>
      </c>
      <c r="L3468" s="5">
        <v>7</v>
      </c>
      <c r="M3468" s="5">
        <v>7</v>
      </c>
      <c r="N3468" s="7">
        <v>2195.9899999999998</v>
      </c>
      <c r="O3468" s="7">
        <f t="shared" si="380"/>
        <v>15371.929999999998</v>
      </c>
      <c r="P3468" s="4">
        <v>0</v>
      </c>
      <c r="Q3468" s="7">
        <f t="shared" si="381"/>
        <v>0</v>
      </c>
      <c r="R3468" s="7">
        <f t="shared" si="382"/>
        <v>15371.929999999998</v>
      </c>
      <c r="S3468" s="7">
        <f t="shared" si="383"/>
        <v>2195.9899999999998</v>
      </c>
      <c r="T3468" s="6">
        <f t="shared" si="384"/>
        <v>1.0769230769230769E-2</v>
      </c>
      <c r="V3468" t="s">
        <v>29</v>
      </c>
    </row>
    <row r="3469" spans="1:22">
      <c r="A3469" s="3">
        <v>45802</v>
      </c>
      <c r="B3469" t="str">
        <f t="shared" si="378"/>
        <v>yyyy-05</v>
      </c>
      <c r="C3469">
        <f t="shared" si="379"/>
        <v>21</v>
      </c>
      <c r="D3469" t="s">
        <v>42</v>
      </c>
      <c r="E3469" t="s">
        <v>43</v>
      </c>
      <c r="F3469" t="s">
        <v>47</v>
      </c>
      <c r="G3469" t="s">
        <v>27</v>
      </c>
      <c r="H3469" t="s">
        <v>63</v>
      </c>
      <c r="I3469" s="5">
        <v>417</v>
      </c>
      <c r="J3469" s="5">
        <v>268</v>
      </c>
      <c r="K3469" s="5">
        <v>30</v>
      </c>
      <c r="L3469" s="5">
        <v>6</v>
      </c>
      <c r="M3469" s="5">
        <v>6</v>
      </c>
      <c r="N3469" s="7">
        <v>594.55999999999995</v>
      </c>
      <c r="O3469" s="7">
        <f t="shared" si="380"/>
        <v>3567.3599999999997</v>
      </c>
      <c r="P3469" s="4">
        <v>0</v>
      </c>
      <c r="Q3469" s="7">
        <f t="shared" si="381"/>
        <v>0</v>
      </c>
      <c r="R3469" s="7">
        <f t="shared" si="382"/>
        <v>3567.3599999999997</v>
      </c>
      <c r="S3469" s="7">
        <f t="shared" si="383"/>
        <v>594.55999999999995</v>
      </c>
      <c r="T3469" s="6">
        <f t="shared" si="384"/>
        <v>1.4388489208633094E-2</v>
      </c>
      <c r="V3469" t="s">
        <v>29</v>
      </c>
    </row>
    <row r="3470" spans="1:22">
      <c r="A3470" s="3">
        <v>45802</v>
      </c>
      <c r="B3470" t="str">
        <f t="shared" si="378"/>
        <v>yyyy-05</v>
      </c>
      <c r="C3470">
        <f t="shared" si="379"/>
        <v>21</v>
      </c>
      <c r="D3470" t="s">
        <v>42</v>
      </c>
      <c r="E3470" t="s">
        <v>49</v>
      </c>
      <c r="F3470" t="s">
        <v>50</v>
      </c>
      <c r="G3470" t="s">
        <v>27</v>
      </c>
      <c r="H3470" t="s">
        <v>63</v>
      </c>
      <c r="I3470" s="5">
        <v>131</v>
      </c>
      <c r="J3470" s="5">
        <v>78</v>
      </c>
      <c r="K3470" s="5">
        <v>5</v>
      </c>
      <c r="L3470" s="5">
        <v>2</v>
      </c>
      <c r="M3470" s="5">
        <v>2</v>
      </c>
      <c r="N3470" s="7">
        <v>1007.67</v>
      </c>
      <c r="O3470" s="7">
        <f t="shared" si="380"/>
        <v>2015.34</v>
      </c>
      <c r="P3470" s="4">
        <v>0</v>
      </c>
      <c r="Q3470" s="7">
        <f t="shared" si="381"/>
        <v>0</v>
      </c>
      <c r="R3470" s="7">
        <f t="shared" si="382"/>
        <v>2015.34</v>
      </c>
      <c r="S3470" s="7">
        <f t="shared" si="383"/>
        <v>1007.67</v>
      </c>
      <c r="T3470" s="6">
        <f t="shared" si="384"/>
        <v>1.5267175572519083E-2</v>
      </c>
      <c r="V3470" t="s">
        <v>29</v>
      </c>
    </row>
    <row r="3471" spans="1:22">
      <c r="A3471" s="3">
        <v>45802</v>
      </c>
      <c r="B3471" t="str">
        <f t="shared" si="378"/>
        <v>yyyy-05</v>
      </c>
      <c r="C3471">
        <f t="shared" si="379"/>
        <v>21</v>
      </c>
      <c r="D3471" t="s">
        <v>42</v>
      </c>
      <c r="E3471" t="s">
        <v>51</v>
      </c>
      <c r="F3471" t="s">
        <v>52</v>
      </c>
      <c r="G3471" t="s">
        <v>36</v>
      </c>
      <c r="H3471" t="s">
        <v>37</v>
      </c>
      <c r="I3471" s="5">
        <v>433</v>
      </c>
      <c r="J3471" s="5">
        <v>356</v>
      </c>
      <c r="K3471" s="5">
        <v>21</v>
      </c>
      <c r="L3471" s="5">
        <v>7</v>
      </c>
      <c r="M3471" s="5">
        <v>7</v>
      </c>
      <c r="N3471" s="7">
        <v>584.42999999999995</v>
      </c>
      <c r="O3471" s="7">
        <f t="shared" si="380"/>
        <v>4091.0099999999998</v>
      </c>
      <c r="P3471" s="4">
        <v>0.03</v>
      </c>
      <c r="Q3471" s="7">
        <f t="shared" si="381"/>
        <v>122.73029999999999</v>
      </c>
      <c r="R3471" s="7">
        <f t="shared" si="382"/>
        <v>3968.2796999999996</v>
      </c>
      <c r="S3471" s="7">
        <f t="shared" si="383"/>
        <v>566.89709999999991</v>
      </c>
      <c r="T3471" s="6">
        <f t="shared" si="384"/>
        <v>1.6166281755196306E-2</v>
      </c>
      <c r="V3471" t="s">
        <v>29</v>
      </c>
    </row>
    <row r="3472" spans="1:22">
      <c r="A3472" s="3">
        <v>45802</v>
      </c>
      <c r="B3472" t="str">
        <f t="shared" si="378"/>
        <v>yyyy-05</v>
      </c>
      <c r="C3472">
        <f t="shared" si="379"/>
        <v>21</v>
      </c>
      <c r="D3472" t="s">
        <v>53</v>
      </c>
      <c r="E3472" t="s">
        <v>54</v>
      </c>
      <c r="F3472" t="s">
        <v>55</v>
      </c>
      <c r="G3472" t="s">
        <v>31</v>
      </c>
      <c r="H3472" t="s">
        <v>32</v>
      </c>
      <c r="I3472" s="5">
        <v>248</v>
      </c>
      <c r="J3472" s="5">
        <v>164</v>
      </c>
      <c r="K3472" s="5">
        <v>16</v>
      </c>
      <c r="L3472" s="5">
        <v>3</v>
      </c>
      <c r="M3472" s="5">
        <v>3</v>
      </c>
      <c r="N3472" s="7">
        <v>1270.96</v>
      </c>
      <c r="O3472" s="7">
        <f t="shared" si="380"/>
        <v>3812.88</v>
      </c>
      <c r="P3472" s="4">
        <v>0</v>
      </c>
      <c r="Q3472" s="7">
        <f t="shared" si="381"/>
        <v>0</v>
      </c>
      <c r="R3472" s="7">
        <f t="shared" si="382"/>
        <v>3812.88</v>
      </c>
      <c r="S3472" s="7">
        <f t="shared" si="383"/>
        <v>1270.96</v>
      </c>
      <c r="T3472" s="6">
        <f t="shared" si="384"/>
        <v>1.2096774193548387E-2</v>
      </c>
      <c r="V3472" t="s">
        <v>29</v>
      </c>
    </row>
    <row r="3473" spans="1:22">
      <c r="A3473" s="3">
        <v>45802</v>
      </c>
      <c r="B3473" t="str">
        <f t="shared" si="378"/>
        <v>yyyy-05</v>
      </c>
      <c r="C3473">
        <f t="shared" si="379"/>
        <v>21</v>
      </c>
      <c r="D3473" t="s">
        <v>53</v>
      </c>
      <c r="E3473" t="s">
        <v>56</v>
      </c>
      <c r="F3473" t="s">
        <v>57</v>
      </c>
      <c r="G3473" t="s">
        <v>27</v>
      </c>
      <c r="H3473" t="s">
        <v>45</v>
      </c>
      <c r="I3473" s="5">
        <v>226</v>
      </c>
      <c r="J3473" s="5">
        <v>124</v>
      </c>
      <c r="K3473" s="5">
        <v>13</v>
      </c>
      <c r="L3473" s="5">
        <v>3</v>
      </c>
      <c r="M3473" s="5">
        <v>3</v>
      </c>
      <c r="N3473" s="7">
        <v>760.64</v>
      </c>
      <c r="O3473" s="7">
        <f t="shared" si="380"/>
        <v>2281.92</v>
      </c>
      <c r="P3473" s="4">
        <v>0</v>
      </c>
      <c r="Q3473" s="7">
        <f t="shared" si="381"/>
        <v>0</v>
      </c>
      <c r="R3473" s="7">
        <f t="shared" si="382"/>
        <v>2281.92</v>
      </c>
      <c r="S3473" s="7">
        <f t="shared" si="383"/>
        <v>760.64</v>
      </c>
      <c r="T3473" s="6">
        <f t="shared" si="384"/>
        <v>1.3274336283185841E-2</v>
      </c>
      <c r="V3473" t="s">
        <v>29</v>
      </c>
    </row>
    <row r="3474" spans="1:22">
      <c r="A3474" s="3">
        <v>45802</v>
      </c>
      <c r="B3474" t="str">
        <f t="shared" si="378"/>
        <v>yyyy-05</v>
      </c>
      <c r="C3474">
        <f t="shared" si="379"/>
        <v>21</v>
      </c>
      <c r="D3474" t="s">
        <v>53</v>
      </c>
      <c r="E3474" t="s">
        <v>56</v>
      </c>
      <c r="F3474" t="s">
        <v>58</v>
      </c>
      <c r="G3474" t="s">
        <v>27</v>
      </c>
      <c r="H3474" t="s">
        <v>45</v>
      </c>
      <c r="I3474" s="5">
        <v>311</v>
      </c>
      <c r="J3474" s="5">
        <v>230</v>
      </c>
      <c r="K3474" s="5">
        <v>11</v>
      </c>
      <c r="L3474" s="5">
        <v>4</v>
      </c>
      <c r="M3474" s="5">
        <v>4</v>
      </c>
      <c r="N3474" s="7">
        <v>876.35</v>
      </c>
      <c r="O3474" s="7">
        <f t="shared" si="380"/>
        <v>3505.4</v>
      </c>
      <c r="P3474" s="4">
        <v>0.03</v>
      </c>
      <c r="Q3474" s="7">
        <f t="shared" si="381"/>
        <v>105.16199999999999</v>
      </c>
      <c r="R3474" s="7">
        <f t="shared" si="382"/>
        <v>3400.2380000000003</v>
      </c>
      <c r="S3474" s="7">
        <f t="shared" si="383"/>
        <v>850.05950000000007</v>
      </c>
      <c r="T3474" s="6">
        <f t="shared" si="384"/>
        <v>1.2861736334405145E-2</v>
      </c>
      <c r="V3474" t="s">
        <v>29</v>
      </c>
    </row>
    <row r="3475" spans="1:22">
      <c r="A3475" s="3">
        <v>45802</v>
      </c>
      <c r="B3475" t="str">
        <f t="shared" si="378"/>
        <v>yyyy-05</v>
      </c>
      <c r="C3475">
        <f t="shared" si="379"/>
        <v>21</v>
      </c>
      <c r="D3475" t="s">
        <v>53</v>
      </c>
      <c r="E3475" t="s">
        <v>59</v>
      </c>
      <c r="F3475" t="s">
        <v>60</v>
      </c>
      <c r="G3475" t="s">
        <v>27</v>
      </c>
      <c r="H3475" t="s">
        <v>28</v>
      </c>
      <c r="I3475" s="5">
        <v>198</v>
      </c>
      <c r="J3475" s="5">
        <v>114</v>
      </c>
      <c r="K3475" s="5">
        <v>9</v>
      </c>
      <c r="L3475" s="5">
        <v>2</v>
      </c>
      <c r="M3475" s="5">
        <v>2</v>
      </c>
      <c r="N3475" s="7">
        <v>691.54</v>
      </c>
      <c r="O3475" s="7">
        <f t="shared" si="380"/>
        <v>1383.08</v>
      </c>
      <c r="P3475" s="4">
        <v>0</v>
      </c>
      <c r="Q3475" s="7">
        <f t="shared" si="381"/>
        <v>0</v>
      </c>
      <c r="R3475" s="7">
        <f t="shared" si="382"/>
        <v>1383.08</v>
      </c>
      <c r="S3475" s="7">
        <f t="shared" si="383"/>
        <v>691.54</v>
      </c>
      <c r="T3475" s="6">
        <f t="shared" si="384"/>
        <v>1.0101010101010102E-2</v>
      </c>
      <c r="V3475" t="s">
        <v>29</v>
      </c>
    </row>
    <row r="3476" spans="1:22">
      <c r="A3476" s="3">
        <v>45802</v>
      </c>
      <c r="B3476" t="str">
        <f t="shared" si="378"/>
        <v>yyyy-05</v>
      </c>
      <c r="C3476">
        <f t="shared" si="379"/>
        <v>21</v>
      </c>
      <c r="D3476" t="s">
        <v>53</v>
      </c>
      <c r="E3476" t="s">
        <v>61</v>
      </c>
      <c r="F3476" t="s">
        <v>62</v>
      </c>
      <c r="G3476" t="s">
        <v>36</v>
      </c>
      <c r="H3476" t="s">
        <v>37</v>
      </c>
      <c r="I3476" s="5">
        <v>283</v>
      </c>
      <c r="J3476" s="5">
        <v>189</v>
      </c>
      <c r="K3476" s="5">
        <v>16</v>
      </c>
      <c r="L3476" s="5">
        <v>3</v>
      </c>
      <c r="M3476" s="5">
        <v>3</v>
      </c>
      <c r="N3476" s="7">
        <v>481.19</v>
      </c>
      <c r="O3476" s="7">
        <f t="shared" si="380"/>
        <v>1443.57</v>
      </c>
      <c r="P3476" s="4">
        <v>0.03</v>
      </c>
      <c r="Q3476" s="7">
        <f t="shared" si="381"/>
        <v>43.307099999999998</v>
      </c>
      <c r="R3476" s="7">
        <f t="shared" si="382"/>
        <v>1400.2628999999999</v>
      </c>
      <c r="S3476" s="7">
        <f t="shared" si="383"/>
        <v>466.7543</v>
      </c>
      <c r="T3476" s="6">
        <f t="shared" si="384"/>
        <v>1.0600706713780919E-2</v>
      </c>
      <c r="V3476" t="s">
        <v>29</v>
      </c>
    </row>
    <row r="3477" spans="1:22">
      <c r="A3477" s="3">
        <v>45802</v>
      </c>
      <c r="B3477" t="str">
        <f t="shared" si="378"/>
        <v>yyyy-05</v>
      </c>
      <c r="C3477">
        <f t="shared" si="379"/>
        <v>21</v>
      </c>
      <c r="D3477" t="s">
        <v>53</v>
      </c>
      <c r="E3477" t="s">
        <v>64</v>
      </c>
      <c r="F3477" t="s">
        <v>65</v>
      </c>
      <c r="G3477" t="s">
        <v>27</v>
      </c>
      <c r="H3477" t="s">
        <v>48</v>
      </c>
      <c r="I3477" s="5">
        <v>91</v>
      </c>
      <c r="J3477" s="5">
        <v>49</v>
      </c>
      <c r="K3477" s="5">
        <v>6</v>
      </c>
      <c r="L3477" s="5">
        <v>1</v>
      </c>
      <c r="M3477" s="5">
        <v>1</v>
      </c>
      <c r="N3477" s="7">
        <v>768.17</v>
      </c>
      <c r="O3477" s="7">
        <f t="shared" si="380"/>
        <v>768.17</v>
      </c>
      <c r="P3477" s="4">
        <v>0.12</v>
      </c>
      <c r="Q3477" s="7">
        <f t="shared" si="381"/>
        <v>92.180399999999992</v>
      </c>
      <c r="R3477" s="7">
        <f t="shared" si="382"/>
        <v>675.9896</v>
      </c>
      <c r="S3477" s="7">
        <f t="shared" si="383"/>
        <v>675.9896</v>
      </c>
      <c r="T3477" s="6">
        <f t="shared" si="384"/>
        <v>1.098901098901099E-2</v>
      </c>
      <c r="U3477" t="s">
        <v>97</v>
      </c>
      <c r="V3477" t="s">
        <v>29</v>
      </c>
    </row>
    <row r="3478" spans="1:22">
      <c r="A3478" s="3">
        <v>45802</v>
      </c>
      <c r="B3478" t="str">
        <f t="shared" si="378"/>
        <v>yyyy-05</v>
      </c>
      <c r="C3478">
        <f t="shared" si="379"/>
        <v>21</v>
      </c>
      <c r="D3478" t="s">
        <v>66</v>
      </c>
      <c r="E3478" t="s">
        <v>67</v>
      </c>
      <c r="F3478" t="s">
        <v>68</v>
      </c>
      <c r="G3478" t="s">
        <v>27</v>
      </c>
      <c r="H3478" t="s">
        <v>28</v>
      </c>
      <c r="I3478" s="5">
        <v>464</v>
      </c>
      <c r="J3478" s="5">
        <v>267</v>
      </c>
      <c r="K3478" s="5">
        <v>46</v>
      </c>
      <c r="L3478" s="5">
        <v>10</v>
      </c>
      <c r="M3478" s="5">
        <v>10</v>
      </c>
      <c r="N3478" s="7">
        <v>696.53</v>
      </c>
      <c r="O3478" s="7">
        <f t="shared" si="380"/>
        <v>6965.2999999999993</v>
      </c>
      <c r="P3478" s="4">
        <v>0.03</v>
      </c>
      <c r="Q3478" s="7">
        <f t="shared" si="381"/>
        <v>208.95899999999997</v>
      </c>
      <c r="R3478" s="7">
        <f t="shared" si="382"/>
        <v>6756.3409999999994</v>
      </c>
      <c r="S3478" s="7">
        <f t="shared" si="383"/>
        <v>675.63409999999999</v>
      </c>
      <c r="T3478" s="6">
        <f t="shared" si="384"/>
        <v>2.1551724137931036E-2</v>
      </c>
      <c r="V3478" t="s">
        <v>29</v>
      </c>
    </row>
    <row r="3479" spans="1:22">
      <c r="A3479" s="3">
        <v>45802</v>
      </c>
      <c r="B3479" t="str">
        <f t="shared" si="378"/>
        <v>yyyy-05</v>
      </c>
      <c r="C3479">
        <f t="shared" si="379"/>
        <v>21</v>
      </c>
      <c r="D3479" t="s">
        <v>66</v>
      </c>
      <c r="E3479" t="s">
        <v>67</v>
      </c>
      <c r="F3479" t="s">
        <v>69</v>
      </c>
      <c r="G3479" t="s">
        <v>31</v>
      </c>
      <c r="H3479" t="s">
        <v>32</v>
      </c>
      <c r="I3479" s="5">
        <v>645</v>
      </c>
      <c r="J3479" s="5">
        <v>342</v>
      </c>
      <c r="K3479" s="5">
        <v>24</v>
      </c>
      <c r="L3479" s="5">
        <v>9</v>
      </c>
      <c r="M3479" s="5">
        <v>9</v>
      </c>
      <c r="N3479" s="7">
        <v>390.41</v>
      </c>
      <c r="O3479" s="7">
        <f t="shared" si="380"/>
        <v>3513.69</v>
      </c>
      <c r="P3479" s="4">
        <v>0</v>
      </c>
      <c r="Q3479" s="7">
        <f t="shared" si="381"/>
        <v>0</v>
      </c>
      <c r="R3479" s="7">
        <f t="shared" si="382"/>
        <v>3513.69</v>
      </c>
      <c r="S3479" s="7">
        <f t="shared" si="383"/>
        <v>390.41</v>
      </c>
      <c r="T3479" s="6">
        <f t="shared" si="384"/>
        <v>1.3953488372093023E-2</v>
      </c>
      <c r="V3479" t="s">
        <v>29</v>
      </c>
    </row>
    <row r="3480" spans="1:22">
      <c r="A3480" s="3">
        <v>45802</v>
      </c>
      <c r="B3480" t="str">
        <f t="shared" si="378"/>
        <v>yyyy-05</v>
      </c>
      <c r="C3480">
        <f t="shared" si="379"/>
        <v>21</v>
      </c>
      <c r="D3480" t="s">
        <v>66</v>
      </c>
      <c r="E3480" t="s">
        <v>67</v>
      </c>
      <c r="F3480" t="s">
        <v>70</v>
      </c>
      <c r="G3480" t="s">
        <v>27</v>
      </c>
      <c r="H3480" t="s">
        <v>63</v>
      </c>
      <c r="I3480" s="5">
        <v>378</v>
      </c>
      <c r="J3480" s="5">
        <v>284</v>
      </c>
      <c r="K3480" s="5">
        <v>25</v>
      </c>
      <c r="L3480" s="5">
        <v>7</v>
      </c>
      <c r="M3480" s="5">
        <v>7</v>
      </c>
      <c r="N3480" s="7">
        <v>350.92</v>
      </c>
      <c r="O3480" s="7">
        <f t="shared" si="380"/>
        <v>2456.44</v>
      </c>
      <c r="P3480" s="4">
        <v>0</v>
      </c>
      <c r="Q3480" s="7">
        <f t="shared" si="381"/>
        <v>0</v>
      </c>
      <c r="R3480" s="7">
        <f t="shared" si="382"/>
        <v>2456.44</v>
      </c>
      <c r="S3480" s="7">
        <f t="shared" si="383"/>
        <v>350.92</v>
      </c>
      <c r="T3480" s="6">
        <f t="shared" si="384"/>
        <v>1.8518518518518517E-2</v>
      </c>
      <c r="V3480" t="s">
        <v>29</v>
      </c>
    </row>
    <row r="3481" spans="1:22">
      <c r="A3481" s="3">
        <v>45802</v>
      </c>
      <c r="B3481" t="str">
        <f t="shared" si="378"/>
        <v>yyyy-05</v>
      </c>
      <c r="C3481">
        <f t="shared" si="379"/>
        <v>21</v>
      </c>
      <c r="D3481" t="s">
        <v>66</v>
      </c>
      <c r="E3481" t="s">
        <v>71</v>
      </c>
      <c r="F3481" t="s">
        <v>72</v>
      </c>
      <c r="G3481" t="s">
        <v>36</v>
      </c>
      <c r="H3481" t="s">
        <v>37</v>
      </c>
      <c r="I3481" s="5">
        <v>544</v>
      </c>
      <c r="J3481" s="5">
        <v>371</v>
      </c>
      <c r="K3481" s="5">
        <v>40</v>
      </c>
      <c r="L3481" s="5">
        <v>9</v>
      </c>
      <c r="M3481" s="5">
        <v>12</v>
      </c>
      <c r="N3481" s="7">
        <v>130.21</v>
      </c>
      <c r="O3481" s="7">
        <f t="shared" si="380"/>
        <v>1562.52</v>
      </c>
      <c r="P3481" s="4">
        <v>0.03</v>
      </c>
      <c r="Q3481" s="7">
        <f t="shared" si="381"/>
        <v>46.875599999999999</v>
      </c>
      <c r="R3481" s="7">
        <f t="shared" si="382"/>
        <v>1515.6443999999999</v>
      </c>
      <c r="S3481" s="7">
        <f t="shared" si="383"/>
        <v>168.40493333333333</v>
      </c>
      <c r="T3481" s="6">
        <f t="shared" si="384"/>
        <v>1.6544117647058824E-2</v>
      </c>
      <c r="V3481" t="s">
        <v>29</v>
      </c>
    </row>
    <row r="3482" spans="1:22">
      <c r="A3482" s="3">
        <v>45802</v>
      </c>
      <c r="B3482" t="str">
        <f t="shared" si="378"/>
        <v>yyyy-05</v>
      </c>
      <c r="C3482">
        <f t="shared" si="379"/>
        <v>21</v>
      </c>
      <c r="D3482" t="s">
        <v>66</v>
      </c>
      <c r="E3482" t="s">
        <v>73</v>
      </c>
      <c r="F3482" t="s">
        <v>74</v>
      </c>
      <c r="G3482" t="s">
        <v>27</v>
      </c>
      <c r="H3482" t="s">
        <v>48</v>
      </c>
      <c r="I3482" s="5">
        <v>231</v>
      </c>
      <c r="J3482" s="5">
        <v>142</v>
      </c>
      <c r="K3482" s="5">
        <v>22</v>
      </c>
      <c r="L3482" s="5">
        <v>5</v>
      </c>
      <c r="M3482" s="5">
        <v>5</v>
      </c>
      <c r="N3482" s="7">
        <v>1219.79</v>
      </c>
      <c r="O3482" s="7">
        <f t="shared" si="380"/>
        <v>6098.95</v>
      </c>
      <c r="P3482" s="4">
        <v>0.05</v>
      </c>
      <c r="Q3482" s="7">
        <f t="shared" si="381"/>
        <v>304.94749999999999</v>
      </c>
      <c r="R3482" s="7">
        <f t="shared" si="382"/>
        <v>5794.0024999999996</v>
      </c>
      <c r="S3482" s="7">
        <f t="shared" si="383"/>
        <v>1158.8004999999998</v>
      </c>
      <c r="T3482" s="6">
        <f t="shared" si="384"/>
        <v>2.1645021645021644E-2</v>
      </c>
      <c r="V3482" t="s">
        <v>29</v>
      </c>
    </row>
    <row r="3483" spans="1:22">
      <c r="A3483" s="3">
        <v>45802</v>
      </c>
      <c r="B3483" t="str">
        <f t="shared" si="378"/>
        <v>yyyy-05</v>
      </c>
      <c r="C3483">
        <f t="shared" si="379"/>
        <v>21</v>
      </c>
      <c r="D3483" t="s">
        <v>66</v>
      </c>
      <c r="E3483" t="s">
        <v>71</v>
      </c>
      <c r="F3483" t="s">
        <v>75</v>
      </c>
      <c r="G3483" t="s">
        <v>36</v>
      </c>
      <c r="H3483" t="s">
        <v>37</v>
      </c>
      <c r="I3483" s="5">
        <v>425</v>
      </c>
      <c r="J3483" s="5">
        <v>280</v>
      </c>
      <c r="K3483" s="5">
        <v>31</v>
      </c>
      <c r="L3483" s="5">
        <v>10</v>
      </c>
      <c r="M3483" s="5">
        <v>12</v>
      </c>
      <c r="N3483" s="7">
        <v>37.86</v>
      </c>
      <c r="O3483" s="7">
        <f t="shared" si="380"/>
        <v>454.32</v>
      </c>
      <c r="P3483" s="4">
        <v>0</v>
      </c>
      <c r="Q3483" s="7">
        <f t="shared" si="381"/>
        <v>0</v>
      </c>
      <c r="R3483" s="7">
        <f t="shared" si="382"/>
        <v>454.32</v>
      </c>
      <c r="S3483" s="7">
        <f t="shared" si="383"/>
        <v>45.432000000000002</v>
      </c>
      <c r="T3483" s="6">
        <f t="shared" si="384"/>
        <v>2.3529411764705882E-2</v>
      </c>
      <c r="V3483" t="s">
        <v>29</v>
      </c>
    </row>
    <row r="3484" spans="1:22">
      <c r="A3484" s="3">
        <v>45802</v>
      </c>
      <c r="B3484" t="str">
        <f t="shared" si="378"/>
        <v>yyyy-05</v>
      </c>
      <c r="C3484">
        <f t="shared" si="379"/>
        <v>21</v>
      </c>
      <c r="D3484" t="s">
        <v>24</v>
      </c>
      <c r="E3484" t="s">
        <v>76</v>
      </c>
      <c r="F3484" t="s">
        <v>77</v>
      </c>
      <c r="G3484" t="s">
        <v>31</v>
      </c>
      <c r="H3484" t="s">
        <v>32</v>
      </c>
      <c r="I3484" s="5">
        <v>780</v>
      </c>
      <c r="J3484" s="5">
        <v>434</v>
      </c>
      <c r="K3484" s="5">
        <v>99</v>
      </c>
      <c r="L3484" s="5">
        <v>23</v>
      </c>
      <c r="M3484" s="5">
        <v>27</v>
      </c>
      <c r="N3484" s="7">
        <v>193.71</v>
      </c>
      <c r="O3484" s="7">
        <f t="shared" si="380"/>
        <v>5230.17</v>
      </c>
      <c r="P3484" s="4">
        <v>0.1</v>
      </c>
      <c r="Q3484" s="7">
        <f t="shared" si="381"/>
        <v>523.01700000000005</v>
      </c>
      <c r="R3484" s="7">
        <f t="shared" si="382"/>
        <v>4707.1530000000002</v>
      </c>
      <c r="S3484" s="7">
        <f t="shared" si="383"/>
        <v>204.65882608695654</v>
      </c>
      <c r="T3484" s="6">
        <f t="shared" si="384"/>
        <v>2.9487179487179487E-2</v>
      </c>
      <c r="U3484" t="s">
        <v>98</v>
      </c>
      <c r="V3484" t="s">
        <v>29</v>
      </c>
    </row>
    <row r="3485" spans="1:22">
      <c r="A3485" s="3">
        <v>45803</v>
      </c>
      <c r="B3485" t="str">
        <f t="shared" si="378"/>
        <v>yyyy-05</v>
      </c>
      <c r="C3485">
        <f t="shared" si="379"/>
        <v>22</v>
      </c>
      <c r="D3485" t="s">
        <v>24</v>
      </c>
      <c r="E3485" t="s">
        <v>25</v>
      </c>
      <c r="F3485" t="s">
        <v>26</v>
      </c>
      <c r="G3485" t="s">
        <v>31</v>
      </c>
      <c r="H3485" t="s">
        <v>32</v>
      </c>
      <c r="I3485" s="5">
        <v>1671</v>
      </c>
      <c r="J3485" s="5">
        <v>1377</v>
      </c>
      <c r="K3485" s="5">
        <v>199</v>
      </c>
      <c r="L3485" s="5">
        <v>42</v>
      </c>
      <c r="M3485" s="5">
        <v>42</v>
      </c>
      <c r="N3485" s="7">
        <v>987.15</v>
      </c>
      <c r="O3485" s="7">
        <f t="shared" si="380"/>
        <v>41460.299999999996</v>
      </c>
      <c r="P3485" s="4">
        <v>0</v>
      </c>
      <c r="Q3485" s="7">
        <f t="shared" si="381"/>
        <v>0</v>
      </c>
      <c r="R3485" s="7">
        <f t="shared" si="382"/>
        <v>41460.299999999996</v>
      </c>
      <c r="S3485" s="7">
        <f t="shared" si="383"/>
        <v>987.14999999999986</v>
      </c>
      <c r="T3485" s="6">
        <f t="shared" si="384"/>
        <v>2.5134649910233394E-2</v>
      </c>
      <c r="V3485" t="s">
        <v>29</v>
      </c>
    </row>
    <row r="3486" spans="1:22">
      <c r="A3486" s="3">
        <v>45803</v>
      </c>
      <c r="B3486" t="str">
        <f t="shared" si="378"/>
        <v>yyyy-05</v>
      </c>
      <c r="C3486">
        <f t="shared" si="379"/>
        <v>22</v>
      </c>
      <c r="D3486" t="s">
        <v>24</v>
      </c>
      <c r="E3486" t="s">
        <v>25</v>
      </c>
      <c r="F3486" t="s">
        <v>30</v>
      </c>
      <c r="G3486" t="s">
        <v>27</v>
      </c>
      <c r="H3486" t="s">
        <v>45</v>
      </c>
      <c r="I3486" s="5">
        <v>1677</v>
      </c>
      <c r="J3486" s="5">
        <v>1347</v>
      </c>
      <c r="K3486" s="5">
        <v>137</v>
      </c>
      <c r="L3486" s="5">
        <v>33</v>
      </c>
      <c r="M3486" s="5">
        <v>33</v>
      </c>
      <c r="N3486" s="7">
        <v>394.74</v>
      </c>
      <c r="O3486" s="7">
        <f t="shared" si="380"/>
        <v>13026.42</v>
      </c>
      <c r="P3486" s="4">
        <v>0.05</v>
      </c>
      <c r="Q3486" s="7">
        <f t="shared" si="381"/>
        <v>651.32100000000003</v>
      </c>
      <c r="R3486" s="7">
        <f t="shared" si="382"/>
        <v>12375.099</v>
      </c>
      <c r="S3486" s="7">
        <f t="shared" si="383"/>
        <v>375.00299999999999</v>
      </c>
      <c r="T3486" s="6">
        <f t="shared" si="384"/>
        <v>1.9677996422182469E-2</v>
      </c>
      <c r="V3486" t="s">
        <v>29</v>
      </c>
    </row>
    <row r="3487" spans="1:22">
      <c r="A3487" s="3">
        <v>45803</v>
      </c>
      <c r="B3487" t="str">
        <f t="shared" si="378"/>
        <v>yyyy-05</v>
      </c>
      <c r="C3487">
        <f t="shared" si="379"/>
        <v>22</v>
      </c>
      <c r="D3487" t="s">
        <v>24</v>
      </c>
      <c r="E3487" t="s">
        <v>25</v>
      </c>
      <c r="F3487" t="s">
        <v>33</v>
      </c>
      <c r="G3487" t="s">
        <v>31</v>
      </c>
      <c r="H3487" t="s">
        <v>32</v>
      </c>
      <c r="I3487" s="5">
        <v>1813</v>
      </c>
      <c r="J3487" s="5">
        <v>1411</v>
      </c>
      <c r="K3487" s="5">
        <v>127</v>
      </c>
      <c r="L3487" s="5">
        <v>36</v>
      </c>
      <c r="M3487" s="5">
        <v>36</v>
      </c>
      <c r="N3487" s="7">
        <v>1746.78</v>
      </c>
      <c r="O3487" s="7">
        <f t="shared" si="380"/>
        <v>62884.08</v>
      </c>
      <c r="P3487" s="4">
        <v>0</v>
      </c>
      <c r="Q3487" s="7">
        <f t="shared" si="381"/>
        <v>0</v>
      </c>
      <c r="R3487" s="7">
        <f t="shared" si="382"/>
        <v>62884.08</v>
      </c>
      <c r="S3487" s="7">
        <f t="shared" si="383"/>
        <v>1746.78</v>
      </c>
      <c r="T3487" s="6">
        <f t="shared" si="384"/>
        <v>1.9856591285162713E-2</v>
      </c>
      <c r="V3487" t="s">
        <v>29</v>
      </c>
    </row>
    <row r="3488" spans="1:22">
      <c r="A3488" s="3">
        <v>45803</v>
      </c>
      <c r="B3488" t="str">
        <f t="shared" si="378"/>
        <v>yyyy-05</v>
      </c>
      <c r="C3488">
        <f t="shared" si="379"/>
        <v>22</v>
      </c>
      <c r="D3488" t="s">
        <v>24</v>
      </c>
      <c r="E3488" t="s">
        <v>34</v>
      </c>
      <c r="F3488" t="s">
        <v>35</v>
      </c>
      <c r="G3488" t="s">
        <v>27</v>
      </c>
      <c r="H3488" t="s">
        <v>48</v>
      </c>
      <c r="I3488" s="5">
        <v>668</v>
      </c>
      <c r="J3488" s="5">
        <v>435</v>
      </c>
      <c r="K3488" s="5">
        <v>13</v>
      </c>
      <c r="L3488" s="5">
        <v>0</v>
      </c>
      <c r="M3488" s="5">
        <v>0</v>
      </c>
      <c r="N3488" s="7">
        <v>909.83</v>
      </c>
      <c r="O3488" s="7">
        <f t="shared" si="380"/>
        <v>0</v>
      </c>
      <c r="P3488" s="4">
        <v>0</v>
      </c>
      <c r="Q3488" s="7">
        <f t="shared" si="381"/>
        <v>0</v>
      </c>
      <c r="R3488" s="7">
        <f t="shared" si="382"/>
        <v>0</v>
      </c>
      <c r="S3488" s="7">
        <f t="shared" si="383"/>
        <v>0</v>
      </c>
      <c r="T3488" s="6">
        <f t="shared" si="384"/>
        <v>0</v>
      </c>
      <c r="V3488" t="s">
        <v>81</v>
      </c>
    </row>
    <row r="3489" spans="1:22">
      <c r="A3489" s="3">
        <v>45803</v>
      </c>
      <c r="B3489" t="str">
        <f t="shared" si="378"/>
        <v>yyyy-05</v>
      </c>
      <c r="C3489">
        <f t="shared" si="379"/>
        <v>22</v>
      </c>
      <c r="D3489" t="s">
        <v>24</v>
      </c>
      <c r="E3489" t="s">
        <v>38</v>
      </c>
      <c r="F3489" t="s">
        <v>39</v>
      </c>
      <c r="G3489" t="s">
        <v>27</v>
      </c>
      <c r="H3489" t="s">
        <v>45</v>
      </c>
      <c r="I3489" s="5">
        <v>989</v>
      </c>
      <c r="J3489" s="5">
        <v>619</v>
      </c>
      <c r="K3489" s="5">
        <v>55</v>
      </c>
      <c r="L3489" s="5">
        <v>21</v>
      </c>
      <c r="M3489" s="5">
        <v>21</v>
      </c>
      <c r="N3489" s="7">
        <v>323.31</v>
      </c>
      <c r="O3489" s="7">
        <f t="shared" si="380"/>
        <v>6789.51</v>
      </c>
      <c r="P3489" s="4">
        <v>0</v>
      </c>
      <c r="Q3489" s="7">
        <f t="shared" si="381"/>
        <v>0</v>
      </c>
      <c r="R3489" s="7">
        <f t="shared" si="382"/>
        <v>6789.51</v>
      </c>
      <c r="S3489" s="7">
        <f t="shared" si="383"/>
        <v>323.31</v>
      </c>
      <c r="T3489" s="6">
        <f t="shared" si="384"/>
        <v>2.1233569261880688E-2</v>
      </c>
      <c r="V3489" t="s">
        <v>29</v>
      </c>
    </row>
    <row r="3490" spans="1:22">
      <c r="A3490" s="3">
        <v>45803</v>
      </c>
      <c r="B3490" t="str">
        <f t="shared" si="378"/>
        <v>yyyy-05</v>
      </c>
      <c r="C3490">
        <f t="shared" si="379"/>
        <v>22</v>
      </c>
      <c r="D3490" t="s">
        <v>24</v>
      </c>
      <c r="E3490" t="s">
        <v>40</v>
      </c>
      <c r="F3490" t="s">
        <v>41</v>
      </c>
      <c r="G3490" t="s">
        <v>27</v>
      </c>
      <c r="H3490" t="s">
        <v>63</v>
      </c>
      <c r="I3490" s="5">
        <v>578</v>
      </c>
      <c r="J3490" s="5">
        <v>338</v>
      </c>
      <c r="K3490" s="5">
        <v>37</v>
      </c>
      <c r="L3490" s="5">
        <v>13</v>
      </c>
      <c r="M3490" s="5">
        <v>15</v>
      </c>
      <c r="N3490" s="7">
        <v>181.33</v>
      </c>
      <c r="O3490" s="7">
        <f t="shared" si="380"/>
        <v>2719.9500000000003</v>
      </c>
      <c r="P3490" s="4">
        <v>0.03</v>
      </c>
      <c r="Q3490" s="7">
        <f t="shared" si="381"/>
        <v>81.598500000000001</v>
      </c>
      <c r="R3490" s="7">
        <f t="shared" si="382"/>
        <v>2638.3515000000002</v>
      </c>
      <c r="S3490" s="7">
        <f t="shared" si="383"/>
        <v>202.9501153846154</v>
      </c>
      <c r="T3490" s="6">
        <f t="shared" si="384"/>
        <v>2.2491349480968859E-2</v>
      </c>
      <c r="V3490" t="s">
        <v>29</v>
      </c>
    </row>
    <row r="3491" spans="1:22">
      <c r="A3491" s="3">
        <v>45803</v>
      </c>
      <c r="B3491" t="str">
        <f t="shared" si="378"/>
        <v>yyyy-05</v>
      </c>
      <c r="C3491">
        <f t="shared" si="379"/>
        <v>22</v>
      </c>
      <c r="D3491" t="s">
        <v>42</v>
      </c>
      <c r="E3491" t="s">
        <v>43</v>
      </c>
      <c r="F3491" t="s">
        <v>44</v>
      </c>
      <c r="G3491" t="s">
        <v>31</v>
      </c>
      <c r="H3491" t="s">
        <v>32</v>
      </c>
      <c r="I3491" s="5">
        <v>453</v>
      </c>
      <c r="J3491" s="5">
        <v>327</v>
      </c>
      <c r="K3491" s="5">
        <v>34</v>
      </c>
      <c r="L3491" s="5">
        <v>8</v>
      </c>
      <c r="M3491" s="5">
        <v>8</v>
      </c>
      <c r="N3491" s="7">
        <v>1277.73</v>
      </c>
      <c r="O3491" s="7">
        <f t="shared" si="380"/>
        <v>10221.84</v>
      </c>
      <c r="P3491" s="4">
        <v>0</v>
      </c>
      <c r="Q3491" s="7">
        <f t="shared" si="381"/>
        <v>0</v>
      </c>
      <c r="R3491" s="7">
        <f t="shared" si="382"/>
        <v>10221.84</v>
      </c>
      <c r="S3491" s="7">
        <f t="shared" si="383"/>
        <v>1277.73</v>
      </c>
      <c r="T3491" s="6">
        <f t="shared" si="384"/>
        <v>1.7660044150110375E-2</v>
      </c>
      <c r="V3491" t="s">
        <v>29</v>
      </c>
    </row>
    <row r="3492" spans="1:22">
      <c r="A3492" s="3">
        <v>45803</v>
      </c>
      <c r="B3492" t="str">
        <f t="shared" si="378"/>
        <v>yyyy-05</v>
      </c>
      <c r="C3492">
        <f t="shared" si="379"/>
        <v>22</v>
      </c>
      <c r="D3492" t="s">
        <v>42</v>
      </c>
      <c r="E3492" t="s">
        <v>43</v>
      </c>
      <c r="F3492" t="s">
        <v>46</v>
      </c>
      <c r="G3492" t="s">
        <v>27</v>
      </c>
      <c r="H3492" t="s">
        <v>48</v>
      </c>
      <c r="I3492" s="5">
        <v>424</v>
      </c>
      <c r="J3492" s="5">
        <v>288</v>
      </c>
      <c r="K3492" s="5">
        <v>26</v>
      </c>
      <c r="L3492" s="5">
        <v>7</v>
      </c>
      <c r="M3492" s="5">
        <v>7</v>
      </c>
      <c r="N3492" s="7">
        <v>2219.13</v>
      </c>
      <c r="O3492" s="7">
        <f t="shared" si="380"/>
        <v>15533.91</v>
      </c>
      <c r="P3492" s="4">
        <v>0</v>
      </c>
      <c r="Q3492" s="7">
        <f t="shared" si="381"/>
        <v>0</v>
      </c>
      <c r="R3492" s="7">
        <f t="shared" si="382"/>
        <v>15533.91</v>
      </c>
      <c r="S3492" s="7">
        <f t="shared" si="383"/>
        <v>2219.13</v>
      </c>
      <c r="T3492" s="6">
        <f t="shared" si="384"/>
        <v>1.6509433962264151E-2</v>
      </c>
      <c r="V3492" t="s">
        <v>29</v>
      </c>
    </row>
    <row r="3493" spans="1:22">
      <c r="A3493" s="3">
        <v>45803</v>
      </c>
      <c r="B3493" t="str">
        <f t="shared" si="378"/>
        <v>yyyy-05</v>
      </c>
      <c r="C3493">
        <f t="shared" si="379"/>
        <v>22</v>
      </c>
      <c r="D3493" t="s">
        <v>42</v>
      </c>
      <c r="E3493" t="s">
        <v>43</v>
      </c>
      <c r="F3493" t="s">
        <v>47</v>
      </c>
      <c r="G3493" t="s">
        <v>27</v>
      </c>
      <c r="H3493" t="s">
        <v>28</v>
      </c>
      <c r="I3493" s="5">
        <v>444</v>
      </c>
      <c r="J3493" s="5">
        <v>342</v>
      </c>
      <c r="K3493" s="5">
        <v>38</v>
      </c>
      <c r="L3493" s="5">
        <v>5</v>
      </c>
      <c r="M3493" s="5">
        <v>5</v>
      </c>
      <c r="N3493" s="7">
        <v>606.08000000000004</v>
      </c>
      <c r="O3493" s="7">
        <f t="shared" si="380"/>
        <v>3030.4</v>
      </c>
      <c r="P3493" s="4">
        <v>0</v>
      </c>
      <c r="Q3493" s="7">
        <f t="shared" si="381"/>
        <v>0</v>
      </c>
      <c r="R3493" s="7">
        <f t="shared" si="382"/>
        <v>3030.4</v>
      </c>
      <c r="S3493" s="7">
        <f t="shared" si="383"/>
        <v>606.08000000000004</v>
      </c>
      <c r="T3493" s="6">
        <f t="shared" si="384"/>
        <v>1.1261261261261261E-2</v>
      </c>
      <c r="V3493" t="s">
        <v>29</v>
      </c>
    </row>
    <row r="3494" spans="1:22">
      <c r="A3494" s="3">
        <v>45803</v>
      </c>
      <c r="B3494" t="str">
        <f t="shared" si="378"/>
        <v>yyyy-05</v>
      </c>
      <c r="C3494">
        <f t="shared" si="379"/>
        <v>22</v>
      </c>
      <c r="D3494" t="s">
        <v>42</v>
      </c>
      <c r="E3494" t="s">
        <v>49</v>
      </c>
      <c r="F3494" t="s">
        <v>50</v>
      </c>
      <c r="G3494" t="s">
        <v>27</v>
      </c>
      <c r="H3494" t="s">
        <v>28</v>
      </c>
      <c r="I3494" s="5">
        <v>209</v>
      </c>
      <c r="J3494" s="5">
        <v>125</v>
      </c>
      <c r="K3494" s="5">
        <v>10</v>
      </c>
      <c r="L3494" s="5">
        <v>3</v>
      </c>
      <c r="M3494" s="5">
        <v>3</v>
      </c>
      <c r="N3494" s="7">
        <v>995.03</v>
      </c>
      <c r="O3494" s="7">
        <f t="shared" si="380"/>
        <v>2985.09</v>
      </c>
      <c r="P3494" s="4">
        <v>0.05</v>
      </c>
      <c r="Q3494" s="7">
        <f t="shared" si="381"/>
        <v>149.25450000000001</v>
      </c>
      <c r="R3494" s="7">
        <f t="shared" si="382"/>
        <v>2835.8355000000001</v>
      </c>
      <c r="S3494" s="7">
        <f t="shared" si="383"/>
        <v>945.27850000000001</v>
      </c>
      <c r="T3494" s="6">
        <f t="shared" si="384"/>
        <v>1.4354066985645933E-2</v>
      </c>
      <c r="V3494" t="s">
        <v>29</v>
      </c>
    </row>
    <row r="3495" spans="1:22">
      <c r="A3495" s="3">
        <v>45803</v>
      </c>
      <c r="B3495" t="str">
        <f t="shared" si="378"/>
        <v>yyyy-05</v>
      </c>
      <c r="C3495">
        <f t="shared" si="379"/>
        <v>22</v>
      </c>
      <c r="D3495" t="s">
        <v>42</v>
      </c>
      <c r="E3495" t="s">
        <v>51</v>
      </c>
      <c r="F3495" t="s">
        <v>52</v>
      </c>
      <c r="G3495" t="s">
        <v>31</v>
      </c>
      <c r="H3495" t="s">
        <v>32</v>
      </c>
      <c r="I3495" s="5">
        <v>377</v>
      </c>
      <c r="J3495" s="5">
        <v>242</v>
      </c>
      <c r="K3495" s="5">
        <v>27</v>
      </c>
      <c r="L3495" s="5">
        <v>7</v>
      </c>
      <c r="M3495" s="5">
        <v>7</v>
      </c>
      <c r="N3495" s="7">
        <v>606.58000000000004</v>
      </c>
      <c r="O3495" s="7">
        <f t="shared" si="380"/>
        <v>4246.0600000000004</v>
      </c>
      <c r="P3495" s="4">
        <v>0.05</v>
      </c>
      <c r="Q3495" s="7">
        <f t="shared" si="381"/>
        <v>212.30300000000003</v>
      </c>
      <c r="R3495" s="7">
        <f t="shared" si="382"/>
        <v>4033.7570000000005</v>
      </c>
      <c r="S3495" s="7">
        <f t="shared" si="383"/>
        <v>576.25100000000009</v>
      </c>
      <c r="T3495" s="6">
        <f t="shared" si="384"/>
        <v>1.8567639257294429E-2</v>
      </c>
      <c r="V3495" t="s">
        <v>29</v>
      </c>
    </row>
    <row r="3496" spans="1:22">
      <c r="A3496" s="3">
        <v>45803</v>
      </c>
      <c r="B3496" t="str">
        <f t="shared" si="378"/>
        <v>yyyy-05</v>
      </c>
      <c r="C3496">
        <f t="shared" si="379"/>
        <v>22</v>
      </c>
      <c r="D3496" t="s">
        <v>53</v>
      </c>
      <c r="E3496" t="s">
        <v>54</v>
      </c>
      <c r="F3496" t="s">
        <v>55</v>
      </c>
      <c r="G3496" t="s">
        <v>31</v>
      </c>
      <c r="H3496" t="s">
        <v>32</v>
      </c>
      <c r="I3496" s="5">
        <v>195</v>
      </c>
      <c r="J3496" s="5">
        <v>153</v>
      </c>
      <c r="K3496" s="5">
        <v>13</v>
      </c>
      <c r="L3496" s="5">
        <v>2</v>
      </c>
      <c r="M3496" s="5">
        <v>2</v>
      </c>
      <c r="N3496" s="7">
        <v>1276.24</v>
      </c>
      <c r="O3496" s="7">
        <f t="shared" si="380"/>
        <v>2552.48</v>
      </c>
      <c r="P3496" s="4">
        <v>0</v>
      </c>
      <c r="Q3496" s="7">
        <f t="shared" si="381"/>
        <v>0</v>
      </c>
      <c r="R3496" s="7">
        <f t="shared" si="382"/>
        <v>2552.48</v>
      </c>
      <c r="S3496" s="7">
        <f t="shared" si="383"/>
        <v>1276.24</v>
      </c>
      <c r="T3496" s="6">
        <f t="shared" si="384"/>
        <v>1.0256410256410256E-2</v>
      </c>
      <c r="V3496" t="s">
        <v>29</v>
      </c>
    </row>
    <row r="3497" spans="1:22">
      <c r="A3497" s="3">
        <v>45803</v>
      </c>
      <c r="B3497" t="str">
        <f t="shared" si="378"/>
        <v>yyyy-05</v>
      </c>
      <c r="C3497">
        <f t="shared" si="379"/>
        <v>22</v>
      </c>
      <c r="D3497" t="s">
        <v>53</v>
      </c>
      <c r="E3497" t="s">
        <v>56</v>
      </c>
      <c r="F3497" t="s">
        <v>57</v>
      </c>
      <c r="G3497" t="s">
        <v>27</v>
      </c>
      <c r="H3497" t="s">
        <v>28</v>
      </c>
      <c r="I3497" s="5">
        <v>201</v>
      </c>
      <c r="J3497" s="5">
        <v>116</v>
      </c>
      <c r="K3497" s="5">
        <v>8</v>
      </c>
      <c r="L3497" s="5">
        <v>3</v>
      </c>
      <c r="M3497" s="5">
        <v>3</v>
      </c>
      <c r="N3497" s="7">
        <v>736.11</v>
      </c>
      <c r="O3497" s="7">
        <f t="shared" si="380"/>
        <v>2208.33</v>
      </c>
      <c r="P3497" s="4">
        <v>0</v>
      </c>
      <c r="Q3497" s="7">
        <f t="shared" si="381"/>
        <v>0</v>
      </c>
      <c r="R3497" s="7">
        <f t="shared" si="382"/>
        <v>2208.33</v>
      </c>
      <c r="S3497" s="7">
        <f t="shared" si="383"/>
        <v>736.11</v>
      </c>
      <c r="T3497" s="6">
        <f t="shared" si="384"/>
        <v>1.4925373134328358E-2</v>
      </c>
      <c r="V3497" t="s">
        <v>29</v>
      </c>
    </row>
    <row r="3498" spans="1:22">
      <c r="A3498" s="3">
        <v>45803</v>
      </c>
      <c r="B3498" t="str">
        <f t="shared" si="378"/>
        <v>yyyy-05</v>
      </c>
      <c r="C3498">
        <f t="shared" si="379"/>
        <v>22</v>
      </c>
      <c r="D3498" t="s">
        <v>53</v>
      </c>
      <c r="E3498" t="s">
        <v>56</v>
      </c>
      <c r="F3498" t="s">
        <v>58</v>
      </c>
      <c r="G3498" t="s">
        <v>27</v>
      </c>
      <c r="H3498" t="s">
        <v>63</v>
      </c>
      <c r="I3498" s="5">
        <v>178</v>
      </c>
      <c r="J3498" s="5">
        <v>143</v>
      </c>
      <c r="K3498" s="5">
        <v>8</v>
      </c>
      <c r="L3498" s="5">
        <v>2</v>
      </c>
      <c r="M3498" s="5">
        <v>2</v>
      </c>
      <c r="N3498" s="7">
        <v>874.32</v>
      </c>
      <c r="O3498" s="7">
        <f t="shared" si="380"/>
        <v>1748.64</v>
      </c>
      <c r="P3498" s="4">
        <v>0.03</v>
      </c>
      <c r="Q3498" s="7">
        <f t="shared" si="381"/>
        <v>52.459200000000003</v>
      </c>
      <c r="R3498" s="7">
        <f t="shared" si="382"/>
        <v>1696.1808000000001</v>
      </c>
      <c r="S3498" s="7">
        <f t="shared" si="383"/>
        <v>848.09040000000005</v>
      </c>
      <c r="T3498" s="6">
        <f t="shared" si="384"/>
        <v>1.1235955056179775E-2</v>
      </c>
      <c r="V3498" t="s">
        <v>78</v>
      </c>
    </row>
    <row r="3499" spans="1:22">
      <c r="A3499" s="3">
        <v>45803</v>
      </c>
      <c r="B3499" t="str">
        <f t="shared" si="378"/>
        <v>yyyy-05</v>
      </c>
      <c r="C3499">
        <f t="shared" si="379"/>
        <v>22</v>
      </c>
      <c r="D3499" t="s">
        <v>53</v>
      </c>
      <c r="E3499" t="s">
        <v>59</v>
      </c>
      <c r="F3499" t="s">
        <v>60</v>
      </c>
      <c r="G3499" t="s">
        <v>27</v>
      </c>
      <c r="H3499" t="s">
        <v>63</v>
      </c>
      <c r="I3499" s="5">
        <v>154</v>
      </c>
      <c r="J3499" s="5">
        <v>90</v>
      </c>
      <c r="K3499" s="5">
        <v>10</v>
      </c>
      <c r="L3499" s="5">
        <v>2</v>
      </c>
      <c r="M3499" s="5">
        <v>2</v>
      </c>
      <c r="N3499" s="7">
        <v>684.22</v>
      </c>
      <c r="O3499" s="7">
        <f t="shared" si="380"/>
        <v>1368.44</v>
      </c>
      <c r="P3499" s="4">
        <v>0</v>
      </c>
      <c r="Q3499" s="7">
        <f t="shared" si="381"/>
        <v>0</v>
      </c>
      <c r="R3499" s="7">
        <f t="shared" si="382"/>
        <v>1368.44</v>
      </c>
      <c r="S3499" s="7">
        <f t="shared" si="383"/>
        <v>684.22</v>
      </c>
      <c r="T3499" s="6">
        <f t="shared" si="384"/>
        <v>1.2987012987012988E-2</v>
      </c>
      <c r="V3499" t="s">
        <v>29</v>
      </c>
    </row>
    <row r="3500" spans="1:22">
      <c r="A3500" s="3">
        <v>45803</v>
      </c>
      <c r="B3500" t="str">
        <f t="shared" si="378"/>
        <v>yyyy-05</v>
      </c>
      <c r="C3500">
        <f t="shared" si="379"/>
        <v>22</v>
      </c>
      <c r="D3500" t="s">
        <v>53</v>
      </c>
      <c r="E3500" t="s">
        <v>61</v>
      </c>
      <c r="F3500" t="s">
        <v>62</v>
      </c>
      <c r="G3500" t="s">
        <v>31</v>
      </c>
      <c r="H3500" t="s">
        <v>32</v>
      </c>
      <c r="I3500" s="5">
        <v>215</v>
      </c>
      <c r="J3500" s="5">
        <v>138</v>
      </c>
      <c r="K3500" s="5">
        <v>11</v>
      </c>
      <c r="L3500" s="5">
        <v>2</v>
      </c>
      <c r="M3500" s="5">
        <v>2</v>
      </c>
      <c r="N3500" s="7">
        <v>496.45</v>
      </c>
      <c r="O3500" s="7">
        <f t="shared" si="380"/>
        <v>992.9</v>
      </c>
      <c r="P3500" s="4">
        <v>0.05</v>
      </c>
      <c r="Q3500" s="7">
        <f t="shared" si="381"/>
        <v>49.645000000000003</v>
      </c>
      <c r="R3500" s="7">
        <f t="shared" si="382"/>
        <v>943.255</v>
      </c>
      <c r="S3500" s="7">
        <f t="shared" si="383"/>
        <v>471.6275</v>
      </c>
      <c r="T3500" s="6">
        <f t="shared" si="384"/>
        <v>9.3023255813953487E-3</v>
      </c>
      <c r="V3500" t="s">
        <v>29</v>
      </c>
    </row>
    <row r="3501" spans="1:22">
      <c r="A3501" s="3">
        <v>45803</v>
      </c>
      <c r="B3501" t="str">
        <f t="shared" si="378"/>
        <v>yyyy-05</v>
      </c>
      <c r="C3501">
        <f t="shared" si="379"/>
        <v>22</v>
      </c>
      <c r="D3501" t="s">
        <v>53</v>
      </c>
      <c r="E3501" t="s">
        <v>64</v>
      </c>
      <c r="F3501" t="s">
        <v>65</v>
      </c>
      <c r="G3501" t="s">
        <v>31</v>
      </c>
      <c r="H3501" t="s">
        <v>32</v>
      </c>
      <c r="I3501" s="5">
        <v>211</v>
      </c>
      <c r="J3501" s="5">
        <v>127</v>
      </c>
      <c r="K3501" s="5">
        <v>14</v>
      </c>
      <c r="L3501" s="5">
        <v>3</v>
      </c>
      <c r="M3501" s="5">
        <v>3</v>
      </c>
      <c r="N3501" s="7">
        <v>808.45</v>
      </c>
      <c r="O3501" s="7">
        <f t="shared" si="380"/>
        <v>2425.3500000000004</v>
      </c>
      <c r="P3501" s="4">
        <v>0</v>
      </c>
      <c r="Q3501" s="7">
        <f t="shared" si="381"/>
        <v>0</v>
      </c>
      <c r="R3501" s="7">
        <f t="shared" si="382"/>
        <v>2425.3500000000004</v>
      </c>
      <c r="S3501" s="7">
        <f t="shared" si="383"/>
        <v>808.45000000000016</v>
      </c>
      <c r="T3501" s="6">
        <f t="shared" si="384"/>
        <v>1.4218009478672985E-2</v>
      </c>
      <c r="V3501" t="s">
        <v>29</v>
      </c>
    </row>
    <row r="3502" spans="1:22">
      <c r="A3502" s="3">
        <v>45803</v>
      </c>
      <c r="B3502" t="str">
        <f t="shared" si="378"/>
        <v>yyyy-05</v>
      </c>
      <c r="C3502">
        <f t="shared" si="379"/>
        <v>22</v>
      </c>
      <c r="D3502" t="s">
        <v>66</v>
      </c>
      <c r="E3502" t="s">
        <v>67</v>
      </c>
      <c r="F3502" t="s">
        <v>68</v>
      </c>
      <c r="G3502" t="s">
        <v>27</v>
      </c>
      <c r="H3502" t="s">
        <v>45</v>
      </c>
      <c r="I3502" s="5">
        <v>373</v>
      </c>
      <c r="J3502" s="5">
        <v>293</v>
      </c>
      <c r="K3502" s="5">
        <v>31</v>
      </c>
      <c r="L3502" s="5">
        <v>6</v>
      </c>
      <c r="M3502" s="5">
        <v>6</v>
      </c>
      <c r="N3502" s="7">
        <v>694.96</v>
      </c>
      <c r="O3502" s="7">
        <f t="shared" si="380"/>
        <v>4169.76</v>
      </c>
      <c r="P3502" s="4">
        <v>0</v>
      </c>
      <c r="Q3502" s="7">
        <f t="shared" si="381"/>
        <v>0</v>
      </c>
      <c r="R3502" s="7">
        <f t="shared" si="382"/>
        <v>4169.76</v>
      </c>
      <c r="S3502" s="7">
        <f t="shared" si="383"/>
        <v>694.96</v>
      </c>
      <c r="T3502" s="6">
        <f t="shared" si="384"/>
        <v>1.6085790884718499E-2</v>
      </c>
      <c r="V3502" t="s">
        <v>29</v>
      </c>
    </row>
    <row r="3503" spans="1:22">
      <c r="A3503" s="3">
        <v>45803</v>
      </c>
      <c r="B3503" t="str">
        <f t="shared" si="378"/>
        <v>yyyy-05</v>
      </c>
      <c r="C3503">
        <f t="shared" si="379"/>
        <v>22</v>
      </c>
      <c r="D3503" t="s">
        <v>66</v>
      </c>
      <c r="E3503" t="s">
        <v>67</v>
      </c>
      <c r="F3503" t="s">
        <v>69</v>
      </c>
      <c r="G3503" t="s">
        <v>36</v>
      </c>
      <c r="H3503" t="s">
        <v>37</v>
      </c>
      <c r="I3503" s="5">
        <v>445</v>
      </c>
      <c r="J3503" s="5">
        <v>363</v>
      </c>
      <c r="K3503" s="5">
        <v>40</v>
      </c>
      <c r="L3503" s="5">
        <v>9</v>
      </c>
      <c r="M3503" s="5">
        <v>9</v>
      </c>
      <c r="N3503" s="7">
        <v>404.04</v>
      </c>
      <c r="O3503" s="7">
        <f t="shared" si="380"/>
        <v>3636.36</v>
      </c>
      <c r="P3503" s="4">
        <v>0</v>
      </c>
      <c r="Q3503" s="7">
        <f t="shared" si="381"/>
        <v>0</v>
      </c>
      <c r="R3503" s="7">
        <f t="shared" si="382"/>
        <v>3636.36</v>
      </c>
      <c r="S3503" s="7">
        <f t="shared" si="383"/>
        <v>404.04</v>
      </c>
      <c r="T3503" s="6">
        <f t="shared" si="384"/>
        <v>2.0224719101123594E-2</v>
      </c>
      <c r="V3503" t="s">
        <v>29</v>
      </c>
    </row>
    <row r="3504" spans="1:22">
      <c r="A3504" s="3">
        <v>45803</v>
      </c>
      <c r="B3504" t="str">
        <f t="shared" si="378"/>
        <v>yyyy-05</v>
      </c>
      <c r="C3504">
        <f t="shared" si="379"/>
        <v>22</v>
      </c>
      <c r="D3504" t="s">
        <v>66</v>
      </c>
      <c r="E3504" t="s">
        <v>67</v>
      </c>
      <c r="F3504" t="s">
        <v>70</v>
      </c>
      <c r="G3504" t="s">
        <v>31</v>
      </c>
      <c r="H3504" t="s">
        <v>32</v>
      </c>
      <c r="I3504" s="5">
        <v>488</v>
      </c>
      <c r="J3504" s="5">
        <v>260</v>
      </c>
      <c r="K3504" s="5">
        <v>29</v>
      </c>
      <c r="L3504" s="5">
        <v>10</v>
      </c>
      <c r="M3504" s="5">
        <v>10</v>
      </c>
      <c r="N3504" s="7">
        <v>341.91</v>
      </c>
      <c r="O3504" s="7">
        <f t="shared" si="380"/>
        <v>3419.1000000000004</v>
      </c>
      <c r="P3504" s="4">
        <v>0.05</v>
      </c>
      <c r="Q3504" s="7">
        <f t="shared" si="381"/>
        <v>170.95500000000004</v>
      </c>
      <c r="R3504" s="7">
        <f t="shared" si="382"/>
        <v>3248.1450000000004</v>
      </c>
      <c r="S3504" s="7">
        <f t="shared" si="383"/>
        <v>324.81450000000007</v>
      </c>
      <c r="T3504" s="6">
        <f t="shared" si="384"/>
        <v>2.0491803278688523E-2</v>
      </c>
      <c r="V3504" t="s">
        <v>29</v>
      </c>
    </row>
    <row r="3505" spans="1:22">
      <c r="A3505" s="3">
        <v>45803</v>
      </c>
      <c r="B3505" t="str">
        <f t="shared" si="378"/>
        <v>yyyy-05</v>
      </c>
      <c r="C3505">
        <f t="shared" si="379"/>
        <v>22</v>
      </c>
      <c r="D3505" t="s">
        <v>66</v>
      </c>
      <c r="E3505" t="s">
        <v>71</v>
      </c>
      <c r="F3505" t="s">
        <v>72</v>
      </c>
      <c r="G3505" t="s">
        <v>36</v>
      </c>
      <c r="H3505" t="s">
        <v>37</v>
      </c>
      <c r="I3505" s="5">
        <v>435</v>
      </c>
      <c r="J3505" s="5">
        <v>311</v>
      </c>
      <c r="K3505" s="5">
        <v>18</v>
      </c>
      <c r="L3505" s="5">
        <v>7</v>
      </c>
      <c r="M3505" s="5">
        <v>9</v>
      </c>
      <c r="N3505" s="7">
        <v>127.15</v>
      </c>
      <c r="O3505" s="7">
        <f t="shared" si="380"/>
        <v>1144.3500000000001</v>
      </c>
      <c r="P3505" s="4">
        <v>0.03</v>
      </c>
      <c r="Q3505" s="7">
        <f t="shared" si="381"/>
        <v>34.330500000000001</v>
      </c>
      <c r="R3505" s="7">
        <f t="shared" si="382"/>
        <v>1110.0195000000001</v>
      </c>
      <c r="S3505" s="7">
        <f t="shared" si="383"/>
        <v>158.57421428571431</v>
      </c>
      <c r="T3505" s="6">
        <f t="shared" si="384"/>
        <v>1.6091954022988506E-2</v>
      </c>
      <c r="V3505" t="s">
        <v>29</v>
      </c>
    </row>
    <row r="3506" spans="1:22">
      <c r="A3506" s="3">
        <v>45803</v>
      </c>
      <c r="B3506" t="str">
        <f t="shared" si="378"/>
        <v>yyyy-05</v>
      </c>
      <c r="C3506">
        <f t="shared" si="379"/>
        <v>22</v>
      </c>
      <c r="D3506" t="s">
        <v>66</v>
      </c>
      <c r="E3506" t="s">
        <v>73</v>
      </c>
      <c r="F3506" t="s">
        <v>74</v>
      </c>
      <c r="G3506" t="s">
        <v>36</v>
      </c>
      <c r="H3506" t="s">
        <v>37</v>
      </c>
      <c r="I3506" s="5">
        <v>221</v>
      </c>
      <c r="J3506" s="5">
        <v>145</v>
      </c>
      <c r="K3506" s="5">
        <v>17</v>
      </c>
      <c r="L3506" s="5">
        <v>4</v>
      </c>
      <c r="M3506" s="5">
        <v>4</v>
      </c>
      <c r="N3506" s="7">
        <v>1189.03</v>
      </c>
      <c r="O3506" s="7">
        <f t="shared" si="380"/>
        <v>4756.12</v>
      </c>
      <c r="P3506" s="4">
        <v>0</v>
      </c>
      <c r="Q3506" s="7">
        <f t="shared" si="381"/>
        <v>0</v>
      </c>
      <c r="R3506" s="7">
        <f t="shared" si="382"/>
        <v>4756.12</v>
      </c>
      <c r="S3506" s="7">
        <f t="shared" si="383"/>
        <v>1189.03</v>
      </c>
      <c r="T3506" s="6">
        <f t="shared" si="384"/>
        <v>1.8099547511312219E-2</v>
      </c>
      <c r="V3506" t="s">
        <v>29</v>
      </c>
    </row>
    <row r="3507" spans="1:22">
      <c r="A3507" s="3">
        <v>45803</v>
      </c>
      <c r="B3507" t="str">
        <f t="shared" si="378"/>
        <v>yyyy-05</v>
      </c>
      <c r="C3507">
        <f t="shared" si="379"/>
        <v>22</v>
      </c>
      <c r="D3507" t="s">
        <v>66</v>
      </c>
      <c r="E3507" t="s">
        <v>71</v>
      </c>
      <c r="F3507" t="s">
        <v>75</v>
      </c>
      <c r="G3507" t="s">
        <v>31</v>
      </c>
      <c r="H3507" t="s">
        <v>32</v>
      </c>
      <c r="I3507" s="5">
        <v>441</v>
      </c>
      <c r="J3507" s="5">
        <v>332</v>
      </c>
      <c r="K3507" s="5">
        <v>18</v>
      </c>
      <c r="L3507" s="5">
        <v>7</v>
      </c>
      <c r="M3507" s="5">
        <v>9</v>
      </c>
      <c r="N3507" s="7">
        <v>37.51</v>
      </c>
      <c r="O3507" s="7">
        <f t="shared" si="380"/>
        <v>337.59</v>
      </c>
      <c r="P3507" s="4">
        <v>0</v>
      </c>
      <c r="Q3507" s="7">
        <f t="shared" si="381"/>
        <v>0</v>
      </c>
      <c r="R3507" s="7">
        <f t="shared" si="382"/>
        <v>337.59</v>
      </c>
      <c r="S3507" s="7">
        <f t="shared" si="383"/>
        <v>48.227142857142852</v>
      </c>
      <c r="T3507" s="6">
        <f t="shared" si="384"/>
        <v>1.5873015873015872E-2</v>
      </c>
      <c r="V3507" t="s">
        <v>78</v>
      </c>
    </row>
    <row r="3508" spans="1:22">
      <c r="A3508" s="3">
        <v>45803</v>
      </c>
      <c r="B3508" t="str">
        <f t="shared" si="378"/>
        <v>yyyy-05</v>
      </c>
      <c r="C3508">
        <f t="shared" si="379"/>
        <v>22</v>
      </c>
      <c r="D3508" t="s">
        <v>24</v>
      </c>
      <c r="E3508" t="s">
        <v>76</v>
      </c>
      <c r="F3508" t="s">
        <v>77</v>
      </c>
      <c r="G3508" t="s">
        <v>36</v>
      </c>
      <c r="H3508" t="s">
        <v>37</v>
      </c>
      <c r="I3508" s="5">
        <v>576</v>
      </c>
      <c r="J3508" s="5">
        <v>359</v>
      </c>
      <c r="K3508" s="5">
        <v>35</v>
      </c>
      <c r="L3508" s="5">
        <v>16</v>
      </c>
      <c r="M3508" s="5">
        <v>21</v>
      </c>
      <c r="N3508" s="7">
        <v>199.39</v>
      </c>
      <c r="O3508" s="7">
        <f t="shared" si="380"/>
        <v>4187.1899999999996</v>
      </c>
      <c r="P3508" s="4">
        <v>0.1</v>
      </c>
      <c r="Q3508" s="7">
        <f t="shared" si="381"/>
        <v>418.71899999999999</v>
      </c>
      <c r="R3508" s="7">
        <f t="shared" si="382"/>
        <v>3768.4709999999995</v>
      </c>
      <c r="S3508" s="7">
        <f t="shared" si="383"/>
        <v>235.52943749999997</v>
      </c>
      <c r="T3508" s="6">
        <f t="shared" si="384"/>
        <v>2.7777777777777776E-2</v>
      </c>
      <c r="U3508" t="s">
        <v>98</v>
      </c>
      <c r="V3508" t="s">
        <v>29</v>
      </c>
    </row>
    <row r="3509" spans="1:22">
      <c r="A3509" s="3">
        <v>45804</v>
      </c>
      <c r="B3509" t="str">
        <f t="shared" si="378"/>
        <v>yyyy-05</v>
      </c>
      <c r="C3509">
        <f t="shared" si="379"/>
        <v>22</v>
      </c>
      <c r="D3509" t="s">
        <v>24</v>
      </c>
      <c r="E3509" t="s">
        <v>25</v>
      </c>
      <c r="F3509" t="s">
        <v>26</v>
      </c>
      <c r="G3509" t="s">
        <v>27</v>
      </c>
      <c r="H3509" t="s">
        <v>45</v>
      </c>
      <c r="I3509" s="5">
        <v>1355</v>
      </c>
      <c r="J3509" s="5">
        <v>1006</v>
      </c>
      <c r="K3509" s="5">
        <v>156</v>
      </c>
      <c r="L3509" s="5">
        <v>34</v>
      </c>
      <c r="M3509" s="5">
        <v>34</v>
      </c>
      <c r="N3509" s="7">
        <v>966.67</v>
      </c>
      <c r="O3509" s="7">
        <f t="shared" si="380"/>
        <v>32866.78</v>
      </c>
      <c r="P3509" s="4">
        <v>0</v>
      </c>
      <c r="Q3509" s="7">
        <f t="shared" si="381"/>
        <v>0</v>
      </c>
      <c r="R3509" s="7">
        <f t="shared" si="382"/>
        <v>32866.78</v>
      </c>
      <c r="S3509" s="7">
        <f t="shared" si="383"/>
        <v>966.67</v>
      </c>
      <c r="T3509" s="6">
        <f t="shared" si="384"/>
        <v>2.5092250922509225E-2</v>
      </c>
      <c r="V3509" t="s">
        <v>29</v>
      </c>
    </row>
    <row r="3510" spans="1:22">
      <c r="A3510" s="3">
        <v>45804</v>
      </c>
      <c r="B3510" t="str">
        <f t="shared" si="378"/>
        <v>yyyy-05</v>
      </c>
      <c r="C3510">
        <f t="shared" si="379"/>
        <v>22</v>
      </c>
      <c r="D3510" t="s">
        <v>24</v>
      </c>
      <c r="E3510" t="s">
        <v>25</v>
      </c>
      <c r="F3510" t="s">
        <v>30</v>
      </c>
      <c r="G3510" t="s">
        <v>27</v>
      </c>
      <c r="H3510" t="s">
        <v>28</v>
      </c>
      <c r="I3510" s="5">
        <v>1538</v>
      </c>
      <c r="J3510" s="5">
        <v>1107</v>
      </c>
      <c r="K3510" s="5">
        <v>104</v>
      </c>
      <c r="L3510" s="5">
        <v>32</v>
      </c>
      <c r="M3510" s="5">
        <v>32</v>
      </c>
      <c r="N3510" s="7">
        <v>399.8</v>
      </c>
      <c r="O3510" s="7">
        <f t="shared" si="380"/>
        <v>12793.6</v>
      </c>
      <c r="P3510" s="4">
        <v>0</v>
      </c>
      <c r="Q3510" s="7">
        <f t="shared" si="381"/>
        <v>0</v>
      </c>
      <c r="R3510" s="7">
        <f t="shared" si="382"/>
        <v>12793.6</v>
      </c>
      <c r="S3510" s="7">
        <f t="shared" si="383"/>
        <v>399.8</v>
      </c>
      <c r="T3510" s="6">
        <f t="shared" si="384"/>
        <v>2.0806241872561769E-2</v>
      </c>
      <c r="V3510" t="s">
        <v>29</v>
      </c>
    </row>
    <row r="3511" spans="1:22">
      <c r="A3511" s="3">
        <v>45804</v>
      </c>
      <c r="B3511" t="str">
        <f t="shared" si="378"/>
        <v>yyyy-05</v>
      </c>
      <c r="C3511">
        <f t="shared" si="379"/>
        <v>22</v>
      </c>
      <c r="D3511" t="s">
        <v>24</v>
      </c>
      <c r="E3511" t="s">
        <v>25</v>
      </c>
      <c r="F3511" t="s">
        <v>33</v>
      </c>
      <c r="G3511" t="s">
        <v>27</v>
      </c>
      <c r="H3511" t="s">
        <v>63</v>
      </c>
      <c r="I3511" s="5">
        <v>1351</v>
      </c>
      <c r="J3511" s="5">
        <v>842</v>
      </c>
      <c r="K3511" s="5">
        <v>134</v>
      </c>
      <c r="L3511" s="5">
        <v>31</v>
      </c>
      <c r="M3511" s="5">
        <v>31</v>
      </c>
      <c r="N3511" s="7">
        <v>1789.51</v>
      </c>
      <c r="O3511" s="7">
        <f t="shared" si="380"/>
        <v>55474.81</v>
      </c>
      <c r="P3511" s="4">
        <v>0</v>
      </c>
      <c r="Q3511" s="7">
        <f t="shared" si="381"/>
        <v>0</v>
      </c>
      <c r="R3511" s="7">
        <f t="shared" si="382"/>
        <v>55474.81</v>
      </c>
      <c r="S3511" s="7">
        <f t="shared" si="383"/>
        <v>1789.51</v>
      </c>
      <c r="T3511" s="6">
        <f t="shared" si="384"/>
        <v>2.2945965951147299E-2</v>
      </c>
      <c r="V3511" t="s">
        <v>29</v>
      </c>
    </row>
    <row r="3512" spans="1:22">
      <c r="A3512" s="3">
        <v>45804</v>
      </c>
      <c r="B3512" t="str">
        <f t="shared" si="378"/>
        <v>yyyy-05</v>
      </c>
      <c r="C3512">
        <f t="shared" si="379"/>
        <v>22</v>
      </c>
      <c r="D3512" t="s">
        <v>24</v>
      </c>
      <c r="E3512" t="s">
        <v>34</v>
      </c>
      <c r="F3512" t="s">
        <v>35</v>
      </c>
      <c r="G3512" t="s">
        <v>27</v>
      </c>
      <c r="H3512" t="s">
        <v>45</v>
      </c>
      <c r="I3512" s="5">
        <v>882</v>
      </c>
      <c r="J3512" s="5">
        <v>569</v>
      </c>
      <c r="K3512" s="5">
        <v>45</v>
      </c>
      <c r="L3512" s="5">
        <v>19</v>
      </c>
      <c r="M3512" s="5">
        <v>19</v>
      </c>
      <c r="N3512" s="7">
        <v>886.09</v>
      </c>
      <c r="O3512" s="7">
        <f t="shared" si="380"/>
        <v>16835.71</v>
      </c>
      <c r="P3512" s="4">
        <v>0.05</v>
      </c>
      <c r="Q3512" s="7">
        <f t="shared" si="381"/>
        <v>841.78549999999996</v>
      </c>
      <c r="R3512" s="7">
        <f t="shared" si="382"/>
        <v>15993.924499999999</v>
      </c>
      <c r="S3512" s="7">
        <f t="shared" si="383"/>
        <v>841.78549999999996</v>
      </c>
      <c r="T3512" s="6">
        <f t="shared" si="384"/>
        <v>2.1541950113378686E-2</v>
      </c>
      <c r="V3512" t="s">
        <v>29</v>
      </c>
    </row>
    <row r="3513" spans="1:22">
      <c r="A3513" s="3">
        <v>45804</v>
      </c>
      <c r="B3513" t="str">
        <f t="shared" si="378"/>
        <v>yyyy-05</v>
      </c>
      <c r="C3513">
        <f t="shared" si="379"/>
        <v>22</v>
      </c>
      <c r="D3513" t="s">
        <v>24</v>
      </c>
      <c r="E3513" t="s">
        <v>38</v>
      </c>
      <c r="F3513" t="s">
        <v>39</v>
      </c>
      <c r="G3513" t="s">
        <v>31</v>
      </c>
      <c r="H3513" t="s">
        <v>32</v>
      </c>
      <c r="I3513" s="5">
        <v>783</v>
      </c>
      <c r="J3513" s="5">
        <v>572</v>
      </c>
      <c r="K3513" s="5">
        <v>50</v>
      </c>
      <c r="L3513" s="5">
        <v>14</v>
      </c>
      <c r="M3513" s="5">
        <v>14</v>
      </c>
      <c r="N3513" s="7">
        <v>334.97</v>
      </c>
      <c r="O3513" s="7">
        <f t="shared" si="380"/>
        <v>4689.58</v>
      </c>
      <c r="P3513" s="4">
        <v>0</v>
      </c>
      <c r="Q3513" s="7">
        <f t="shared" si="381"/>
        <v>0</v>
      </c>
      <c r="R3513" s="7">
        <f t="shared" si="382"/>
        <v>4689.58</v>
      </c>
      <c r="S3513" s="7">
        <f t="shared" si="383"/>
        <v>334.96999999999997</v>
      </c>
      <c r="T3513" s="6">
        <f t="shared" si="384"/>
        <v>1.7879948914431672E-2</v>
      </c>
      <c r="V3513" t="s">
        <v>29</v>
      </c>
    </row>
    <row r="3514" spans="1:22">
      <c r="A3514" s="3">
        <v>45804</v>
      </c>
      <c r="B3514" t="str">
        <f t="shared" si="378"/>
        <v>yyyy-05</v>
      </c>
      <c r="C3514">
        <f t="shared" si="379"/>
        <v>22</v>
      </c>
      <c r="D3514" t="s">
        <v>24</v>
      </c>
      <c r="E3514" t="s">
        <v>40</v>
      </c>
      <c r="F3514" t="s">
        <v>41</v>
      </c>
      <c r="G3514" t="s">
        <v>27</v>
      </c>
      <c r="H3514" t="s">
        <v>45</v>
      </c>
      <c r="I3514" s="5">
        <v>664</v>
      </c>
      <c r="J3514" s="5">
        <v>518</v>
      </c>
      <c r="K3514" s="5">
        <v>59</v>
      </c>
      <c r="L3514" s="5">
        <v>13</v>
      </c>
      <c r="M3514" s="5">
        <v>15</v>
      </c>
      <c r="N3514" s="7">
        <v>174.9</v>
      </c>
      <c r="O3514" s="7">
        <f t="shared" si="380"/>
        <v>2623.5</v>
      </c>
      <c r="P3514" s="4">
        <v>0</v>
      </c>
      <c r="Q3514" s="7">
        <f t="shared" si="381"/>
        <v>0</v>
      </c>
      <c r="R3514" s="7">
        <f t="shared" si="382"/>
        <v>2623.5</v>
      </c>
      <c r="S3514" s="7">
        <f t="shared" si="383"/>
        <v>201.80769230769232</v>
      </c>
      <c r="T3514" s="6">
        <f t="shared" si="384"/>
        <v>1.9578313253012049E-2</v>
      </c>
      <c r="V3514" t="s">
        <v>29</v>
      </c>
    </row>
    <row r="3515" spans="1:22">
      <c r="A3515" s="3">
        <v>45804</v>
      </c>
      <c r="B3515" t="str">
        <f t="shared" si="378"/>
        <v>yyyy-05</v>
      </c>
      <c r="C3515">
        <f t="shared" si="379"/>
        <v>22</v>
      </c>
      <c r="D3515" t="s">
        <v>42</v>
      </c>
      <c r="E3515" t="s">
        <v>43</v>
      </c>
      <c r="F3515" t="s">
        <v>44</v>
      </c>
      <c r="G3515" t="s">
        <v>27</v>
      </c>
      <c r="H3515" t="s">
        <v>45</v>
      </c>
      <c r="I3515" s="5">
        <v>422</v>
      </c>
      <c r="J3515" s="5">
        <v>286</v>
      </c>
      <c r="K3515" s="5">
        <v>31</v>
      </c>
      <c r="L3515" s="5">
        <v>6</v>
      </c>
      <c r="M3515" s="5">
        <v>6</v>
      </c>
      <c r="N3515" s="7">
        <v>1290.23</v>
      </c>
      <c r="O3515" s="7">
        <f t="shared" si="380"/>
        <v>7741.38</v>
      </c>
      <c r="P3515" s="4">
        <v>0</v>
      </c>
      <c r="Q3515" s="7">
        <f t="shared" si="381"/>
        <v>0</v>
      </c>
      <c r="R3515" s="7">
        <f t="shared" si="382"/>
        <v>7741.38</v>
      </c>
      <c r="S3515" s="7">
        <f t="shared" si="383"/>
        <v>1290.23</v>
      </c>
      <c r="T3515" s="6">
        <f t="shared" si="384"/>
        <v>1.4218009478672985E-2</v>
      </c>
      <c r="V3515" t="s">
        <v>29</v>
      </c>
    </row>
    <row r="3516" spans="1:22">
      <c r="A3516" s="3">
        <v>45804</v>
      </c>
      <c r="B3516" t="str">
        <f t="shared" si="378"/>
        <v>yyyy-05</v>
      </c>
      <c r="C3516">
        <f t="shared" si="379"/>
        <v>22</v>
      </c>
      <c r="D3516" t="s">
        <v>42</v>
      </c>
      <c r="E3516" t="s">
        <v>43</v>
      </c>
      <c r="F3516" t="s">
        <v>46</v>
      </c>
      <c r="G3516" t="s">
        <v>27</v>
      </c>
      <c r="H3516" t="s">
        <v>45</v>
      </c>
      <c r="I3516" s="5">
        <v>426</v>
      </c>
      <c r="J3516" s="5">
        <v>325</v>
      </c>
      <c r="K3516" s="5">
        <v>32</v>
      </c>
      <c r="L3516" s="5">
        <v>7</v>
      </c>
      <c r="M3516" s="5">
        <v>7</v>
      </c>
      <c r="N3516" s="7">
        <v>2121.9499999999998</v>
      </c>
      <c r="O3516" s="7">
        <f t="shared" si="380"/>
        <v>14853.649999999998</v>
      </c>
      <c r="P3516" s="4">
        <v>0</v>
      </c>
      <c r="Q3516" s="7">
        <f t="shared" si="381"/>
        <v>0</v>
      </c>
      <c r="R3516" s="7">
        <f t="shared" si="382"/>
        <v>14853.649999999998</v>
      </c>
      <c r="S3516" s="7">
        <f t="shared" si="383"/>
        <v>2121.9499999999998</v>
      </c>
      <c r="T3516" s="6">
        <f t="shared" si="384"/>
        <v>1.6431924882629109E-2</v>
      </c>
      <c r="V3516" t="s">
        <v>29</v>
      </c>
    </row>
    <row r="3517" spans="1:22">
      <c r="A3517" s="3">
        <v>45804</v>
      </c>
      <c r="B3517" t="str">
        <f t="shared" si="378"/>
        <v>yyyy-05</v>
      </c>
      <c r="C3517">
        <f t="shared" si="379"/>
        <v>22</v>
      </c>
      <c r="D3517" t="s">
        <v>42</v>
      </c>
      <c r="E3517" t="s">
        <v>43</v>
      </c>
      <c r="F3517" t="s">
        <v>47</v>
      </c>
      <c r="G3517" t="s">
        <v>27</v>
      </c>
      <c r="H3517" t="s">
        <v>28</v>
      </c>
      <c r="I3517" s="5">
        <v>426</v>
      </c>
      <c r="J3517" s="5">
        <v>346</v>
      </c>
      <c r="K3517" s="5">
        <v>37</v>
      </c>
      <c r="L3517" s="5">
        <v>8</v>
      </c>
      <c r="M3517" s="5">
        <v>8</v>
      </c>
      <c r="N3517" s="7">
        <v>598.72</v>
      </c>
      <c r="O3517" s="7">
        <f t="shared" si="380"/>
        <v>4789.76</v>
      </c>
      <c r="P3517" s="4">
        <v>0.03</v>
      </c>
      <c r="Q3517" s="7">
        <f t="shared" si="381"/>
        <v>143.69280000000001</v>
      </c>
      <c r="R3517" s="7">
        <f t="shared" si="382"/>
        <v>4646.0672000000004</v>
      </c>
      <c r="S3517" s="7">
        <f t="shared" si="383"/>
        <v>580.75840000000005</v>
      </c>
      <c r="T3517" s="6">
        <f t="shared" si="384"/>
        <v>1.8779342723004695E-2</v>
      </c>
      <c r="V3517" t="s">
        <v>29</v>
      </c>
    </row>
    <row r="3518" spans="1:22">
      <c r="A3518" s="3">
        <v>45804</v>
      </c>
      <c r="B3518" t="str">
        <f t="shared" si="378"/>
        <v>yyyy-05</v>
      </c>
      <c r="C3518">
        <f t="shared" si="379"/>
        <v>22</v>
      </c>
      <c r="D3518" t="s">
        <v>42</v>
      </c>
      <c r="E3518" t="s">
        <v>49</v>
      </c>
      <c r="F3518" t="s">
        <v>50</v>
      </c>
      <c r="G3518" t="s">
        <v>27</v>
      </c>
      <c r="H3518" t="s">
        <v>48</v>
      </c>
      <c r="I3518" s="5">
        <v>106</v>
      </c>
      <c r="J3518" s="5">
        <v>55</v>
      </c>
      <c r="K3518" s="5">
        <v>10</v>
      </c>
      <c r="L3518" s="5">
        <v>2</v>
      </c>
      <c r="M3518" s="5">
        <v>2</v>
      </c>
      <c r="N3518" s="7">
        <v>996.58</v>
      </c>
      <c r="O3518" s="7">
        <f t="shared" si="380"/>
        <v>1993.16</v>
      </c>
      <c r="P3518" s="4">
        <v>0.05</v>
      </c>
      <c r="Q3518" s="7">
        <f t="shared" si="381"/>
        <v>99.658000000000015</v>
      </c>
      <c r="R3518" s="7">
        <f t="shared" si="382"/>
        <v>1893.502</v>
      </c>
      <c r="S3518" s="7">
        <f t="shared" si="383"/>
        <v>946.75099999999998</v>
      </c>
      <c r="T3518" s="6">
        <f t="shared" si="384"/>
        <v>1.8867924528301886E-2</v>
      </c>
      <c r="V3518" t="s">
        <v>29</v>
      </c>
    </row>
    <row r="3519" spans="1:22">
      <c r="A3519" s="3">
        <v>45804</v>
      </c>
      <c r="B3519" t="str">
        <f t="shared" si="378"/>
        <v>yyyy-05</v>
      </c>
      <c r="C3519">
        <f t="shared" si="379"/>
        <v>22</v>
      </c>
      <c r="D3519" t="s">
        <v>42</v>
      </c>
      <c r="E3519" t="s">
        <v>51</v>
      </c>
      <c r="F3519" t="s">
        <v>52</v>
      </c>
      <c r="G3519" t="s">
        <v>36</v>
      </c>
      <c r="H3519" t="s">
        <v>37</v>
      </c>
      <c r="I3519" s="5">
        <v>331</v>
      </c>
      <c r="J3519" s="5">
        <v>235</v>
      </c>
      <c r="K3519" s="5">
        <v>16</v>
      </c>
      <c r="L3519" s="5">
        <v>5</v>
      </c>
      <c r="M3519" s="5">
        <v>5</v>
      </c>
      <c r="N3519" s="7">
        <v>582.47</v>
      </c>
      <c r="O3519" s="7">
        <f t="shared" si="380"/>
        <v>2912.3500000000004</v>
      </c>
      <c r="P3519" s="4">
        <v>0</v>
      </c>
      <c r="Q3519" s="7">
        <f t="shared" si="381"/>
        <v>0</v>
      </c>
      <c r="R3519" s="7">
        <f t="shared" si="382"/>
        <v>2912.3500000000004</v>
      </c>
      <c r="S3519" s="7">
        <f t="shared" si="383"/>
        <v>582.47</v>
      </c>
      <c r="T3519" s="6">
        <f t="shared" si="384"/>
        <v>1.5105740181268883E-2</v>
      </c>
      <c r="V3519" t="s">
        <v>29</v>
      </c>
    </row>
    <row r="3520" spans="1:22">
      <c r="A3520" s="3">
        <v>45804</v>
      </c>
      <c r="B3520" t="str">
        <f t="shared" si="378"/>
        <v>yyyy-05</v>
      </c>
      <c r="C3520">
        <f t="shared" si="379"/>
        <v>22</v>
      </c>
      <c r="D3520" t="s">
        <v>53</v>
      </c>
      <c r="E3520" t="s">
        <v>54</v>
      </c>
      <c r="F3520" t="s">
        <v>55</v>
      </c>
      <c r="G3520" t="s">
        <v>27</v>
      </c>
      <c r="H3520" t="s">
        <v>48</v>
      </c>
      <c r="I3520" s="5">
        <v>140</v>
      </c>
      <c r="J3520" s="5">
        <v>99</v>
      </c>
      <c r="K3520" s="5">
        <v>8</v>
      </c>
      <c r="L3520" s="5">
        <v>2</v>
      </c>
      <c r="M3520" s="5">
        <v>2</v>
      </c>
      <c r="N3520" s="7">
        <v>1264.0999999999999</v>
      </c>
      <c r="O3520" s="7">
        <f t="shared" si="380"/>
        <v>2528.1999999999998</v>
      </c>
      <c r="P3520" s="4">
        <v>0</v>
      </c>
      <c r="Q3520" s="7">
        <f t="shared" si="381"/>
        <v>0</v>
      </c>
      <c r="R3520" s="7">
        <f t="shared" si="382"/>
        <v>2528.1999999999998</v>
      </c>
      <c r="S3520" s="7">
        <f t="shared" si="383"/>
        <v>1264.0999999999999</v>
      </c>
      <c r="T3520" s="6">
        <f t="shared" si="384"/>
        <v>1.4285714285714285E-2</v>
      </c>
      <c r="V3520" t="s">
        <v>29</v>
      </c>
    </row>
    <row r="3521" spans="1:22">
      <c r="A3521" s="3">
        <v>45804</v>
      </c>
      <c r="B3521" t="str">
        <f t="shared" si="378"/>
        <v>yyyy-05</v>
      </c>
      <c r="C3521">
        <f t="shared" si="379"/>
        <v>22</v>
      </c>
      <c r="D3521" t="s">
        <v>53</v>
      </c>
      <c r="E3521" t="s">
        <v>56</v>
      </c>
      <c r="F3521" t="s">
        <v>57</v>
      </c>
      <c r="G3521" t="s">
        <v>27</v>
      </c>
      <c r="H3521" t="s">
        <v>63</v>
      </c>
      <c r="I3521" s="5">
        <v>121</v>
      </c>
      <c r="J3521" s="5">
        <v>76</v>
      </c>
      <c r="K3521" s="5">
        <v>10</v>
      </c>
      <c r="L3521" s="5">
        <v>2</v>
      </c>
      <c r="M3521" s="5">
        <v>2</v>
      </c>
      <c r="N3521" s="7">
        <v>745.88</v>
      </c>
      <c r="O3521" s="7">
        <f t="shared" si="380"/>
        <v>1491.76</v>
      </c>
      <c r="P3521" s="4">
        <v>0</v>
      </c>
      <c r="Q3521" s="7">
        <f t="shared" si="381"/>
        <v>0</v>
      </c>
      <c r="R3521" s="7">
        <f t="shared" si="382"/>
        <v>1491.76</v>
      </c>
      <c r="S3521" s="7">
        <f t="shared" si="383"/>
        <v>745.88</v>
      </c>
      <c r="T3521" s="6">
        <f t="shared" si="384"/>
        <v>1.6528925619834711E-2</v>
      </c>
      <c r="V3521" t="s">
        <v>29</v>
      </c>
    </row>
    <row r="3522" spans="1:22">
      <c r="A3522" s="3">
        <v>45804</v>
      </c>
      <c r="B3522" t="str">
        <f t="shared" si="378"/>
        <v>yyyy-05</v>
      </c>
      <c r="C3522">
        <f t="shared" si="379"/>
        <v>22</v>
      </c>
      <c r="D3522" t="s">
        <v>53</v>
      </c>
      <c r="E3522" t="s">
        <v>56</v>
      </c>
      <c r="F3522" t="s">
        <v>58</v>
      </c>
      <c r="G3522" t="s">
        <v>27</v>
      </c>
      <c r="H3522" t="s">
        <v>28</v>
      </c>
      <c r="I3522" s="5">
        <v>293</v>
      </c>
      <c r="J3522" s="5">
        <v>224</v>
      </c>
      <c r="K3522" s="5">
        <v>17</v>
      </c>
      <c r="L3522" s="5">
        <v>3</v>
      </c>
      <c r="M3522" s="5">
        <v>3</v>
      </c>
      <c r="N3522" s="7">
        <v>912.9</v>
      </c>
      <c r="O3522" s="7">
        <f t="shared" si="380"/>
        <v>2738.7</v>
      </c>
      <c r="P3522" s="4">
        <v>0</v>
      </c>
      <c r="Q3522" s="7">
        <f t="shared" si="381"/>
        <v>0</v>
      </c>
      <c r="R3522" s="7">
        <f t="shared" si="382"/>
        <v>2738.7</v>
      </c>
      <c r="S3522" s="7">
        <f t="shared" si="383"/>
        <v>912.9</v>
      </c>
      <c r="T3522" s="6">
        <f t="shared" si="384"/>
        <v>1.0238907849829351E-2</v>
      </c>
      <c r="V3522" t="s">
        <v>29</v>
      </c>
    </row>
    <row r="3523" spans="1:22">
      <c r="A3523" s="3">
        <v>45804</v>
      </c>
      <c r="B3523" t="str">
        <f t="shared" si="378"/>
        <v>yyyy-05</v>
      </c>
      <c r="C3523">
        <f t="shared" si="379"/>
        <v>22</v>
      </c>
      <c r="D3523" t="s">
        <v>53</v>
      </c>
      <c r="E3523" t="s">
        <v>59</v>
      </c>
      <c r="F3523" t="s">
        <v>60</v>
      </c>
      <c r="G3523" t="s">
        <v>31</v>
      </c>
      <c r="H3523" t="s">
        <v>32</v>
      </c>
      <c r="I3523" s="5">
        <v>177</v>
      </c>
      <c r="J3523" s="5">
        <v>97</v>
      </c>
      <c r="K3523" s="5">
        <v>9</v>
      </c>
      <c r="L3523" s="5">
        <v>3</v>
      </c>
      <c r="M3523" s="5">
        <v>3</v>
      </c>
      <c r="N3523" s="7">
        <v>676.41</v>
      </c>
      <c r="O3523" s="7">
        <f t="shared" si="380"/>
        <v>2029.23</v>
      </c>
      <c r="P3523" s="4">
        <v>0</v>
      </c>
      <c r="Q3523" s="7">
        <f t="shared" si="381"/>
        <v>0</v>
      </c>
      <c r="R3523" s="7">
        <f t="shared" si="382"/>
        <v>2029.23</v>
      </c>
      <c r="S3523" s="7">
        <f t="shared" si="383"/>
        <v>676.41</v>
      </c>
      <c r="T3523" s="6">
        <f t="shared" si="384"/>
        <v>1.6949152542372881E-2</v>
      </c>
      <c r="V3523" t="s">
        <v>29</v>
      </c>
    </row>
    <row r="3524" spans="1:22">
      <c r="A3524" s="3">
        <v>45804</v>
      </c>
      <c r="B3524" t="str">
        <f t="shared" si="378"/>
        <v>yyyy-05</v>
      </c>
      <c r="C3524">
        <f t="shared" si="379"/>
        <v>22</v>
      </c>
      <c r="D3524" t="s">
        <v>53</v>
      </c>
      <c r="E3524" t="s">
        <v>61</v>
      </c>
      <c r="F3524" t="s">
        <v>62</v>
      </c>
      <c r="G3524" t="s">
        <v>31</v>
      </c>
      <c r="H3524" t="s">
        <v>32</v>
      </c>
      <c r="I3524" s="5">
        <v>192</v>
      </c>
      <c r="J3524" s="5">
        <v>102</v>
      </c>
      <c r="K3524" s="5">
        <v>14</v>
      </c>
      <c r="L3524" s="5">
        <v>3</v>
      </c>
      <c r="M3524" s="5">
        <v>3</v>
      </c>
      <c r="N3524" s="7">
        <v>482.82</v>
      </c>
      <c r="O3524" s="7">
        <f t="shared" si="380"/>
        <v>1448.46</v>
      </c>
      <c r="P3524" s="4">
        <v>0.03</v>
      </c>
      <c r="Q3524" s="7">
        <f t="shared" si="381"/>
        <v>43.453800000000001</v>
      </c>
      <c r="R3524" s="7">
        <f t="shared" si="382"/>
        <v>1405.0062</v>
      </c>
      <c r="S3524" s="7">
        <f t="shared" si="383"/>
        <v>468.33539999999999</v>
      </c>
      <c r="T3524" s="6">
        <f t="shared" si="384"/>
        <v>1.5625E-2</v>
      </c>
      <c r="V3524" t="s">
        <v>29</v>
      </c>
    </row>
    <row r="3525" spans="1:22">
      <c r="A3525" s="3">
        <v>45804</v>
      </c>
      <c r="B3525" t="str">
        <f t="shared" ref="B3525:B3588" si="385">TEXT(A3525,"yyyy-mm")</f>
        <v>yyyy-05</v>
      </c>
      <c r="C3525">
        <f t="shared" ref="C3525:C3588" si="386">WEEKNUM(A3525,2)</f>
        <v>22</v>
      </c>
      <c r="D3525" t="s">
        <v>53</v>
      </c>
      <c r="E3525" t="s">
        <v>64</v>
      </c>
      <c r="F3525" t="s">
        <v>65</v>
      </c>
      <c r="G3525" t="s">
        <v>27</v>
      </c>
      <c r="H3525" t="s">
        <v>48</v>
      </c>
      <c r="I3525" s="5">
        <v>204</v>
      </c>
      <c r="J3525" s="5">
        <v>141</v>
      </c>
      <c r="K3525" s="5">
        <v>16</v>
      </c>
      <c r="L3525" s="5">
        <v>3</v>
      </c>
      <c r="M3525" s="5">
        <v>3</v>
      </c>
      <c r="N3525" s="7">
        <v>781.29</v>
      </c>
      <c r="O3525" s="7">
        <f t="shared" ref="O3525:O3588" si="387">M3525*N3525</f>
        <v>2343.87</v>
      </c>
      <c r="P3525" s="4">
        <v>0</v>
      </c>
      <c r="Q3525" s="7">
        <f t="shared" ref="Q3525:Q3588" si="388">O3525*P3525</f>
        <v>0</v>
      </c>
      <c r="R3525" s="7">
        <f t="shared" ref="R3525:R3588" si="389">O3525-Q3525</f>
        <v>2343.87</v>
      </c>
      <c r="S3525" s="7">
        <f t="shared" ref="S3525:S3588" si="390">IFERROR(R3525/L3525,0)</f>
        <v>781.29</v>
      </c>
      <c r="T3525" s="6">
        <f t="shared" ref="T3525:T3588" si="391">IFERROR(L3525/I3525,0)</f>
        <v>1.4705882352941176E-2</v>
      </c>
      <c r="V3525" t="s">
        <v>29</v>
      </c>
    </row>
    <row r="3526" spans="1:22">
      <c r="A3526" s="3">
        <v>45804</v>
      </c>
      <c r="B3526" t="str">
        <f t="shared" si="385"/>
        <v>yyyy-05</v>
      </c>
      <c r="C3526">
        <f t="shared" si="386"/>
        <v>22</v>
      </c>
      <c r="D3526" t="s">
        <v>66</v>
      </c>
      <c r="E3526" t="s">
        <v>67</v>
      </c>
      <c r="F3526" t="s">
        <v>68</v>
      </c>
      <c r="G3526" t="s">
        <v>36</v>
      </c>
      <c r="H3526" t="s">
        <v>37</v>
      </c>
      <c r="I3526" s="5">
        <v>502</v>
      </c>
      <c r="J3526" s="5">
        <v>341</v>
      </c>
      <c r="K3526" s="5">
        <v>40</v>
      </c>
      <c r="L3526" s="5">
        <v>9</v>
      </c>
      <c r="M3526" s="5">
        <v>9</v>
      </c>
      <c r="N3526" s="7">
        <v>708.16</v>
      </c>
      <c r="O3526" s="7">
        <f t="shared" si="387"/>
        <v>6373.44</v>
      </c>
      <c r="P3526" s="4">
        <v>0</v>
      </c>
      <c r="Q3526" s="7">
        <f t="shared" si="388"/>
        <v>0</v>
      </c>
      <c r="R3526" s="7">
        <f t="shared" si="389"/>
        <v>6373.44</v>
      </c>
      <c r="S3526" s="7">
        <f t="shared" si="390"/>
        <v>708.16</v>
      </c>
      <c r="T3526" s="6">
        <f t="shared" si="391"/>
        <v>1.7928286852589643E-2</v>
      </c>
      <c r="V3526" t="s">
        <v>29</v>
      </c>
    </row>
    <row r="3527" spans="1:22">
      <c r="A3527" s="3">
        <v>45804</v>
      </c>
      <c r="B3527" t="str">
        <f t="shared" si="385"/>
        <v>yyyy-05</v>
      </c>
      <c r="C3527">
        <f t="shared" si="386"/>
        <v>22</v>
      </c>
      <c r="D3527" t="s">
        <v>66</v>
      </c>
      <c r="E3527" t="s">
        <v>67</v>
      </c>
      <c r="F3527" t="s">
        <v>69</v>
      </c>
      <c r="G3527" t="s">
        <v>27</v>
      </c>
      <c r="H3527" t="s">
        <v>28</v>
      </c>
      <c r="I3527" s="5">
        <v>460</v>
      </c>
      <c r="J3527" s="5">
        <v>286</v>
      </c>
      <c r="K3527" s="5">
        <v>30</v>
      </c>
      <c r="L3527" s="5">
        <v>9</v>
      </c>
      <c r="M3527" s="5">
        <v>9</v>
      </c>
      <c r="N3527" s="7">
        <v>392.01</v>
      </c>
      <c r="O3527" s="7">
        <f t="shared" si="387"/>
        <v>3528.09</v>
      </c>
      <c r="P3527" s="4">
        <v>0.03</v>
      </c>
      <c r="Q3527" s="7">
        <f t="shared" si="388"/>
        <v>105.84269999999999</v>
      </c>
      <c r="R3527" s="7">
        <f t="shared" si="389"/>
        <v>3422.2473</v>
      </c>
      <c r="S3527" s="7">
        <f t="shared" si="390"/>
        <v>380.24970000000002</v>
      </c>
      <c r="T3527" s="6">
        <f t="shared" si="391"/>
        <v>1.9565217391304349E-2</v>
      </c>
      <c r="V3527" t="s">
        <v>29</v>
      </c>
    </row>
    <row r="3528" spans="1:22">
      <c r="A3528" s="3">
        <v>45804</v>
      </c>
      <c r="B3528" t="str">
        <f t="shared" si="385"/>
        <v>yyyy-05</v>
      </c>
      <c r="C3528">
        <f t="shared" si="386"/>
        <v>22</v>
      </c>
      <c r="D3528" t="s">
        <v>66</v>
      </c>
      <c r="E3528" t="s">
        <v>67</v>
      </c>
      <c r="F3528" t="s">
        <v>70</v>
      </c>
      <c r="G3528" t="s">
        <v>31</v>
      </c>
      <c r="H3528" t="s">
        <v>32</v>
      </c>
      <c r="I3528" s="5">
        <v>578</v>
      </c>
      <c r="J3528" s="5">
        <v>454</v>
      </c>
      <c r="K3528" s="5">
        <v>32</v>
      </c>
      <c r="L3528" s="5">
        <v>9</v>
      </c>
      <c r="M3528" s="5">
        <v>9</v>
      </c>
      <c r="N3528" s="7">
        <v>354.55</v>
      </c>
      <c r="O3528" s="7">
        <f t="shared" si="387"/>
        <v>3190.9500000000003</v>
      </c>
      <c r="P3528" s="4">
        <v>0</v>
      </c>
      <c r="Q3528" s="7">
        <f t="shared" si="388"/>
        <v>0</v>
      </c>
      <c r="R3528" s="7">
        <f t="shared" si="389"/>
        <v>3190.9500000000003</v>
      </c>
      <c r="S3528" s="7">
        <f t="shared" si="390"/>
        <v>354.55</v>
      </c>
      <c r="T3528" s="6">
        <f t="shared" si="391"/>
        <v>1.5570934256055362E-2</v>
      </c>
      <c r="V3528" t="s">
        <v>29</v>
      </c>
    </row>
    <row r="3529" spans="1:22">
      <c r="A3529" s="3">
        <v>45804</v>
      </c>
      <c r="B3529" t="str">
        <f t="shared" si="385"/>
        <v>yyyy-05</v>
      </c>
      <c r="C3529">
        <f t="shared" si="386"/>
        <v>22</v>
      </c>
      <c r="D3529" t="s">
        <v>66</v>
      </c>
      <c r="E3529" t="s">
        <v>71</v>
      </c>
      <c r="F3529" t="s">
        <v>72</v>
      </c>
      <c r="G3529" t="s">
        <v>27</v>
      </c>
      <c r="H3529" t="s">
        <v>48</v>
      </c>
      <c r="I3529" s="5">
        <v>323</v>
      </c>
      <c r="J3529" s="5">
        <v>186</v>
      </c>
      <c r="K3529" s="5">
        <v>24</v>
      </c>
      <c r="L3529" s="5">
        <v>6</v>
      </c>
      <c r="M3529" s="5">
        <v>8</v>
      </c>
      <c r="N3529" s="7">
        <v>129.9</v>
      </c>
      <c r="O3529" s="7">
        <f t="shared" si="387"/>
        <v>1039.2</v>
      </c>
      <c r="P3529" s="4">
        <v>0.03</v>
      </c>
      <c r="Q3529" s="7">
        <f t="shared" si="388"/>
        <v>31.176000000000002</v>
      </c>
      <c r="R3529" s="7">
        <f t="shared" si="389"/>
        <v>1008.024</v>
      </c>
      <c r="S3529" s="7">
        <f t="shared" si="390"/>
        <v>168.00399999999999</v>
      </c>
      <c r="T3529" s="6">
        <f t="shared" si="391"/>
        <v>1.8575851393188854E-2</v>
      </c>
      <c r="V3529" t="s">
        <v>29</v>
      </c>
    </row>
    <row r="3530" spans="1:22">
      <c r="A3530" s="3">
        <v>45804</v>
      </c>
      <c r="B3530" t="str">
        <f t="shared" si="385"/>
        <v>yyyy-05</v>
      </c>
      <c r="C3530">
        <f t="shared" si="386"/>
        <v>22</v>
      </c>
      <c r="D3530" t="s">
        <v>66</v>
      </c>
      <c r="E3530" t="s">
        <v>73</v>
      </c>
      <c r="F3530" t="s">
        <v>74</v>
      </c>
      <c r="G3530" t="s">
        <v>27</v>
      </c>
      <c r="H3530" t="s">
        <v>45</v>
      </c>
      <c r="I3530" s="5">
        <v>197</v>
      </c>
      <c r="J3530" s="5">
        <v>123</v>
      </c>
      <c r="K3530" s="5">
        <v>10</v>
      </c>
      <c r="L3530" s="5">
        <v>3</v>
      </c>
      <c r="M3530" s="5">
        <v>3</v>
      </c>
      <c r="N3530" s="7">
        <v>1192.42</v>
      </c>
      <c r="O3530" s="7">
        <f t="shared" si="387"/>
        <v>3577.26</v>
      </c>
      <c r="P3530" s="4">
        <v>0</v>
      </c>
      <c r="Q3530" s="7">
        <f t="shared" si="388"/>
        <v>0</v>
      </c>
      <c r="R3530" s="7">
        <f t="shared" si="389"/>
        <v>3577.26</v>
      </c>
      <c r="S3530" s="7">
        <f t="shared" si="390"/>
        <v>1192.42</v>
      </c>
      <c r="T3530" s="6">
        <f t="shared" si="391"/>
        <v>1.5228426395939087E-2</v>
      </c>
      <c r="V3530" t="s">
        <v>29</v>
      </c>
    </row>
    <row r="3531" spans="1:22">
      <c r="A3531" s="3">
        <v>45804</v>
      </c>
      <c r="B3531" t="str">
        <f t="shared" si="385"/>
        <v>yyyy-05</v>
      </c>
      <c r="C3531">
        <f t="shared" si="386"/>
        <v>22</v>
      </c>
      <c r="D3531" t="s">
        <v>66</v>
      </c>
      <c r="E3531" t="s">
        <v>71</v>
      </c>
      <c r="F3531" t="s">
        <v>75</v>
      </c>
      <c r="G3531" t="s">
        <v>27</v>
      </c>
      <c r="H3531" t="s">
        <v>45</v>
      </c>
      <c r="I3531" s="5">
        <v>293</v>
      </c>
      <c r="J3531" s="5">
        <v>193</v>
      </c>
      <c r="K3531" s="5">
        <v>18</v>
      </c>
      <c r="L3531" s="5">
        <v>4</v>
      </c>
      <c r="M3531" s="5">
        <v>5</v>
      </c>
      <c r="N3531" s="7">
        <v>38.130000000000003</v>
      </c>
      <c r="O3531" s="7">
        <f t="shared" si="387"/>
        <v>190.65</v>
      </c>
      <c r="P3531" s="4">
        <v>0.03</v>
      </c>
      <c r="Q3531" s="7">
        <f t="shared" si="388"/>
        <v>5.7195</v>
      </c>
      <c r="R3531" s="7">
        <f t="shared" si="389"/>
        <v>184.93049999999999</v>
      </c>
      <c r="S3531" s="7">
        <f t="shared" si="390"/>
        <v>46.232624999999999</v>
      </c>
      <c r="T3531" s="6">
        <f t="shared" si="391"/>
        <v>1.3651877133105802E-2</v>
      </c>
      <c r="V3531" t="s">
        <v>29</v>
      </c>
    </row>
    <row r="3532" spans="1:22">
      <c r="A3532" s="3">
        <v>45804</v>
      </c>
      <c r="B3532" t="str">
        <f t="shared" si="385"/>
        <v>yyyy-05</v>
      </c>
      <c r="C3532">
        <f t="shared" si="386"/>
        <v>22</v>
      </c>
      <c r="D3532" t="s">
        <v>24</v>
      </c>
      <c r="E3532" t="s">
        <v>76</v>
      </c>
      <c r="F3532" t="s">
        <v>77</v>
      </c>
      <c r="G3532" t="s">
        <v>27</v>
      </c>
      <c r="H3532" t="s">
        <v>28</v>
      </c>
      <c r="I3532" s="5">
        <v>744</v>
      </c>
      <c r="J3532" s="5">
        <v>413</v>
      </c>
      <c r="K3532" s="5">
        <v>62</v>
      </c>
      <c r="L3532" s="5">
        <v>21</v>
      </c>
      <c r="M3532" s="5">
        <v>26</v>
      </c>
      <c r="N3532" s="7">
        <v>198.85</v>
      </c>
      <c r="O3532" s="7">
        <f t="shared" si="387"/>
        <v>5170.0999999999995</v>
      </c>
      <c r="P3532" s="4">
        <v>0.1</v>
      </c>
      <c r="Q3532" s="7">
        <f t="shared" si="388"/>
        <v>517.01</v>
      </c>
      <c r="R3532" s="7">
        <f t="shared" si="389"/>
        <v>4653.0899999999992</v>
      </c>
      <c r="S3532" s="7">
        <f t="shared" si="390"/>
        <v>221.57571428571424</v>
      </c>
      <c r="T3532" s="6">
        <f t="shared" si="391"/>
        <v>2.8225806451612902E-2</v>
      </c>
      <c r="U3532" t="s">
        <v>98</v>
      </c>
      <c r="V3532" t="s">
        <v>29</v>
      </c>
    </row>
    <row r="3533" spans="1:22">
      <c r="A3533" s="3">
        <v>45805</v>
      </c>
      <c r="B3533" t="str">
        <f t="shared" si="385"/>
        <v>yyyy-05</v>
      </c>
      <c r="C3533">
        <f t="shared" si="386"/>
        <v>22</v>
      </c>
      <c r="D3533" t="s">
        <v>24</v>
      </c>
      <c r="E3533" t="s">
        <v>25</v>
      </c>
      <c r="F3533" t="s">
        <v>26</v>
      </c>
      <c r="G3533" t="s">
        <v>36</v>
      </c>
      <c r="H3533" t="s">
        <v>37</v>
      </c>
      <c r="I3533" s="5">
        <v>1821</v>
      </c>
      <c r="J3533" s="5">
        <v>1197</v>
      </c>
      <c r="K3533" s="5">
        <v>167</v>
      </c>
      <c r="L3533" s="5">
        <v>44</v>
      </c>
      <c r="M3533" s="5">
        <v>44</v>
      </c>
      <c r="N3533" s="7">
        <v>1006.02</v>
      </c>
      <c r="O3533" s="7">
        <f t="shared" si="387"/>
        <v>44264.88</v>
      </c>
      <c r="P3533" s="4">
        <v>0.05</v>
      </c>
      <c r="Q3533" s="7">
        <f t="shared" si="388"/>
        <v>2213.2440000000001</v>
      </c>
      <c r="R3533" s="7">
        <f t="shared" si="389"/>
        <v>42051.635999999999</v>
      </c>
      <c r="S3533" s="7">
        <f t="shared" si="390"/>
        <v>955.71899999999994</v>
      </c>
      <c r="T3533" s="6">
        <f t="shared" si="391"/>
        <v>2.416254805052169E-2</v>
      </c>
      <c r="V3533" t="s">
        <v>29</v>
      </c>
    </row>
    <row r="3534" spans="1:22">
      <c r="A3534" s="3">
        <v>45805</v>
      </c>
      <c r="B3534" t="str">
        <f t="shared" si="385"/>
        <v>yyyy-05</v>
      </c>
      <c r="C3534">
        <f t="shared" si="386"/>
        <v>22</v>
      </c>
      <c r="D3534" t="s">
        <v>24</v>
      </c>
      <c r="E3534" t="s">
        <v>25</v>
      </c>
      <c r="F3534" t="s">
        <v>30</v>
      </c>
      <c r="G3534" t="s">
        <v>27</v>
      </c>
      <c r="H3534" t="s">
        <v>28</v>
      </c>
      <c r="I3534" s="5">
        <v>1867</v>
      </c>
      <c r="J3534" s="5">
        <v>1163</v>
      </c>
      <c r="K3534" s="5">
        <v>174</v>
      </c>
      <c r="L3534" s="5">
        <v>38</v>
      </c>
      <c r="M3534" s="5">
        <v>38</v>
      </c>
      <c r="N3534" s="7">
        <v>400.08</v>
      </c>
      <c r="O3534" s="7">
        <f t="shared" si="387"/>
        <v>15203.039999999999</v>
      </c>
      <c r="P3534" s="4">
        <v>0</v>
      </c>
      <c r="Q3534" s="7">
        <f t="shared" si="388"/>
        <v>0</v>
      </c>
      <c r="R3534" s="7">
        <f t="shared" si="389"/>
        <v>15203.039999999999</v>
      </c>
      <c r="S3534" s="7">
        <f t="shared" si="390"/>
        <v>400.08</v>
      </c>
      <c r="T3534" s="6">
        <f t="shared" si="391"/>
        <v>2.0353508302088912E-2</v>
      </c>
      <c r="V3534" t="s">
        <v>29</v>
      </c>
    </row>
    <row r="3535" spans="1:22">
      <c r="A3535" s="3">
        <v>45805</v>
      </c>
      <c r="B3535" t="str">
        <f t="shared" si="385"/>
        <v>yyyy-05</v>
      </c>
      <c r="C3535">
        <f t="shared" si="386"/>
        <v>22</v>
      </c>
      <c r="D3535" t="s">
        <v>24</v>
      </c>
      <c r="E3535" t="s">
        <v>25</v>
      </c>
      <c r="F3535" t="s">
        <v>33</v>
      </c>
      <c r="G3535" t="s">
        <v>27</v>
      </c>
      <c r="H3535" t="s">
        <v>45</v>
      </c>
      <c r="I3535" s="5">
        <v>1372</v>
      </c>
      <c r="J3535" s="5">
        <v>1069</v>
      </c>
      <c r="K3535" s="5">
        <v>144</v>
      </c>
      <c r="L3535" s="5">
        <v>30</v>
      </c>
      <c r="M3535" s="5">
        <v>30</v>
      </c>
      <c r="N3535" s="7">
        <v>1789.04</v>
      </c>
      <c r="O3535" s="7">
        <f t="shared" si="387"/>
        <v>53671.199999999997</v>
      </c>
      <c r="P3535" s="4">
        <v>0</v>
      </c>
      <c r="Q3535" s="7">
        <f t="shared" si="388"/>
        <v>0</v>
      </c>
      <c r="R3535" s="7">
        <f t="shared" si="389"/>
        <v>53671.199999999997</v>
      </c>
      <c r="S3535" s="7">
        <f t="shared" si="390"/>
        <v>1789.04</v>
      </c>
      <c r="T3535" s="6">
        <f t="shared" si="391"/>
        <v>2.1865889212827987E-2</v>
      </c>
      <c r="V3535" t="s">
        <v>29</v>
      </c>
    </row>
    <row r="3536" spans="1:22">
      <c r="A3536" s="3">
        <v>45805</v>
      </c>
      <c r="B3536" t="str">
        <f t="shared" si="385"/>
        <v>yyyy-05</v>
      </c>
      <c r="C3536">
        <f t="shared" si="386"/>
        <v>22</v>
      </c>
      <c r="D3536" t="s">
        <v>24</v>
      </c>
      <c r="E3536" t="s">
        <v>34</v>
      </c>
      <c r="F3536" t="s">
        <v>35</v>
      </c>
      <c r="G3536" t="s">
        <v>31</v>
      </c>
      <c r="H3536" t="s">
        <v>32</v>
      </c>
      <c r="I3536" s="5">
        <v>1418</v>
      </c>
      <c r="J3536" s="5">
        <v>788</v>
      </c>
      <c r="K3536" s="5">
        <v>85</v>
      </c>
      <c r="L3536" s="5">
        <v>25</v>
      </c>
      <c r="M3536" s="5">
        <v>25</v>
      </c>
      <c r="N3536" s="7">
        <v>902.78</v>
      </c>
      <c r="O3536" s="7">
        <f t="shared" si="387"/>
        <v>22569.5</v>
      </c>
      <c r="P3536" s="4">
        <v>0</v>
      </c>
      <c r="Q3536" s="7">
        <f t="shared" si="388"/>
        <v>0</v>
      </c>
      <c r="R3536" s="7">
        <f t="shared" si="389"/>
        <v>22569.5</v>
      </c>
      <c r="S3536" s="7">
        <f t="shared" si="390"/>
        <v>902.78</v>
      </c>
      <c r="T3536" s="6">
        <f t="shared" si="391"/>
        <v>1.763046544428773E-2</v>
      </c>
      <c r="V3536" t="s">
        <v>29</v>
      </c>
    </row>
    <row r="3537" spans="1:22">
      <c r="A3537" s="3">
        <v>45805</v>
      </c>
      <c r="B3537" t="str">
        <f t="shared" si="385"/>
        <v>yyyy-05</v>
      </c>
      <c r="C3537">
        <f t="shared" si="386"/>
        <v>22</v>
      </c>
      <c r="D3537" t="s">
        <v>24</v>
      </c>
      <c r="E3537" t="s">
        <v>38</v>
      </c>
      <c r="F3537" t="s">
        <v>39</v>
      </c>
      <c r="G3537" t="s">
        <v>27</v>
      </c>
      <c r="H3537" t="s">
        <v>45</v>
      </c>
      <c r="I3537" s="5">
        <v>761</v>
      </c>
      <c r="J3537" s="5">
        <v>512</v>
      </c>
      <c r="K3537" s="5">
        <v>79</v>
      </c>
      <c r="L3537" s="5">
        <v>17</v>
      </c>
      <c r="M3537" s="5">
        <v>17</v>
      </c>
      <c r="N3537" s="7">
        <v>327.68</v>
      </c>
      <c r="O3537" s="7">
        <f t="shared" si="387"/>
        <v>5570.56</v>
      </c>
      <c r="P3537" s="4">
        <v>0</v>
      </c>
      <c r="Q3537" s="7">
        <f t="shared" si="388"/>
        <v>0</v>
      </c>
      <c r="R3537" s="7">
        <f t="shared" si="389"/>
        <v>5570.56</v>
      </c>
      <c r="S3537" s="7">
        <f t="shared" si="390"/>
        <v>327.68</v>
      </c>
      <c r="T3537" s="6">
        <f t="shared" si="391"/>
        <v>2.2339027595269383E-2</v>
      </c>
      <c r="V3537" t="s">
        <v>29</v>
      </c>
    </row>
    <row r="3538" spans="1:22">
      <c r="A3538" s="3">
        <v>45805</v>
      </c>
      <c r="B3538" t="str">
        <f t="shared" si="385"/>
        <v>yyyy-05</v>
      </c>
      <c r="C3538">
        <f t="shared" si="386"/>
        <v>22</v>
      </c>
      <c r="D3538" t="s">
        <v>24</v>
      </c>
      <c r="E3538" t="s">
        <v>40</v>
      </c>
      <c r="F3538" t="s">
        <v>41</v>
      </c>
      <c r="G3538" t="s">
        <v>36</v>
      </c>
      <c r="H3538" t="s">
        <v>37</v>
      </c>
      <c r="I3538" s="5">
        <v>847</v>
      </c>
      <c r="J3538" s="5">
        <v>634</v>
      </c>
      <c r="K3538" s="5">
        <v>62</v>
      </c>
      <c r="L3538" s="5">
        <v>17</v>
      </c>
      <c r="M3538" s="5">
        <v>22</v>
      </c>
      <c r="N3538" s="7">
        <v>176.53</v>
      </c>
      <c r="O3538" s="7">
        <f t="shared" si="387"/>
        <v>3883.66</v>
      </c>
      <c r="P3538" s="4">
        <v>0</v>
      </c>
      <c r="Q3538" s="7">
        <f t="shared" si="388"/>
        <v>0</v>
      </c>
      <c r="R3538" s="7">
        <f t="shared" si="389"/>
        <v>3883.66</v>
      </c>
      <c r="S3538" s="7">
        <f t="shared" si="390"/>
        <v>228.45058823529411</v>
      </c>
      <c r="T3538" s="6">
        <f t="shared" si="391"/>
        <v>2.0070838252656435E-2</v>
      </c>
      <c r="V3538" t="s">
        <v>29</v>
      </c>
    </row>
    <row r="3539" spans="1:22">
      <c r="A3539" s="3">
        <v>45805</v>
      </c>
      <c r="B3539" t="str">
        <f t="shared" si="385"/>
        <v>yyyy-05</v>
      </c>
      <c r="C3539">
        <f t="shared" si="386"/>
        <v>22</v>
      </c>
      <c r="D3539" t="s">
        <v>42</v>
      </c>
      <c r="E3539" t="s">
        <v>43</v>
      </c>
      <c r="F3539" t="s">
        <v>44</v>
      </c>
      <c r="G3539" t="s">
        <v>31</v>
      </c>
      <c r="H3539" t="s">
        <v>32</v>
      </c>
      <c r="I3539" s="5">
        <v>668</v>
      </c>
      <c r="J3539" s="5">
        <v>448</v>
      </c>
      <c r="K3539" s="5">
        <v>26</v>
      </c>
      <c r="L3539" s="5">
        <v>8</v>
      </c>
      <c r="M3539" s="5">
        <v>8</v>
      </c>
      <c r="N3539" s="7">
        <v>1317.31</v>
      </c>
      <c r="O3539" s="7">
        <f t="shared" si="387"/>
        <v>10538.48</v>
      </c>
      <c r="P3539" s="4">
        <v>0.05</v>
      </c>
      <c r="Q3539" s="7">
        <f t="shared" si="388"/>
        <v>526.92399999999998</v>
      </c>
      <c r="R3539" s="7">
        <f t="shared" si="389"/>
        <v>10011.556</v>
      </c>
      <c r="S3539" s="7">
        <f t="shared" si="390"/>
        <v>1251.4445000000001</v>
      </c>
      <c r="T3539" s="6">
        <f t="shared" si="391"/>
        <v>1.1976047904191617E-2</v>
      </c>
      <c r="V3539" t="s">
        <v>29</v>
      </c>
    </row>
    <row r="3540" spans="1:22">
      <c r="A3540" s="3">
        <v>45805</v>
      </c>
      <c r="B3540" t="str">
        <f t="shared" si="385"/>
        <v>yyyy-05</v>
      </c>
      <c r="C3540">
        <f t="shared" si="386"/>
        <v>22</v>
      </c>
      <c r="D3540" t="s">
        <v>42</v>
      </c>
      <c r="E3540" t="s">
        <v>43</v>
      </c>
      <c r="F3540" t="s">
        <v>46</v>
      </c>
      <c r="G3540" t="s">
        <v>27</v>
      </c>
      <c r="H3540" t="s">
        <v>63</v>
      </c>
      <c r="I3540" s="5">
        <v>299</v>
      </c>
      <c r="J3540" s="5">
        <v>179</v>
      </c>
      <c r="K3540" s="5">
        <v>11</v>
      </c>
      <c r="L3540" s="5">
        <v>5</v>
      </c>
      <c r="M3540" s="5">
        <v>5</v>
      </c>
      <c r="N3540" s="7">
        <v>2214.25</v>
      </c>
      <c r="O3540" s="7">
        <f t="shared" si="387"/>
        <v>11071.25</v>
      </c>
      <c r="P3540" s="4">
        <v>0</v>
      </c>
      <c r="Q3540" s="7">
        <f t="shared" si="388"/>
        <v>0</v>
      </c>
      <c r="R3540" s="7">
        <f t="shared" si="389"/>
        <v>11071.25</v>
      </c>
      <c r="S3540" s="7">
        <f t="shared" si="390"/>
        <v>2214.25</v>
      </c>
      <c r="T3540" s="6">
        <f t="shared" si="391"/>
        <v>1.6722408026755852E-2</v>
      </c>
      <c r="V3540" t="s">
        <v>29</v>
      </c>
    </row>
    <row r="3541" spans="1:22">
      <c r="A3541" s="3">
        <v>45805</v>
      </c>
      <c r="B3541" t="str">
        <f t="shared" si="385"/>
        <v>yyyy-05</v>
      </c>
      <c r="C3541">
        <f t="shared" si="386"/>
        <v>22</v>
      </c>
      <c r="D3541" t="s">
        <v>42</v>
      </c>
      <c r="E3541" t="s">
        <v>43</v>
      </c>
      <c r="F3541" t="s">
        <v>47</v>
      </c>
      <c r="G3541" t="s">
        <v>27</v>
      </c>
      <c r="H3541" t="s">
        <v>48</v>
      </c>
      <c r="I3541" s="5">
        <v>389</v>
      </c>
      <c r="J3541" s="5">
        <v>226</v>
      </c>
      <c r="K3541" s="5">
        <v>16</v>
      </c>
      <c r="L3541" s="5">
        <v>4</v>
      </c>
      <c r="M3541" s="5">
        <v>4</v>
      </c>
      <c r="N3541" s="7">
        <v>579.11</v>
      </c>
      <c r="O3541" s="7">
        <f t="shared" si="387"/>
        <v>2316.44</v>
      </c>
      <c r="P3541" s="4">
        <v>0</v>
      </c>
      <c r="Q3541" s="7">
        <f t="shared" si="388"/>
        <v>0</v>
      </c>
      <c r="R3541" s="7">
        <f t="shared" si="389"/>
        <v>2316.44</v>
      </c>
      <c r="S3541" s="7">
        <f t="shared" si="390"/>
        <v>579.11</v>
      </c>
      <c r="T3541" s="6">
        <f t="shared" si="391"/>
        <v>1.0282776349614395E-2</v>
      </c>
      <c r="V3541" t="s">
        <v>29</v>
      </c>
    </row>
    <row r="3542" spans="1:22">
      <c r="A3542" s="3">
        <v>45805</v>
      </c>
      <c r="B3542" t="str">
        <f t="shared" si="385"/>
        <v>yyyy-05</v>
      </c>
      <c r="C3542">
        <f t="shared" si="386"/>
        <v>22</v>
      </c>
      <c r="D3542" t="s">
        <v>42</v>
      </c>
      <c r="E3542" t="s">
        <v>49</v>
      </c>
      <c r="F3542" t="s">
        <v>50</v>
      </c>
      <c r="G3542" t="s">
        <v>27</v>
      </c>
      <c r="H3542" t="s">
        <v>28</v>
      </c>
      <c r="I3542" s="5">
        <v>146</v>
      </c>
      <c r="J3542" s="5">
        <v>116</v>
      </c>
      <c r="K3542" s="5">
        <v>8</v>
      </c>
      <c r="L3542" s="5">
        <v>2</v>
      </c>
      <c r="M3542" s="5">
        <v>2</v>
      </c>
      <c r="N3542" s="7">
        <v>1016.61</v>
      </c>
      <c r="O3542" s="7">
        <f t="shared" si="387"/>
        <v>2033.22</v>
      </c>
      <c r="P3542" s="4">
        <v>0</v>
      </c>
      <c r="Q3542" s="7">
        <f t="shared" si="388"/>
        <v>0</v>
      </c>
      <c r="R3542" s="7">
        <f t="shared" si="389"/>
        <v>2033.22</v>
      </c>
      <c r="S3542" s="7">
        <f t="shared" si="390"/>
        <v>1016.61</v>
      </c>
      <c r="T3542" s="6">
        <f t="shared" si="391"/>
        <v>1.3698630136986301E-2</v>
      </c>
      <c r="V3542" t="s">
        <v>29</v>
      </c>
    </row>
    <row r="3543" spans="1:22">
      <c r="A3543" s="3">
        <v>45805</v>
      </c>
      <c r="B3543" t="str">
        <f t="shared" si="385"/>
        <v>yyyy-05</v>
      </c>
      <c r="C3543">
        <f t="shared" si="386"/>
        <v>22</v>
      </c>
      <c r="D3543" t="s">
        <v>42</v>
      </c>
      <c r="E3543" t="s">
        <v>51</v>
      </c>
      <c r="F3543" t="s">
        <v>52</v>
      </c>
      <c r="G3543" t="s">
        <v>36</v>
      </c>
      <c r="H3543" t="s">
        <v>37</v>
      </c>
      <c r="I3543" s="5">
        <v>278</v>
      </c>
      <c r="J3543" s="5">
        <v>173</v>
      </c>
      <c r="K3543" s="5">
        <v>24</v>
      </c>
      <c r="L3543" s="5">
        <v>5</v>
      </c>
      <c r="M3543" s="5">
        <v>5</v>
      </c>
      <c r="N3543" s="7">
        <v>609.48</v>
      </c>
      <c r="O3543" s="7">
        <f t="shared" si="387"/>
        <v>3047.4</v>
      </c>
      <c r="P3543" s="4">
        <v>0</v>
      </c>
      <c r="Q3543" s="7">
        <f t="shared" si="388"/>
        <v>0</v>
      </c>
      <c r="R3543" s="7">
        <f t="shared" si="389"/>
        <v>3047.4</v>
      </c>
      <c r="S3543" s="7">
        <f t="shared" si="390"/>
        <v>609.48</v>
      </c>
      <c r="T3543" s="6">
        <f t="shared" si="391"/>
        <v>1.7985611510791366E-2</v>
      </c>
      <c r="V3543" t="s">
        <v>29</v>
      </c>
    </row>
    <row r="3544" spans="1:22">
      <c r="A3544" s="3">
        <v>45805</v>
      </c>
      <c r="B3544" t="str">
        <f t="shared" si="385"/>
        <v>yyyy-05</v>
      </c>
      <c r="C3544">
        <f t="shared" si="386"/>
        <v>22</v>
      </c>
      <c r="D3544" t="s">
        <v>53</v>
      </c>
      <c r="E3544" t="s">
        <v>54</v>
      </c>
      <c r="F3544" t="s">
        <v>55</v>
      </c>
      <c r="G3544" t="s">
        <v>36</v>
      </c>
      <c r="H3544" t="s">
        <v>37</v>
      </c>
      <c r="I3544" s="5">
        <v>249</v>
      </c>
      <c r="J3544" s="5">
        <v>180</v>
      </c>
      <c r="K3544" s="5">
        <v>21</v>
      </c>
      <c r="L3544" s="5">
        <v>2</v>
      </c>
      <c r="M3544" s="5">
        <v>2</v>
      </c>
      <c r="N3544" s="7">
        <v>1284.74</v>
      </c>
      <c r="O3544" s="7">
        <f t="shared" si="387"/>
        <v>2569.48</v>
      </c>
      <c r="P3544" s="4">
        <v>0.03</v>
      </c>
      <c r="Q3544" s="7">
        <f t="shared" si="388"/>
        <v>77.084400000000002</v>
      </c>
      <c r="R3544" s="7">
        <f t="shared" si="389"/>
        <v>2492.3955999999998</v>
      </c>
      <c r="S3544" s="7">
        <f t="shared" si="390"/>
        <v>1246.1977999999999</v>
      </c>
      <c r="T3544" s="6">
        <f t="shared" si="391"/>
        <v>8.0321285140562242E-3</v>
      </c>
      <c r="V3544" t="s">
        <v>29</v>
      </c>
    </row>
    <row r="3545" spans="1:22">
      <c r="A3545" s="3">
        <v>45805</v>
      </c>
      <c r="B3545" t="str">
        <f t="shared" si="385"/>
        <v>yyyy-05</v>
      </c>
      <c r="C3545">
        <f t="shared" si="386"/>
        <v>22</v>
      </c>
      <c r="D3545" t="s">
        <v>53</v>
      </c>
      <c r="E3545" t="s">
        <v>56</v>
      </c>
      <c r="F3545" t="s">
        <v>57</v>
      </c>
      <c r="G3545" t="s">
        <v>27</v>
      </c>
      <c r="H3545" t="s">
        <v>63</v>
      </c>
      <c r="I3545" s="5">
        <v>203</v>
      </c>
      <c r="J3545" s="5">
        <v>144</v>
      </c>
      <c r="K3545" s="5">
        <v>15</v>
      </c>
      <c r="L3545" s="5">
        <v>3</v>
      </c>
      <c r="M3545" s="5">
        <v>3</v>
      </c>
      <c r="N3545" s="7">
        <v>745.13</v>
      </c>
      <c r="O3545" s="7">
        <f t="shared" si="387"/>
        <v>2235.39</v>
      </c>
      <c r="P3545" s="4">
        <v>0</v>
      </c>
      <c r="Q3545" s="7">
        <f t="shared" si="388"/>
        <v>0</v>
      </c>
      <c r="R3545" s="7">
        <f t="shared" si="389"/>
        <v>2235.39</v>
      </c>
      <c r="S3545" s="7">
        <f t="shared" si="390"/>
        <v>745.13</v>
      </c>
      <c r="T3545" s="6">
        <f t="shared" si="391"/>
        <v>1.4778325123152709E-2</v>
      </c>
      <c r="V3545" t="s">
        <v>29</v>
      </c>
    </row>
    <row r="3546" spans="1:22">
      <c r="A3546" s="3">
        <v>45805</v>
      </c>
      <c r="B3546" t="str">
        <f t="shared" si="385"/>
        <v>yyyy-05</v>
      </c>
      <c r="C3546">
        <f t="shared" si="386"/>
        <v>22</v>
      </c>
      <c r="D3546" t="s">
        <v>53</v>
      </c>
      <c r="E3546" t="s">
        <v>56</v>
      </c>
      <c r="F3546" t="s">
        <v>58</v>
      </c>
      <c r="G3546" t="s">
        <v>31</v>
      </c>
      <c r="H3546" t="s">
        <v>32</v>
      </c>
      <c r="I3546" s="5">
        <v>292</v>
      </c>
      <c r="J3546" s="5">
        <v>156</v>
      </c>
      <c r="K3546" s="5">
        <v>11</v>
      </c>
      <c r="L3546" s="5">
        <v>3</v>
      </c>
      <c r="M3546" s="5">
        <v>3</v>
      </c>
      <c r="N3546" s="7">
        <v>880.82</v>
      </c>
      <c r="O3546" s="7">
        <f t="shared" si="387"/>
        <v>2642.46</v>
      </c>
      <c r="P3546" s="4">
        <v>0</v>
      </c>
      <c r="Q3546" s="7">
        <f t="shared" si="388"/>
        <v>0</v>
      </c>
      <c r="R3546" s="7">
        <f t="shared" si="389"/>
        <v>2642.46</v>
      </c>
      <c r="S3546" s="7">
        <f t="shared" si="390"/>
        <v>880.82</v>
      </c>
      <c r="T3546" s="6">
        <f t="shared" si="391"/>
        <v>1.0273972602739725E-2</v>
      </c>
      <c r="V3546" t="s">
        <v>29</v>
      </c>
    </row>
    <row r="3547" spans="1:22">
      <c r="A3547" s="3">
        <v>45805</v>
      </c>
      <c r="B3547" t="str">
        <f t="shared" si="385"/>
        <v>yyyy-05</v>
      </c>
      <c r="C3547">
        <f t="shared" si="386"/>
        <v>22</v>
      </c>
      <c r="D3547" t="s">
        <v>53</v>
      </c>
      <c r="E3547" t="s">
        <v>59</v>
      </c>
      <c r="F3547" t="s">
        <v>60</v>
      </c>
      <c r="G3547" t="s">
        <v>36</v>
      </c>
      <c r="H3547" t="s">
        <v>37</v>
      </c>
      <c r="I3547" s="5">
        <v>216</v>
      </c>
      <c r="J3547" s="5">
        <v>142</v>
      </c>
      <c r="K3547" s="5">
        <v>10</v>
      </c>
      <c r="L3547" s="5">
        <v>2</v>
      </c>
      <c r="M3547" s="5">
        <v>2</v>
      </c>
      <c r="N3547" s="7">
        <v>672.98</v>
      </c>
      <c r="O3547" s="7">
        <f t="shared" si="387"/>
        <v>1345.96</v>
      </c>
      <c r="P3547" s="4">
        <v>0</v>
      </c>
      <c r="Q3547" s="7">
        <f t="shared" si="388"/>
        <v>0</v>
      </c>
      <c r="R3547" s="7">
        <f t="shared" si="389"/>
        <v>1345.96</v>
      </c>
      <c r="S3547" s="7">
        <f t="shared" si="390"/>
        <v>672.98</v>
      </c>
      <c r="T3547" s="6">
        <f t="shared" si="391"/>
        <v>9.2592592592592587E-3</v>
      </c>
      <c r="V3547" t="s">
        <v>29</v>
      </c>
    </row>
    <row r="3548" spans="1:22">
      <c r="A3548" s="3">
        <v>45805</v>
      </c>
      <c r="B3548" t="str">
        <f t="shared" si="385"/>
        <v>yyyy-05</v>
      </c>
      <c r="C3548">
        <f t="shared" si="386"/>
        <v>22</v>
      </c>
      <c r="D3548" t="s">
        <v>53</v>
      </c>
      <c r="E3548" t="s">
        <v>61</v>
      </c>
      <c r="F3548" t="s">
        <v>62</v>
      </c>
      <c r="G3548" t="s">
        <v>27</v>
      </c>
      <c r="H3548" t="s">
        <v>63</v>
      </c>
      <c r="I3548" s="5">
        <v>145</v>
      </c>
      <c r="J3548" s="5">
        <v>114</v>
      </c>
      <c r="K3548" s="5">
        <v>9</v>
      </c>
      <c r="L3548" s="5">
        <v>2</v>
      </c>
      <c r="M3548" s="5">
        <v>2</v>
      </c>
      <c r="N3548" s="7">
        <v>507.65</v>
      </c>
      <c r="O3548" s="7">
        <f t="shared" si="387"/>
        <v>1015.3</v>
      </c>
      <c r="P3548" s="4">
        <v>0.05</v>
      </c>
      <c r="Q3548" s="7">
        <f t="shared" si="388"/>
        <v>50.765000000000001</v>
      </c>
      <c r="R3548" s="7">
        <f t="shared" si="389"/>
        <v>964.53499999999997</v>
      </c>
      <c r="S3548" s="7">
        <f t="shared" si="390"/>
        <v>482.26749999999998</v>
      </c>
      <c r="T3548" s="6">
        <f t="shared" si="391"/>
        <v>1.3793103448275862E-2</v>
      </c>
      <c r="V3548" t="s">
        <v>29</v>
      </c>
    </row>
    <row r="3549" spans="1:22">
      <c r="A3549" s="3">
        <v>45805</v>
      </c>
      <c r="B3549" t="str">
        <f t="shared" si="385"/>
        <v>yyyy-05</v>
      </c>
      <c r="C3549">
        <f t="shared" si="386"/>
        <v>22</v>
      </c>
      <c r="D3549" t="s">
        <v>53</v>
      </c>
      <c r="E3549" t="s">
        <v>64</v>
      </c>
      <c r="F3549" t="s">
        <v>65</v>
      </c>
      <c r="G3549" t="s">
        <v>27</v>
      </c>
      <c r="H3549" t="s">
        <v>48</v>
      </c>
      <c r="I3549" s="5">
        <v>172</v>
      </c>
      <c r="J3549" s="5">
        <v>94</v>
      </c>
      <c r="K3549" s="5">
        <v>9</v>
      </c>
      <c r="L3549" s="5">
        <v>2</v>
      </c>
      <c r="M3549" s="5">
        <v>2</v>
      </c>
      <c r="N3549" s="7">
        <v>795.67</v>
      </c>
      <c r="O3549" s="7">
        <f t="shared" si="387"/>
        <v>1591.34</v>
      </c>
      <c r="P3549" s="4">
        <v>0.03</v>
      </c>
      <c r="Q3549" s="7">
        <f t="shared" si="388"/>
        <v>47.740199999999994</v>
      </c>
      <c r="R3549" s="7">
        <f t="shared" si="389"/>
        <v>1543.5998</v>
      </c>
      <c r="S3549" s="7">
        <f t="shared" si="390"/>
        <v>771.79989999999998</v>
      </c>
      <c r="T3549" s="6">
        <f t="shared" si="391"/>
        <v>1.1627906976744186E-2</v>
      </c>
      <c r="V3549" t="s">
        <v>29</v>
      </c>
    </row>
    <row r="3550" spans="1:22">
      <c r="A3550" s="3">
        <v>45805</v>
      </c>
      <c r="B3550" t="str">
        <f t="shared" si="385"/>
        <v>yyyy-05</v>
      </c>
      <c r="C3550">
        <f t="shared" si="386"/>
        <v>22</v>
      </c>
      <c r="D3550" t="s">
        <v>66</v>
      </c>
      <c r="E3550" t="s">
        <v>67</v>
      </c>
      <c r="F3550" t="s">
        <v>68</v>
      </c>
      <c r="G3550" t="s">
        <v>31</v>
      </c>
      <c r="H3550" t="s">
        <v>32</v>
      </c>
      <c r="I3550" s="5">
        <v>457</v>
      </c>
      <c r="J3550" s="5">
        <v>262</v>
      </c>
      <c r="K3550" s="5">
        <v>20</v>
      </c>
      <c r="L3550" s="5">
        <v>7</v>
      </c>
      <c r="M3550" s="5">
        <v>7</v>
      </c>
      <c r="N3550" s="7">
        <v>700.74</v>
      </c>
      <c r="O3550" s="7">
        <f t="shared" si="387"/>
        <v>4905.18</v>
      </c>
      <c r="P3550" s="4">
        <v>0</v>
      </c>
      <c r="Q3550" s="7">
        <f t="shared" si="388"/>
        <v>0</v>
      </c>
      <c r="R3550" s="7">
        <f t="shared" si="389"/>
        <v>4905.18</v>
      </c>
      <c r="S3550" s="7">
        <f t="shared" si="390"/>
        <v>700.74</v>
      </c>
      <c r="T3550" s="6">
        <f t="shared" si="391"/>
        <v>1.5317286652078774E-2</v>
      </c>
      <c r="V3550" t="s">
        <v>29</v>
      </c>
    </row>
    <row r="3551" spans="1:22">
      <c r="A3551" s="3">
        <v>45805</v>
      </c>
      <c r="B3551" t="str">
        <f t="shared" si="385"/>
        <v>yyyy-05</v>
      </c>
      <c r="C3551">
        <f t="shared" si="386"/>
        <v>22</v>
      </c>
      <c r="D3551" t="s">
        <v>66</v>
      </c>
      <c r="E3551" t="s">
        <v>67</v>
      </c>
      <c r="F3551" t="s">
        <v>69</v>
      </c>
      <c r="G3551" t="s">
        <v>27</v>
      </c>
      <c r="H3551" t="s">
        <v>45</v>
      </c>
      <c r="I3551" s="5">
        <v>371</v>
      </c>
      <c r="J3551" s="5">
        <v>220</v>
      </c>
      <c r="K3551" s="5">
        <v>18</v>
      </c>
      <c r="L3551" s="5">
        <v>7</v>
      </c>
      <c r="M3551" s="5">
        <v>7</v>
      </c>
      <c r="N3551" s="7">
        <v>399.06</v>
      </c>
      <c r="O3551" s="7">
        <f t="shared" si="387"/>
        <v>2793.42</v>
      </c>
      <c r="P3551" s="4">
        <v>0.05</v>
      </c>
      <c r="Q3551" s="7">
        <f t="shared" si="388"/>
        <v>139.67100000000002</v>
      </c>
      <c r="R3551" s="7">
        <f t="shared" si="389"/>
        <v>2653.7490000000003</v>
      </c>
      <c r="S3551" s="7">
        <f t="shared" si="390"/>
        <v>379.10700000000003</v>
      </c>
      <c r="T3551" s="6">
        <f t="shared" si="391"/>
        <v>1.8867924528301886E-2</v>
      </c>
      <c r="V3551" t="s">
        <v>29</v>
      </c>
    </row>
    <row r="3552" spans="1:22">
      <c r="A3552" s="3">
        <v>45805</v>
      </c>
      <c r="B3552" t="str">
        <f t="shared" si="385"/>
        <v>yyyy-05</v>
      </c>
      <c r="C3552">
        <f t="shared" si="386"/>
        <v>22</v>
      </c>
      <c r="D3552" t="s">
        <v>66</v>
      </c>
      <c r="E3552" t="s">
        <v>67</v>
      </c>
      <c r="F3552" t="s">
        <v>70</v>
      </c>
      <c r="G3552" t="s">
        <v>31</v>
      </c>
      <c r="H3552" t="s">
        <v>32</v>
      </c>
      <c r="I3552" s="5">
        <v>560</v>
      </c>
      <c r="J3552" s="5">
        <v>381</v>
      </c>
      <c r="K3552" s="5">
        <v>65</v>
      </c>
      <c r="L3552" s="5">
        <v>13</v>
      </c>
      <c r="M3552" s="5">
        <v>13</v>
      </c>
      <c r="N3552" s="7">
        <v>346.19</v>
      </c>
      <c r="O3552" s="7">
        <f t="shared" si="387"/>
        <v>4500.47</v>
      </c>
      <c r="P3552" s="4">
        <v>0.03</v>
      </c>
      <c r="Q3552" s="7">
        <f t="shared" si="388"/>
        <v>135.01410000000001</v>
      </c>
      <c r="R3552" s="7">
        <f t="shared" si="389"/>
        <v>4365.4558999999999</v>
      </c>
      <c r="S3552" s="7">
        <f t="shared" si="390"/>
        <v>335.80430000000001</v>
      </c>
      <c r="T3552" s="6">
        <f t="shared" si="391"/>
        <v>2.3214285714285715E-2</v>
      </c>
      <c r="V3552" t="s">
        <v>29</v>
      </c>
    </row>
    <row r="3553" spans="1:22">
      <c r="A3553" s="3">
        <v>45805</v>
      </c>
      <c r="B3553" t="str">
        <f t="shared" si="385"/>
        <v>yyyy-05</v>
      </c>
      <c r="C3553">
        <f t="shared" si="386"/>
        <v>22</v>
      </c>
      <c r="D3553" t="s">
        <v>66</v>
      </c>
      <c r="E3553" t="s">
        <v>71</v>
      </c>
      <c r="F3553" t="s">
        <v>72</v>
      </c>
      <c r="G3553" t="s">
        <v>31</v>
      </c>
      <c r="H3553" t="s">
        <v>32</v>
      </c>
      <c r="I3553" s="5">
        <v>491</v>
      </c>
      <c r="J3553" s="5">
        <v>369</v>
      </c>
      <c r="K3553" s="5">
        <v>30</v>
      </c>
      <c r="L3553" s="5">
        <v>9</v>
      </c>
      <c r="M3553" s="5">
        <v>11</v>
      </c>
      <c r="N3553" s="7">
        <v>125.95</v>
      </c>
      <c r="O3553" s="7">
        <f t="shared" si="387"/>
        <v>1385.45</v>
      </c>
      <c r="P3553" s="4">
        <v>0</v>
      </c>
      <c r="Q3553" s="7">
        <f t="shared" si="388"/>
        <v>0</v>
      </c>
      <c r="R3553" s="7">
        <f t="shared" si="389"/>
        <v>1385.45</v>
      </c>
      <c r="S3553" s="7">
        <f t="shared" si="390"/>
        <v>153.9388888888889</v>
      </c>
      <c r="T3553" s="6">
        <f t="shared" si="391"/>
        <v>1.8329938900203666E-2</v>
      </c>
      <c r="V3553" t="s">
        <v>29</v>
      </c>
    </row>
    <row r="3554" spans="1:22">
      <c r="A3554" s="3">
        <v>45805</v>
      </c>
      <c r="B3554" t="str">
        <f t="shared" si="385"/>
        <v>yyyy-05</v>
      </c>
      <c r="C3554">
        <f t="shared" si="386"/>
        <v>22</v>
      </c>
      <c r="D3554" t="s">
        <v>66</v>
      </c>
      <c r="E3554" t="s">
        <v>73</v>
      </c>
      <c r="F3554" t="s">
        <v>74</v>
      </c>
      <c r="G3554" t="s">
        <v>27</v>
      </c>
      <c r="H3554" t="s">
        <v>48</v>
      </c>
      <c r="I3554" s="5">
        <v>166</v>
      </c>
      <c r="J3554" s="5">
        <v>114</v>
      </c>
      <c r="K3554" s="5">
        <v>12</v>
      </c>
      <c r="L3554" s="5">
        <v>3</v>
      </c>
      <c r="M3554" s="5">
        <v>3</v>
      </c>
      <c r="N3554" s="7">
        <v>1164.45</v>
      </c>
      <c r="O3554" s="7">
        <f t="shared" si="387"/>
        <v>3493.3500000000004</v>
      </c>
      <c r="P3554" s="4">
        <v>0</v>
      </c>
      <c r="Q3554" s="7">
        <f t="shared" si="388"/>
        <v>0</v>
      </c>
      <c r="R3554" s="7">
        <f t="shared" si="389"/>
        <v>3493.3500000000004</v>
      </c>
      <c r="S3554" s="7">
        <f t="shared" si="390"/>
        <v>1164.45</v>
      </c>
      <c r="T3554" s="6">
        <f t="shared" si="391"/>
        <v>1.8072289156626505E-2</v>
      </c>
      <c r="V3554" t="s">
        <v>29</v>
      </c>
    </row>
    <row r="3555" spans="1:22">
      <c r="A3555" s="3">
        <v>45805</v>
      </c>
      <c r="B3555" t="str">
        <f t="shared" si="385"/>
        <v>yyyy-05</v>
      </c>
      <c r="C3555">
        <f t="shared" si="386"/>
        <v>22</v>
      </c>
      <c r="D3555" t="s">
        <v>66</v>
      </c>
      <c r="E3555" t="s">
        <v>71</v>
      </c>
      <c r="F3555" t="s">
        <v>75</v>
      </c>
      <c r="G3555" t="s">
        <v>27</v>
      </c>
      <c r="H3555" t="s">
        <v>45</v>
      </c>
      <c r="I3555" s="5">
        <v>306</v>
      </c>
      <c r="J3555" s="5">
        <v>198</v>
      </c>
      <c r="K3555" s="5">
        <v>15</v>
      </c>
      <c r="L3555" s="5">
        <v>5</v>
      </c>
      <c r="M3555" s="5">
        <v>6</v>
      </c>
      <c r="N3555" s="7">
        <v>39.229999999999997</v>
      </c>
      <c r="O3555" s="7">
        <f t="shared" si="387"/>
        <v>235.38</v>
      </c>
      <c r="P3555" s="4">
        <v>0</v>
      </c>
      <c r="Q3555" s="7">
        <f t="shared" si="388"/>
        <v>0</v>
      </c>
      <c r="R3555" s="7">
        <f t="shared" si="389"/>
        <v>235.38</v>
      </c>
      <c r="S3555" s="7">
        <f t="shared" si="390"/>
        <v>47.076000000000001</v>
      </c>
      <c r="T3555" s="6">
        <f t="shared" si="391"/>
        <v>1.6339869281045753E-2</v>
      </c>
      <c r="V3555" t="s">
        <v>29</v>
      </c>
    </row>
    <row r="3556" spans="1:22">
      <c r="A3556" s="3">
        <v>45805</v>
      </c>
      <c r="B3556" t="str">
        <f t="shared" si="385"/>
        <v>yyyy-05</v>
      </c>
      <c r="C3556">
        <f t="shared" si="386"/>
        <v>22</v>
      </c>
      <c r="D3556" t="s">
        <v>24</v>
      </c>
      <c r="E3556" t="s">
        <v>76</v>
      </c>
      <c r="F3556" t="s">
        <v>77</v>
      </c>
      <c r="G3556" t="s">
        <v>27</v>
      </c>
      <c r="H3556" t="s">
        <v>45</v>
      </c>
      <c r="I3556" s="5">
        <v>676</v>
      </c>
      <c r="J3556" s="5">
        <v>477</v>
      </c>
      <c r="K3556" s="5">
        <v>44</v>
      </c>
      <c r="L3556" s="5">
        <v>16</v>
      </c>
      <c r="M3556" s="5">
        <v>20</v>
      </c>
      <c r="N3556" s="7">
        <v>197.23</v>
      </c>
      <c r="O3556" s="7">
        <f t="shared" si="387"/>
        <v>3944.6</v>
      </c>
      <c r="P3556" s="4">
        <v>0.1</v>
      </c>
      <c r="Q3556" s="7">
        <f t="shared" si="388"/>
        <v>394.46000000000004</v>
      </c>
      <c r="R3556" s="7">
        <f t="shared" si="389"/>
        <v>3550.14</v>
      </c>
      <c r="S3556" s="7">
        <f t="shared" si="390"/>
        <v>221.88374999999999</v>
      </c>
      <c r="T3556" s="6">
        <f t="shared" si="391"/>
        <v>2.3668639053254437E-2</v>
      </c>
      <c r="U3556" t="s">
        <v>98</v>
      </c>
      <c r="V3556" t="s">
        <v>29</v>
      </c>
    </row>
    <row r="3557" spans="1:22">
      <c r="A3557" s="3">
        <v>45806</v>
      </c>
      <c r="B3557" t="str">
        <f t="shared" si="385"/>
        <v>yyyy-05</v>
      </c>
      <c r="C3557">
        <f t="shared" si="386"/>
        <v>22</v>
      </c>
      <c r="D3557" t="s">
        <v>24</v>
      </c>
      <c r="E3557" t="s">
        <v>25</v>
      </c>
      <c r="F3557" t="s">
        <v>26</v>
      </c>
      <c r="G3557" t="s">
        <v>27</v>
      </c>
      <c r="H3557" t="s">
        <v>45</v>
      </c>
      <c r="I3557" s="5">
        <v>1574</v>
      </c>
      <c r="J3557" s="5">
        <v>1115</v>
      </c>
      <c r="K3557" s="5">
        <v>85</v>
      </c>
      <c r="L3557" s="5">
        <v>27</v>
      </c>
      <c r="M3557" s="5">
        <v>27</v>
      </c>
      <c r="N3557" s="7">
        <v>964.33</v>
      </c>
      <c r="O3557" s="7">
        <f t="shared" si="387"/>
        <v>26036.91</v>
      </c>
      <c r="P3557" s="4">
        <v>0.03</v>
      </c>
      <c r="Q3557" s="7">
        <f t="shared" si="388"/>
        <v>781.10730000000001</v>
      </c>
      <c r="R3557" s="7">
        <f t="shared" si="389"/>
        <v>25255.8027</v>
      </c>
      <c r="S3557" s="7">
        <f t="shared" si="390"/>
        <v>935.40009999999995</v>
      </c>
      <c r="T3557" s="6">
        <f t="shared" si="391"/>
        <v>1.7153748411689963E-2</v>
      </c>
      <c r="V3557" t="s">
        <v>29</v>
      </c>
    </row>
    <row r="3558" spans="1:22">
      <c r="A3558" s="3">
        <v>45806</v>
      </c>
      <c r="B3558" t="str">
        <f t="shared" si="385"/>
        <v>yyyy-05</v>
      </c>
      <c r="C3558">
        <f t="shared" si="386"/>
        <v>22</v>
      </c>
      <c r="D3558" t="s">
        <v>24</v>
      </c>
      <c r="E3558" t="s">
        <v>25</v>
      </c>
      <c r="F3558" t="s">
        <v>30</v>
      </c>
      <c r="G3558" t="s">
        <v>27</v>
      </c>
      <c r="H3558" t="s">
        <v>63</v>
      </c>
      <c r="I3558" s="5">
        <v>1042</v>
      </c>
      <c r="J3558" s="5">
        <v>738</v>
      </c>
      <c r="K3558" s="5">
        <v>100</v>
      </c>
      <c r="L3558" s="5">
        <v>27</v>
      </c>
      <c r="M3558" s="5">
        <v>27</v>
      </c>
      <c r="N3558" s="7">
        <v>389.01</v>
      </c>
      <c r="O3558" s="7">
        <f t="shared" si="387"/>
        <v>10503.27</v>
      </c>
      <c r="P3558" s="4">
        <v>0</v>
      </c>
      <c r="Q3558" s="7">
        <f t="shared" si="388"/>
        <v>0</v>
      </c>
      <c r="R3558" s="7">
        <f t="shared" si="389"/>
        <v>10503.27</v>
      </c>
      <c r="S3558" s="7">
        <f t="shared" si="390"/>
        <v>389.01</v>
      </c>
      <c r="T3558" s="6">
        <f t="shared" si="391"/>
        <v>2.5911708253358926E-2</v>
      </c>
      <c r="V3558" t="s">
        <v>29</v>
      </c>
    </row>
    <row r="3559" spans="1:22">
      <c r="A3559" s="3">
        <v>45806</v>
      </c>
      <c r="B3559" t="str">
        <f t="shared" si="385"/>
        <v>yyyy-05</v>
      </c>
      <c r="C3559">
        <f t="shared" si="386"/>
        <v>22</v>
      </c>
      <c r="D3559" t="s">
        <v>24</v>
      </c>
      <c r="E3559" t="s">
        <v>25</v>
      </c>
      <c r="F3559" t="s">
        <v>33</v>
      </c>
      <c r="G3559" t="s">
        <v>27</v>
      </c>
      <c r="H3559" t="s">
        <v>45</v>
      </c>
      <c r="I3559" s="5">
        <v>1221</v>
      </c>
      <c r="J3559" s="5">
        <v>709</v>
      </c>
      <c r="K3559" s="5">
        <v>106</v>
      </c>
      <c r="L3559" s="5">
        <v>22</v>
      </c>
      <c r="M3559" s="5">
        <v>22</v>
      </c>
      <c r="N3559" s="7">
        <v>1812.55</v>
      </c>
      <c r="O3559" s="7">
        <f t="shared" si="387"/>
        <v>39876.1</v>
      </c>
      <c r="P3559" s="4">
        <v>0</v>
      </c>
      <c r="Q3559" s="7">
        <f t="shared" si="388"/>
        <v>0</v>
      </c>
      <c r="R3559" s="7">
        <f t="shared" si="389"/>
        <v>39876.1</v>
      </c>
      <c r="S3559" s="7">
        <f t="shared" si="390"/>
        <v>1812.55</v>
      </c>
      <c r="T3559" s="6">
        <f t="shared" si="391"/>
        <v>1.8018018018018018E-2</v>
      </c>
      <c r="V3559" t="s">
        <v>29</v>
      </c>
    </row>
    <row r="3560" spans="1:22">
      <c r="A3560" s="3">
        <v>45806</v>
      </c>
      <c r="B3560" t="str">
        <f t="shared" si="385"/>
        <v>yyyy-05</v>
      </c>
      <c r="C3560">
        <f t="shared" si="386"/>
        <v>22</v>
      </c>
      <c r="D3560" t="s">
        <v>24</v>
      </c>
      <c r="E3560" t="s">
        <v>34</v>
      </c>
      <c r="F3560" t="s">
        <v>35</v>
      </c>
      <c r="G3560" t="s">
        <v>27</v>
      </c>
      <c r="H3560" t="s">
        <v>28</v>
      </c>
      <c r="I3560" s="5">
        <v>1172</v>
      </c>
      <c r="J3560" s="5">
        <v>950</v>
      </c>
      <c r="K3560" s="5">
        <v>111</v>
      </c>
      <c r="L3560" s="5">
        <v>28</v>
      </c>
      <c r="M3560" s="5">
        <v>28</v>
      </c>
      <c r="N3560" s="7">
        <v>884</v>
      </c>
      <c r="O3560" s="7">
        <f t="shared" si="387"/>
        <v>24752</v>
      </c>
      <c r="P3560" s="4">
        <v>0</v>
      </c>
      <c r="Q3560" s="7">
        <f t="shared" si="388"/>
        <v>0</v>
      </c>
      <c r="R3560" s="7">
        <f t="shared" si="389"/>
        <v>24752</v>
      </c>
      <c r="S3560" s="7">
        <f t="shared" si="390"/>
        <v>884</v>
      </c>
      <c r="T3560" s="6">
        <f t="shared" si="391"/>
        <v>2.3890784982935155E-2</v>
      </c>
      <c r="V3560" t="s">
        <v>29</v>
      </c>
    </row>
    <row r="3561" spans="1:22">
      <c r="A3561" s="3">
        <v>45806</v>
      </c>
      <c r="B3561" t="str">
        <f t="shared" si="385"/>
        <v>yyyy-05</v>
      </c>
      <c r="C3561">
        <f t="shared" si="386"/>
        <v>22</v>
      </c>
      <c r="D3561" t="s">
        <v>24</v>
      </c>
      <c r="E3561" t="s">
        <v>38</v>
      </c>
      <c r="F3561" t="s">
        <v>39</v>
      </c>
      <c r="G3561" t="s">
        <v>36</v>
      </c>
      <c r="H3561" t="s">
        <v>37</v>
      </c>
      <c r="I3561" s="5">
        <v>1130</v>
      </c>
      <c r="J3561" s="5">
        <v>775</v>
      </c>
      <c r="K3561" s="5">
        <v>80</v>
      </c>
      <c r="L3561" s="5">
        <v>21</v>
      </c>
      <c r="M3561" s="5">
        <v>21</v>
      </c>
      <c r="N3561" s="7">
        <v>320.64</v>
      </c>
      <c r="O3561" s="7">
        <f t="shared" si="387"/>
        <v>6733.44</v>
      </c>
      <c r="P3561" s="4">
        <v>0.03</v>
      </c>
      <c r="Q3561" s="7">
        <f t="shared" si="388"/>
        <v>202.00319999999999</v>
      </c>
      <c r="R3561" s="7">
        <f t="shared" si="389"/>
        <v>6531.4367999999995</v>
      </c>
      <c r="S3561" s="7">
        <f t="shared" si="390"/>
        <v>311.02079999999995</v>
      </c>
      <c r="T3561" s="6">
        <f t="shared" si="391"/>
        <v>1.8584070796460177E-2</v>
      </c>
      <c r="V3561" t="s">
        <v>78</v>
      </c>
    </row>
    <row r="3562" spans="1:22">
      <c r="A3562" s="3">
        <v>45806</v>
      </c>
      <c r="B3562" t="str">
        <f t="shared" si="385"/>
        <v>yyyy-05</v>
      </c>
      <c r="C3562">
        <f t="shared" si="386"/>
        <v>22</v>
      </c>
      <c r="D3562" t="s">
        <v>24</v>
      </c>
      <c r="E3562" t="s">
        <v>40</v>
      </c>
      <c r="F3562" t="s">
        <v>41</v>
      </c>
      <c r="G3562" t="s">
        <v>27</v>
      </c>
      <c r="H3562" t="s">
        <v>45</v>
      </c>
      <c r="I3562" s="5">
        <v>602</v>
      </c>
      <c r="J3562" s="5">
        <v>433</v>
      </c>
      <c r="K3562" s="5">
        <v>40</v>
      </c>
      <c r="L3562" s="5">
        <v>11</v>
      </c>
      <c r="M3562" s="5">
        <v>15</v>
      </c>
      <c r="N3562" s="7">
        <v>174.27</v>
      </c>
      <c r="O3562" s="7">
        <f t="shared" si="387"/>
        <v>2614.0500000000002</v>
      </c>
      <c r="P3562" s="4">
        <v>0.05</v>
      </c>
      <c r="Q3562" s="7">
        <f t="shared" si="388"/>
        <v>130.70250000000001</v>
      </c>
      <c r="R3562" s="7">
        <f t="shared" si="389"/>
        <v>2483.3475000000003</v>
      </c>
      <c r="S3562" s="7">
        <f t="shared" si="390"/>
        <v>225.75886363636366</v>
      </c>
      <c r="T3562" s="6">
        <f t="shared" si="391"/>
        <v>1.8272425249169437E-2</v>
      </c>
      <c r="V3562" t="s">
        <v>29</v>
      </c>
    </row>
    <row r="3563" spans="1:22">
      <c r="A3563" s="3">
        <v>45806</v>
      </c>
      <c r="B3563" t="str">
        <f t="shared" si="385"/>
        <v>yyyy-05</v>
      </c>
      <c r="C3563">
        <f t="shared" si="386"/>
        <v>22</v>
      </c>
      <c r="D3563" t="s">
        <v>42</v>
      </c>
      <c r="E3563" t="s">
        <v>43</v>
      </c>
      <c r="F3563" t="s">
        <v>44</v>
      </c>
      <c r="G3563" t="s">
        <v>31</v>
      </c>
      <c r="H3563" t="s">
        <v>32</v>
      </c>
      <c r="I3563" s="5">
        <v>639</v>
      </c>
      <c r="J3563" s="5">
        <v>408</v>
      </c>
      <c r="K3563" s="5">
        <v>30</v>
      </c>
      <c r="L3563" s="5">
        <v>10</v>
      </c>
      <c r="M3563" s="5">
        <v>10</v>
      </c>
      <c r="N3563" s="7">
        <v>1318.74</v>
      </c>
      <c r="O3563" s="7">
        <f t="shared" si="387"/>
        <v>13187.4</v>
      </c>
      <c r="P3563" s="4">
        <v>0</v>
      </c>
      <c r="Q3563" s="7">
        <f t="shared" si="388"/>
        <v>0</v>
      </c>
      <c r="R3563" s="7">
        <f t="shared" si="389"/>
        <v>13187.4</v>
      </c>
      <c r="S3563" s="7">
        <f t="shared" si="390"/>
        <v>1318.74</v>
      </c>
      <c r="T3563" s="6">
        <f t="shared" si="391"/>
        <v>1.5649452269170579E-2</v>
      </c>
      <c r="V3563" t="s">
        <v>29</v>
      </c>
    </row>
    <row r="3564" spans="1:22">
      <c r="A3564" s="3">
        <v>45806</v>
      </c>
      <c r="B3564" t="str">
        <f t="shared" si="385"/>
        <v>yyyy-05</v>
      </c>
      <c r="C3564">
        <f t="shared" si="386"/>
        <v>22</v>
      </c>
      <c r="D3564" t="s">
        <v>42</v>
      </c>
      <c r="E3564" t="s">
        <v>43</v>
      </c>
      <c r="F3564" t="s">
        <v>46</v>
      </c>
      <c r="G3564" t="s">
        <v>27</v>
      </c>
      <c r="H3564" t="s">
        <v>45</v>
      </c>
      <c r="I3564" s="5">
        <v>459</v>
      </c>
      <c r="J3564" s="5">
        <v>309</v>
      </c>
      <c r="K3564" s="5">
        <v>32</v>
      </c>
      <c r="L3564" s="5">
        <v>6</v>
      </c>
      <c r="M3564" s="5">
        <v>6</v>
      </c>
      <c r="N3564" s="7">
        <v>2154.3000000000002</v>
      </c>
      <c r="O3564" s="7">
        <f t="shared" si="387"/>
        <v>12925.800000000001</v>
      </c>
      <c r="P3564" s="4">
        <v>0.03</v>
      </c>
      <c r="Q3564" s="7">
        <f t="shared" si="388"/>
        <v>387.774</v>
      </c>
      <c r="R3564" s="7">
        <f t="shared" si="389"/>
        <v>12538.026000000002</v>
      </c>
      <c r="S3564" s="7">
        <f t="shared" si="390"/>
        <v>2089.6710000000003</v>
      </c>
      <c r="T3564" s="6">
        <f t="shared" si="391"/>
        <v>1.3071895424836602E-2</v>
      </c>
      <c r="V3564" t="s">
        <v>29</v>
      </c>
    </row>
    <row r="3565" spans="1:22">
      <c r="A3565" s="3">
        <v>45806</v>
      </c>
      <c r="B3565" t="str">
        <f t="shared" si="385"/>
        <v>yyyy-05</v>
      </c>
      <c r="C3565">
        <f t="shared" si="386"/>
        <v>22</v>
      </c>
      <c r="D3565" t="s">
        <v>42</v>
      </c>
      <c r="E3565" t="s">
        <v>43</v>
      </c>
      <c r="F3565" t="s">
        <v>47</v>
      </c>
      <c r="G3565" t="s">
        <v>36</v>
      </c>
      <c r="H3565" t="s">
        <v>37</v>
      </c>
      <c r="I3565" s="5">
        <v>500</v>
      </c>
      <c r="J3565" s="5">
        <v>387</v>
      </c>
      <c r="K3565" s="5">
        <v>44</v>
      </c>
      <c r="L3565" s="5">
        <v>9</v>
      </c>
      <c r="M3565" s="5">
        <v>9</v>
      </c>
      <c r="N3565" s="7">
        <v>591.59</v>
      </c>
      <c r="O3565" s="7">
        <f t="shared" si="387"/>
        <v>5324.31</v>
      </c>
      <c r="P3565" s="4">
        <v>0</v>
      </c>
      <c r="Q3565" s="7">
        <f t="shared" si="388"/>
        <v>0</v>
      </c>
      <c r="R3565" s="7">
        <f t="shared" si="389"/>
        <v>5324.31</v>
      </c>
      <c r="S3565" s="7">
        <f t="shared" si="390"/>
        <v>591.59</v>
      </c>
      <c r="T3565" s="6">
        <f t="shared" si="391"/>
        <v>1.7999999999999999E-2</v>
      </c>
      <c r="V3565" t="s">
        <v>29</v>
      </c>
    </row>
    <row r="3566" spans="1:22">
      <c r="A3566" s="3">
        <v>45806</v>
      </c>
      <c r="B3566" t="str">
        <f t="shared" si="385"/>
        <v>yyyy-05</v>
      </c>
      <c r="C3566">
        <f t="shared" si="386"/>
        <v>22</v>
      </c>
      <c r="D3566" t="s">
        <v>42</v>
      </c>
      <c r="E3566" t="s">
        <v>49</v>
      </c>
      <c r="F3566" t="s">
        <v>50</v>
      </c>
      <c r="G3566" t="s">
        <v>36</v>
      </c>
      <c r="H3566" t="s">
        <v>37</v>
      </c>
      <c r="I3566" s="5">
        <v>128</v>
      </c>
      <c r="J3566" s="5">
        <v>79</v>
      </c>
      <c r="K3566" s="5">
        <v>2</v>
      </c>
      <c r="L3566" s="5">
        <v>0</v>
      </c>
      <c r="M3566" s="5">
        <v>0</v>
      </c>
      <c r="N3566" s="7">
        <v>1003.91</v>
      </c>
      <c r="O3566" s="7">
        <f t="shared" si="387"/>
        <v>0</v>
      </c>
      <c r="P3566" s="4">
        <v>0.05</v>
      </c>
      <c r="Q3566" s="7">
        <f t="shared" si="388"/>
        <v>0</v>
      </c>
      <c r="R3566" s="7">
        <f t="shared" si="389"/>
        <v>0</v>
      </c>
      <c r="S3566" s="7">
        <f t="shared" si="390"/>
        <v>0</v>
      </c>
      <c r="T3566" s="6">
        <f t="shared" si="391"/>
        <v>0</v>
      </c>
      <c r="V3566" t="s">
        <v>81</v>
      </c>
    </row>
    <row r="3567" spans="1:22">
      <c r="A3567" s="3">
        <v>45806</v>
      </c>
      <c r="B3567" t="str">
        <f t="shared" si="385"/>
        <v>yyyy-05</v>
      </c>
      <c r="C3567">
        <f t="shared" si="386"/>
        <v>22</v>
      </c>
      <c r="D3567" t="s">
        <v>42</v>
      </c>
      <c r="E3567" t="s">
        <v>51</v>
      </c>
      <c r="F3567" t="s">
        <v>52</v>
      </c>
      <c r="G3567" t="s">
        <v>27</v>
      </c>
      <c r="H3567" t="s">
        <v>28</v>
      </c>
      <c r="I3567" s="5">
        <v>322</v>
      </c>
      <c r="J3567" s="5">
        <v>264</v>
      </c>
      <c r="K3567" s="5">
        <v>15</v>
      </c>
      <c r="L3567" s="5">
        <v>6</v>
      </c>
      <c r="M3567" s="5">
        <v>6</v>
      </c>
      <c r="N3567" s="7">
        <v>589.80999999999995</v>
      </c>
      <c r="O3567" s="7">
        <f t="shared" si="387"/>
        <v>3538.8599999999997</v>
      </c>
      <c r="P3567" s="4">
        <v>0</v>
      </c>
      <c r="Q3567" s="7">
        <f t="shared" si="388"/>
        <v>0</v>
      </c>
      <c r="R3567" s="7">
        <f t="shared" si="389"/>
        <v>3538.8599999999997</v>
      </c>
      <c r="S3567" s="7">
        <f t="shared" si="390"/>
        <v>589.80999999999995</v>
      </c>
      <c r="T3567" s="6">
        <f t="shared" si="391"/>
        <v>1.8633540372670808E-2</v>
      </c>
      <c r="V3567" t="s">
        <v>29</v>
      </c>
    </row>
    <row r="3568" spans="1:22">
      <c r="A3568" s="3">
        <v>45806</v>
      </c>
      <c r="B3568" t="str">
        <f t="shared" si="385"/>
        <v>yyyy-05</v>
      </c>
      <c r="C3568">
        <f t="shared" si="386"/>
        <v>22</v>
      </c>
      <c r="D3568" t="s">
        <v>53</v>
      </c>
      <c r="E3568" t="s">
        <v>54</v>
      </c>
      <c r="F3568" t="s">
        <v>55</v>
      </c>
      <c r="G3568" t="s">
        <v>36</v>
      </c>
      <c r="H3568" t="s">
        <v>37</v>
      </c>
      <c r="I3568" s="5">
        <v>204</v>
      </c>
      <c r="J3568" s="5">
        <v>161</v>
      </c>
      <c r="K3568" s="5">
        <v>8</v>
      </c>
      <c r="L3568" s="5">
        <v>3</v>
      </c>
      <c r="M3568" s="5">
        <v>3</v>
      </c>
      <c r="N3568" s="7">
        <v>1258.8</v>
      </c>
      <c r="O3568" s="7">
        <f t="shared" si="387"/>
        <v>3776.3999999999996</v>
      </c>
      <c r="P3568" s="4">
        <v>0</v>
      </c>
      <c r="Q3568" s="7">
        <f t="shared" si="388"/>
        <v>0</v>
      </c>
      <c r="R3568" s="7">
        <f t="shared" si="389"/>
        <v>3776.3999999999996</v>
      </c>
      <c r="S3568" s="7">
        <f t="shared" si="390"/>
        <v>1258.8</v>
      </c>
      <c r="T3568" s="6">
        <f t="shared" si="391"/>
        <v>1.4705882352941176E-2</v>
      </c>
      <c r="V3568" t="s">
        <v>29</v>
      </c>
    </row>
    <row r="3569" spans="1:22">
      <c r="A3569" s="3">
        <v>45806</v>
      </c>
      <c r="B3569" t="str">
        <f t="shared" si="385"/>
        <v>yyyy-05</v>
      </c>
      <c r="C3569">
        <f t="shared" si="386"/>
        <v>22</v>
      </c>
      <c r="D3569" t="s">
        <v>53</v>
      </c>
      <c r="E3569" t="s">
        <v>56</v>
      </c>
      <c r="F3569" t="s">
        <v>57</v>
      </c>
      <c r="G3569" t="s">
        <v>27</v>
      </c>
      <c r="H3569" t="s">
        <v>63</v>
      </c>
      <c r="I3569" s="5">
        <v>160</v>
      </c>
      <c r="J3569" s="5">
        <v>126</v>
      </c>
      <c r="K3569" s="5">
        <v>6</v>
      </c>
      <c r="L3569" s="5">
        <v>1</v>
      </c>
      <c r="M3569" s="5">
        <v>1</v>
      </c>
      <c r="N3569" s="7">
        <v>744.86</v>
      </c>
      <c r="O3569" s="7">
        <f t="shared" si="387"/>
        <v>744.86</v>
      </c>
      <c r="P3569" s="4">
        <v>0.03</v>
      </c>
      <c r="Q3569" s="7">
        <f t="shared" si="388"/>
        <v>22.345800000000001</v>
      </c>
      <c r="R3569" s="7">
        <f t="shared" si="389"/>
        <v>722.51419999999996</v>
      </c>
      <c r="S3569" s="7">
        <f t="shared" si="390"/>
        <v>722.51419999999996</v>
      </c>
      <c r="T3569" s="6">
        <f t="shared" si="391"/>
        <v>6.2500000000000003E-3</v>
      </c>
      <c r="V3569" t="s">
        <v>29</v>
      </c>
    </row>
    <row r="3570" spans="1:22">
      <c r="A3570" s="3">
        <v>45806</v>
      </c>
      <c r="B3570" t="str">
        <f t="shared" si="385"/>
        <v>yyyy-05</v>
      </c>
      <c r="C3570">
        <f t="shared" si="386"/>
        <v>22</v>
      </c>
      <c r="D3570" t="s">
        <v>53</v>
      </c>
      <c r="E3570" t="s">
        <v>56</v>
      </c>
      <c r="F3570" t="s">
        <v>58</v>
      </c>
      <c r="G3570" t="s">
        <v>27</v>
      </c>
      <c r="H3570" t="s">
        <v>28</v>
      </c>
      <c r="I3570" s="5">
        <v>278</v>
      </c>
      <c r="J3570" s="5">
        <v>225</v>
      </c>
      <c r="K3570" s="5">
        <v>16</v>
      </c>
      <c r="L3570" s="5">
        <v>2</v>
      </c>
      <c r="M3570" s="5">
        <v>2</v>
      </c>
      <c r="N3570" s="7">
        <v>868.5</v>
      </c>
      <c r="O3570" s="7">
        <f t="shared" si="387"/>
        <v>1737</v>
      </c>
      <c r="P3570" s="4">
        <v>0.03</v>
      </c>
      <c r="Q3570" s="7">
        <f t="shared" si="388"/>
        <v>52.11</v>
      </c>
      <c r="R3570" s="7">
        <f t="shared" si="389"/>
        <v>1684.89</v>
      </c>
      <c r="S3570" s="7">
        <f t="shared" si="390"/>
        <v>842.44500000000005</v>
      </c>
      <c r="T3570" s="6">
        <f t="shared" si="391"/>
        <v>7.1942446043165471E-3</v>
      </c>
      <c r="V3570" t="s">
        <v>29</v>
      </c>
    </row>
    <row r="3571" spans="1:22">
      <c r="A3571" s="3">
        <v>45806</v>
      </c>
      <c r="B3571" t="str">
        <f t="shared" si="385"/>
        <v>yyyy-05</v>
      </c>
      <c r="C3571">
        <f t="shared" si="386"/>
        <v>22</v>
      </c>
      <c r="D3571" t="s">
        <v>53</v>
      </c>
      <c r="E3571" t="s">
        <v>59</v>
      </c>
      <c r="F3571" t="s">
        <v>60</v>
      </c>
      <c r="G3571" t="s">
        <v>31</v>
      </c>
      <c r="H3571" t="s">
        <v>32</v>
      </c>
      <c r="I3571" s="5">
        <v>156</v>
      </c>
      <c r="J3571" s="5">
        <v>128</v>
      </c>
      <c r="K3571" s="5">
        <v>12</v>
      </c>
      <c r="L3571" s="5">
        <v>2</v>
      </c>
      <c r="M3571" s="5">
        <v>2</v>
      </c>
      <c r="N3571" s="7">
        <v>692.04</v>
      </c>
      <c r="O3571" s="7">
        <f t="shared" si="387"/>
        <v>1384.08</v>
      </c>
      <c r="P3571" s="4">
        <v>0.03</v>
      </c>
      <c r="Q3571" s="7">
        <f t="shared" si="388"/>
        <v>41.522399999999998</v>
      </c>
      <c r="R3571" s="7">
        <f t="shared" si="389"/>
        <v>1342.5575999999999</v>
      </c>
      <c r="S3571" s="7">
        <f t="shared" si="390"/>
        <v>671.27879999999993</v>
      </c>
      <c r="T3571" s="6">
        <f t="shared" si="391"/>
        <v>1.282051282051282E-2</v>
      </c>
      <c r="V3571" t="s">
        <v>29</v>
      </c>
    </row>
    <row r="3572" spans="1:22">
      <c r="A3572" s="3">
        <v>45806</v>
      </c>
      <c r="B3572" t="str">
        <f t="shared" si="385"/>
        <v>yyyy-05</v>
      </c>
      <c r="C3572">
        <f t="shared" si="386"/>
        <v>22</v>
      </c>
      <c r="D3572" t="s">
        <v>53</v>
      </c>
      <c r="E3572" t="s">
        <v>61</v>
      </c>
      <c r="F3572" t="s">
        <v>62</v>
      </c>
      <c r="G3572" t="s">
        <v>27</v>
      </c>
      <c r="H3572" t="s">
        <v>63</v>
      </c>
      <c r="I3572" s="5">
        <v>121</v>
      </c>
      <c r="J3572" s="5">
        <v>100</v>
      </c>
      <c r="K3572" s="5">
        <v>9</v>
      </c>
      <c r="L3572" s="5">
        <v>1</v>
      </c>
      <c r="M3572" s="5">
        <v>1</v>
      </c>
      <c r="N3572" s="7">
        <v>500.5</v>
      </c>
      <c r="O3572" s="7">
        <f t="shared" si="387"/>
        <v>500.5</v>
      </c>
      <c r="P3572" s="4">
        <v>0</v>
      </c>
      <c r="Q3572" s="7">
        <f t="shared" si="388"/>
        <v>0</v>
      </c>
      <c r="R3572" s="7">
        <f t="shared" si="389"/>
        <v>500.5</v>
      </c>
      <c r="S3572" s="7">
        <f t="shared" si="390"/>
        <v>500.5</v>
      </c>
      <c r="T3572" s="6">
        <f t="shared" si="391"/>
        <v>8.2644628099173556E-3</v>
      </c>
      <c r="V3572" t="s">
        <v>29</v>
      </c>
    </row>
    <row r="3573" spans="1:22">
      <c r="A3573" s="3">
        <v>45806</v>
      </c>
      <c r="B3573" t="str">
        <f t="shared" si="385"/>
        <v>yyyy-05</v>
      </c>
      <c r="C3573">
        <f t="shared" si="386"/>
        <v>22</v>
      </c>
      <c r="D3573" t="s">
        <v>53</v>
      </c>
      <c r="E3573" t="s">
        <v>64</v>
      </c>
      <c r="F3573" t="s">
        <v>65</v>
      </c>
      <c r="G3573" t="s">
        <v>27</v>
      </c>
      <c r="H3573" t="s">
        <v>45</v>
      </c>
      <c r="I3573" s="5">
        <v>202</v>
      </c>
      <c r="J3573" s="5">
        <v>107</v>
      </c>
      <c r="K3573" s="5">
        <v>13</v>
      </c>
      <c r="L3573" s="5">
        <v>3</v>
      </c>
      <c r="M3573" s="5">
        <v>3</v>
      </c>
      <c r="N3573" s="7">
        <v>770.75</v>
      </c>
      <c r="O3573" s="7">
        <f t="shared" si="387"/>
        <v>2312.25</v>
      </c>
      <c r="P3573" s="4">
        <v>0</v>
      </c>
      <c r="Q3573" s="7">
        <f t="shared" si="388"/>
        <v>0</v>
      </c>
      <c r="R3573" s="7">
        <f t="shared" si="389"/>
        <v>2312.25</v>
      </c>
      <c r="S3573" s="7">
        <f t="shared" si="390"/>
        <v>770.75</v>
      </c>
      <c r="T3573" s="6">
        <f t="shared" si="391"/>
        <v>1.4851485148514851E-2</v>
      </c>
      <c r="V3573" t="s">
        <v>29</v>
      </c>
    </row>
    <row r="3574" spans="1:22">
      <c r="A3574" s="3">
        <v>45806</v>
      </c>
      <c r="B3574" t="str">
        <f t="shared" si="385"/>
        <v>yyyy-05</v>
      </c>
      <c r="C3574">
        <f t="shared" si="386"/>
        <v>22</v>
      </c>
      <c r="D3574" t="s">
        <v>66</v>
      </c>
      <c r="E3574" t="s">
        <v>67</v>
      </c>
      <c r="F3574" t="s">
        <v>68</v>
      </c>
      <c r="G3574" t="s">
        <v>27</v>
      </c>
      <c r="H3574" t="s">
        <v>48</v>
      </c>
      <c r="I3574" s="5">
        <v>307</v>
      </c>
      <c r="J3574" s="5">
        <v>174</v>
      </c>
      <c r="K3574" s="5">
        <v>14</v>
      </c>
      <c r="L3574" s="5">
        <v>4</v>
      </c>
      <c r="M3574" s="5">
        <v>4</v>
      </c>
      <c r="N3574" s="7">
        <v>708.79</v>
      </c>
      <c r="O3574" s="7">
        <f t="shared" si="387"/>
        <v>2835.16</v>
      </c>
      <c r="P3574" s="4">
        <v>0</v>
      </c>
      <c r="Q3574" s="7">
        <f t="shared" si="388"/>
        <v>0</v>
      </c>
      <c r="R3574" s="7">
        <f t="shared" si="389"/>
        <v>2835.16</v>
      </c>
      <c r="S3574" s="7">
        <f t="shared" si="390"/>
        <v>708.79</v>
      </c>
      <c r="T3574" s="6">
        <f t="shared" si="391"/>
        <v>1.3029315960912053E-2</v>
      </c>
      <c r="V3574" t="s">
        <v>78</v>
      </c>
    </row>
    <row r="3575" spans="1:22">
      <c r="A3575" s="3">
        <v>45806</v>
      </c>
      <c r="B3575" t="str">
        <f t="shared" si="385"/>
        <v>yyyy-05</v>
      </c>
      <c r="C3575">
        <f t="shared" si="386"/>
        <v>22</v>
      </c>
      <c r="D3575" t="s">
        <v>66</v>
      </c>
      <c r="E3575" t="s">
        <v>67</v>
      </c>
      <c r="F3575" t="s">
        <v>69</v>
      </c>
      <c r="G3575" t="s">
        <v>27</v>
      </c>
      <c r="H3575" t="s">
        <v>28</v>
      </c>
      <c r="I3575" s="5">
        <v>400</v>
      </c>
      <c r="J3575" s="5">
        <v>282</v>
      </c>
      <c r="K3575" s="5">
        <v>17</v>
      </c>
      <c r="L3575" s="5">
        <v>7</v>
      </c>
      <c r="M3575" s="5">
        <v>7</v>
      </c>
      <c r="N3575" s="7">
        <v>387.35</v>
      </c>
      <c r="O3575" s="7">
        <f t="shared" si="387"/>
        <v>2711.4500000000003</v>
      </c>
      <c r="P3575" s="4">
        <v>0</v>
      </c>
      <c r="Q3575" s="7">
        <f t="shared" si="388"/>
        <v>0</v>
      </c>
      <c r="R3575" s="7">
        <f t="shared" si="389"/>
        <v>2711.4500000000003</v>
      </c>
      <c r="S3575" s="7">
        <f t="shared" si="390"/>
        <v>387.35</v>
      </c>
      <c r="T3575" s="6">
        <f t="shared" si="391"/>
        <v>1.7500000000000002E-2</v>
      </c>
      <c r="V3575" t="s">
        <v>29</v>
      </c>
    </row>
    <row r="3576" spans="1:22">
      <c r="A3576" s="3">
        <v>45806</v>
      </c>
      <c r="B3576" t="str">
        <f t="shared" si="385"/>
        <v>yyyy-05</v>
      </c>
      <c r="C3576">
        <f t="shared" si="386"/>
        <v>22</v>
      </c>
      <c r="D3576" t="s">
        <v>66</v>
      </c>
      <c r="E3576" t="s">
        <v>67</v>
      </c>
      <c r="F3576" t="s">
        <v>70</v>
      </c>
      <c r="G3576" t="s">
        <v>27</v>
      </c>
      <c r="H3576" t="s">
        <v>28</v>
      </c>
      <c r="I3576" s="5">
        <v>339</v>
      </c>
      <c r="J3576" s="5">
        <v>188</v>
      </c>
      <c r="K3576" s="5">
        <v>22</v>
      </c>
      <c r="L3576" s="5">
        <v>6</v>
      </c>
      <c r="M3576" s="5">
        <v>6</v>
      </c>
      <c r="N3576" s="7">
        <v>352.24</v>
      </c>
      <c r="O3576" s="7">
        <f t="shared" si="387"/>
        <v>2113.44</v>
      </c>
      <c r="P3576" s="4">
        <v>0</v>
      </c>
      <c r="Q3576" s="7">
        <f t="shared" si="388"/>
        <v>0</v>
      </c>
      <c r="R3576" s="7">
        <f t="shared" si="389"/>
        <v>2113.44</v>
      </c>
      <c r="S3576" s="7">
        <f t="shared" si="390"/>
        <v>352.24</v>
      </c>
      <c r="T3576" s="6">
        <f t="shared" si="391"/>
        <v>1.7699115044247787E-2</v>
      </c>
      <c r="V3576" t="s">
        <v>29</v>
      </c>
    </row>
    <row r="3577" spans="1:22">
      <c r="A3577" s="3">
        <v>45806</v>
      </c>
      <c r="B3577" t="str">
        <f t="shared" si="385"/>
        <v>yyyy-05</v>
      </c>
      <c r="C3577">
        <f t="shared" si="386"/>
        <v>22</v>
      </c>
      <c r="D3577" t="s">
        <v>66</v>
      </c>
      <c r="E3577" t="s">
        <v>71</v>
      </c>
      <c r="F3577" t="s">
        <v>72</v>
      </c>
      <c r="G3577" t="s">
        <v>31</v>
      </c>
      <c r="H3577" t="s">
        <v>32</v>
      </c>
      <c r="I3577" s="5">
        <v>287</v>
      </c>
      <c r="J3577" s="5">
        <v>213</v>
      </c>
      <c r="K3577" s="5">
        <v>10</v>
      </c>
      <c r="L3577" s="5">
        <v>4</v>
      </c>
      <c r="M3577" s="5">
        <v>5</v>
      </c>
      <c r="N3577" s="7">
        <v>125.03</v>
      </c>
      <c r="O3577" s="7">
        <f t="shared" si="387"/>
        <v>625.15</v>
      </c>
      <c r="P3577" s="4">
        <v>0</v>
      </c>
      <c r="Q3577" s="7">
        <f t="shared" si="388"/>
        <v>0</v>
      </c>
      <c r="R3577" s="7">
        <f t="shared" si="389"/>
        <v>625.15</v>
      </c>
      <c r="S3577" s="7">
        <f t="shared" si="390"/>
        <v>156.28749999999999</v>
      </c>
      <c r="T3577" s="6">
        <f t="shared" si="391"/>
        <v>1.3937282229965157E-2</v>
      </c>
      <c r="V3577" t="s">
        <v>29</v>
      </c>
    </row>
    <row r="3578" spans="1:22">
      <c r="A3578" s="3">
        <v>45806</v>
      </c>
      <c r="B3578" t="str">
        <f t="shared" si="385"/>
        <v>yyyy-05</v>
      </c>
      <c r="C3578">
        <f t="shared" si="386"/>
        <v>22</v>
      </c>
      <c r="D3578" t="s">
        <v>66</v>
      </c>
      <c r="E3578" t="s">
        <v>73</v>
      </c>
      <c r="F3578" t="s">
        <v>74</v>
      </c>
      <c r="G3578" t="s">
        <v>27</v>
      </c>
      <c r="H3578" t="s">
        <v>48</v>
      </c>
      <c r="I3578" s="5">
        <v>186</v>
      </c>
      <c r="J3578" s="5">
        <v>128</v>
      </c>
      <c r="K3578" s="5">
        <v>15</v>
      </c>
      <c r="L3578" s="5">
        <v>3</v>
      </c>
      <c r="M3578" s="5">
        <v>3</v>
      </c>
      <c r="N3578" s="7">
        <v>1210.25</v>
      </c>
      <c r="O3578" s="7">
        <f t="shared" si="387"/>
        <v>3630.75</v>
      </c>
      <c r="P3578" s="4">
        <v>0</v>
      </c>
      <c r="Q3578" s="7">
        <f t="shared" si="388"/>
        <v>0</v>
      </c>
      <c r="R3578" s="7">
        <f t="shared" si="389"/>
        <v>3630.75</v>
      </c>
      <c r="S3578" s="7">
        <f t="shared" si="390"/>
        <v>1210.25</v>
      </c>
      <c r="T3578" s="6">
        <f t="shared" si="391"/>
        <v>1.6129032258064516E-2</v>
      </c>
      <c r="V3578" t="s">
        <v>29</v>
      </c>
    </row>
    <row r="3579" spans="1:22">
      <c r="A3579" s="3">
        <v>45806</v>
      </c>
      <c r="B3579" t="str">
        <f t="shared" si="385"/>
        <v>yyyy-05</v>
      </c>
      <c r="C3579">
        <f t="shared" si="386"/>
        <v>22</v>
      </c>
      <c r="D3579" t="s">
        <v>66</v>
      </c>
      <c r="E3579" t="s">
        <v>71</v>
      </c>
      <c r="F3579" t="s">
        <v>75</v>
      </c>
      <c r="G3579" t="s">
        <v>31</v>
      </c>
      <c r="H3579" t="s">
        <v>32</v>
      </c>
      <c r="I3579" s="5">
        <v>430</v>
      </c>
      <c r="J3579" s="5">
        <v>256</v>
      </c>
      <c r="K3579" s="5">
        <v>27</v>
      </c>
      <c r="L3579" s="5">
        <v>8</v>
      </c>
      <c r="M3579" s="5">
        <v>9</v>
      </c>
      <c r="N3579" s="7">
        <v>38.409999999999997</v>
      </c>
      <c r="O3579" s="7">
        <f t="shared" si="387"/>
        <v>345.68999999999994</v>
      </c>
      <c r="P3579" s="4">
        <v>0</v>
      </c>
      <c r="Q3579" s="7">
        <f t="shared" si="388"/>
        <v>0</v>
      </c>
      <c r="R3579" s="7">
        <f t="shared" si="389"/>
        <v>345.68999999999994</v>
      </c>
      <c r="S3579" s="7">
        <f t="shared" si="390"/>
        <v>43.211249999999993</v>
      </c>
      <c r="T3579" s="6">
        <f t="shared" si="391"/>
        <v>1.8604651162790697E-2</v>
      </c>
      <c r="V3579" t="s">
        <v>29</v>
      </c>
    </row>
    <row r="3580" spans="1:22">
      <c r="A3580" s="3">
        <v>45806</v>
      </c>
      <c r="B3580" t="str">
        <f t="shared" si="385"/>
        <v>yyyy-05</v>
      </c>
      <c r="C3580">
        <f t="shared" si="386"/>
        <v>22</v>
      </c>
      <c r="D3580" t="s">
        <v>24</v>
      </c>
      <c r="E3580" t="s">
        <v>76</v>
      </c>
      <c r="F3580" t="s">
        <v>77</v>
      </c>
      <c r="G3580" t="s">
        <v>36</v>
      </c>
      <c r="H3580" t="s">
        <v>37</v>
      </c>
      <c r="I3580" s="5">
        <v>635</v>
      </c>
      <c r="J3580" s="5">
        <v>338</v>
      </c>
      <c r="K3580" s="5">
        <v>45</v>
      </c>
      <c r="L3580" s="5">
        <v>14</v>
      </c>
      <c r="M3580" s="5">
        <v>19</v>
      </c>
      <c r="N3580" s="7">
        <v>195.1</v>
      </c>
      <c r="O3580" s="7">
        <f t="shared" si="387"/>
        <v>3706.9</v>
      </c>
      <c r="P3580" s="4">
        <v>0.1</v>
      </c>
      <c r="Q3580" s="7">
        <f t="shared" si="388"/>
        <v>370.69000000000005</v>
      </c>
      <c r="R3580" s="7">
        <f t="shared" si="389"/>
        <v>3336.21</v>
      </c>
      <c r="S3580" s="7">
        <f t="shared" si="390"/>
        <v>238.30071428571429</v>
      </c>
      <c r="T3580" s="6">
        <f t="shared" si="391"/>
        <v>2.2047244094488189E-2</v>
      </c>
      <c r="U3580" t="s">
        <v>98</v>
      </c>
      <c r="V3580" t="s">
        <v>29</v>
      </c>
    </row>
    <row r="3581" spans="1:22">
      <c r="A3581" s="3">
        <v>45807</v>
      </c>
      <c r="B3581" t="str">
        <f t="shared" si="385"/>
        <v>yyyy-05</v>
      </c>
      <c r="C3581">
        <f t="shared" si="386"/>
        <v>22</v>
      </c>
      <c r="D3581" t="s">
        <v>24</v>
      </c>
      <c r="E3581" t="s">
        <v>25</v>
      </c>
      <c r="F3581" t="s">
        <v>26</v>
      </c>
      <c r="G3581" t="s">
        <v>31</v>
      </c>
      <c r="H3581" t="s">
        <v>32</v>
      </c>
      <c r="I3581" s="5">
        <v>1836</v>
      </c>
      <c r="J3581" s="5">
        <v>1194</v>
      </c>
      <c r="K3581" s="5">
        <v>220</v>
      </c>
      <c r="L3581" s="5">
        <v>47</v>
      </c>
      <c r="M3581" s="5">
        <v>47</v>
      </c>
      <c r="N3581" s="7">
        <v>983.33</v>
      </c>
      <c r="O3581" s="7">
        <f t="shared" si="387"/>
        <v>46216.51</v>
      </c>
      <c r="P3581" s="4">
        <v>0</v>
      </c>
      <c r="Q3581" s="7">
        <f t="shared" si="388"/>
        <v>0</v>
      </c>
      <c r="R3581" s="7">
        <f t="shared" si="389"/>
        <v>46216.51</v>
      </c>
      <c r="S3581" s="7">
        <f t="shared" si="390"/>
        <v>983.33</v>
      </c>
      <c r="T3581" s="6">
        <f t="shared" si="391"/>
        <v>2.5599128540305011E-2</v>
      </c>
      <c r="V3581" t="s">
        <v>29</v>
      </c>
    </row>
    <row r="3582" spans="1:22">
      <c r="A3582" s="3">
        <v>45807</v>
      </c>
      <c r="B3582" t="str">
        <f t="shared" si="385"/>
        <v>yyyy-05</v>
      </c>
      <c r="C3582">
        <f t="shared" si="386"/>
        <v>22</v>
      </c>
      <c r="D3582" t="s">
        <v>24</v>
      </c>
      <c r="E3582" t="s">
        <v>25</v>
      </c>
      <c r="F3582" t="s">
        <v>30</v>
      </c>
      <c r="G3582" t="s">
        <v>27</v>
      </c>
      <c r="H3582" t="s">
        <v>48</v>
      </c>
      <c r="I3582" s="5">
        <v>1441</v>
      </c>
      <c r="J3582" s="5">
        <v>952</v>
      </c>
      <c r="K3582" s="5">
        <v>106</v>
      </c>
      <c r="L3582" s="5">
        <v>20</v>
      </c>
      <c r="M3582" s="5">
        <v>20</v>
      </c>
      <c r="N3582" s="7">
        <v>391.57</v>
      </c>
      <c r="O3582" s="7">
        <f t="shared" si="387"/>
        <v>7831.4</v>
      </c>
      <c r="P3582" s="4">
        <v>0.05</v>
      </c>
      <c r="Q3582" s="7">
        <f t="shared" si="388"/>
        <v>391.57</v>
      </c>
      <c r="R3582" s="7">
        <f t="shared" si="389"/>
        <v>7439.83</v>
      </c>
      <c r="S3582" s="7">
        <f t="shared" si="390"/>
        <v>371.99149999999997</v>
      </c>
      <c r="T3582" s="6">
        <f t="shared" si="391"/>
        <v>1.3879250520471894E-2</v>
      </c>
      <c r="V3582" t="s">
        <v>78</v>
      </c>
    </row>
    <row r="3583" spans="1:22">
      <c r="A3583" s="3">
        <v>45807</v>
      </c>
      <c r="B3583" t="str">
        <f t="shared" si="385"/>
        <v>yyyy-05</v>
      </c>
      <c r="C3583">
        <f t="shared" si="386"/>
        <v>22</v>
      </c>
      <c r="D3583" t="s">
        <v>24</v>
      </c>
      <c r="E3583" t="s">
        <v>25</v>
      </c>
      <c r="F3583" t="s">
        <v>33</v>
      </c>
      <c r="G3583" t="s">
        <v>27</v>
      </c>
      <c r="H3583" t="s">
        <v>45</v>
      </c>
      <c r="I3583" s="5">
        <v>1427</v>
      </c>
      <c r="J3583" s="5">
        <v>998</v>
      </c>
      <c r="K3583" s="5">
        <v>127</v>
      </c>
      <c r="L3583" s="5">
        <v>26</v>
      </c>
      <c r="M3583" s="5">
        <v>26</v>
      </c>
      <c r="N3583" s="7">
        <v>1831.9</v>
      </c>
      <c r="O3583" s="7">
        <f t="shared" si="387"/>
        <v>47629.4</v>
      </c>
      <c r="P3583" s="4">
        <v>0.05</v>
      </c>
      <c r="Q3583" s="7">
        <f t="shared" si="388"/>
        <v>2381.4700000000003</v>
      </c>
      <c r="R3583" s="7">
        <f t="shared" si="389"/>
        <v>45247.93</v>
      </c>
      <c r="S3583" s="7">
        <f t="shared" si="390"/>
        <v>1740.3050000000001</v>
      </c>
      <c r="T3583" s="6">
        <f t="shared" si="391"/>
        <v>1.8220042046250877E-2</v>
      </c>
      <c r="V3583" t="s">
        <v>29</v>
      </c>
    </row>
    <row r="3584" spans="1:22">
      <c r="A3584" s="3">
        <v>45807</v>
      </c>
      <c r="B3584" t="str">
        <f t="shared" si="385"/>
        <v>yyyy-05</v>
      </c>
      <c r="C3584">
        <f t="shared" si="386"/>
        <v>22</v>
      </c>
      <c r="D3584" t="s">
        <v>24</v>
      </c>
      <c r="E3584" t="s">
        <v>34</v>
      </c>
      <c r="F3584" t="s">
        <v>35</v>
      </c>
      <c r="G3584" t="s">
        <v>31</v>
      </c>
      <c r="H3584" t="s">
        <v>32</v>
      </c>
      <c r="I3584" s="5">
        <v>1224</v>
      </c>
      <c r="J3584" s="5">
        <v>781</v>
      </c>
      <c r="K3584" s="5">
        <v>114</v>
      </c>
      <c r="L3584" s="5">
        <v>30</v>
      </c>
      <c r="M3584" s="5">
        <v>30</v>
      </c>
      <c r="N3584" s="7">
        <v>915.46</v>
      </c>
      <c r="O3584" s="7">
        <f t="shared" si="387"/>
        <v>27463.800000000003</v>
      </c>
      <c r="P3584" s="4">
        <v>0.03</v>
      </c>
      <c r="Q3584" s="7">
        <f t="shared" si="388"/>
        <v>823.9140000000001</v>
      </c>
      <c r="R3584" s="7">
        <f t="shared" si="389"/>
        <v>26639.886000000002</v>
      </c>
      <c r="S3584" s="7">
        <f t="shared" si="390"/>
        <v>887.99620000000004</v>
      </c>
      <c r="T3584" s="6">
        <f t="shared" si="391"/>
        <v>2.4509803921568627E-2</v>
      </c>
      <c r="V3584" t="s">
        <v>29</v>
      </c>
    </row>
    <row r="3585" spans="1:22">
      <c r="A3585" s="3">
        <v>45807</v>
      </c>
      <c r="B3585" t="str">
        <f t="shared" si="385"/>
        <v>yyyy-05</v>
      </c>
      <c r="C3585">
        <f t="shared" si="386"/>
        <v>22</v>
      </c>
      <c r="D3585" t="s">
        <v>24</v>
      </c>
      <c r="E3585" t="s">
        <v>38</v>
      </c>
      <c r="F3585" t="s">
        <v>39</v>
      </c>
      <c r="G3585" t="s">
        <v>36</v>
      </c>
      <c r="H3585" t="s">
        <v>37</v>
      </c>
      <c r="I3585" s="5">
        <v>989</v>
      </c>
      <c r="J3585" s="5">
        <v>585</v>
      </c>
      <c r="K3585" s="5">
        <v>68</v>
      </c>
      <c r="L3585" s="5">
        <v>22</v>
      </c>
      <c r="M3585" s="5">
        <v>22</v>
      </c>
      <c r="N3585" s="7">
        <v>330.33</v>
      </c>
      <c r="O3585" s="7">
        <f t="shared" si="387"/>
        <v>7267.2599999999993</v>
      </c>
      <c r="P3585" s="4">
        <v>0</v>
      </c>
      <c r="Q3585" s="7">
        <f t="shared" si="388"/>
        <v>0</v>
      </c>
      <c r="R3585" s="7">
        <f t="shared" si="389"/>
        <v>7267.2599999999993</v>
      </c>
      <c r="S3585" s="7">
        <f t="shared" si="390"/>
        <v>330.33</v>
      </c>
      <c r="T3585" s="6">
        <f t="shared" si="391"/>
        <v>2.2244691607684528E-2</v>
      </c>
      <c r="V3585" t="s">
        <v>29</v>
      </c>
    </row>
    <row r="3586" spans="1:22">
      <c r="A3586" s="3">
        <v>45807</v>
      </c>
      <c r="B3586" t="str">
        <f t="shared" si="385"/>
        <v>yyyy-05</v>
      </c>
      <c r="C3586">
        <f t="shared" si="386"/>
        <v>22</v>
      </c>
      <c r="D3586" t="s">
        <v>24</v>
      </c>
      <c r="E3586" t="s">
        <v>40</v>
      </c>
      <c r="F3586" t="s">
        <v>41</v>
      </c>
      <c r="G3586" t="s">
        <v>27</v>
      </c>
      <c r="H3586" t="s">
        <v>45</v>
      </c>
      <c r="I3586" s="5">
        <v>854</v>
      </c>
      <c r="J3586" s="5">
        <v>554</v>
      </c>
      <c r="K3586" s="5">
        <v>42</v>
      </c>
      <c r="L3586" s="5">
        <v>17</v>
      </c>
      <c r="M3586" s="5">
        <v>19</v>
      </c>
      <c r="N3586" s="7">
        <v>173.4</v>
      </c>
      <c r="O3586" s="7">
        <f t="shared" si="387"/>
        <v>3294.6</v>
      </c>
      <c r="P3586" s="4">
        <v>0</v>
      </c>
      <c r="Q3586" s="7">
        <f t="shared" si="388"/>
        <v>0</v>
      </c>
      <c r="R3586" s="7">
        <f t="shared" si="389"/>
        <v>3294.6</v>
      </c>
      <c r="S3586" s="7">
        <f t="shared" si="390"/>
        <v>193.79999999999998</v>
      </c>
      <c r="T3586" s="6">
        <f t="shared" si="391"/>
        <v>1.9906323185011711E-2</v>
      </c>
      <c r="V3586" t="s">
        <v>29</v>
      </c>
    </row>
    <row r="3587" spans="1:22">
      <c r="A3587" s="3">
        <v>45807</v>
      </c>
      <c r="B3587" t="str">
        <f t="shared" si="385"/>
        <v>yyyy-05</v>
      </c>
      <c r="C3587">
        <f t="shared" si="386"/>
        <v>22</v>
      </c>
      <c r="D3587" t="s">
        <v>42</v>
      </c>
      <c r="E3587" t="s">
        <v>43</v>
      </c>
      <c r="F3587" t="s">
        <v>44</v>
      </c>
      <c r="G3587" t="s">
        <v>31</v>
      </c>
      <c r="H3587" t="s">
        <v>32</v>
      </c>
      <c r="I3587" s="5">
        <v>670</v>
      </c>
      <c r="J3587" s="5">
        <v>490</v>
      </c>
      <c r="K3587" s="5">
        <v>33</v>
      </c>
      <c r="L3587" s="5">
        <v>9</v>
      </c>
      <c r="M3587" s="5">
        <v>9</v>
      </c>
      <c r="N3587" s="7">
        <v>1319.43</v>
      </c>
      <c r="O3587" s="7">
        <f t="shared" si="387"/>
        <v>11874.87</v>
      </c>
      <c r="P3587" s="4">
        <v>0.03</v>
      </c>
      <c r="Q3587" s="7">
        <f t="shared" si="388"/>
        <v>356.24610000000001</v>
      </c>
      <c r="R3587" s="7">
        <f t="shared" si="389"/>
        <v>11518.623900000001</v>
      </c>
      <c r="S3587" s="7">
        <f t="shared" si="390"/>
        <v>1279.8471</v>
      </c>
      <c r="T3587" s="6">
        <f t="shared" si="391"/>
        <v>1.3432835820895522E-2</v>
      </c>
      <c r="V3587" t="s">
        <v>29</v>
      </c>
    </row>
    <row r="3588" spans="1:22">
      <c r="A3588" s="3">
        <v>45807</v>
      </c>
      <c r="B3588" t="str">
        <f t="shared" si="385"/>
        <v>yyyy-05</v>
      </c>
      <c r="C3588">
        <f t="shared" si="386"/>
        <v>22</v>
      </c>
      <c r="D3588" t="s">
        <v>42</v>
      </c>
      <c r="E3588" t="s">
        <v>43</v>
      </c>
      <c r="F3588" t="s">
        <v>46</v>
      </c>
      <c r="G3588" t="s">
        <v>36</v>
      </c>
      <c r="H3588" t="s">
        <v>37</v>
      </c>
      <c r="I3588" s="5">
        <v>628</v>
      </c>
      <c r="J3588" s="5">
        <v>354</v>
      </c>
      <c r="K3588" s="5">
        <v>36</v>
      </c>
      <c r="L3588" s="5">
        <v>7</v>
      </c>
      <c r="M3588" s="5">
        <v>7</v>
      </c>
      <c r="N3588" s="7">
        <v>2230.5700000000002</v>
      </c>
      <c r="O3588" s="7">
        <f t="shared" si="387"/>
        <v>15613.990000000002</v>
      </c>
      <c r="P3588" s="4">
        <v>0</v>
      </c>
      <c r="Q3588" s="7">
        <f t="shared" si="388"/>
        <v>0</v>
      </c>
      <c r="R3588" s="7">
        <f t="shared" si="389"/>
        <v>15613.990000000002</v>
      </c>
      <c r="S3588" s="7">
        <f t="shared" si="390"/>
        <v>2230.5700000000002</v>
      </c>
      <c r="T3588" s="6">
        <f t="shared" si="391"/>
        <v>1.1146496815286623E-2</v>
      </c>
      <c r="V3588" t="s">
        <v>29</v>
      </c>
    </row>
    <row r="3589" spans="1:22">
      <c r="A3589" s="3">
        <v>45807</v>
      </c>
      <c r="B3589" t="str">
        <f t="shared" ref="B3589:B3652" si="392">TEXT(A3589,"yyyy-mm")</f>
        <v>yyyy-05</v>
      </c>
      <c r="C3589">
        <f t="shared" ref="C3589:C3652" si="393">WEEKNUM(A3589,2)</f>
        <v>22</v>
      </c>
      <c r="D3589" t="s">
        <v>42</v>
      </c>
      <c r="E3589" t="s">
        <v>43</v>
      </c>
      <c r="F3589" t="s">
        <v>47</v>
      </c>
      <c r="G3589" t="s">
        <v>36</v>
      </c>
      <c r="H3589" t="s">
        <v>37</v>
      </c>
      <c r="I3589" s="5">
        <v>659</v>
      </c>
      <c r="J3589" s="5">
        <v>352</v>
      </c>
      <c r="K3589" s="5">
        <v>36</v>
      </c>
      <c r="L3589" s="5">
        <v>8</v>
      </c>
      <c r="M3589" s="5">
        <v>8</v>
      </c>
      <c r="N3589" s="7">
        <v>601.04</v>
      </c>
      <c r="O3589" s="7">
        <f t="shared" ref="O3589:O3652" si="394">M3589*N3589</f>
        <v>4808.32</v>
      </c>
      <c r="P3589" s="4">
        <v>0</v>
      </c>
      <c r="Q3589" s="7">
        <f t="shared" ref="Q3589:Q3652" si="395">O3589*P3589</f>
        <v>0</v>
      </c>
      <c r="R3589" s="7">
        <f t="shared" ref="R3589:R3652" si="396">O3589-Q3589</f>
        <v>4808.32</v>
      </c>
      <c r="S3589" s="7">
        <f t="shared" ref="S3589:S3652" si="397">IFERROR(R3589/L3589,0)</f>
        <v>601.04</v>
      </c>
      <c r="T3589" s="6">
        <f t="shared" ref="T3589:T3652" si="398">IFERROR(L3589/I3589,0)</f>
        <v>1.2139605462822459E-2</v>
      </c>
      <c r="V3589" t="s">
        <v>29</v>
      </c>
    </row>
    <row r="3590" spans="1:22">
      <c r="A3590" s="3">
        <v>45807</v>
      </c>
      <c r="B3590" t="str">
        <f t="shared" si="392"/>
        <v>yyyy-05</v>
      </c>
      <c r="C3590">
        <f t="shared" si="393"/>
        <v>22</v>
      </c>
      <c r="D3590" t="s">
        <v>42</v>
      </c>
      <c r="E3590" t="s">
        <v>49</v>
      </c>
      <c r="F3590" t="s">
        <v>50</v>
      </c>
      <c r="G3590" t="s">
        <v>31</v>
      </c>
      <c r="H3590" t="s">
        <v>32</v>
      </c>
      <c r="I3590" s="5">
        <v>207</v>
      </c>
      <c r="J3590" s="5">
        <v>122</v>
      </c>
      <c r="K3590" s="5">
        <v>12</v>
      </c>
      <c r="L3590" s="5">
        <v>3</v>
      </c>
      <c r="M3590" s="5">
        <v>3</v>
      </c>
      <c r="N3590" s="7">
        <v>977.18</v>
      </c>
      <c r="O3590" s="7">
        <f t="shared" si="394"/>
        <v>2931.54</v>
      </c>
      <c r="P3590" s="4">
        <v>0</v>
      </c>
      <c r="Q3590" s="7">
        <f t="shared" si="395"/>
        <v>0</v>
      </c>
      <c r="R3590" s="7">
        <f t="shared" si="396"/>
        <v>2931.54</v>
      </c>
      <c r="S3590" s="7">
        <f t="shared" si="397"/>
        <v>977.18</v>
      </c>
      <c r="T3590" s="6">
        <f t="shared" si="398"/>
        <v>1.4492753623188406E-2</v>
      </c>
      <c r="V3590" t="s">
        <v>29</v>
      </c>
    </row>
    <row r="3591" spans="1:22">
      <c r="A3591" s="3">
        <v>45807</v>
      </c>
      <c r="B3591" t="str">
        <f t="shared" si="392"/>
        <v>yyyy-05</v>
      </c>
      <c r="C3591">
        <f t="shared" si="393"/>
        <v>22</v>
      </c>
      <c r="D3591" t="s">
        <v>42</v>
      </c>
      <c r="E3591" t="s">
        <v>51</v>
      </c>
      <c r="F3591" t="s">
        <v>52</v>
      </c>
      <c r="G3591" t="s">
        <v>36</v>
      </c>
      <c r="H3591" t="s">
        <v>37</v>
      </c>
      <c r="I3591" s="5">
        <v>141</v>
      </c>
      <c r="J3591" s="5">
        <v>107</v>
      </c>
      <c r="K3591" s="5">
        <v>3</v>
      </c>
      <c r="L3591" s="5">
        <v>0</v>
      </c>
      <c r="M3591" s="5">
        <v>0</v>
      </c>
      <c r="N3591" s="7">
        <v>598.03</v>
      </c>
      <c r="O3591" s="7">
        <f t="shared" si="394"/>
        <v>0</v>
      </c>
      <c r="P3591" s="4">
        <v>0</v>
      </c>
      <c r="Q3591" s="7">
        <f t="shared" si="395"/>
        <v>0</v>
      </c>
      <c r="R3591" s="7">
        <f t="shared" si="396"/>
        <v>0</v>
      </c>
      <c r="S3591" s="7">
        <f t="shared" si="397"/>
        <v>0</v>
      </c>
      <c r="T3591" s="6">
        <f t="shared" si="398"/>
        <v>0</v>
      </c>
      <c r="V3591" t="s">
        <v>81</v>
      </c>
    </row>
    <row r="3592" spans="1:22">
      <c r="A3592" s="3">
        <v>45807</v>
      </c>
      <c r="B3592" t="str">
        <f t="shared" si="392"/>
        <v>yyyy-05</v>
      </c>
      <c r="C3592">
        <f t="shared" si="393"/>
        <v>22</v>
      </c>
      <c r="D3592" t="s">
        <v>53</v>
      </c>
      <c r="E3592" t="s">
        <v>54</v>
      </c>
      <c r="F3592" t="s">
        <v>55</v>
      </c>
      <c r="G3592" t="s">
        <v>31</v>
      </c>
      <c r="H3592" t="s">
        <v>32</v>
      </c>
      <c r="I3592" s="5">
        <v>112</v>
      </c>
      <c r="J3592" s="5">
        <v>67</v>
      </c>
      <c r="K3592" s="5">
        <v>2</v>
      </c>
      <c r="L3592" s="5">
        <v>0</v>
      </c>
      <c r="M3592" s="5">
        <v>0</v>
      </c>
      <c r="N3592" s="7">
        <v>1301.5999999999999</v>
      </c>
      <c r="O3592" s="7">
        <f t="shared" si="394"/>
        <v>0</v>
      </c>
      <c r="P3592" s="4">
        <v>0</v>
      </c>
      <c r="Q3592" s="7">
        <f t="shared" si="395"/>
        <v>0</v>
      </c>
      <c r="R3592" s="7">
        <f t="shared" si="396"/>
        <v>0</v>
      </c>
      <c r="S3592" s="7">
        <f t="shared" si="397"/>
        <v>0</v>
      </c>
      <c r="T3592" s="6">
        <f t="shared" si="398"/>
        <v>0</v>
      </c>
      <c r="V3592" t="s">
        <v>81</v>
      </c>
    </row>
    <row r="3593" spans="1:22">
      <c r="A3593" s="3">
        <v>45807</v>
      </c>
      <c r="B3593" t="str">
        <f t="shared" si="392"/>
        <v>yyyy-05</v>
      </c>
      <c r="C3593">
        <f t="shared" si="393"/>
        <v>22</v>
      </c>
      <c r="D3593" t="s">
        <v>53</v>
      </c>
      <c r="E3593" t="s">
        <v>56</v>
      </c>
      <c r="F3593" t="s">
        <v>57</v>
      </c>
      <c r="G3593" t="s">
        <v>27</v>
      </c>
      <c r="H3593" t="s">
        <v>28</v>
      </c>
      <c r="I3593" s="5">
        <v>237</v>
      </c>
      <c r="J3593" s="5">
        <v>138</v>
      </c>
      <c r="K3593" s="5">
        <v>14</v>
      </c>
      <c r="L3593" s="5">
        <v>3</v>
      </c>
      <c r="M3593" s="5">
        <v>3</v>
      </c>
      <c r="N3593" s="7">
        <v>723.2</v>
      </c>
      <c r="O3593" s="7">
        <f t="shared" si="394"/>
        <v>2169.6000000000004</v>
      </c>
      <c r="P3593" s="4">
        <v>0.03</v>
      </c>
      <c r="Q3593" s="7">
        <f t="shared" si="395"/>
        <v>65.088000000000008</v>
      </c>
      <c r="R3593" s="7">
        <f t="shared" si="396"/>
        <v>2104.5120000000002</v>
      </c>
      <c r="S3593" s="7">
        <f t="shared" si="397"/>
        <v>701.50400000000002</v>
      </c>
      <c r="T3593" s="6">
        <f t="shared" si="398"/>
        <v>1.2658227848101266E-2</v>
      </c>
      <c r="V3593" t="s">
        <v>29</v>
      </c>
    </row>
    <row r="3594" spans="1:22">
      <c r="A3594" s="3">
        <v>45807</v>
      </c>
      <c r="B3594" t="str">
        <f t="shared" si="392"/>
        <v>yyyy-05</v>
      </c>
      <c r="C3594">
        <f t="shared" si="393"/>
        <v>22</v>
      </c>
      <c r="D3594" t="s">
        <v>53</v>
      </c>
      <c r="E3594" t="s">
        <v>56</v>
      </c>
      <c r="F3594" t="s">
        <v>58</v>
      </c>
      <c r="G3594" t="s">
        <v>27</v>
      </c>
      <c r="H3594" t="s">
        <v>28</v>
      </c>
      <c r="I3594" s="5">
        <v>204</v>
      </c>
      <c r="J3594" s="5">
        <v>139</v>
      </c>
      <c r="K3594" s="5">
        <v>10</v>
      </c>
      <c r="L3594" s="5">
        <v>2</v>
      </c>
      <c r="M3594" s="5">
        <v>2</v>
      </c>
      <c r="N3594" s="7">
        <v>882.17</v>
      </c>
      <c r="O3594" s="7">
        <f t="shared" si="394"/>
        <v>1764.34</v>
      </c>
      <c r="P3594" s="4">
        <v>0.03</v>
      </c>
      <c r="Q3594" s="7">
        <f t="shared" si="395"/>
        <v>52.930199999999992</v>
      </c>
      <c r="R3594" s="7">
        <f t="shared" si="396"/>
        <v>1711.4097999999999</v>
      </c>
      <c r="S3594" s="7">
        <f t="shared" si="397"/>
        <v>855.70489999999995</v>
      </c>
      <c r="T3594" s="6">
        <f t="shared" si="398"/>
        <v>9.8039215686274508E-3</v>
      </c>
      <c r="V3594" t="s">
        <v>29</v>
      </c>
    </row>
    <row r="3595" spans="1:22">
      <c r="A3595" s="3">
        <v>45807</v>
      </c>
      <c r="B3595" t="str">
        <f t="shared" si="392"/>
        <v>yyyy-05</v>
      </c>
      <c r="C3595">
        <f t="shared" si="393"/>
        <v>22</v>
      </c>
      <c r="D3595" t="s">
        <v>53</v>
      </c>
      <c r="E3595" t="s">
        <v>59</v>
      </c>
      <c r="F3595" t="s">
        <v>60</v>
      </c>
      <c r="G3595" t="s">
        <v>31</v>
      </c>
      <c r="H3595" t="s">
        <v>32</v>
      </c>
      <c r="I3595" s="5">
        <v>182</v>
      </c>
      <c r="J3595" s="5">
        <v>96</v>
      </c>
      <c r="K3595" s="5">
        <v>10</v>
      </c>
      <c r="L3595" s="5">
        <v>2</v>
      </c>
      <c r="M3595" s="5">
        <v>2</v>
      </c>
      <c r="N3595" s="7">
        <v>701.28</v>
      </c>
      <c r="O3595" s="7">
        <f t="shared" si="394"/>
        <v>1402.56</v>
      </c>
      <c r="P3595" s="4">
        <v>0.05</v>
      </c>
      <c r="Q3595" s="7">
        <f t="shared" si="395"/>
        <v>70.128</v>
      </c>
      <c r="R3595" s="7">
        <f t="shared" si="396"/>
        <v>1332.432</v>
      </c>
      <c r="S3595" s="7">
        <f t="shared" si="397"/>
        <v>666.21600000000001</v>
      </c>
      <c r="T3595" s="6">
        <f t="shared" si="398"/>
        <v>1.098901098901099E-2</v>
      </c>
      <c r="V3595" t="s">
        <v>29</v>
      </c>
    </row>
    <row r="3596" spans="1:22">
      <c r="A3596" s="3">
        <v>45807</v>
      </c>
      <c r="B3596" t="str">
        <f t="shared" si="392"/>
        <v>yyyy-05</v>
      </c>
      <c r="C3596">
        <f t="shared" si="393"/>
        <v>22</v>
      </c>
      <c r="D3596" t="s">
        <v>53</v>
      </c>
      <c r="E3596" t="s">
        <v>61</v>
      </c>
      <c r="F3596" t="s">
        <v>62</v>
      </c>
      <c r="G3596" t="s">
        <v>27</v>
      </c>
      <c r="H3596" t="s">
        <v>48</v>
      </c>
      <c r="I3596" s="5">
        <v>115</v>
      </c>
      <c r="J3596" s="5">
        <v>73</v>
      </c>
      <c r="K3596" s="5">
        <v>7</v>
      </c>
      <c r="L3596" s="5">
        <v>1</v>
      </c>
      <c r="M3596" s="5">
        <v>1</v>
      </c>
      <c r="N3596" s="7">
        <v>481.24</v>
      </c>
      <c r="O3596" s="7">
        <f t="shared" si="394"/>
        <v>481.24</v>
      </c>
      <c r="P3596" s="4">
        <v>0.03</v>
      </c>
      <c r="Q3596" s="7">
        <f t="shared" si="395"/>
        <v>14.437199999999999</v>
      </c>
      <c r="R3596" s="7">
        <f t="shared" si="396"/>
        <v>466.80279999999999</v>
      </c>
      <c r="S3596" s="7">
        <f t="shared" si="397"/>
        <v>466.80279999999999</v>
      </c>
      <c r="T3596" s="6">
        <f t="shared" si="398"/>
        <v>8.6956521739130436E-3</v>
      </c>
      <c r="V3596" t="s">
        <v>29</v>
      </c>
    </row>
    <row r="3597" spans="1:22">
      <c r="A3597" s="3">
        <v>45807</v>
      </c>
      <c r="B3597" t="str">
        <f t="shared" si="392"/>
        <v>yyyy-05</v>
      </c>
      <c r="C3597">
        <f t="shared" si="393"/>
        <v>22</v>
      </c>
      <c r="D3597" t="s">
        <v>53</v>
      </c>
      <c r="E3597" t="s">
        <v>64</v>
      </c>
      <c r="F3597" t="s">
        <v>65</v>
      </c>
      <c r="G3597" t="s">
        <v>27</v>
      </c>
      <c r="H3597" t="s">
        <v>28</v>
      </c>
      <c r="I3597" s="5">
        <v>184</v>
      </c>
      <c r="J3597" s="5">
        <v>136</v>
      </c>
      <c r="K3597" s="5">
        <v>10</v>
      </c>
      <c r="L3597" s="5">
        <v>2</v>
      </c>
      <c r="M3597" s="5">
        <v>2</v>
      </c>
      <c r="N3597" s="7">
        <v>800.8</v>
      </c>
      <c r="O3597" s="7">
        <f t="shared" si="394"/>
        <v>1601.6</v>
      </c>
      <c r="P3597" s="4">
        <v>0</v>
      </c>
      <c r="Q3597" s="7">
        <f t="shared" si="395"/>
        <v>0</v>
      </c>
      <c r="R3597" s="7">
        <f t="shared" si="396"/>
        <v>1601.6</v>
      </c>
      <c r="S3597" s="7">
        <f t="shared" si="397"/>
        <v>800.8</v>
      </c>
      <c r="T3597" s="6">
        <f t="shared" si="398"/>
        <v>1.0869565217391304E-2</v>
      </c>
      <c r="V3597" t="s">
        <v>29</v>
      </c>
    </row>
    <row r="3598" spans="1:22">
      <c r="A3598" s="3">
        <v>45807</v>
      </c>
      <c r="B3598" t="str">
        <f t="shared" si="392"/>
        <v>yyyy-05</v>
      </c>
      <c r="C3598">
        <f t="shared" si="393"/>
        <v>22</v>
      </c>
      <c r="D3598" t="s">
        <v>66</v>
      </c>
      <c r="E3598" t="s">
        <v>67</v>
      </c>
      <c r="F3598" t="s">
        <v>68</v>
      </c>
      <c r="G3598" t="s">
        <v>27</v>
      </c>
      <c r="H3598" t="s">
        <v>45</v>
      </c>
      <c r="I3598" s="5">
        <v>357</v>
      </c>
      <c r="J3598" s="5">
        <v>281</v>
      </c>
      <c r="K3598" s="5">
        <v>39</v>
      </c>
      <c r="L3598" s="5">
        <v>8</v>
      </c>
      <c r="M3598" s="5">
        <v>8</v>
      </c>
      <c r="N3598" s="7">
        <v>679.54</v>
      </c>
      <c r="O3598" s="7">
        <f t="shared" si="394"/>
        <v>5436.32</v>
      </c>
      <c r="P3598" s="4">
        <v>0</v>
      </c>
      <c r="Q3598" s="7">
        <f t="shared" si="395"/>
        <v>0</v>
      </c>
      <c r="R3598" s="7">
        <f t="shared" si="396"/>
        <v>5436.32</v>
      </c>
      <c r="S3598" s="7">
        <f t="shared" si="397"/>
        <v>679.54</v>
      </c>
      <c r="T3598" s="6">
        <f t="shared" si="398"/>
        <v>2.2408963585434174E-2</v>
      </c>
      <c r="V3598" t="s">
        <v>29</v>
      </c>
    </row>
    <row r="3599" spans="1:22">
      <c r="A3599" s="3">
        <v>45807</v>
      </c>
      <c r="B3599" t="str">
        <f t="shared" si="392"/>
        <v>yyyy-05</v>
      </c>
      <c r="C3599">
        <f t="shared" si="393"/>
        <v>22</v>
      </c>
      <c r="D3599" t="s">
        <v>66</v>
      </c>
      <c r="E3599" t="s">
        <v>67</v>
      </c>
      <c r="F3599" t="s">
        <v>69</v>
      </c>
      <c r="G3599" t="s">
        <v>27</v>
      </c>
      <c r="H3599" t="s">
        <v>48</v>
      </c>
      <c r="I3599" s="5">
        <v>198</v>
      </c>
      <c r="J3599" s="5">
        <v>126</v>
      </c>
      <c r="K3599" s="5">
        <v>11</v>
      </c>
      <c r="L3599" s="5">
        <v>3</v>
      </c>
      <c r="M3599" s="5">
        <v>3</v>
      </c>
      <c r="N3599" s="7">
        <v>403.85</v>
      </c>
      <c r="O3599" s="7">
        <f t="shared" si="394"/>
        <v>1211.5500000000002</v>
      </c>
      <c r="P3599" s="4">
        <v>0</v>
      </c>
      <c r="Q3599" s="7">
        <f t="shared" si="395"/>
        <v>0</v>
      </c>
      <c r="R3599" s="7">
        <f t="shared" si="396"/>
        <v>1211.5500000000002</v>
      </c>
      <c r="S3599" s="7">
        <f t="shared" si="397"/>
        <v>403.85000000000008</v>
      </c>
      <c r="T3599" s="6">
        <f t="shared" si="398"/>
        <v>1.5151515151515152E-2</v>
      </c>
      <c r="V3599" t="s">
        <v>78</v>
      </c>
    </row>
    <row r="3600" spans="1:22">
      <c r="A3600" s="3">
        <v>45807</v>
      </c>
      <c r="B3600" t="str">
        <f t="shared" si="392"/>
        <v>yyyy-05</v>
      </c>
      <c r="C3600">
        <f t="shared" si="393"/>
        <v>22</v>
      </c>
      <c r="D3600" t="s">
        <v>66</v>
      </c>
      <c r="E3600" t="s">
        <v>67</v>
      </c>
      <c r="F3600" t="s">
        <v>70</v>
      </c>
      <c r="G3600" t="s">
        <v>36</v>
      </c>
      <c r="H3600" t="s">
        <v>37</v>
      </c>
      <c r="I3600" s="5">
        <v>435</v>
      </c>
      <c r="J3600" s="5">
        <v>246</v>
      </c>
      <c r="K3600" s="5">
        <v>25</v>
      </c>
      <c r="L3600" s="5">
        <v>10</v>
      </c>
      <c r="M3600" s="5">
        <v>10</v>
      </c>
      <c r="N3600" s="7">
        <v>348.89</v>
      </c>
      <c r="O3600" s="7">
        <f t="shared" si="394"/>
        <v>3488.8999999999996</v>
      </c>
      <c r="P3600" s="4">
        <v>0.05</v>
      </c>
      <c r="Q3600" s="7">
        <f t="shared" si="395"/>
        <v>174.44499999999999</v>
      </c>
      <c r="R3600" s="7">
        <f t="shared" si="396"/>
        <v>3314.4549999999995</v>
      </c>
      <c r="S3600" s="7">
        <f t="shared" si="397"/>
        <v>331.44549999999992</v>
      </c>
      <c r="T3600" s="6">
        <f t="shared" si="398"/>
        <v>2.2988505747126436E-2</v>
      </c>
      <c r="V3600" t="s">
        <v>29</v>
      </c>
    </row>
    <row r="3601" spans="1:22">
      <c r="A3601" s="3">
        <v>45807</v>
      </c>
      <c r="B3601" t="str">
        <f t="shared" si="392"/>
        <v>yyyy-05</v>
      </c>
      <c r="C3601">
        <f t="shared" si="393"/>
        <v>22</v>
      </c>
      <c r="D3601" t="s">
        <v>66</v>
      </c>
      <c r="E3601" t="s">
        <v>71</v>
      </c>
      <c r="F3601" t="s">
        <v>72</v>
      </c>
      <c r="G3601" t="s">
        <v>31</v>
      </c>
      <c r="H3601" t="s">
        <v>32</v>
      </c>
      <c r="I3601" s="5">
        <v>538</v>
      </c>
      <c r="J3601" s="5">
        <v>389</v>
      </c>
      <c r="K3601" s="5">
        <v>49</v>
      </c>
      <c r="L3601" s="5">
        <v>11</v>
      </c>
      <c r="M3601" s="5">
        <v>13</v>
      </c>
      <c r="N3601" s="7">
        <v>127.81</v>
      </c>
      <c r="O3601" s="7">
        <f t="shared" si="394"/>
        <v>1661.53</v>
      </c>
      <c r="P3601" s="4">
        <v>0</v>
      </c>
      <c r="Q3601" s="7">
        <f t="shared" si="395"/>
        <v>0</v>
      </c>
      <c r="R3601" s="7">
        <f t="shared" si="396"/>
        <v>1661.53</v>
      </c>
      <c r="S3601" s="7">
        <f t="shared" si="397"/>
        <v>151.0481818181818</v>
      </c>
      <c r="T3601" s="6">
        <f t="shared" si="398"/>
        <v>2.0446096654275093E-2</v>
      </c>
      <c r="V3601" t="s">
        <v>29</v>
      </c>
    </row>
    <row r="3602" spans="1:22">
      <c r="A3602" s="3">
        <v>45807</v>
      </c>
      <c r="B3602" t="str">
        <f t="shared" si="392"/>
        <v>yyyy-05</v>
      </c>
      <c r="C3602">
        <f t="shared" si="393"/>
        <v>22</v>
      </c>
      <c r="D3602" t="s">
        <v>66</v>
      </c>
      <c r="E3602" t="s">
        <v>73</v>
      </c>
      <c r="F3602" t="s">
        <v>74</v>
      </c>
      <c r="G3602" t="s">
        <v>27</v>
      </c>
      <c r="H3602" t="s">
        <v>48</v>
      </c>
      <c r="I3602" s="5">
        <v>171</v>
      </c>
      <c r="J3602" s="5">
        <v>141</v>
      </c>
      <c r="K3602" s="5">
        <v>17</v>
      </c>
      <c r="L3602" s="5">
        <v>4</v>
      </c>
      <c r="M3602" s="5">
        <v>4</v>
      </c>
      <c r="N3602" s="7">
        <v>1151.27</v>
      </c>
      <c r="O3602" s="7">
        <f t="shared" si="394"/>
        <v>4605.08</v>
      </c>
      <c r="P3602" s="4">
        <v>0.05</v>
      </c>
      <c r="Q3602" s="7">
        <f t="shared" si="395"/>
        <v>230.25400000000002</v>
      </c>
      <c r="R3602" s="7">
        <f t="shared" si="396"/>
        <v>4374.826</v>
      </c>
      <c r="S3602" s="7">
        <f t="shared" si="397"/>
        <v>1093.7065</v>
      </c>
      <c r="T3602" s="6">
        <f t="shared" si="398"/>
        <v>2.3391812865497075E-2</v>
      </c>
      <c r="V3602" t="s">
        <v>29</v>
      </c>
    </row>
    <row r="3603" spans="1:22">
      <c r="A3603" s="3">
        <v>45807</v>
      </c>
      <c r="B3603" t="str">
        <f t="shared" si="392"/>
        <v>yyyy-05</v>
      </c>
      <c r="C3603">
        <f t="shared" si="393"/>
        <v>22</v>
      </c>
      <c r="D3603" t="s">
        <v>66</v>
      </c>
      <c r="E3603" t="s">
        <v>71</v>
      </c>
      <c r="F3603" t="s">
        <v>75</v>
      </c>
      <c r="G3603" t="s">
        <v>27</v>
      </c>
      <c r="H3603" t="s">
        <v>28</v>
      </c>
      <c r="I3603" s="5">
        <v>265</v>
      </c>
      <c r="J3603" s="5">
        <v>143</v>
      </c>
      <c r="K3603" s="5">
        <v>11</v>
      </c>
      <c r="L3603" s="5">
        <v>5</v>
      </c>
      <c r="M3603" s="5">
        <v>5</v>
      </c>
      <c r="N3603" s="7">
        <v>39.06</v>
      </c>
      <c r="O3603" s="7">
        <f t="shared" si="394"/>
        <v>195.3</v>
      </c>
      <c r="P3603" s="4">
        <v>0.03</v>
      </c>
      <c r="Q3603" s="7">
        <f t="shared" si="395"/>
        <v>5.859</v>
      </c>
      <c r="R3603" s="7">
        <f t="shared" si="396"/>
        <v>189.441</v>
      </c>
      <c r="S3603" s="7">
        <f t="shared" si="397"/>
        <v>37.888199999999998</v>
      </c>
      <c r="T3603" s="6">
        <f t="shared" si="398"/>
        <v>1.8867924528301886E-2</v>
      </c>
      <c r="V3603" t="s">
        <v>29</v>
      </c>
    </row>
    <row r="3604" spans="1:22">
      <c r="A3604" s="3">
        <v>45807</v>
      </c>
      <c r="B3604" t="str">
        <f t="shared" si="392"/>
        <v>yyyy-05</v>
      </c>
      <c r="C3604">
        <f t="shared" si="393"/>
        <v>22</v>
      </c>
      <c r="D3604" t="s">
        <v>24</v>
      </c>
      <c r="E3604" t="s">
        <v>76</v>
      </c>
      <c r="F3604" t="s">
        <v>77</v>
      </c>
      <c r="G3604" t="s">
        <v>27</v>
      </c>
      <c r="H3604" t="s">
        <v>45</v>
      </c>
      <c r="I3604" s="5">
        <v>480</v>
      </c>
      <c r="J3604" s="5">
        <v>300</v>
      </c>
      <c r="K3604" s="5">
        <v>56</v>
      </c>
      <c r="L3604" s="5">
        <v>14</v>
      </c>
      <c r="M3604" s="5">
        <v>17</v>
      </c>
      <c r="N3604" s="7">
        <v>200.87</v>
      </c>
      <c r="O3604" s="7">
        <f t="shared" si="394"/>
        <v>3414.79</v>
      </c>
      <c r="P3604" s="4">
        <v>0.1</v>
      </c>
      <c r="Q3604" s="7">
        <f t="shared" si="395"/>
        <v>341.47900000000004</v>
      </c>
      <c r="R3604" s="7">
        <f t="shared" si="396"/>
        <v>3073.3109999999997</v>
      </c>
      <c r="S3604" s="7">
        <f t="shared" si="397"/>
        <v>219.52221428571426</v>
      </c>
      <c r="T3604" s="6">
        <f t="shared" si="398"/>
        <v>2.9166666666666667E-2</v>
      </c>
      <c r="U3604" t="s">
        <v>98</v>
      </c>
      <c r="V3604" t="s">
        <v>29</v>
      </c>
    </row>
    <row r="3605" spans="1:22">
      <c r="A3605" s="3">
        <v>45808</v>
      </c>
      <c r="B3605" t="str">
        <f t="shared" si="392"/>
        <v>yyyy-05</v>
      </c>
      <c r="C3605">
        <f t="shared" si="393"/>
        <v>22</v>
      </c>
      <c r="D3605" t="s">
        <v>24</v>
      </c>
      <c r="E3605" t="s">
        <v>25</v>
      </c>
      <c r="F3605" t="s">
        <v>26</v>
      </c>
      <c r="G3605" t="s">
        <v>27</v>
      </c>
      <c r="H3605" t="s">
        <v>48</v>
      </c>
      <c r="I3605" s="5">
        <v>1324</v>
      </c>
      <c r="J3605" s="5">
        <v>974</v>
      </c>
      <c r="K3605" s="5">
        <v>125</v>
      </c>
      <c r="L3605" s="5">
        <v>27</v>
      </c>
      <c r="M3605" s="5">
        <v>27</v>
      </c>
      <c r="N3605" s="7">
        <v>992.8</v>
      </c>
      <c r="O3605" s="7">
        <f t="shared" si="394"/>
        <v>26805.599999999999</v>
      </c>
      <c r="P3605" s="4">
        <v>0</v>
      </c>
      <c r="Q3605" s="7">
        <f t="shared" si="395"/>
        <v>0</v>
      </c>
      <c r="R3605" s="7">
        <f t="shared" si="396"/>
        <v>26805.599999999999</v>
      </c>
      <c r="S3605" s="7">
        <f t="shared" si="397"/>
        <v>992.8</v>
      </c>
      <c r="T3605" s="6">
        <f t="shared" si="398"/>
        <v>2.0392749244712991E-2</v>
      </c>
      <c r="V3605" t="s">
        <v>29</v>
      </c>
    </row>
    <row r="3606" spans="1:22">
      <c r="A3606" s="3">
        <v>45808</v>
      </c>
      <c r="B3606" t="str">
        <f t="shared" si="392"/>
        <v>yyyy-05</v>
      </c>
      <c r="C3606">
        <f t="shared" si="393"/>
        <v>22</v>
      </c>
      <c r="D3606" t="s">
        <v>24</v>
      </c>
      <c r="E3606" t="s">
        <v>25</v>
      </c>
      <c r="F3606" t="s">
        <v>30</v>
      </c>
      <c r="G3606" t="s">
        <v>36</v>
      </c>
      <c r="H3606" t="s">
        <v>37</v>
      </c>
      <c r="I3606" s="5">
        <v>1721</v>
      </c>
      <c r="J3606" s="5">
        <v>1214</v>
      </c>
      <c r="K3606" s="5">
        <v>142</v>
      </c>
      <c r="L3606" s="5">
        <v>33</v>
      </c>
      <c r="M3606" s="5">
        <v>33</v>
      </c>
      <c r="N3606" s="7">
        <v>393.8</v>
      </c>
      <c r="O3606" s="7">
        <f t="shared" si="394"/>
        <v>12995.4</v>
      </c>
      <c r="P3606" s="4">
        <v>0.05</v>
      </c>
      <c r="Q3606" s="7">
        <f t="shared" si="395"/>
        <v>649.77</v>
      </c>
      <c r="R3606" s="7">
        <f t="shared" si="396"/>
        <v>12345.63</v>
      </c>
      <c r="S3606" s="7">
        <f t="shared" si="397"/>
        <v>374.10999999999996</v>
      </c>
      <c r="T3606" s="6">
        <f t="shared" si="398"/>
        <v>1.9174898314933179E-2</v>
      </c>
      <c r="V3606" t="s">
        <v>29</v>
      </c>
    </row>
    <row r="3607" spans="1:22">
      <c r="A3607" s="3">
        <v>45808</v>
      </c>
      <c r="B3607" t="str">
        <f t="shared" si="392"/>
        <v>yyyy-05</v>
      </c>
      <c r="C3607">
        <f t="shared" si="393"/>
        <v>22</v>
      </c>
      <c r="D3607" t="s">
        <v>24</v>
      </c>
      <c r="E3607" t="s">
        <v>25</v>
      </c>
      <c r="F3607" t="s">
        <v>33</v>
      </c>
      <c r="G3607" t="s">
        <v>27</v>
      </c>
      <c r="H3607" t="s">
        <v>28</v>
      </c>
      <c r="I3607" s="5">
        <v>1723</v>
      </c>
      <c r="J3607" s="5">
        <v>955</v>
      </c>
      <c r="K3607" s="5">
        <v>93</v>
      </c>
      <c r="L3607" s="5">
        <v>37</v>
      </c>
      <c r="M3607" s="5">
        <v>37</v>
      </c>
      <c r="N3607" s="7">
        <v>1820.44</v>
      </c>
      <c r="O3607" s="7">
        <f t="shared" si="394"/>
        <v>67356.28</v>
      </c>
      <c r="P3607" s="4">
        <v>0.03</v>
      </c>
      <c r="Q3607" s="7">
        <f t="shared" si="395"/>
        <v>2020.6884</v>
      </c>
      <c r="R3607" s="7">
        <f t="shared" si="396"/>
        <v>65335.5916</v>
      </c>
      <c r="S3607" s="7">
        <f t="shared" si="397"/>
        <v>1765.8268</v>
      </c>
      <c r="T3607" s="6">
        <f t="shared" si="398"/>
        <v>2.1474172954149738E-2</v>
      </c>
      <c r="V3607" t="s">
        <v>29</v>
      </c>
    </row>
    <row r="3608" spans="1:22">
      <c r="A3608" s="3">
        <v>45808</v>
      </c>
      <c r="B3608" t="str">
        <f t="shared" si="392"/>
        <v>yyyy-05</v>
      </c>
      <c r="C3608">
        <f t="shared" si="393"/>
        <v>22</v>
      </c>
      <c r="D3608" t="s">
        <v>24</v>
      </c>
      <c r="E3608" t="s">
        <v>34</v>
      </c>
      <c r="F3608" t="s">
        <v>35</v>
      </c>
      <c r="G3608" t="s">
        <v>27</v>
      </c>
      <c r="H3608" t="s">
        <v>48</v>
      </c>
      <c r="I3608" s="5">
        <v>746</v>
      </c>
      <c r="J3608" s="5">
        <v>473</v>
      </c>
      <c r="K3608" s="5">
        <v>62</v>
      </c>
      <c r="L3608" s="5">
        <v>13</v>
      </c>
      <c r="M3608" s="5">
        <v>13</v>
      </c>
      <c r="N3608" s="7">
        <v>913.41</v>
      </c>
      <c r="O3608" s="7">
        <f t="shared" si="394"/>
        <v>11874.33</v>
      </c>
      <c r="P3608" s="4">
        <v>0</v>
      </c>
      <c r="Q3608" s="7">
        <f t="shared" si="395"/>
        <v>0</v>
      </c>
      <c r="R3608" s="7">
        <f t="shared" si="396"/>
        <v>11874.33</v>
      </c>
      <c r="S3608" s="7">
        <f t="shared" si="397"/>
        <v>913.41</v>
      </c>
      <c r="T3608" s="6">
        <f t="shared" si="398"/>
        <v>1.7426273458445041E-2</v>
      </c>
      <c r="V3608" t="s">
        <v>29</v>
      </c>
    </row>
    <row r="3609" spans="1:22">
      <c r="A3609" s="3">
        <v>45808</v>
      </c>
      <c r="B3609" t="str">
        <f t="shared" si="392"/>
        <v>yyyy-05</v>
      </c>
      <c r="C3609">
        <f t="shared" si="393"/>
        <v>22</v>
      </c>
      <c r="D3609" t="s">
        <v>24</v>
      </c>
      <c r="E3609" t="s">
        <v>38</v>
      </c>
      <c r="F3609" t="s">
        <v>39</v>
      </c>
      <c r="G3609" t="s">
        <v>27</v>
      </c>
      <c r="H3609" t="s">
        <v>45</v>
      </c>
      <c r="I3609" s="5">
        <v>926</v>
      </c>
      <c r="J3609" s="5">
        <v>582</v>
      </c>
      <c r="K3609" s="5">
        <v>43</v>
      </c>
      <c r="L3609" s="5">
        <v>14</v>
      </c>
      <c r="M3609" s="5">
        <v>14</v>
      </c>
      <c r="N3609" s="7">
        <v>330.59</v>
      </c>
      <c r="O3609" s="7">
        <f t="shared" si="394"/>
        <v>4628.2599999999993</v>
      </c>
      <c r="P3609" s="4">
        <v>0</v>
      </c>
      <c r="Q3609" s="7">
        <f t="shared" si="395"/>
        <v>0</v>
      </c>
      <c r="R3609" s="7">
        <f t="shared" si="396"/>
        <v>4628.2599999999993</v>
      </c>
      <c r="S3609" s="7">
        <f t="shared" si="397"/>
        <v>330.59</v>
      </c>
      <c r="T3609" s="6">
        <f t="shared" si="398"/>
        <v>1.511879049676026E-2</v>
      </c>
      <c r="V3609" t="s">
        <v>29</v>
      </c>
    </row>
    <row r="3610" spans="1:22">
      <c r="A3610" s="3">
        <v>45808</v>
      </c>
      <c r="B3610" t="str">
        <f t="shared" si="392"/>
        <v>yyyy-05</v>
      </c>
      <c r="C3610">
        <f t="shared" si="393"/>
        <v>22</v>
      </c>
      <c r="D3610" t="s">
        <v>24</v>
      </c>
      <c r="E3610" t="s">
        <v>40</v>
      </c>
      <c r="F3610" t="s">
        <v>41</v>
      </c>
      <c r="G3610" t="s">
        <v>27</v>
      </c>
      <c r="H3610" t="s">
        <v>48</v>
      </c>
      <c r="I3610" s="5">
        <v>536</v>
      </c>
      <c r="J3610" s="5">
        <v>384</v>
      </c>
      <c r="K3610" s="5">
        <v>33</v>
      </c>
      <c r="L3610" s="5">
        <v>9</v>
      </c>
      <c r="M3610" s="5">
        <v>11</v>
      </c>
      <c r="N3610" s="7">
        <v>177.1</v>
      </c>
      <c r="O3610" s="7">
        <f t="shared" si="394"/>
        <v>1948.1</v>
      </c>
      <c r="P3610" s="4">
        <v>0.05</v>
      </c>
      <c r="Q3610" s="7">
        <f t="shared" si="395"/>
        <v>97.405000000000001</v>
      </c>
      <c r="R3610" s="7">
        <f t="shared" si="396"/>
        <v>1850.6949999999999</v>
      </c>
      <c r="S3610" s="7">
        <f t="shared" si="397"/>
        <v>205.63277777777776</v>
      </c>
      <c r="T3610" s="6">
        <f t="shared" si="398"/>
        <v>1.6791044776119403E-2</v>
      </c>
      <c r="V3610" t="s">
        <v>29</v>
      </c>
    </row>
    <row r="3611" spans="1:22">
      <c r="A3611" s="3">
        <v>45808</v>
      </c>
      <c r="B3611" t="str">
        <f t="shared" si="392"/>
        <v>yyyy-05</v>
      </c>
      <c r="C3611">
        <f t="shared" si="393"/>
        <v>22</v>
      </c>
      <c r="D3611" t="s">
        <v>42</v>
      </c>
      <c r="E3611" t="s">
        <v>43</v>
      </c>
      <c r="F3611" t="s">
        <v>44</v>
      </c>
      <c r="G3611" t="s">
        <v>27</v>
      </c>
      <c r="H3611" t="s">
        <v>28</v>
      </c>
      <c r="I3611" s="5">
        <v>702</v>
      </c>
      <c r="J3611" s="5">
        <v>497</v>
      </c>
      <c r="K3611" s="5">
        <v>57</v>
      </c>
      <c r="L3611" s="5">
        <v>9</v>
      </c>
      <c r="M3611" s="5">
        <v>9</v>
      </c>
      <c r="N3611" s="7">
        <v>1299</v>
      </c>
      <c r="O3611" s="7">
        <f t="shared" si="394"/>
        <v>11691</v>
      </c>
      <c r="P3611" s="4">
        <v>0.03</v>
      </c>
      <c r="Q3611" s="7">
        <f t="shared" si="395"/>
        <v>350.72999999999996</v>
      </c>
      <c r="R3611" s="7">
        <f t="shared" si="396"/>
        <v>11340.27</v>
      </c>
      <c r="S3611" s="7">
        <f t="shared" si="397"/>
        <v>1260.03</v>
      </c>
      <c r="T3611" s="6">
        <f t="shared" si="398"/>
        <v>1.282051282051282E-2</v>
      </c>
      <c r="V3611" t="s">
        <v>29</v>
      </c>
    </row>
    <row r="3612" spans="1:22">
      <c r="A3612" s="3">
        <v>45808</v>
      </c>
      <c r="B3612" t="str">
        <f t="shared" si="392"/>
        <v>yyyy-05</v>
      </c>
      <c r="C3612">
        <f t="shared" si="393"/>
        <v>22</v>
      </c>
      <c r="D3612" t="s">
        <v>42</v>
      </c>
      <c r="E3612" t="s">
        <v>43</v>
      </c>
      <c r="F3612" t="s">
        <v>46</v>
      </c>
      <c r="G3612" t="s">
        <v>27</v>
      </c>
      <c r="H3612" t="s">
        <v>63</v>
      </c>
      <c r="I3612" s="5">
        <v>417</v>
      </c>
      <c r="J3612" s="5">
        <v>244</v>
      </c>
      <c r="K3612" s="5">
        <v>21</v>
      </c>
      <c r="L3612" s="5">
        <v>5</v>
      </c>
      <c r="M3612" s="5">
        <v>5</v>
      </c>
      <c r="N3612" s="7">
        <v>2173.0100000000002</v>
      </c>
      <c r="O3612" s="7">
        <f t="shared" si="394"/>
        <v>10865.050000000001</v>
      </c>
      <c r="P3612" s="4">
        <v>0.05</v>
      </c>
      <c r="Q3612" s="7">
        <f t="shared" si="395"/>
        <v>543.25250000000005</v>
      </c>
      <c r="R3612" s="7">
        <f t="shared" si="396"/>
        <v>10321.797500000001</v>
      </c>
      <c r="S3612" s="7">
        <f t="shared" si="397"/>
        <v>2064.3595</v>
      </c>
      <c r="T3612" s="6">
        <f t="shared" si="398"/>
        <v>1.1990407673860911E-2</v>
      </c>
      <c r="V3612" t="s">
        <v>29</v>
      </c>
    </row>
    <row r="3613" spans="1:22">
      <c r="A3613" s="3">
        <v>45808</v>
      </c>
      <c r="B3613" t="str">
        <f t="shared" si="392"/>
        <v>yyyy-05</v>
      </c>
      <c r="C3613">
        <f t="shared" si="393"/>
        <v>22</v>
      </c>
      <c r="D3613" t="s">
        <v>42</v>
      </c>
      <c r="E3613" t="s">
        <v>43</v>
      </c>
      <c r="F3613" t="s">
        <v>47</v>
      </c>
      <c r="G3613" t="s">
        <v>31</v>
      </c>
      <c r="H3613" t="s">
        <v>32</v>
      </c>
      <c r="I3613" s="5">
        <v>754</v>
      </c>
      <c r="J3613" s="5">
        <v>438</v>
      </c>
      <c r="K3613" s="5">
        <v>56</v>
      </c>
      <c r="L3613" s="5">
        <v>12</v>
      </c>
      <c r="M3613" s="5">
        <v>12</v>
      </c>
      <c r="N3613" s="7">
        <v>595.80999999999995</v>
      </c>
      <c r="O3613" s="7">
        <f t="shared" si="394"/>
        <v>7149.7199999999993</v>
      </c>
      <c r="P3613" s="4">
        <v>0</v>
      </c>
      <c r="Q3613" s="7">
        <f t="shared" si="395"/>
        <v>0</v>
      </c>
      <c r="R3613" s="7">
        <f t="shared" si="396"/>
        <v>7149.7199999999993</v>
      </c>
      <c r="S3613" s="7">
        <f t="shared" si="397"/>
        <v>595.80999999999995</v>
      </c>
      <c r="T3613" s="6">
        <f t="shared" si="398"/>
        <v>1.5915119363395226E-2</v>
      </c>
      <c r="V3613" t="s">
        <v>29</v>
      </c>
    </row>
    <row r="3614" spans="1:22">
      <c r="A3614" s="3">
        <v>45808</v>
      </c>
      <c r="B3614" t="str">
        <f t="shared" si="392"/>
        <v>yyyy-05</v>
      </c>
      <c r="C3614">
        <f t="shared" si="393"/>
        <v>22</v>
      </c>
      <c r="D3614" t="s">
        <v>42</v>
      </c>
      <c r="E3614" t="s">
        <v>49</v>
      </c>
      <c r="F3614" t="s">
        <v>50</v>
      </c>
      <c r="G3614" t="s">
        <v>31</v>
      </c>
      <c r="H3614" t="s">
        <v>32</v>
      </c>
      <c r="I3614" s="5">
        <v>229</v>
      </c>
      <c r="J3614" s="5">
        <v>125</v>
      </c>
      <c r="K3614" s="5">
        <v>11</v>
      </c>
      <c r="L3614" s="5">
        <v>3</v>
      </c>
      <c r="M3614" s="5">
        <v>3</v>
      </c>
      <c r="N3614" s="7">
        <v>981.19</v>
      </c>
      <c r="O3614" s="7">
        <f t="shared" si="394"/>
        <v>2943.57</v>
      </c>
      <c r="P3614" s="4">
        <v>0</v>
      </c>
      <c r="Q3614" s="7">
        <f t="shared" si="395"/>
        <v>0</v>
      </c>
      <c r="R3614" s="7">
        <f t="shared" si="396"/>
        <v>2943.57</v>
      </c>
      <c r="S3614" s="7">
        <f t="shared" si="397"/>
        <v>981.19</v>
      </c>
      <c r="T3614" s="6">
        <f t="shared" si="398"/>
        <v>1.3100436681222707E-2</v>
      </c>
      <c r="V3614" t="s">
        <v>29</v>
      </c>
    </row>
    <row r="3615" spans="1:22">
      <c r="A3615" s="3">
        <v>45808</v>
      </c>
      <c r="B3615" t="str">
        <f t="shared" si="392"/>
        <v>yyyy-05</v>
      </c>
      <c r="C3615">
        <f t="shared" si="393"/>
        <v>22</v>
      </c>
      <c r="D3615" t="s">
        <v>42</v>
      </c>
      <c r="E3615" t="s">
        <v>51</v>
      </c>
      <c r="F3615" t="s">
        <v>52</v>
      </c>
      <c r="G3615" t="s">
        <v>27</v>
      </c>
      <c r="H3615" t="s">
        <v>45</v>
      </c>
      <c r="I3615" s="5">
        <v>296</v>
      </c>
      <c r="J3615" s="5">
        <v>205</v>
      </c>
      <c r="K3615" s="5">
        <v>17</v>
      </c>
      <c r="L3615" s="5">
        <v>3</v>
      </c>
      <c r="M3615" s="5">
        <v>3</v>
      </c>
      <c r="N3615" s="7">
        <v>593.57000000000005</v>
      </c>
      <c r="O3615" s="7">
        <f t="shared" si="394"/>
        <v>1780.71</v>
      </c>
      <c r="P3615" s="4">
        <v>0</v>
      </c>
      <c r="Q3615" s="7">
        <f t="shared" si="395"/>
        <v>0</v>
      </c>
      <c r="R3615" s="7">
        <f t="shared" si="396"/>
        <v>1780.71</v>
      </c>
      <c r="S3615" s="7">
        <f t="shared" si="397"/>
        <v>593.57000000000005</v>
      </c>
      <c r="T3615" s="6">
        <f t="shared" si="398"/>
        <v>1.0135135135135136E-2</v>
      </c>
      <c r="V3615" t="s">
        <v>29</v>
      </c>
    </row>
    <row r="3616" spans="1:22">
      <c r="A3616" s="3">
        <v>45808</v>
      </c>
      <c r="B3616" t="str">
        <f t="shared" si="392"/>
        <v>yyyy-05</v>
      </c>
      <c r="C3616">
        <f t="shared" si="393"/>
        <v>22</v>
      </c>
      <c r="D3616" t="s">
        <v>53</v>
      </c>
      <c r="E3616" t="s">
        <v>54</v>
      </c>
      <c r="F3616" t="s">
        <v>55</v>
      </c>
      <c r="G3616" t="s">
        <v>27</v>
      </c>
      <c r="H3616" t="s">
        <v>45</v>
      </c>
      <c r="I3616" s="5">
        <v>235</v>
      </c>
      <c r="J3616" s="5">
        <v>139</v>
      </c>
      <c r="K3616" s="5">
        <v>13</v>
      </c>
      <c r="L3616" s="5">
        <v>3</v>
      </c>
      <c r="M3616" s="5">
        <v>3</v>
      </c>
      <c r="N3616" s="7">
        <v>1251.19</v>
      </c>
      <c r="O3616" s="7">
        <f t="shared" si="394"/>
        <v>3753.57</v>
      </c>
      <c r="P3616" s="4">
        <v>0</v>
      </c>
      <c r="Q3616" s="7">
        <f t="shared" si="395"/>
        <v>0</v>
      </c>
      <c r="R3616" s="7">
        <f t="shared" si="396"/>
        <v>3753.57</v>
      </c>
      <c r="S3616" s="7">
        <f t="shared" si="397"/>
        <v>1251.19</v>
      </c>
      <c r="T3616" s="6">
        <f t="shared" si="398"/>
        <v>1.276595744680851E-2</v>
      </c>
      <c r="V3616" t="s">
        <v>29</v>
      </c>
    </row>
    <row r="3617" spans="1:22">
      <c r="A3617" s="3">
        <v>45808</v>
      </c>
      <c r="B3617" t="str">
        <f t="shared" si="392"/>
        <v>yyyy-05</v>
      </c>
      <c r="C3617">
        <f t="shared" si="393"/>
        <v>22</v>
      </c>
      <c r="D3617" t="s">
        <v>53</v>
      </c>
      <c r="E3617" t="s">
        <v>56</v>
      </c>
      <c r="F3617" t="s">
        <v>57</v>
      </c>
      <c r="G3617" t="s">
        <v>27</v>
      </c>
      <c r="H3617" t="s">
        <v>28</v>
      </c>
      <c r="I3617" s="5">
        <v>280</v>
      </c>
      <c r="J3617" s="5">
        <v>189</v>
      </c>
      <c r="K3617" s="5">
        <v>14</v>
      </c>
      <c r="L3617" s="5">
        <v>3</v>
      </c>
      <c r="M3617" s="5">
        <v>3</v>
      </c>
      <c r="N3617" s="7">
        <v>757.44</v>
      </c>
      <c r="O3617" s="7">
        <f t="shared" si="394"/>
        <v>2272.3200000000002</v>
      </c>
      <c r="P3617" s="4">
        <v>0</v>
      </c>
      <c r="Q3617" s="7">
        <f t="shared" si="395"/>
        <v>0</v>
      </c>
      <c r="R3617" s="7">
        <f t="shared" si="396"/>
        <v>2272.3200000000002</v>
      </c>
      <c r="S3617" s="7">
        <f t="shared" si="397"/>
        <v>757.44</v>
      </c>
      <c r="T3617" s="6">
        <f t="shared" si="398"/>
        <v>1.0714285714285714E-2</v>
      </c>
      <c r="V3617" t="s">
        <v>29</v>
      </c>
    </row>
    <row r="3618" spans="1:22">
      <c r="A3618" s="3">
        <v>45808</v>
      </c>
      <c r="B3618" t="str">
        <f t="shared" si="392"/>
        <v>yyyy-05</v>
      </c>
      <c r="C3618">
        <f t="shared" si="393"/>
        <v>22</v>
      </c>
      <c r="D3618" t="s">
        <v>53</v>
      </c>
      <c r="E3618" t="s">
        <v>56</v>
      </c>
      <c r="F3618" t="s">
        <v>58</v>
      </c>
      <c r="G3618" t="s">
        <v>27</v>
      </c>
      <c r="H3618" t="s">
        <v>28</v>
      </c>
      <c r="I3618" s="5">
        <v>244</v>
      </c>
      <c r="J3618" s="5">
        <v>136</v>
      </c>
      <c r="K3618" s="5">
        <v>14</v>
      </c>
      <c r="L3618" s="5">
        <v>2</v>
      </c>
      <c r="M3618" s="5">
        <v>2</v>
      </c>
      <c r="N3618" s="7">
        <v>870.45</v>
      </c>
      <c r="O3618" s="7">
        <f t="shared" si="394"/>
        <v>1740.9</v>
      </c>
      <c r="P3618" s="4">
        <v>0</v>
      </c>
      <c r="Q3618" s="7">
        <f t="shared" si="395"/>
        <v>0</v>
      </c>
      <c r="R3618" s="7">
        <f t="shared" si="396"/>
        <v>1740.9</v>
      </c>
      <c r="S3618" s="7">
        <f t="shared" si="397"/>
        <v>870.45</v>
      </c>
      <c r="T3618" s="6">
        <f t="shared" si="398"/>
        <v>8.1967213114754103E-3</v>
      </c>
      <c r="V3618" t="s">
        <v>29</v>
      </c>
    </row>
    <row r="3619" spans="1:22">
      <c r="A3619" s="3">
        <v>45808</v>
      </c>
      <c r="B3619" t="str">
        <f t="shared" si="392"/>
        <v>yyyy-05</v>
      </c>
      <c r="C3619">
        <f t="shared" si="393"/>
        <v>22</v>
      </c>
      <c r="D3619" t="s">
        <v>53</v>
      </c>
      <c r="E3619" t="s">
        <v>59</v>
      </c>
      <c r="F3619" t="s">
        <v>60</v>
      </c>
      <c r="G3619" t="s">
        <v>31</v>
      </c>
      <c r="H3619" t="s">
        <v>32</v>
      </c>
      <c r="I3619" s="5">
        <v>190</v>
      </c>
      <c r="J3619" s="5">
        <v>153</v>
      </c>
      <c r="K3619" s="5">
        <v>10</v>
      </c>
      <c r="L3619" s="5">
        <v>2</v>
      </c>
      <c r="M3619" s="5">
        <v>2</v>
      </c>
      <c r="N3619" s="7">
        <v>701.29</v>
      </c>
      <c r="O3619" s="7">
        <f t="shared" si="394"/>
        <v>1402.58</v>
      </c>
      <c r="P3619" s="4">
        <v>0</v>
      </c>
      <c r="Q3619" s="7">
        <f t="shared" si="395"/>
        <v>0</v>
      </c>
      <c r="R3619" s="7">
        <f t="shared" si="396"/>
        <v>1402.58</v>
      </c>
      <c r="S3619" s="7">
        <f t="shared" si="397"/>
        <v>701.29</v>
      </c>
      <c r="T3619" s="6">
        <f t="shared" si="398"/>
        <v>1.0526315789473684E-2</v>
      </c>
      <c r="V3619" t="s">
        <v>29</v>
      </c>
    </row>
    <row r="3620" spans="1:22">
      <c r="A3620" s="3">
        <v>45808</v>
      </c>
      <c r="B3620" t="str">
        <f t="shared" si="392"/>
        <v>yyyy-05</v>
      </c>
      <c r="C3620">
        <f t="shared" si="393"/>
        <v>22</v>
      </c>
      <c r="D3620" t="s">
        <v>53</v>
      </c>
      <c r="E3620" t="s">
        <v>61</v>
      </c>
      <c r="F3620" t="s">
        <v>62</v>
      </c>
      <c r="G3620" t="s">
        <v>27</v>
      </c>
      <c r="H3620" t="s">
        <v>48</v>
      </c>
      <c r="I3620" s="5">
        <v>156</v>
      </c>
      <c r="J3620" s="5">
        <v>112</v>
      </c>
      <c r="K3620" s="5">
        <v>9</v>
      </c>
      <c r="L3620" s="5">
        <v>1</v>
      </c>
      <c r="M3620" s="5">
        <v>1</v>
      </c>
      <c r="N3620" s="7">
        <v>498.81</v>
      </c>
      <c r="O3620" s="7">
        <f t="shared" si="394"/>
        <v>498.81</v>
      </c>
      <c r="P3620" s="4">
        <v>0</v>
      </c>
      <c r="Q3620" s="7">
        <f t="shared" si="395"/>
        <v>0</v>
      </c>
      <c r="R3620" s="7">
        <f t="shared" si="396"/>
        <v>498.81</v>
      </c>
      <c r="S3620" s="7">
        <f t="shared" si="397"/>
        <v>498.81</v>
      </c>
      <c r="T3620" s="6">
        <f t="shared" si="398"/>
        <v>6.41025641025641E-3</v>
      </c>
      <c r="V3620" t="s">
        <v>29</v>
      </c>
    </row>
    <row r="3621" spans="1:22">
      <c r="A3621" s="3">
        <v>45808</v>
      </c>
      <c r="B3621" t="str">
        <f t="shared" si="392"/>
        <v>yyyy-05</v>
      </c>
      <c r="C3621">
        <f t="shared" si="393"/>
        <v>22</v>
      </c>
      <c r="D3621" t="s">
        <v>53</v>
      </c>
      <c r="E3621" t="s">
        <v>64</v>
      </c>
      <c r="F3621" t="s">
        <v>65</v>
      </c>
      <c r="G3621" t="s">
        <v>27</v>
      </c>
      <c r="H3621" t="s">
        <v>45</v>
      </c>
      <c r="I3621" s="5">
        <v>224</v>
      </c>
      <c r="J3621" s="5">
        <v>125</v>
      </c>
      <c r="K3621" s="5">
        <v>8</v>
      </c>
      <c r="L3621" s="5">
        <v>2</v>
      </c>
      <c r="M3621" s="5">
        <v>2</v>
      </c>
      <c r="N3621" s="7">
        <v>783.81</v>
      </c>
      <c r="O3621" s="7">
        <f t="shared" si="394"/>
        <v>1567.62</v>
      </c>
      <c r="P3621" s="4">
        <v>0.03</v>
      </c>
      <c r="Q3621" s="7">
        <f t="shared" si="395"/>
        <v>47.028599999999997</v>
      </c>
      <c r="R3621" s="7">
        <f t="shared" si="396"/>
        <v>1520.5913999999998</v>
      </c>
      <c r="S3621" s="7">
        <f t="shared" si="397"/>
        <v>760.2956999999999</v>
      </c>
      <c r="T3621" s="6">
        <f t="shared" si="398"/>
        <v>8.9285714285714281E-3</v>
      </c>
      <c r="V3621" t="s">
        <v>78</v>
      </c>
    </row>
    <row r="3622" spans="1:22">
      <c r="A3622" s="3">
        <v>45808</v>
      </c>
      <c r="B3622" t="str">
        <f t="shared" si="392"/>
        <v>yyyy-05</v>
      </c>
      <c r="C3622">
        <f t="shared" si="393"/>
        <v>22</v>
      </c>
      <c r="D3622" t="s">
        <v>66</v>
      </c>
      <c r="E3622" t="s">
        <v>67</v>
      </c>
      <c r="F3622" t="s">
        <v>68</v>
      </c>
      <c r="G3622" t="s">
        <v>27</v>
      </c>
      <c r="H3622" t="s">
        <v>28</v>
      </c>
      <c r="I3622" s="5">
        <v>467</v>
      </c>
      <c r="J3622" s="5">
        <v>342</v>
      </c>
      <c r="K3622" s="5">
        <v>30</v>
      </c>
      <c r="L3622" s="5">
        <v>6</v>
      </c>
      <c r="M3622" s="5">
        <v>6</v>
      </c>
      <c r="N3622" s="7">
        <v>708.78</v>
      </c>
      <c r="O3622" s="7">
        <f t="shared" si="394"/>
        <v>4252.68</v>
      </c>
      <c r="P3622" s="4">
        <v>0.05</v>
      </c>
      <c r="Q3622" s="7">
        <f t="shared" si="395"/>
        <v>212.63400000000001</v>
      </c>
      <c r="R3622" s="7">
        <f t="shared" si="396"/>
        <v>4040.0460000000003</v>
      </c>
      <c r="S3622" s="7">
        <f t="shared" si="397"/>
        <v>673.34100000000001</v>
      </c>
      <c r="T3622" s="6">
        <f t="shared" si="398"/>
        <v>1.284796573875803E-2</v>
      </c>
      <c r="V3622" t="s">
        <v>78</v>
      </c>
    </row>
    <row r="3623" spans="1:22">
      <c r="A3623" s="3">
        <v>45808</v>
      </c>
      <c r="B3623" t="str">
        <f t="shared" si="392"/>
        <v>yyyy-05</v>
      </c>
      <c r="C3623">
        <f t="shared" si="393"/>
        <v>22</v>
      </c>
      <c r="D3623" t="s">
        <v>66</v>
      </c>
      <c r="E3623" t="s">
        <v>67</v>
      </c>
      <c r="F3623" t="s">
        <v>69</v>
      </c>
      <c r="G3623" t="s">
        <v>36</v>
      </c>
      <c r="H3623" t="s">
        <v>37</v>
      </c>
      <c r="I3623" s="5">
        <v>366</v>
      </c>
      <c r="J3623" s="5">
        <v>211</v>
      </c>
      <c r="K3623" s="5">
        <v>32</v>
      </c>
      <c r="L3623" s="5">
        <v>7</v>
      </c>
      <c r="M3623" s="5">
        <v>7</v>
      </c>
      <c r="N3623" s="7">
        <v>391.47</v>
      </c>
      <c r="O3623" s="7">
        <f t="shared" si="394"/>
        <v>2740.29</v>
      </c>
      <c r="P3623" s="4">
        <v>0</v>
      </c>
      <c r="Q3623" s="7">
        <f t="shared" si="395"/>
        <v>0</v>
      </c>
      <c r="R3623" s="7">
        <f t="shared" si="396"/>
        <v>2740.29</v>
      </c>
      <c r="S3623" s="7">
        <f t="shared" si="397"/>
        <v>391.46999999999997</v>
      </c>
      <c r="T3623" s="6">
        <f t="shared" si="398"/>
        <v>1.912568306010929E-2</v>
      </c>
      <c r="V3623" t="s">
        <v>29</v>
      </c>
    </row>
    <row r="3624" spans="1:22">
      <c r="A3624" s="3">
        <v>45808</v>
      </c>
      <c r="B3624" t="str">
        <f t="shared" si="392"/>
        <v>yyyy-05</v>
      </c>
      <c r="C3624">
        <f t="shared" si="393"/>
        <v>22</v>
      </c>
      <c r="D3624" t="s">
        <v>66</v>
      </c>
      <c r="E3624" t="s">
        <v>67</v>
      </c>
      <c r="F3624" t="s">
        <v>70</v>
      </c>
      <c r="G3624" t="s">
        <v>36</v>
      </c>
      <c r="H3624" t="s">
        <v>37</v>
      </c>
      <c r="I3624" s="5">
        <v>473</v>
      </c>
      <c r="J3624" s="5">
        <v>275</v>
      </c>
      <c r="K3624" s="5">
        <v>31</v>
      </c>
      <c r="L3624" s="5">
        <v>7</v>
      </c>
      <c r="M3624" s="5">
        <v>7</v>
      </c>
      <c r="N3624" s="7">
        <v>351.6</v>
      </c>
      <c r="O3624" s="7">
        <f t="shared" si="394"/>
        <v>2461.2000000000003</v>
      </c>
      <c r="P3624" s="4">
        <v>0.03</v>
      </c>
      <c r="Q3624" s="7">
        <f t="shared" si="395"/>
        <v>73.835999999999999</v>
      </c>
      <c r="R3624" s="7">
        <f t="shared" si="396"/>
        <v>2387.3640000000005</v>
      </c>
      <c r="S3624" s="7">
        <f t="shared" si="397"/>
        <v>341.05200000000008</v>
      </c>
      <c r="T3624" s="6">
        <f t="shared" si="398"/>
        <v>1.4799154334038054E-2</v>
      </c>
      <c r="V3624" t="s">
        <v>29</v>
      </c>
    </row>
    <row r="3625" spans="1:22">
      <c r="A3625" s="3">
        <v>45808</v>
      </c>
      <c r="B3625" t="str">
        <f t="shared" si="392"/>
        <v>yyyy-05</v>
      </c>
      <c r="C3625">
        <f t="shared" si="393"/>
        <v>22</v>
      </c>
      <c r="D3625" t="s">
        <v>66</v>
      </c>
      <c r="E3625" t="s">
        <v>71</v>
      </c>
      <c r="F3625" t="s">
        <v>72</v>
      </c>
      <c r="G3625" t="s">
        <v>27</v>
      </c>
      <c r="H3625" t="s">
        <v>63</v>
      </c>
      <c r="I3625" s="5">
        <v>263</v>
      </c>
      <c r="J3625" s="5">
        <v>198</v>
      </c>
      <c r="K3625" s="5">
        <v>19</v>
      </c>
      <c r="L3625" s="5">
        <v>4</v>
      </c>
      <c r="M3625" s="5">
        <v>5</v>
      </c>
      <c r="N3625" s="7">
        <v>130.05000000000001</v>
      </c>
      <c r="O3625" s="7">
        <f t="shared" si="394"/>
        <v>650.25</v>
      </c>
      <c r="P3625" s="4">
        <v>0.03</v>
      </c>
      <c r="Q3625" s="7">
        <f t="shared" si="395"/>
        <v>19.5075</v>
      </c>
      <c r="R3625" s="7">
        <f t="shared" si="396"/>
        <v>630.74249999999995</v>
      </c>
      <c r="S3625" s="7">
        <f t="shared" si="397"/>
        <v>157.68562499999999</v>
      </c>
      <c r="T3625" s="6">
        <f t="shared" si="398"/>
        <v>1.5209125475285171E-2</v>
      </c>
      <c r="V3625" t="s">
        <v>29</v>
      </c>
    </row>
    <row r="3626" spans="1:22">
      <c r="A3626" s="3">
        <v>45808</v>
      </c>
      <c r="B3626" t="str">
        <f t="shared" si="392"/>
        <v>yyyy-05</v>
      </c>
      <c r="C3626">
        <f t="shared" si="393"/>
        <v>22</v>
      </c>
      <c r="D3626" t="s">
        <v>66</v>
      </c>
      <c r="E3626" t="s">
        <v>73</v>
      </c>
      <c r="F3626" t="s">
        <v>74</v>
      </c>
      <c r="G3626" t="s">
        <v>31</v>
      </c>
      <c r="H3626" t="s">
        <v>32</v>
      </c>
      <c r="I3626" s="5">
        <v>346</v>
      </c>
      <c r="J3626" s="5">
        <v>212</v>
      </c>
      <c r="K3626" s="5">
        <v>26</v>
      </c>
      <c r="L3626" s="5">
        <v>6</v>
      </c>
      <c r="M3626" s="5">
        <v>6</v>
      </c>
      <c r="N3626" s="7">
        <v>1169.78</v>
      </c>
      <c r="O3626" s="7">
        <f t="shared" si="394"/>
        <v>7018.68</v>
      </c>
      <c r="P3626" s="4">
        <v>0.05</v>
      </c>
      <c r="Q3626" s="7">
        <f t="shared" si="395"/>
        <v>350.93400000000003</v>
      </c>
      <c r="R3626" s="7">
        <f t="shared" si="396"/>
        <v>6667.7460000000001</v>
      </c>
      <c r="S3626" s="7">
        <f t="shared" si="397"/>
        <v>1111.2909999999999</v>
      </c>
      <c r="T3626" s="6">
        <f t="shared" si="398"/>
        <v>1.7341040462427744E-2</v>
      </c>
      <c r="V3626" t="s">
        <v>78</v>
      </c>
    </row>
    <row r="3627" spans="1:22">
      <c r="A3627" s="3">
        <v>45808</v>
      </c>
      <c r="B3627" t="str">
        <f t="shared" si="392"/>
        <v>yyyy-05</v>
      </c>
      <c r="C3627">
        <f t="shared" si="393"/>
        <v>22</v>
      </c>
      <c r="D3627" t="s">
        <v>66</v>
      </c>
      <c r="E3627" t="s">
        <v>71</v>
      </c>
      <c r="F3627" t="s">
        <v>75</v>
      </c>
      <c r="G3627" t="s">
        <v>31</v>
      </c>
      <c r="H3627" t="s">
        <v>32</v>
      </c>
      <c r="I3627" s="5">
        <v>564</v>
      </c>
      <c r="J3627" s="5">
        <v>293</v>
      </c>
      <c r="K3627" s="5">
        <v>53</v>
      </c>
      <c r="L3627" s="5">
        <v>12</v>
      </c>
      <c r="M3627" s="5">
        <v>16</v>
      </c>
      <c r="N3627" s="7">
        <v>38.880000000000003</v>
      </c>
      <c r="O3627" s="7">
        <f t="shared" si="394"/>
        <v>622.08000000000004</v>
      </c>
      <c r="P3627" s="4">
        <v>0</v>
      </c>
      <c r="Q3627" s="7">
        <f t="shared" si="395"/>
        <v>0</v>
      </c>
      <c r="R3627" s="7">
        <f t="shared" si="396"/>
        <v>622.08000000000004</v>
      </c>
      <c r="S3627" s="7">
        <f t="shared" si="397"/>
        <v>51.84</v>
      </c>
      <c r="T3627" s="6">
        <f t="shared" si="398"/>
        <v>2.1276595744680851E-2</v>
      </c>
      <c r="V3627" t="s">
        <v>29</v>
      </c>
    </row>
    <row r="3628" spans="1:22">
      <c r="A3628" s="3">
        <v>45808</v>
      </c>
      <c r="B3628" t="str">
        <f t="shared" si="392"/>
        <v>yyyy-05</v>
      </c>
      <c r="C3628">
        <f t="shared" si="393"/>
        <v>22</v>
      </c>
      <c r="D3628" t="s">
        <v>24</v>
      </c>
      <c r="E3628" t="s">
        <v>76</v>
      </c>
      <c r="F3628" t="s">
        <v>77</v>
      </c>
      <c r="G3628" t="s">
        <v>27</v>
      </c>
      <c r="H3628" t="s">
        <v>28</v>
      </c>
      <c r="I3628" s="5">
        <v>860</v>
      </c>
      <c r="J3628" s="5">
        <v>618</v>
      </c>
      <c r="K3628" s="5">
        <v>67</v>
      </c>
      <c r="L3628" s="5">
        <v>18</v>
      </c>
      <c r="M3628" s="5">
        <v>22</v>
      </c>
      <c r="N3628" s="7">
        <v>193.97</v>
      </c>
      <c r="O3628" s="7">
        <f t="shared" si="394"/>
        <v>4267.34</v>
      </c>
      <c r="P3628" s="4">
        <v>0.1</v>
      </c>
      <c r="Q3628" s="7">
        <f t="shared" si="395"/>
        <v>426.73400000000004</v>
      </c>
      <c r="R3628" s="7">
        <f t="shared" si="396"/>
        <v>3840.6060000000002</v>
      </c>
      <c r="S3628" s="7">
        <f t="shared" si="397"/>
        <v>213.36700000000002</v>
      </c>
      <c r="T3628" s="6">
        <f t="shared" si="398"/>
        <v>2.0930232558139535E-2</v>
      </c>
      <c r="U3628" t="s">
        <v>98</v>
      </c>
      <c r="V3628" t="s">
        <v>29</v>
      </c>
    </row>
    <row r="3629" spans="1:22">
      <c r="A3629" s="3">
        <v>45809</v>
      </c>
      <c r="B3629" t="str">
        <f t="shared" si="392"/>
        <v>yyyy-06</v>
      </c>
      <c r="C3629">
        <f t="shared" si="393"/>
        <v>22</v>
      </c>
      <c r="D3629" t="s">
        <v>24</v>
      </c>
      <c r="E3629" t="s">
        <v>25</v>
      </c>
      <c r="F3629" t="s">
        <v>26</v>
      </c>
      <c r="G3629" t="s">
        <v>36</v>
      </c>
      <c r="H3629" t="s">
        <v>37</v>
      </c>
      <c r="I3629" s="5">
        <v>1997</v>
      </c>
      <c r="J3629" s="5">
        <v>1431</v>
      </c>
      <c r="K3629" s="5">
        <v>114</v>
      </c>
      <c r="L3629" s="5">
        <v>32</v>
      </c>
      <c r="M3629" s="5">
        <v>32</v>
      </c>
      <c r="N3629" s="7">
        <v>1010.29</v>
      </c>
      <c r="O3629" s="7">
        <f t="shared" si="394"/>
        <v>32329.279999999999</v>
      </c>
      <c r="P3629" s="4">
        <v>0</v>
      </c>
      <c r="Q3629" s="7">
        <f t="shared" si="395"/>
        <v>0</v>
      </c>
      <c r="R3629" s="7">
        <f t="shared" si="396"/>
        <v>32329.279999999999</v>
      </c>
      <c r="S3629" s="7">
        <f t="shared" si="397"/>
        <v>1010.29</v>
      </c>
      <c r="T3629" s="6">
        <f t="shared" si="398"/>
        <v>1.602403605408112E-2</v>
      </c>
      <c r="V3629" t="s">
        <v>29</v>
      </c>
    </row>
    <row r="3630" spans="1:22">
      <c r="A3630" s="3">
        <v>45809</v>
      </c>
      <c r="B3630" t="str">
        <f t="shared" si="392"/>
        <v>yyyy-06</v>
      </c>
      <c r="C3630">
        <f t="shared" si="393"/>
        <v>22</v>
      </c>
      <c r="D3630" t="s">
        <v>24</v>
      </c>
      <c r="E3630" t="s">
        <v>25</v>
      </c>
      <c r="F3630" t="s">
        <v>30</v>
      </c>
      <c r="G3630" t="s">
        <v>36</v>
      </c>
      <c r="H3630" t="s">
        <v>37</v>
      </c>
      <c r="I3630" s="5">
        <v>2482</v>
      </c>
      <c r="J3630" s="5">
        <v>1785</v>
      </c>
      <c r="K3630" s="5">
        <v>275</v>
      </c>
      <c r="L3630" s="5">
        <v>61</v>
      </c>
      <c r="M3630" s="5">
        <v>61</v>
      </c>
      <c r="N3630" s="7">
        <v>405.38</v>
      </c>
      <c r="O3630" s="7">
        <f t="shared" si="394"/>
        <v>24728.18</v>
      </c>
      <c r="P3630" s="4">
        <v>0</v>
      </c>
      <c r="Q3630" s="7">
        <f t="shared" si="395"/>
        <v>0</v>
      </c>
      <c r="R3630" s="7">
        <f t="shared" si="396"/>
        <v>24728.18</v>
      </c>
      <c r="S3630" s="7">
        <f t="shared" si="397"/>
        <v>405.38</v>
      </c>
      <c r="T3630" s="6">
        <f t="shared" si="398"/>
        <v>2.4576954069298954E-2</v>
      </c>
      <c r="V3630" t="s">
        <v>29</v>
      </c>
    </row>
    <row r="3631" spans="1:22">
      <c r="A3631" s="3">
        <v>45809</v>
      </c>
      <c r="B3631" t="str">
        <f t="shared" si="392"/>
        <v>yyyy-06</v>
      </c>
      <c r="C3631">
        <f t="shared" si="393"/>
        <v>22</v>
      </c>
      <c r="D3631" t="s">
        <v>24</v>
      </c>
      <c r="E3631" t="s">
        <v>25</v>
      </c>
      <c r="F3631" t="s">
        <v>33</v>
      </c>
      <c r="G3631" t="s">
        <v>27</v>
      </c>
      <c r="H3631" t="s">
        <v>45</v>
      </c>
      <c r="I3631" s="5">
        <v>1876</v>
      </c>
      <c r="J3631" s="5">
        <v>1163</v>
      </c>
      <c r="K3631" s="5">
        <v>131</v>
      </c>
      <c r="L3631" s="5">
        <v>37</v>
      </c>
      <c r="M3631" s="5">
        <v>37</v>
      </c>
      <c r="N3631" s="7">
        <v>1830.83</v>
      </c>
      <c r="O3631" s="7">
        <f t="shared" si="394"/>
        <v>67740.709999999992</v>
      </c>
      <c r="P3631" s="4">
        <v>0</v>
      </c>
      <c r="Q3631" s="7">
        <f t="shared" si="395"/>
        <v>0</v>
      </c>
      <c r="R3631" s="7">
        <f t="shared" si="396"/>
        <v>67740.709999999992</v>
      </c>
      <c r="S3631" s="7">
        <f t="shared" si="397"/>
        <v>1830.8299999999997</v>
      </c>
      <c r="T3631" s="6">
        <f t="shared" si="398"/>
        <v>1.9722814498933903E-2</v>
      </c>
      <c r="V3631" t="s">
        <v>29</v>
      </c>
    </row>
    <row r="3632" spans="1:22">
      <c r="A3632" s="3">
        <v>45809</v>
      </c>
      <c r="B3632" t="str">
        <f t="shared" si="392"/>
        <v>yyyy-06</v>
      </c>
      <c r="C3632">
        <f t="shared" si="393"/>
        <v>22</v>
      </c>
      <c r="D3632" t="s">
        <v>24</v>
      </c>
      <c r="E3632" t="s">
        <v>34</v>
      </c>
      <c r="F3632" t="s">
        <v>35</v>
      </c>
      <c r="G3632" t="s">
        <v>27</v>
      </c>
      <c r="H3632" t="s">
        <v>48</v>
      </c>
      <c r="I3632" s="5">
        <v>848</v>
      </c>
      <c r="J3632" s="5">
        <v>649</v>
      </c>
      <c r="K3632" s="5">
        <v>78</v>
      </c>
      <c r="L3632" s="5">
        <v>19</v>
      </c>
      <c r="M3632" s="5">
        <v>19</v>
      </c>
      <c r="N3632" s="7">
        <v>876.52</v>
      </c>
      <c r="O3632" s="7">
        <f t="shared" si="394"/>
        <v>16653.88</v>
      </c>
      <c r="P3632" s="4">
        <v>0</v>
      </c>
      <c r="Q3632" s="7">
        <f t="shared" si="395"/>
        <v>0</v>
      </c>
      <c r="R3632" s="7">
        <f t="shared" si="396"/>
        <v>16653.88</v>
      </c>
      <c r="S3632" s="7">
        <f t="shared" si="397"/>
        <v>876.5200000000001</v>
      </c>
      <c r="T3632" s="6">
        <f t="shared" si="398"/>
        <v>2.2405660377358489E-2</v>
      </c>
      <c r="V3632" t="s">
        <v>29</v>
      </c>
    </row>
    <row r="3633" spans="1:22">
      <c r="A3633" s="3">
        <v>45809</v>
      </c>
      <c r="B3633" t="str">
        <f t="shared" si="392"/>
        <v>yyyy-06</v>
      </c>
      <c r="C3633">
        <f t="shared" si="393"/>
        <v>22</v>
      </c>
      <c r="D3633" t="s">
        <v>24</v>
      </c>
      <c r="E3633" t="s">
        <v>38</v>
      </c>
      <c r="F3633" t="s">
        <v>39</v>
      </c>
      <c r="G3633" t="s">
        <v>36</v>
      </c>
      <c r="H3633" t="s">
        <v>37</v>
      </c>
      <c r="I3633" s="5">
        <v>1295</v>
      </c>
      <c r="J3633" s="5">
        <v>940</v>
      </c>
      <c r="K3633" s="5">
        <v>106</v>
      </c>
      <c r="L3633" s="5">
        <v>23</v>
      </c>
      <c r="M3633" s="5">
        <v>23</v>
      </c>
      <c r="N3633" s="7">
        <v>333.97</v>
      </c>
      <c r="O3633" s="7">
        <f t="shared" si="394"/>
        <v>7681.31</v>
      </c>
      <c r="P3633" s="4">
        <v>0</v>
      </c>
      <c r="Q3633" s="7">
        <f t="shared" si="395"/>
        <v>0</v>
      </c>
      <c r="R3633" s="7">
        <f t="shared" si="396"/>
        <v>7681.31</v>
      </c>
      <c r="S3633" s="7">
        <f t="shared" si="397"/>
        <v>333.97</v>
      </c>
      <c r="T3633" s="6">
        <f t="shared" si="398"/>
        <v>1.7760617760617759E-2</v>
      </c>
      <c r="V3633" t="s">
        <v>29</v>
      </c>
    </row>
    <row r="3634" spans="1:22">
      <c r="A3634" s="3">
        <v>45809</v>
      </c>
      <c r="B3634" t="str">
        <f t="shared" si="392"/>
        <v>yyyy-06</v>
      </c>
      <c r="C3634">
        <f t="shared" si="393"/>
        <v>22</v>
      </c>
      <c r="D3634" t="s">
        <v>24</v>
      </c>
      <c r="E3634" t="s">
        <v>40</v>
      </c>
      <c r="F3634" t="s">
        <v>41</v>
      </c>
      <c r="G3634" t="s">
        <v>27</v>
      </c>
      <c r="H3634" t="s">
        <v>45</v>
      </c>
      <c r="I3634" s="5">
        <v>887</v>
      </c>
      <c r="J3634" s="5">
        <v>532</v>
      </c>
      <c r="K3634" s="5">
        <v>83</v>
      </c>
      <c r="L3634" s="5">
        <v>20</v>
      </c>
      <c r="M3634" s="5">
        <v>21</v>
      </c>
      <c r="N3634" s="7">
        <v>180.34</v>
      </c>
      <c r="O3634" s="7">
        <f t="shared" si="394"/>
        <v>3787.14</v>
      </c>
      <c r="P3634" s="4">
        <v>0</v>
      </c>
      <c r="Q3634" s="7">
        <f t="shared" si="395"/>
        <v>0</v>
      </c>
      <c r="R3634" s="7">
        <f t="shared" si="396"/>
        <v>3787.14</v>
      </c>
      <c r="S3634" s="7">
        <f t="shared" si="397"/>
        <v>189.357</v>
      </c>
      <c r="T3634" s="6">
        <f t="shared" si="398"/>
        <v>2.2547914317925591E-2</v>
      </c>
      <c r="V3634" t="s">
        <v>29</v>
      </c>
    </row>
    <row r="3635" spans="1:22">
      <c r="A3635" s="3">
        <v>45809</v>
      </c>
      <c r="B3635" t="str">
        <f t="shared" si="392"/>
        <v>yyyy-06</v>
      </c>
      <c r="C3635">
        <f t="shared" si="393"/>
        <v>22</v>
      </c>
      <c r="D3635" t="s">
        <v>42</v>
      </c>
      <c r="E3635" t="s">
        <v>43</v>
      </c>
      <c r="F3635" t="s">
        <v>44</v>
      </c>
      <c r="G3635" t="s">
        <v>27</v>
      </c>
      <c r="H3635" t="s">
        <v>63</v>
      </c>
      <c r="I3635" s="5">
        <v>514</v>
      </c>
      <c r="J3635" s="5">
        <v>425</v>
      </c>
      <c r="K3635" s="5">
        <v>28</v>
      </c>
      <c r="L3635" s="5">
        <v>7</v>
      </c>
      <c r="M3635" s="5">
        <v>7</v>
      </c>
      <c r="N3635" s="7">
        <v>1252.8499999999999</v>
      </c>
      <c r="O3635" s="7">
        <f t="shared" si="394"/>
        <v>8769.9499999999989</v>
      </c>
      <c r="P3635" s="4">
        <v>0.03</v>
      </c>
      <c r="Q3635" s="7">
        <f t="shared" si="395"/>
        <v>263.09849999999994</v>
      </c>
      <c r="R3635" s="7">
        <f t="shared" si="396"/>
        <v>8506.8514999999989</v>
      </c>
      <c r="S3635" s="7">
        <f t="shared" si="397"/>
        <v>1215.2644999999998</v>
      </c>
      <c r="T3635" s="6">
        <f t="shared" si="398"/>
        <v>1.3618677042801557E-2</v>
      </c>
      <c r="V3635" t="s">
        <v>29</v>
      </c>
    </row>
    <row r="3636" spans="1:22">
      <c r="A3636" s="3">
        <v>45809</v>
      </c>
      <c r="B3636" t="str">
        <f t="shared" si="392"/>
        <v>yyyy-06</v>
      </c>
      <c r="C3636">
        <f t="shared" si="393"/>
        <v>22</v>
      </c>
      <c r="D3636" t="s">
        <v>42</v>
      </c>
      <c r="E3636" t="s">
        <v>43</v>
      </c>
      <c r="F3636" t="s">
        <v>46</v>
      </c>
      <c r="G3636" t="s">
        <v>27</v>
      </c>
      <c r="H3636" t="s">
        <v>28</v>
      </c>
      <c r="I3636" s="5">
        <v>677</v>
      </c>
      <c r="J3636" s="5">
        <v>389</v>
      </c>
      <c r="K3636" s="5">
        <v>35</v>
      </c>
      <c r="L3636" s="5">
        <v>12</v>
      </c>
      <c r="M3636" s="5">
        <v>12</v>
      </c>
      <c r="N3636" s="7">
        <v>2175.37</v>
      </c>
      <c r="O3636" s="7">
        <f t="shared" si="394"/>
        <v>26104.44</v>
      </c>
      <c r="P3636" s="4">
        <v>0.05</v>
      </c>
      <c r="Q3636" s="7">
        <f t="shared" si="395"/>
        <v>1305.222</v>
      </c>
      <c r="R3636" s="7">
        <f t="shared" si="396"/>
        <v>24799.217999999997</v>
      </c>
      <c r="S3636" s="7">
        <f t="shared" si="397"/>
        <v>2066.6014999999998</v>
      </c>
      <c r="T3636" s="6">
        <f t="shared" si="398"/>
        <v>1.7725258493353029E-2</v>
      </c>
      <c r="V3636" t="s">
        <v>29</v>
      </c>
    </row>
    <row r="3637" spans="1:22">
      <c r="A3637" s="3">
        <v>45809</v>
      </c>
      <c r="B3637" t="str">
        <f t="shared" si="392"/>
        <v>yyyy-06</v>
      </c>
      <c r="C3637">
        <f t="shared" si="393"/>
        <v>22</v>
      </c>
      <c r="D3637" t="s">
        <v>42</v>
      </c>
      <c r="E3637" t="s">
        <v>43</v>
      </c>
      <c r="F3637" t="s">
        <v>47</v>
      </c>
      <c r="G3637" t="s">
        <v>36</v>
      </c>
      <c r="H3637" t="s">
        <v>37</v>
      </c>
      <c r="I3637" s="5">
        <v>768</v>
      </c>
      <c r="J3637" s="5">
        <v>459</v>
      </c>
      <c r="K3637" s="5">
        <v>53</v>
      </c>
      <c r="L3637" s="5">
        <v>13</v>
      </c>
      <c r="M3637" s="5">
        <v>13</v>
      </c>
      <c r="N3637" s="7">
        <v>587.11</v>
      </c>
      <c r="O3637" s="7">
        <f t="shared" si="394"/>
        <v>7632.43</v>
      </c>
      <c r="P3637" s="4">
        <v>0</v>
      </c>
      <c r="Q3637" s="7">
        <f t="shared" si="395"/>
        <v>0</v>
      </c>
      <c r="R3637" s="7">
        <f t="shared" si="396"/>
        <v>7632.43</v>
      </c>
      <c r="S3637" s="7">
        <f t="shared" si="397"/>
        <v>587.11</v>
      </c>
      <c r="T3637" s="6">
        <f t="shared" si="398"/>
        <v>1.6927083333333332E-2</v>
      </c>
      <c r="V3637" t="s">
        <v>29</v>
      </c>
    </row>
    <row r="3638" spans="1:22">
      <c r="A3638" s="3">
        <v>45809</v>
      </c>
      <c r="B3638" t="str">
        <f t="shared" si="392"/>
        <v>yyyy-06</v>
      </c>
      <c r="C3638">
        <f t="shared" si="393"/>
        <v>22</v>
      </c>
      <c r="D3638" t="s">
        <v>42</v>
      </c>
      <c r="E3638" t="s">
        <v>49</v>
      </c>
      <c r="F3638" t="s">
        <v>50</v>
      </c>
      <c r="G3638" t="s">
        <v>31</v>
      </c>
      <c r="H3638" t="s">
        <v>32</v>
      </c>
      <c r="I3638" s="5">
        <v>220</v>
      </c>
      <c r="J3638" s="5">
        <v>144</v>
      </c>
      <c r="K3638" s="5">
        <v>13</v>
      </c>
      <c r="L3638" s="5">
        <v>3</v>
      </c>
      <c r="M3638" s="5">
        <v>3</v>
      </c>
      <c r="N3638" s="7">
        <v>979.45</v>
      </c>
      <c r="O3638" s="7">
        <f t="shared" si="394"/>
        <v>2938.3500000000004</v>
      </c>
      <c r="P3638" s="4">
        <v>0</v>
      </c>
      <c r="Q3638" s="7">
        <f t="shared" si="395"/>
        <v>0</v>
      </c>
      <c r="R3638" s="7">
        <f t="shared" si="396"/>
        <v>2938.3500000000004</v>
      </c>
      <c r="S3638" s="7">
        <f t="shared" si="397"/>
        <v>979.45000000000016</v>
      </c>
      <c r="T3638" s="6">
        <f t="shared" si="398"/>
        <v>1.3636363636363636E-2</v>
      </c>
      <c r="V3638" t="s">
        <v>29</v>
      </c>
    </row>
    <row r="3639" spans="1:22">
      <c r="A3639" s="3">
        <v>45809</v>
      </c>
      <c r="B3639" t="str">
        <f t="shared" si="392"/>
        <v>yyyy-06</v>
      </c>
      <c r="C3639">
        <f t="shared" si="393"/>
        <v>22</v>
      </c>
      <c r="D3639" t="s">
        <v>42</v>
      </c>
      <c r="E3639" t="s">
        <v>51</v>
      </c>
      <c r="F3639" t="s">
        <v>52</v>
      </c>
      <c r="G3639" t="s">
        <v>27</v>
      </c>
      <c r="H3639" t="s">
        <v>63</v>
      </c>
      <c r="I3639" s="5">
        <v>189</v>
      </c>
      <c r="J3639" s="5">
        <v>116</v>
      </c>
      <c r="K3639" s="5">
        <v>8</v>
      </c>
      <c r="L3639" s="5">
        <v>2</v>
      </c>
      <c r="M3639" s="5">
        <v>2</v>
      </c>
      <c r="N3639" s="7">
        <v>588.45000000000005</v>
      </c>
      <c r="O3639" s="7">
        <f t="shared" si="394"/>
        <v>1176.9000000000001</v>
      </c>
      <c r="P3639" s="4">
        <v>0</v>
      </c>
      <c r="Q3639" s="7">
        <f t="shared" si="395"/>
        <v>0</v>
      </c>
      <c r="R3639" s="7">
        <f t="shared" si="396"/>
        <v>1176.9000000000001</v>
      </c>
      <c r="S3639" s="7">
        <f t="shared" si="397"/>
        <v>588.45000000000005</v>
      </c>
      <c r="T3639" s="6">
        <f t="shared" si="398"/>
        <v>1.0582010582010581E-2</v>
      </c>
      <c r="V3639" t="s">
        <v>29</v>
      </c>
    </row>
    <row r="3640" spans="1:22">
      <c r="A3640" s="3">
        <v>45809</v>
      </c>
      <c r="B3640" t="str">
        <f t="shared" si="392"/>
        <v>yyyy-06</v>
      </c>
      <c r="C3640">
        <f t="shared" si="393"/>
        <v>22</v>
      </c>
      <c r="D3640" t="s">
        <v>53</v>
      </c>
      <c r="E3640" t="s">
        <v>54</v>
      </c>
      <c r="F3640" t="s">
        <v>55</v>
      </c>
      <c r="G3640" t="s">
        <v>36</v>
      </c>
      <c r="H3640" t="s">
        <v>37</v>
      </c>
      <c r="I3640" s="5">
        <v>279</v>
      </c>
      <c r="J3640" s="5">
        <v>205</v>
      </c>
      <c r="K3640" s="5">
        <v>18</v>
      </c>
      <c r="L3640" s="5">
        <v>3</v>
      </c>
      <c r="M3640" s="5">
        <v>3</v>
      </c>
      <c r="N3640" s="7">
        <v>1260.3</v>
      </c>
      <c r="O3640" s="7">
        <f t="shared" si="394"/>
        <v>3780.8999999999996</v>
      </c>
      <c r="P3640" s="4">
        <v>0</v>
      </c>
      <c r="Q3640" s="7">
        <f t="shared" si="395"/>
        <v>0</v>
      </c>
      <c r="R3640" s="7">
        <f t="shared" si="396"/>
        <v>3780.8999999999996</v>
      </c>
      <c r="S3640" s="7">
        <f t="shared" si="397"/>
        <v>1260.3</v>
      </c>
      <c r="T3640" s="6">
        <f t="shared" si="398"/>
        <v>1.0752688172043012E-2</v>
      </c>
      <c r="V3640" t="s">
        <v>29</v>
      </c>
    </row>
    <row r="3641" spans="1:22">
      <c r="A3641" s="3">
        <v>45809</v>
      </c>
      <c r="B3641" t="str">
        <f t="shared" si="392"/>
        <v>yyyy-06</v>
      </c>
      <c r="C3641">
        <f t="shared" si="393"/>
        <v>22</v>
      </c>
      <c r="D3641" t="s">
        <v>53</v>
      </c>
      <c r="E3641" t="s">
        <v>56</v>
      </c>
      <c r="F3641" t="s">
        <v>57</v>
      </c>
      <c r="G3641" t="s">
        <v>27</v>
      </c>
      <c r="H3641" t="s">
        <v>45</v>
      </c>
      <c r="I3641" s="5">
        <v>264</v>
      </c>
      <c r="J3641" s="5">
        <v>183</v>
      </c>
      <c r="K3641" s="5">
        <v>11</v>
      </c>
      <c r="L3641" s="5">
        <v>4</v>
      </c>
      <c r="M3641" s="5">
        <v>4</v>
      </c>
      <c r="N3641" s="7">
        <v>723.99</v>
      </c>
      <c r="O3641" s="7">
        <f t="shared" si="394"/>
        <v>2895.96</v>
      </c>
      <c r="P3641" s="4">
        <v>0</v>
      </c>
      <c r="Q3641" s="7">
        <f t="shared" si="395"/>
        <v>0</v>
      </c>
      <c r="R3641" s="7">
        <f t="shared" si="396"/>
        <v>2895.96</v>
      </c>
      <c r="S3641" s="7">
        <f t="shared" si="397"/>
        <v>723.99</v>
      </c>
      <c r="T3641" s="6">
        <f t="shared" si="398"/>
        <v>1.5151515151515152E-2</v>
      </c>
      <c r="V3641" t="s">
        <v>29</v>
      </c>
    </row>
    <row r="3642" spans="1:22">
      <c r="A3642" s="3">
        <v>45809</v>
      </c>
      <c r="B3642" t="str">
        <f t="shared" si="392"/>
        <v>yyyy-06</v>
      </c>
      <c r="C3642">
        <f t="shared" si="393"/>
        <v>22</v>
      </c>
      <c r="D3642" t="s">
        <v>53</v>
      </c>
      <c r="E3642" t="s">
        <v>56</v>
      </c>
      <c r="F3642" t="s">
        <v>58</v>
      </c>
      <c r="G3642" t="s">
        <v>31</v>
      </c>
      <c r="H3642" t="s">
        <v>32</v>
      </c>
      <c r="I3642" s="5">
        <v>339</v>
      </c>
      <c r="J3642" s="5">
        <v>230</v>
      </c>
      <c r="K3642" s="5">
        <v>26</v>
      </c>
      <c r="L3642" s="5">
        <v>4</v>
      </c>
      <c r="M3642" s="5">
        <v>4</v>
      </c>
      <c r="N3642" s="7">
        <v>894.38</v>
      </c>
      <c r="O3642" s="7">
        <f t="shared" si="394"/>
        <v>3577.52</v>
      </c>
      <c r="P3642" s="4">
        <v>0</v>
      </c>
      <c r="Q3642" s="7">
        <f t="shared" si="395"/>
        <v>0</v>
      </c>
      <c r="R3642" s="7">
        <f t="shared" si="396"/>
        <v>3577.52</v>
      </c>
      <c r="S3642" s="7">
        <f t="shared" si="397"/>
        <v>894.38</v>
      </c>
      <c r="T3642" s="6">
        <f t="shared" si="398"/>
        <v>1.1799410029498525E-2</v>
      </c>
      <c r="V3642" t="s">
        <v>29</v>
      </c>
    </row>
    <row r="3643" spans="1:22">
      <c r="A3643" s="3">
        <v>45809</v>
      </c>
      <c r="B3643" t="str">
        <f t="shared" si="392"/>
        <v>yyyy-06</v>
      </c>
      <c r="C3643">
        <f t="shared" si="393"/>
        <v>22</v>
      </c>
      <c r="D3643" t="s">
        <v>53</v>
      </c>
      <c r="E3643" t="s">
        <v>59</v>
      </c>
      <c r="F3643" t="s">
        <v>60</v>
      </c>
      <c r="G3643" t="s">
        <v>27</v>
      </c>
      <c r="H3643" t="s">
        <v>28</v>
      </c>
      <c r="I3643" s="5">
        <v>180</v>
      </c>
      <c r="J3643" s="5">
        <v>144</v>
      </c>
      <c r="K3643" s="5">
        <v>9</v>
      </c>
      <c r="L3643" s="5">
        <v>2</v>
      </c>
      <c r="M3643" s="5">
        <v>2</v>
      </c>
      <c r="N3643" s="7">
        <v>689.92</v>
      </c>
      <c r="O3643" s="7">
        <f t="shared" si="394"/>
        <v>1379.84</v>
      </c>
      <c r="P3643" s="4">
        <v>0</v>
      </c>
      <c r="Q3643" s="7">
        <f t="shared" si="395"/>
        <v>0</v>
      </c>
      <c r="R3643" s="7">
        <f t="shared" si="396"/>
        <v>1379.84</v>
      </c>
      <c r="S3643" s="7">
        <f t="shared" si="397"/>
        <v>689.92</v>
      </c>
      <c r="T3643" s="6">
        <f t="shared" si="398"/>
        <v>1.1111111111111112E-2</v>
      </c>
      <c r="V3643" t="s">
        <v>29</v>
      </c>
    </row>
    <row r="3644" spans="1:22">
      <c r="A3644" s="3">
        <v>45809</v>
      </c>
      <c r="B3644" t="str">
        <f t="shared" si="392"/>
        <v>yyyy-06</v>
      </c>
      <c r="C3644">
        <f t="shared" si="393"/>
        <v>22</v>
      </c>
      <c r="D3644" t="s">
        <v>53</v>
      </c>
      <c r="E3644" t="s">
        <v>61</v>
      </c>
      <c r="F3644" t="s">
        <v>62</v>
      </c>
      <c r="G3644" t="s">
        <v>27</v>
      </c>
      <c r="H3644" t="s">
        <v>48</v>
      </c>
      <c r="I3644" s="5">
        <v>173</v>
      </c>
      <c r="J3644" s="5">
        <v>138</v>
      </c>
      <c r="K3644" s="5">
        <v>10</v>
      </c>
      <c r="L3644" s="5">
        <v>2</v>
      </c>
      <c r="M3644" s="5">
        <v>2</v>
      </c>
      <c r="N3644" s="7">
        <v>508.37</v>
      </c>
      <c r="O3644" s="7">
        <f t="shared" si="394"/>
        <v>1016.74</v>
      </c>
      <c r="P3644" s="4">
        <v>0</v>
      </c>
      <c r="Q3644" s="7">
        <f t="shared" si="395"/>
        <v>0</v>
      </c>
      <c r="R3644" s="7">
        <f t="shared" si="396"/>
        <v>1016.74</v>
      </c>
      <c r="S3644" s="7">
        <f t="shared" si="397"/>
        <v>508.37</v>
      </c>
      <c r="T3644" s="6">
        <f t="shared" si="398"/>
        <v>1.1560693641618497E-2</v>
      </c>
      <c r="V3644" t="s">
        <v>78</v>
      </c>
    </row>
    <row r="3645" spans="1:22">
      <c r="A3645" s="3">
        <v>45809</v>
      </c>
      <c r="B3645" t="str">
        <f t="shared" si="392"/>
        <v>yyyy-06</v>
      </c>
      <c r="C3645">
        <f t="shared" si="393"/>
        <v>22</v>
      </c>
      <c r="D3645" t="s">
        <v>53</v>
      </c>
      <c r="E3645" t="s">
        <v>64</v>
      </c>
      <c r="F3645" t="s">
        <v>65</v>
      </c>
      <c r="G3645" t="s">
        <v>27</v>
      </c>
      <c r="H3645" t="s">
        <v>28</v>
      </c>
      <c r="I3645" s="5">
        <v>244</v>
      </c>
      <c r="J3645" s="5">
        <v>132</v>
      </c>
      <c r="K3645" s="5">
        <v>15</v>
      </c>
      <c r="L3645" s="5">
        <v>3</v>
      </c>
      <c r="M3645" s="5">
        <v>3</v>
      </c>
      <c r="N3645" s="7">
        <v>795.8</v>
      </c>
      <c r="O3645" s="7">
        <f t="shared" si="394"/>
        <v>2387.3999999999996</v>
      </c>
      <c r="P3645" s="4">
        <v>0.03</v>
      </c>
      <c r="Q3645" s="7">
        <f t="shared" si="395"/>
        <v>71.621999999999986</v>
      </c>
      <c r="R3645" s="7">
        <f t="shared" si="396"/>
        <v>2315.7779999999998</v>
      </c>
      <c r="S3645" s="7">
        <f t="shared" si="397"/>
        <v>771.92599999999993</v>
      </c>
      <c r="T3645" s="6">
        <f t="shared" si="398"/>
        <v>1.2295081967213115E-2</v>
      </c>
      <c r="V3645" t="s">
        <v>29</v>
      </c>
    </row>
    <row r="3646" spans="1:22">
      <c r="A3646" s="3">
        <v>45809</v>
      </c>
      <c r="B3646" t="str">
        <f t="shared" si="392"/>
        <v>yyyy-06</v>
      </c>
      <c r="C3646">
        <f t="shared" si="393"/>
        <v>22</v>
      </c>
      <c r="D3646" t="s">
        <v>66</v>
      </c>
      <c r="E3646" t="s">
        <v>67</v>
      </c>
      <c r="F3646" t="s">
        <v>68</v>
      </c>
      <c r="G3646" t="s">
        <v>31</v>
      </c>
      <c r="H3646" t="s">
        <v>32</v>
      </c>
      <c r="I3646" s="5">
        <v>608</v>
      </c>
      <c r="J3646" s="5">
        <v>442</v>
      </c>
      <c r="K3646" s="5">
        <v>68</v>
      </c>
      <c r="L3646" s="5">
        <v>14</v>
      </c>
      <c r="M3646" s="5">
        <v>14</v>
      </c>
      <c r="N3646" s="7">
        <v>684.13</v>
      </c>
      <c r="O3646" s="7">
        <f t="shared" si="394"/>
        <v>9577.82</v>
      </c>
      <c r="P3646" s="4">
        <v>0</v>
      </c>
      <c r="Q3646" s="7">
        <f t="shared" si="395"/>
        <v>0</v>
      </c>
      <c r="R3646" s="7">
        <f t="shared" si="396"/>
        <v>9577.82</v>
      </c>
      <c r="S3646" s="7">
        <f t="shared" si="397"/>
        <v>684.13</v>
      </c>
      <c r="T3646" s="6">
        <f t="shared" si="398"/>
        <v>2.3026315789473683E-2</v>
      </c>
      <c r="V3646" t="s">
        <v>29</v>
      </c>
    </row>
    <row r="3647" spans="1:22">
      <c r="A3647" s="3">
        <v>45809</v>
      </c>
      <c r="B3647" t="str">
        <f t="shared" si="392"/>
        <v>yyyy-06</v>
      </c>
      <c r="C3647">
        <f t="shared" si="393"/>
        <v>22</v>
      </c>
      <c r="D3647" t="s">
        <v>66</v>
      </c>
      <c r="E3647" t="s">
        <v>67</v>
      </c>
      <c r="F3647" t="s">
        <v>69</v>
      </c>
      <c r="G3647" t="s">
        <v>36</v>
      </c>
      <c r="H3647" t="s">
        <v>37</v>
      </c>
      <c r="I3647" s="5">
        <v>710</v>
      </c>
      <c r="J3647" s="5">
        <v>411</v>
      </c>
      <c r="K3647" s="5">
        <v>38</v>
      </c>
      <c r="L3647" s="5">
        <v>11</v>
      </c>
      <c r="M3647" s="5">
        <v>11</v>
      </c>
      <c r="N3647" s="7">
        <v>404.4</v>
      </c>
      <c r="O3647" s="7">
        <f t="shared" si="394"/>
        <v>4448.3999999999996</v>
      </c>
      <c r="P3647" s="4">
        <v>0.05</v>
      </c>
      <c r="Q3647" s="7">
        <f t="shared" si="395"/>
        <v>222.42</v>
      </c>
      <c r="R3647" s="7">
        <f t="shared" si="396"/>
        <v>4225.9799999999996</v>
      </c>
      <c r="S3647" s="7">
        <f t="shared" si="397"/>
        <v>384.17999999999995</v>
      </c>
      <c r="T3647" s="6">
        <f t="shared" si="398"/>
        <v>1.5492957746478873E-2</v>
      </c>
      <c r="V3647" t="s">
        <v>29</v>
      </c>
    </row>
    <row r="3648" spans="1:22">
      <c r="A3648" s="3">
        <v>45809</v>
      </c>
      <c r="B3648" t="str">
        <f t="shared" si="392"/>
        <v>yyyy-06</v>
      </c>
      <c r="C3648">
        <f t="shared" si="393"/>
        <v>22</v>
      </c>
      <c r="D3648" t="s">
        <v>66</v>
      </c>
      <c r="E3648" t="s">
        <v>67</v>
      </c>
      <c r="F3648" t="s">
        <v>70</v>
      </c>
      <c r="G3648" t="s">
        <v>31</v>
      </c>
      <c r="H3648" t="s">
        <v>32</v>
      </c>
      <c r="I3648" s="5">
        <v>550</v>
      </c>
      <c r="J3648" s="5">
        <v>436</v>
      </c>
      <c r="K3648" s="5">
        <v>46</v>
      </c>
      <c r="L3648" s="5">
        <v>9</v>
      </c>
      <c r="M3648" s="5">
        <v>9</v>
      </c>
      <c r="N3648" s="7">
        <v>346.21</v>
      </c>
      <c r="O3648" s="7">
        <f t="shared" si="394"/>
        <v>3115.89</v>
      </c>
      <c r="P3648" s="4">
        <v>0</v>
      </c>
      <c r="Q3648" s="7">
        <f t="shared" si="395"/>
        <v>0</v>
      </c>
      <c r="R3648" s="7">
        <f t="shared" si="396"/>
        <v>3115.89</v>
      </c>
      <c r="S3648" s="7">
        <f t="shared" si="397"/>
        <v>346.21</v>
      </c>
      <c r="T3648" s="6">
        <f t="shared" si="398"/>
        <v>1.6363636363636365E-2</v>
      </c>
      <c r="V3648" t="s">
        <v>29</v>
      </c>
    </row>
    <row r="3649" spans="1:22">
      <c r="A3649" s="3">
        <v>45809</v>
      </c>
      <c r="B3649" t="str">
        <f t="shared" si="392"/>
        <v>yyyy-06</v>
      </c>
      <c r="C3649">
        <f t="shared" si="393"/>
        <v>22</v>
      </c>
      <c r="D3649" t="s">
        <v>66</v>
      </c>
      <c r="E3649" t="s">
        <v>71</v>
      </c>
      <c r="F3649" t="s">
        <v>72</v>
      </c>
      <c r="G3649" t="s">
        <v>31</v>
      </c>
      <c r="H3649" t="s">
        <v>32</v>
      </c>
      <c r="I3649" s="5">
        <v>329</v>
      </c>
      <c r="J3649" s="5">
        <v>270</v>
      </c>
      <c r="K3649" s="5">
        <v>26</v>
      </c>
      <c r="L3649" s="5">
        <v>7</v>
      </c>
      <c r="M3649" s="5">
        <v>9</v>
      </c>
      <c r="N3649" s="7">
        <v>125.79</v>
      </c>
      <c r="O3649" s="7">
        <f t="shared" si="394"/>
        <v>1132.1100000000001</v>
      </c>
      <c r="P3649" s="4">
        <v>0</v>
      </c>
      <c r="Q3649" s="7">
        <f t="shared" si="395"/>
        <v>0</v>
      </c>
      <c r="R3649" s="7">
        <f t="shared" si="396"/>
        <v>1132.1100000000001</v>
      </c>
      <c r="S3649" s="7">
        <f t="shared" si="397"/>
        <v>161.73000000000002</v>
      </c>
      <c r="T3649" s="6">
        <f t="shared" si="398"/>
        <v>2.1276595744680851E-2</v>
      </c>
      <c r="V3649" t="s">
        <v>29</v>
      </c>
    </row>
    <row r="3650" spans="1:22">
      <c r="A3650" s="3">
        <v>45809</v>
      </c>
      <c r="B3650" t="str">
        <f t="shared" si="392"/>
        <v>yyyy-06</v>
      </c>
      <c r="C3650">
        <f t="shared" si="393"/>
        <v>22</v>
      </c>
      <c r="D3650" t="s">
        <v>66</v>
      </c>
      <c r="E3650" t="s">
        <v>73</v>
      </c>
      <c r="F3650" t="s">
        <v>74</v>
      </c>
      <c r="G3650" t="s">
        <v>31</v>
      </c>
      <c r="H3650" t="s">
        <v>32</v>
      </c>
      <c r="I3650" s="5">
        <v>291</v>
      </c>
      <c r="J3650" s="5">
        <v>158</v>
      </c>
      <c r="K3650" s="5">
        <v>22</v>
      </c>
      <c r="L3650" s="5">
        <v>5</v>
      </c>
      <c r="M3650" s="5">
        <v>5</v>
      </c>
      <c r="N3650" s="7">
        <v>1161.07</v>
      </c>
      <c r="O3650" s="7">
        <f t="shared" si="394"/>
        <v>5805.3499999999995</v>
      </c>
      <c r="P3650" s="4">
        <v>0</v>
      </c>
      <c r="Q3650" s="7">
        <f t="shared" si="395"/>
        <v>0</v>
      </c>
      <c r="R3650" s="7">
        <f t="shared" si="396"/>
        <v>5805.3499999999995</v>
      </c>
      <c r="S3650" s="7">
        <f t="shared" si="397"/>
        <v>1161.07</v>
      </c>
      <c r="T3650" s="6">
        <f t="shared" si="398"/>
        <v>1.7182130584192441E-2</v>
      </c>
      <c r="V3650" t="s">
        <v>29</v>
      </c>
    </row>
    <row r="3651" spans="1:22">
      <c r="A3651" s="3">
        <v>45809</v>
      </c>
      <c r="B3651" t="str">
        <f t="shared" si="392"/>
        <v>yyyy-06</v>
      </c>
      <c r="C3651">
        <f t="shared" si="393"/>
        <v>22</v>
      </c>
      <c r="D3651" t="s">
        <v>66</v>
      </c>
      <c r="E3651" t="s">
        <v>71</v>
      </c>
      <c r="F3651" t="s">
        <v>75</v>
      </c>
      <c r="G3651" t="s">
        <v>31</v>
      </c>
      <c r="H3651" t="s">
        <v>32</v>
      </c>
      <c r="I3651" s="5">
        <v>418</v>
      </c>
      <c r="J3651" s="5">
        <v>222</v>
      </c>
      <c r="K3651" s="5">
        <v>22</v>
      </c>
      <c r="L3651" s="5">
        <v>7</v>
      </c>
      <c r="M3651" s="5">
        <v>8</v>
      </c>
      <c r="N3651" s="7">
        <v>39.590000000000003</v>
      </c>
      <c r="O3651" s="7">
        <f t="shared" si="394"/>
        <v>316.72000000000003</v>
      </c>
      <c r="P3651" s="4">
        <v>0</v>
      </c>
      <c r="Q3651" s="7">
        <f t="shared" si="395"/>
        <v>0</v>
      </c>
      <c r="R3651" s="7">
        <f t="shared" si="396"/>
        <v>316.72000000000003</v>
      </c>
      <c r="S3651" s="7">
        <f t="shared" si="397"/>
        <v>45.245714285714293</v>
      </c>
      <c r="T3651" s="6">
        <f t="shared" si="398"/>
        <v>1.6746411483253589E-2</v>
      </c>
      <c r="V3651" t="s">
        <v>29</v>
      </c>
    </row>
    <row r="3652" spans="1:22">
      <c r="A3652" s="3">
        <v>45809</v>
      </c>
      <c r="B3652" t="str">
        <f t="shared" si="392"/>
        <v>yyyy-06</v>
      </c>
      <c r="C3652">
        <f t="shared" si="393"/>
        <v>22</v>
      </c>
      <c r="D3652" t="s">
        <v>24</v>
      </c>
      <c r="E3652" t="s">
        <v>76</v>
      </c>
      <c r="F3652" t="s">
        <v>77</v>
      </c>
      <c r="G3652" t="s">
        <v>31</v>
      </c>
      <c r="H3652" t="s">
        <v>32</v>
      </c>
      <c r="I3652" s="5">
        <v>816</v>
      </c>
      <c r="J3652" s="5">
        <v>660</v>
      </c>
      <c r="K3652" s="5">
        <v>94</v>
      </c>
      <c r="L3652" s="5">
        <v>22</v>
      </c>
      <c r="M3652" s="5">
        <v>28</v>
      </c>
      <c r="N3652" s="7">
        <v>201.78</v>
      </c>
      <c r="O3652" s="7">
        <f t="shared" si="394"/>
        <v>5649.84</v>
      </c>
      <c r="P3652" s="4">
        <v>0.1</v>
      </c>
      <c r="Q3652" s="7">
        <f t="shared" si="395"/>
        <v>564.98400000000004</v>
      </c>
      <c r="R3652" s="7">
        <f t="shared" si="396"/>
        <v>5084.8559999999998</v>
      </c>
      <c r="S3652" s="7">
        <f t="shared" si="397"/>
        <v>231.12981818181817</v>
      </c>
      <c r="T3652" s="6">
        <f t="shared" si="398"/>
        <v>2.6960784313725492E-2</v>
      </c>
      <c r="U3652" t="s">
        <v>98</v>
      </c>
      <c r="V3652" t="s">
        <v>29</v>
      </c>
    </row>
    <row r="3653" spans="1:22">
      <c r="A3653" s="3">
        <v>45810</v>
      </c>
      <c r="B3653" t="str">
        <f t="shared" ref="B3653:B3716" si="399">TEXT(A3653,"yyyy-mm")</f>
        <v>yyyy-06</v>
      </c>
      <c r="C3653">
        <f t="shared" ref="C3653:C3716" si="400">WEEKNUM(A3653,2)</f>
        <v>23</v>
      </c>
      <c r="D3653" t="s">
        <v>24</v>
      </c>
      <c r="E3653" t="s">
        <v>25</v>
      </c>
      <c r="F3653" t="s">
        <v>26</v>
      </c>
      <c r="G3653" t="s">
        <v>27</v>
      </c>
      <c r="H3653" t="s">
        <v>45</v>
      </c>
      <c r="I3653" s="5">
        <v>1930</v>
      </c>
      <c r="J3653" s="5">
        <v>1539</v>
      </c>
      <c r="K3653" s="5">
        <v>184</v>
      </c>
      <c r="L3653" s="5">
        <v>40</v>
      </c>
      <c r="M3653" s="5">
        <v>40</v>
      </c>
      <c r="N3653" s="7">
        <v>985.94</v>
      </c>
      <c r="O3653" s="7">
        <f t="shared" ref="O3653:O3716" si="401">M3653*N3653</f>
        <v>39437.600000000006</v>
      </c>
      <c r="P3653" s="4">
        <v>0</v>
      </c>
      <c r="Q3653" s="7">
        <f t="shared" ref="Q3653:Q3716" si="402">O3653*P3653</f>
        <v>0</v>
      </c>
      <c r="R3653" s="7">
        <f t="shared" ref="R3653:R3716" si="403">O3653-Q3653</f>
        <v>39437.600000000006</v>
      </c>
      <c r="S3653" s="7">
        <f t="shared" ref="S3653:S3716" si="404">IFERROR(R3653/L3653,0)</f>
        <v>985.94000000000017</v>
      </c>
      <c r="T3653" s="6">
        <f t="shared" ref="T3653:T3716" si="405">IFERROR(L3653/I3653,0)</f>
        <v>2.072538860103627E-2</v>
      </c>
      <c r="V3653" t="s">
        <v>29</v>
      </c>
    </row>
    <row r="3654" spans="1:22">
      <c r="A3654" s="3">
        <v>45810</v>
      </c>
      <c r="B3654" t="str">
        <f t="shared" si="399"/>
        <v>yyyy-06</v>
      </c>
      <c r="C3654">
        <f t="shared" si="400"/>
        <v>23</v>
      </c>
      <c r="D3654" t="s">
        <v>24</v>
      </c>
      <c r="E3654" t="s">
        <v>25</v>
      </c>
      <c r="F3654" t="s">
        <v>30</v>
      </c>
      <c r="G3654" t="s">
        <v>36</v>
      </c>
      <c r="H3654" t="s">
        <v>37</v>
      </c>
      <c r="I3654" s="5">
        <v>1821</v>
      </c>
      <c r="J3654" s="5">
        <v>976</v>
      </c>
      <c r="K3654" s="5">
        <v>85</v>
      </c>
      <c r="L3654" s="5">
        <v>32</v>
      </c>
      <c r="M3654" s="5">
        <v>32</v>
      </c>
      <c r="N3654" s="7">
        <v>401.99</v>
      </c>
      <c r="O3654" s="7">
        <f t="shared" si="401"/>
        <v>12863.68</v>
      </c>
      <c r="P3654" s="4">
        <v>0</v>
      </c>
      <c r="Q3654" s="7">
        <f t="shared" si="402"/>
        <v>0</v>
      </c>
      <c r="R3654" s="7">
        <f t="shared" si="403"/>
        <v>12863.68</v>
      </c>
      <c r="S3654" s="7">
        <f t="shared" si="404"/>
        <v>401.99</v>
      </c>
      <c r="T3654" s="6">
        <f t="shared" si="405"/>
        <v>1.757276221856123E-2</v>
      </c>
      <c r="V3654" t="s">
        <v>29</v>
      </c>
    </row>
    <row r="3655" spans="1:22">
      <c r="A3655" s="3">
        <v>45810</v>
      </c>
      <c r="B3655" t="str">
        <f t="shared" si="399"/>
        <v>yyyy-06</v>
      </c>
      <c r="C3655">
        <f t="shared" si="400"/>
        <v>23</v>
      </c>
      <c r="D3655" t="s">
        <v>24</v>
      </c>
      <c r="E3655" t="s">
        <v>25</v>
      </c>
      <c r="F3655" t="s">
        <v>33</v>
      </c>
      <c r="G3655" t="s">
        <v>27</v>
      </c>
      <c r="H3655" t="s">
        <v>48</v>
      </c>
      <c r="I3655" s="5">
        <v>1489</v>
      </c>
      <c r="J3655" s="5">
        <v>1104</v>
      </c>
      <c r="K3655" s="5">
        <v>143</v>
      </c>
      <c r="L3655" s="5">
        <v>30</v>
      </c>
      <c r="M3655" s="5">
        <v>30</v>
      </c>
      <c r="N3655" s="7">
        <v>1776.9</v>
      </c>
      <c r="O3655" s="7">
        <f t="shared" si="401"/>
        <v>53307</v>
      </c>
      <c r="P3655" s="4">
        <v>0</v>
      </c>
      <c r="Q3655" s="7">
        <f t="shared" si="402"/>
        <v>0</v>
      </c>
      <c r="R3655" s="7">
        <f t="shared" si="403"/>
        <v>53307</v>
      </c>
      <c r="S3655" s="7">
        <f t="shared" si="404"/>
        <v>1776.9</v>
      </c>
      <c r="T3655" s="6">
        <f t="shared" si="405"/>
        <v>2.0147750167897917E-2</v>
      </c>
      <c r="V3655" t="s">
        <v>29</v>
      </c>
    </row>
    <row r="3656" spans="1:22">
      <c r="A3656" s="3">
        <v>45810</v>
      </c>
      <c r="B3656" t="str">
        <f t="shared" si="399"/>
        <v>yyyy-06</v>
      </c>
      <c r="C3656">
        <f t="shared" si="400"/>
        <v>23</v>
      </c>
      <c r="D3656" t="s">
        <v>24</v>
      </c>
      <c r="E3656" t="s">
        <v>34</v>
      </c>
      <c r="F3656" t="s">
        <v>35</v>
      </c>
      <c r="G3656" t="s">
        <v>27</v>
      </c>
      <c r="H3656" t="s">
        <v>63</v>
      </c>
      <c r="I3656" s="5">
        <v>603</v>
      </c>
      <c r="J3656" s="5">
        <v>394</v>
      </c>
      <c r="K3656" s="5">
        <v>39</v>
      </c>
      <c r="L3656" s="5">
        <v>11</v>
      </c>
      <c r="M3656" s="5">
        <v>11</v>
      </c>
      <c r="N3656" s="7">
        <v>898.99</v>
      </c>
      <c r="O3656" s="7">
        <f t="shared" si="401"/>
        <v>9888.89</v>
      </c>
      <c r="P3656" s="4">
        <v>0</v>
      </c>
      <c r="Q3656" s="7">
        <f t="shared" si="402"/>
        <v>0</v>
      </c>
      <c r="R3656" s="7">
        <f t="shared" si="403"/>
        <v>9888.89</v>
      </c>
      <c r="S3656" s="7">
        <f t="shared" si="404"/>
        <v>898.9899999999999</v>
      </c>
      <c r="T3656" s="6">
        <f t="shared" si="405"/>
        <v>1.824212271973466E-2</v>
      </c>
      <c r="V3656" t="s">
        <v>29</v>
      </c>
    </row>
    <row r="3657" spans="1:22">
      <c r="A3657" s="3">
        <v>45810</v>
      </c>
      <c r="B3657" t="str">
        <f t="shared" si="399"/>
        <v>yyyy-06</v>
      </c>
      <c r="C3657">
        <f t="shared" si="400"/>
        <v>23</v>
      </c>
      <c r="D3657" t="s">
        <v>24</v>
      </c>
      <c r="E3657" t="s">
        <v>38</v>
      </c>
      <c r="F3657" t="s">
        <v>39</v>
      </c>
      <c r="G3657" t="s">
        <v>27</v>
      </c>
      <c r="H3657" t="s">
        <v>28</v>
      </c>
      <c r="I3657" s="5">
        <v>1140</v>
      </c>
      <c r="J3657" s="5">
        <v>746</v>
      </c>
      <c r="K3657" s="5">
        <v>111</v>
      </c>
      <c r="L3657" s="5">
        <v>26</v>
      </c>
      <c r="M3657" s="5">
        <v>26</v>
      </c>
      <c r="N3657" s="7">
        <v>327.31</v>
      </c>
      <c r="O3657" s="7">
        <f t="shared" si="401"/>
        <v>8510.06</v>
      </c>
      <c r="P3657" s="4">
        <v>0.05</v>
      </c>
      <c r="Q3657" s="7">
        <f t="shared" si="402"/>
        <v>425.50299999999999</v>
      </c>
      <c r="R3657" s="7">
        <f t="shared" si="403"/>
        <v>8084.5569999999998</v>
      </c>
      <c r="S3657" s="7">
        <f t="shared" si="404"/>
        <v>310.94450000000001</v>
      </c>
      <c r="T3657" s="6">
        <f t="shared" si="405"/>
        <v>2.2807017543859651E-2</v>
      </c>
      <c r="V3657" t="s">
        <v>29</v>
      </c>
    </row>
    <row r="3658" spans="1:22">
      <c r="A3658" s="3">
        <v>45810</v>
      </c>
      <c r="B3658" t="str">
        <f t="shared" si="399"/>
        <v>yyyy-06</v>
      </c>
      <c r="C3658">
        <f t="shared" si="400"/>
        <v>23</v>
      </c>
      <c r="D3658" t="s">
        <v>24</v>
      </c>
      <c r="E3658" t="s">
        <v>40</v>
      </c>
      <c r="F3658" t="s">
        <v>41</v>
      </c>
      <c r="G3658" t="s">
        <v>36</v>
      </c>
      <c r="H3658" t="s">
        <v>37</v>
      </c>
      <c r="I3658" s="5">
        <v>1310</v>
      </c>
      <c r="J3658" s="5">
        <v>948</v>
      </c>
      <c r="K3658" s="5">
        <v>108</v>
      </c>
      <c r="L3658" s="5">
        <v>31</v>
      </c>
      <c r="M3658" s="5">
        <v>38</v>
      </c>
      <c r="N3658" s="7">
        <v>181.59</v>
      </c>
      <c r="O3658" s="7">
        <f t="shared" si="401"/>
        <v>6900.42</v>
      </c>
      <c r="P3658" s="4">
        <v>0</v>
      </c>
      <c r="Q3658" s="7">
        <f t="shared" si="402"/>
        <v>0</v>
      </c>
      <c r="R3658" s="7">
        <f t="shared" si="403"/>
        <v>6900.42</v>
      </c>
      <c r="S3658" s="7">
        <f t="shared" si="404"/>
        <v>222.5941935483871</v>
      </c>
      <c r="T3658" s="6">
        <f t="shared" si="405"/>
        <v>2.366412213740458E-2</v>
      </c>
      <c r="V3658" t="s">
        <v>29</v>
      </c>
    </row>
    <row r="3659" spans="1:22">
      <c r="A3659" s="3">
        <v>45810</v>
      </c>
      <c r="B3659" t="str">
        <f t="shared" si="399"/>
        <v>yyyy-06</v>
      </c>
      <c r="C3659">
        <f t="shared" si="400"/>
        <v>23</v>
      </c>
      <c r="D3659" t="s">
        <v>42</v>
      </c>
      <c r="E3659" t="s">
        <v>43</v>
      </c>
      <c r="F3659" t="s">
        <v>44</v>
      </c>
      <c r="G3659" t="s">
        <v>27</v>
      </c>
      <c r="H3659" t="s">
        <v>28</v>
      </c>
      <c r="I3659" s="5">
        <v>460</v>
      </c>
      <c r="J3659" s="5">
        <v>304</v>
      </c>
      <c r="K3659" s="5">
        <v>32</v>
      </c>
      <c r="L3659" s="5">
        <v>9</v>
      </c>
      <c r="M3659" s="5">
        <v>9</v>
      </c>
      <c r="N3659" s="7">
        <v>1323.72</v>
      </c>
      <c r="O3659" s="7">
        <f t="shared" si="401"/>
        <v>11913.48</v>
      </c>
      <c r="P3659" s="4">
        <v>0.11</v>
      </c>
      <c r="Q3659" s="7">
        <f t="shared" si="402"/>
        <v>1310.4828</v>
      </c>
      <c r="R3659" s="7">
        <f t="shared" si="403"/>
        <v>10602.9972</v>
      </c>
      <c r="S3659" s="7">
        <f t="shared" si="404"/>
        <v>1178.1107999999999</v>
      </c>
      <c r="T3659" s="6">
        <f t="shared" si="405"/>
        <v>1.9565217391304349E-2</v>
      </c>
      <c r="U3659" t="s">
        <v>99</v>
      </c>
      <c r="V3659" t="s">
        <v>29</v>
      </c>
    </row>
    <row r="3660" spans="1:22">
      <c r="A3660" s="3">
        <v>45810</v>
      </c>
      <c r="B3660" t="str">
        <f t="shared" si="399"/>
        <v>yyyy-06</v>
      </c>
      <c r="C3660">
        <f t="shared" si="400"/>
        <v>23</v>
      </c>
      <c r="D3660" t="s">
        <v>42</v>
      </c>
      <c r="E3660" t="s">
        <v>43</v>
      </c>
      <c r="F3660" t="s">
        <v>46</v>
      </c>
      <c r="G3660" t="s">
        <v>27</v>
      </c>
      <c r="H3660" t="s">
        <v>48</v>
      </c>
      <c r="I3660" s="5">
        <v>357</v>
      </c>
      <c r="J3660" s="5">
        <v>257</v>
      </c>
      <c r="K3660" s="5">
        <v>24</v>
      </c>
      <c r="L3660" s="5">
        <v>5</v>
      </c>
      <c r="M3660" s="5">
        <v>5</v>
      </c>
      <c r="N3660" s="7">
        <v>2196.86</v>
      </c>
      <c r="O3660" s="7">
        <f t="shared" si="401"/>
        <v>10984.300000000001</v>
      </c>
      <c r="P3660" s="4">
        <v>0.11</v>
      </c>
      <c r="Q3660" s="7">
        <f t="shared" si="402"/>
        <v>1208.2730000000001</v>
      </c>
      <c r="R3660" s="7">
        <f t="shared" si="403"/>
        <v>9776.0270000000019</v>
      </c>
      <c r="S3660" s="7">
        <f t="shared" si="404"/>
        <v>1955.2054000000003</v>
      </c>
      <c r="T3660" s="6">
        <f t="shared" si="405"/>
        <v>1.4005602240896359E-2</v>
      </c>
      <c r="U3660" t="s">
        <v>99</v>
      </c>
      <c r="V3660" t="s">
        <v>29</v>
      </c>
    </row>
    <row r="3661" spans="1:22">
      <c r="A3661" s="3">
        <v>45810</v>
      </c>
      <c r="B3661" t="str">
        <f t="shared" si="399"/>
        <v>yyyy-06</v>
      </c>
      <c r="C3661">
        <f t="shared" si="400"/>
        <v>23</v>
      </c>
      <c r="D3661" t="s">
        <v>42</v>
      </c>
      <c r="E3661" t="s">
        <v>43</v>
      </c>
      <c r="F3661" t="s">
        <v>47</v>
      </c>
      <c r="G3661" t="s">
        <v>31</v>
      </c>
      <c r="H3661" t="s">
        <v>32</v>
      </c>
      <c r="I3661" s="5">
        <v>620</v>
      </c>
      <c r="J3661" s="5">
        <v>480</v>
      </c>
      <c r="K3661" s="5">
        <v>49</v>
      </c>
      <c r="L3661" s="5">
        <v>12</v>
      </c>
      <c r="M3661" s="5">
        <v>12</v>
      </c>
      <c r="N3661" s="7">
        <v>599.28</v>
      </c>
      <c r="O3661" s="7">
        <f t="shared" si="401"/>
        <v>7191.36</v>
      </c>
      <c r="P3661" s="4">
        <v>0.11</v>
      </c>
      <c r="Q3661" s="7">
        <f t="shared" si="402"/>
        <v>791.04959999999994</v>
      </c>
      <c r="R3661" s="7">
        <f t="shared" si="403"/>
        <v>6400.3103999999994</v>
      </c>
      <c r="S3661" s="7">
        <f t="shared" si="404"/>
        <v>533.35919999999999</v>
      </c>
      <c r="T3661" s="6">
        <f t="shared" si="405"/>
        <v>1.935483870967742E-2</v>
      </c>
      <c r="U3661" t="s">
        <v>99</v>
      </c>
      <c r="V3661" t="s">
        <v>29</v>
      </c>
    </row>
    <row r="3662" spans="1:22">
      <c r="A3662" s="3">
        <v>45810</v>
      </c>
      <c r="B3662" t="str">
        <f t="shared" si="399"/>
        <v>yyyy-06</v>
      </c>
      <c r="C3662">
        <f t="shared" si="400"/>
        <v>23</v>
      </c>
      <c r="D3662" t="s">
        <v>42</v>
      </c>
      <c r="E3662" t="s">
        <v>49</v>
      </c>
      <c r="F3662" t="s">
        <v>50</v>
      </c>
      <c r="G3662" t="s">
        <v>27</v>
      </c>
      <c r="H3662" t="s">
        <v>28</v>
      </c>
      <c r="I3662" s="5">
        <v>193</v>
      </c>
      <c r="J3662" s="5">
        <v>142</v>
      </c>
      <c r="K3662" s="5">
        <v>15</v>
      </c>
      <c r="L3662" s="5">
        <v>3</v>
      </c>
      <c r="M3662" s="5">
        <v>3</v>
      </c>
      <c r="N3662" s="7">
        <v>1017.99</v>
      </c>
      <c r="O3662" s="7">
        <f t="shared" si="401"/>
        <v>3053.9700000000003</v>
      </c>
      <c r="P3662" s="4">
        <v>0</v>
      </c>
      <c r="Q3662" s="7">
        <f t="shared" si="402"/>
        <v>0</v>
      </c>
      <c r="R3662" s="7">
        <f t="shared" si="403"/>
        <v>3053.9700000000003</v>
      </c>
      <c r="S3662" s="7">
        <f t="shared" si="404"/>
        <v>1017.9900000000001</v>
      </c>
      <c r="T3662" s="6">
        <f t="shared" si="405"/>
        <v>1.5544041450777202E-2</v>
      </c>
      <c r="V3662" t="s">
        <v>29</v>
      </c>
    </row>
    <row r="3663" spans="1:22">
      <c r="A3663" s="3">
        <v>45810</v>
      </c>
      <c r="B3663" t="str">
        <f t="shared" si="399"/>
        <v>yyyy-06</v>
      </c>
      <c r="C3663">
        <f t="shared" si="400"/>
        <v>23</v>
      </c>
      <c r="D3663" t="s">
        <v>42</v>
      </c>
      <c r="E3663" t="s">
        <v>51</v>
      </c>
      <c r="F3663" t="s">
        <v>52</v>
      </c>
      <c r="G3663" t="s">
        <v>27</v>
      </c>
      <c r="H3663" t="s">
        <v>63</v>
      </c>
      <c r="I3663" s="5">
        <v>181</v>
      </c>
      <c r="J3663" s="5">
        <v>125</v>
      </c>
      <c r="K3663" s="5">
        <v>9</v>
      </c>
      <c r="L3663" s="5">
        <v>3</v>
      </c>
      <c r="M3663" s="5">
        <v>3</v>
      </c>
      <c r="N3663" s="7">
        <v>595.80999999999995</v>
      </c>
      <c r="O3663" s="7">
        <f t="shared" si="401"/>
        <v>1787.4299999999998</v>
      </c>
      <c r="P3663" s="4">
        <v>0</v>
      </c>
      <c r="Q3663" s="7">
        <f t="shared" si="402"/>
        <v>0</v>
      </c>
      <c r="R3663" s="7">
        <f t="shared" si="403"/>
        <v>1787.4299999999998</v>
      </c>
      <c r="S3663" s="7">
        <f t="shared" si="404"/>
        <v>595.80999999999995</v>
      </c>
      <c r="T3663" s="6">
        <f t="shared" si="405"/>
        <v>1.6574585635359115E-2</v>
      </c>
      <c r="V3663" t="s">
        <v>29</v>
      </c>
    </row>
    <row r="3664" spans="1:22">
      <c r="A3664" s="3">
        <v>45810</v>
      </c>
      <c r="B3664" t="str">
        <f t="shared" si="399"/>
        <v>yyyy-06</v>
      </c>
      <c r="C3664">
        <f t="shared" si="400"/>
        <v>23</v>
      </c>
      <c r="D3664" t="s">
        <v>53</v>
      </c>
      <c r="E3664" t="s">
        <v>54</v>
      </c>
      <c r="F3664" t="s">
        <v>55</v>
      </c>
      <c r="G3664" t="s">
        <v>27</v>
      </c>
      <c r="H3664" t="s">
        <v>28</v>
      </c>
      <c r="I3664" s="5">
        <v>240</v>
      </c>
      <c r="J3664" s="5">
        <v>150</v>
      </c>
      <c r="K3664" s="5">
        <v>17</v>
      </c>
      <c r="L3664" s="5">
        <v>3</v>
      </c>
      <c r="M3664" s="5">
        <v>3</v>
      </c>
      <c r="N3664" s="7">
        <v>1256.8</v>
      </c>
      <c r="O3664" s="7">
        <f t="shared" si="401"/>
        <v>3770.3999999999996</v>
      </c>
      <c r="P3664" s="4">
        <v>0</v>
      </c>
      <c r="Q3664" s="7">
        <f t="shared" si="402"/>
        <v>0</v>
      </c>
      <c r="R3664" s="7">
        <f t="shared" si="403"/>
        <v>3770.3999999999996</v>
      </c>
      <c r="S3664" s="7">
        <f t="shared" si="404"/>
        <v>1256.8</v>
      </c>
      <c r="T3664" s="6">
        <f t="shared" si="405"/>
        <v>1.2500000000000001E-2</v>
      </c>
      <c r="V3664" t="s">
        <v>29</v>
      </c>
    </row>
    <row r="3665" spans="1:22">
      <c r="A3665" s="3">
        <v>45810</v>
      </c>
      <c r="B3665" t="str">
        <f t="shared" si="399"/>
        <v>yyyy-06</v>
      </c>
      <c r="C3665">
        <f t="shared" si="400"/>
        <v>23</v>
      </c>
      <c r="D3665" t="s">
        <v>53</v>
      </c>
      <c r="E3665" t="s">
        <v>56</v>
      </c>
      <c r="F3665" t="s">
        <v>57</v>
      </c>
      <c r="G3665" t="s">
        <v>31</v>
      </c>
      <c r="H3665" t="s">
        <v>32</v>
      </c>
      <c r="I3665" s="5">
        <v>318</v>
      </c>
      <c r="J3665" s="5">
        <v>200</v>
      </c>
      <c r="K3665" s="5">
        <v>18</v>
      </c>
      <c r="L3665" s="5">
        <v>4</v>
      </c>
      <c r="M3665" s="5">
        <v>4</v>
      </c>
      <c r="N3665" s="7">
        <v>752.29</v>
      </c>
      <c r="O3665" s="7">
        <f t="shared" si="401"/>
        <v>3009.16</v>
      </c>
      <c r="P3665" s="4">
        <v>0.03</v>
      </c>
      <c r="Q3665" s="7">
        <f t="shared" si="402"/>
        <v>90.274799999999999</v>
      </c>
      <c r="R3665" s="7">
        <f t="shared" si="403"/>
        <v>2918.8851999999997</v>
      </c>
      <c r="S3665" s="7">
        <f t="shared" si="404"/>
        <v>729.72129999999993</v>
      </c>
      <c r="T3665" s="6">
        <f t="shared" si="405"/>
        <v>1.2578616352201259E-2</v>
      </c>
      <c r="V3665" t="s">
        <v>29</v>
      </c>
    </row>
    <row r="3666" spans="1:22">
      <c r="A3666" s="3">
        <v>45810</v>
      </c>
      <c r="B3666" t="str">
        <f t="shared" si="399"/>
        <v>yyyy-06</v>
      </c>
      <c r="C3666">
        <f t="shared" si="400"/>
        <v>23</v>
      </c>
      <c r="D3666" t="s">
        <v>53</v>
      </c>
      <c r="E3666" t="s">
        <v>56</v>
      </c>
      <c r="F3666" t="s">
        <v>58</v>
      </c>
      <c r="G3666" t="s">
        <v>36</v>
      </c>
      <c r="H3666" t="s">
        <v>37</v>
      </c>
      <c r="I3666" s="5">
        <v>180</v>
      </c>
      <c r="J3666" s="5">
        <v>114</v>
      </c>
      <c r="K3666" s="5">
        <v>12</v>
      </c>
      <c r="L3666" s="5">
        <v>2</v>
      </c>
      <c r="M3666" s="5">
        <v>2</v>
      </c>
      <c r="N3666" s="7">
        <v>907.51</v>
      </c>
      <c r="O3666" s="7">
        <f t="shared" si="401"/>
        <v>1815.02</v>
      </c>
      <c r="P3666" s="4">
        <v>0</v>
      </c>
      <c r="Q3666" s="7">
        <f t="shared" si="402"/>
        <v>0</v>
      </c>
      <c r="R3666" s="7">
        <f t="shared" si="403"/>
        <v>1815.02</v>
      </c>
      <c r="S3666" s="7">
        <f t="shared" si="404"/>
        <v>907.51</v>
      </c>
      <c r="T3666" s="6">
        <f t="shared" si="405"/>
        <v>1.1111111111111112E-2</v>
      </c>
      <c r="V3666" t="s">
        <v>29</v>
      </c>
    </row>
    <row r="3667" spans="1:22">
      <c r="A3667" s="3">
        <v>45810</v>
      </c>
      <c r="B3667" t="str">
        <f t="shared" si="399"/>
        <v>yyyy-06</v>
      </c>
      <c r="C3667">
        <f t="shared" si="400"/>
        <v>23</v>
      </c>
      <c r="D3667" t="s">
        <v>53</v>
      </c>
      <c r="E3667" t="s">
        <v>59</v>
      </c>
      <c r="F3667" t="s">
        <v>60</v>
      </c>
      <c r="G3667" t="s">
        <v>27</v>
      </c>
      <c r="H3667" t="s">
        <v>45</v>
      </c>
      <c r="I3667" s="5">
        <v>175</v>
      </c>
      <c r="J3667" s="5">
        <v>122</v>
      </c>
      <c r="K3667" s="5">
        <v>8</v>
      </c>
      <c r="L3667" s="5">
        <v>2</v>
      </c>
      <c r="M3667" s="5">
        <v>2</v>
      </c>
      <c r="N3667" s="7">
        <v>702.4</v>
      </c>
      <c r="O3667" s="7">
        <f t="shared" si="401"/>
        <v>1404.8</v>
      </c>
      <c r="P3667" s="4">
        <v>0.05</v>
      </c>
      <c r="Q3667" s="7">
        <f t="shared" si="402"/>
        <v>70.239999999999995</v>
      </c>
      <c r="R3667" s="7">
        <f t="shared" si="403"/>
        <v>1334.56</v>
      </c>
      <c r="S3667" s="7">
        <f t="shared" si="404"/>
        <v>667.28</v>
      </c>
      <c r="T3667" s="6">
        <f t="shared" si="405"/>
        <v>1.1428571428571429E-2</v>
      </c>
      <c r="V3667" t="s">
        <v>29</v>
      </c>
    </row>
    <row r="3668" spans="1:22">
      <c r="A3668" s="3">
        <v>45810</v>
      </c>
      <c r="B3668" t="str">
        <f t="shared" si="399"/>
        <v>yyyy-06</v>
      </c>
      <c r="C3668">
        <f t="shared" si="400"/>
        <v>23</v>
      </c>
      <c r="D3668" t="s">
        <v>53</v>
      </c>
      <c r="E3668" t="s">
        <v>61</v>
      </c>
      <c r="F3668" t="s">
        <v>62</v>
      </c>
      <c r="G3668" t="s">
        <v>27</v>
      </c>
      <c r="H3668" t="s">
        <v>63</v>
      </c>
      <c r="I3668" s="5">
        <v>142</v>
      </c>
      <c r="J3668" s="5">
        <v>91</v>
      </c>
      <c r="K3668" s="5">
        <v>5</v>
      </c>
      <c r="L3668" s="5">
        <v>1</v>
      </c>
      <c r="M3668" s="5">
        <v>1</v>
      </c>
      <c r="N3668" s="7">
        <v>504.81</v>
      </c>
      <c r="O3668" s="7">
        <f t="shared" si="401"/>
        <v>504.81</v>
      </c>
      <c r="P3668" s="4">
        <v>0</v>
      </c>
      <c r="Q3668" s="7">
        <f t="shared" si="402"/>
        <v>0</v>
      </c>
      <c r="R3668" s="7">
        <f t="shared" si="403"/>
        <v>504.81</v>
      </c>
      <c r="S3668" s="7">
        <f t="shared" si="404"/>
        <v>504.81</v>
      </c>
      <c r="T3668" s="6">
        <f t="shared" si="405"/>
        <v>7.0422535211267607E-3</v>
      </c>
      <c r="V3668" t="s">
        <v>78</v>
      </c>
    </row>
    <row r="3669" spans="1:22">
      <c r="A3669" s="3">
        <v>45810</v>
      </c>
      <c r="B3669" t="str">
        <f t="shared" si="399"/>
        <v>yyyy-06</v>
      </c>
      <c r="C3669">
        <f t="shared" si="400"/>
        <v>23</v>
      </c>
      <c r="D3669" t="s">
        <v>53</v>
      </c>
      <c r="E3669" t="s">
        <v>64</v>
      </c>
      <c r="F3669" t="s">
        <v>65</v>
      </c>
      <c r="G3669" t="s">
        <v>27</v>
      </c>
      <c r="H3669" t="s">
        <v>63</v>
      </c>
      <c r="I3669" s="5">
        <v>148</v>
      </c>
      <c r="J3669" s="5">
        <v>120</v>
      </c>
      <c r="K3669" s="5">
        <v>5</v>
      </c>
      <c r="L3669" s="5">
        <v>2</v>
      </c>
      <c r="M3669" s="5">
        <v>2</v>
      </c>
      <c r="N3669" s="7">
        <v>778.42</v>
      </c>
      <c r="O3669" s="7">
        <f t="shared" si="401"/>
        <v>1556.84</v>
      </c>
      <c r="P3669" s="4">
        <v>0</v>
      </c>
      <c r="Q3669" s="7">
        <f t="shared" si="402"/>
        <v>0</v>
      </c>
      <c r="R3669" s="7">
        <f t="shared" si="403"/>
        <v>1556.84</v>
      </c>
      <c r="S3669" s="7">
        <f t="shared" si="404"/>
        <v>778.42</v>
      </c>
      <c r="T3669" s="6">
        <f t="shared" si="405"/>
        <v>1.3513513513513514E-2</v>
      </c>
      <c r="V3669" t="s">
        <v>29</v>
      </c>
    </row>
    <row r="3670" spans="1:22">
      <c r="A3670" s="3">
        <v>45810</v>
      </c>
      <c r="B3670" t="str">
        <f t="shared" si="399"/>
        <v>yyyy-06</v>
      </c>
      <c r="C3670">
        <f t="shared" si="400"/>
        <v>23</v>
      </c>
      <c r="D3670" t="s">
        <v>66</v>
      </c>
      <c r="E3670" t="s">
        <v>67</v>
      </c>
      <c r="F3670" t="s">
        <v>68</v>
      </c>
      <c r="G3670" t="s">
        <v>27</v>
      </c>
      <c r="H3670" t="s">
        <v>48</v>
      </c>
      <c r="I3670" s="5">
        <v>377</v>
      </c>
      <c r="J3670" s="5">
        <v>226</v>
      </c>
      <c r="K3670" s="5">
        <v>29</v>
      </c>
      <c r="L3670" s="5">
        <v>7</v>
      </c>
      <c r="M3670" s="5">
        <v>7</v>
      </c>
      <c r="N3670" s="7">
        <v>704.04</v>
      </c>
      <c r="O3670" s="7">
        <f t="shared" si="401"/>
        <v>4928.28</v>
      </c>
      <c r="P3670" s="4">
        <v>0</v>
      </c>
      <c r="Q3670" s="7">
        <f t="shared" si="402"/>
        <v>0</v>
      </c>
      <c r="R3670" s="7">
        <f t="shared" si="403"/>
        <v>4928.28</v>
      </c>
      <c r="S3670" s="7">
        <f t="shared" si="404"/>
        <v>704.04</v>
      </c>
      <c r="T3670" s="6">
        <f t="shared" si="405"/>
        <v>1.8567639257294429E-2</v>
      </c>
      <c r="V3670" t="s">
        <v>29</v>
      </c>
    </row>
    <row r="3671" spans="1:22">
      <c r="A3671" s="3">
        <v>45810</v>
      </c>
      <c r="B3671" t="str">
        <f t="shared" si="399"/>
        <v>yyyy-06</v>
      </c>
      <c r="C3671">
        <f t="shared" si="400"/>
        <v>23</v>
      </c>
      <c r="D3671" t="s">
        <v>66</v>
      </c>
      <c r="E3671" t="s">
        <v>67</v>
      </c>
      <c r="F3671" t="s">
        <v>69</v>
      </c>
      <c r="G3671" t="s">
        <v>36</v>
      </c>
      <c r="H3671" t="s">
        <v>37</v>
      </c>
      <c r="I3671" s="5">
        <v>510</v>
      </c>
      <c r="J3671" s="5">
        <v>372</v>
      </c>
      <c r="K3671" s="5">
        <v>36</v>
      </c>
      <c r="L3671" s="5">
        <v>8</v>
      </c>
      <c r="M3671" s="5">
        <v>8</v>
      </c>
      <c r="N3671" s="7">
        <v>395.39</v>
      </c>
      <c r="O3671" s="7">
        <f t="shared" si="401"/>
        <v>3163.12</v>
      </c>
      <c r="P3671" s="4">
        <v>0</v>
      </c>
      <c r="Q3671" s="7">
        <f t="shared" si="402"/>
        <v>0</v>
      </c>
      <c r="R3671" s="7">
        <f t="shared" si="403"/>
        <v>3163.12</v>
      </c>
      <c r="S3671" s="7">
        <f t="shared" si="404"/>
        <v>395.39</v>
      </c>
      <c r="T3671" s="6">
        <f t="shared" si="405"/>
        <v>1.5686274509803921E-2</v>
      </c>
      <c r="V3671" t="s">
        <v>29</v>
      </c>
    </row>
    <row r="3672" spans="1:22">
      <c r="A3672" s="3">
        <v>45810</v>
      </c>
      <c r="B3672" t="str">
        <f t="shared" si="399"/>
        <v>yyyy-06</v>
      </c>
      <c r="C3672">
        <f t="shared" si="400"/>
        <v>23</v>
      </c>
      <c r="D3672" t="s">
        <v>66</v>
      </c>
      <c r="E3672" t="s">
        <v>67</v>
      </c>
      <c r="F3672" t="s">
        <v>70</v>
      </c>
      <c r="G3672" t="s">
        <v>36</v>
      </c>
      <c r="H3672" t="s">
        <v>37</v>
      </c>
      <c r="I3672" s="5">
        <v>618</v>
      </c>
      <c r="J3672" s="5">
        <v>446</v>
      </c>
      <c r="K3672" s="5">
        <v>52</v>
      </c>
      <c r="L3672" s="5">
        <v>12</v>
      </c>
      <c r="M3672" s="5">
        <v>12</v>
      </c>
      <c r="N3672" s="7">
        <v>341.47</v>
      </c>
      <c r="O3672" s="7">
        <f t="shared" si="401"/>
        <v>4097.6400000000003</v>
      </c>
      <c r="P3672" s="4">
        <v>0.03</v>
      </c>
      <c r="Q3672" s="7">
        <f t="shared" si="402"/>
        <v>122.92920000000001</v>
      </c>
      <c r="R3672" s="7">
        <f t="shared" si="403"/>
        <v>3974.7108000000003</v>
      </c>
      <c r="S3672" s="7">
        <f t="shared" si="404"/>
        <v>331.22590000000002</v>
      </c>
      <c r="T3672" s="6">
        <f t="shared" si="405"/>
        <v>1.9417475728155338E-2</v>
      </c>
      <c r="V3672" t="s">
        <v>29</v>
      </c>
    </row>
    <row r="3673" spans="1:22">
      <c r="A3673" s="3">
        <v>45810</v>
      </c>
      <c r="B3673" t="str">
        <f t="shared" si="399"/>
        <v>yyyy-06</v>
      </c>
      <c r="C3673">
        <f t="shared" si="400"/>
        <v>23</v>
      </c>
      <c r="D3673" t="s">
        <v>66</v>
      </c>
      <c r="E3673" t="s">
        <v>71</v>
      </c>
      <c r="F3673" t="s">
        <v>72</v>
      </c>
      <c r="G3673" t="s">
        <v>36</v>
      </c>
      <c r="H3673" t="s">
        <v>37</v>
      </c>
      <c r="I3673" s="5">
        <v>393</v>
      </c>
      <c r="J3673" s="5">
        <v>304</v>
      </c>
      <c r="K3673" s="5">
        <v>30</v>
      </c>
      <c r="L3673" s="5">
        <v>6</v>
      </c>
      <c r="M3673" s="5">
        <v>8</v>
      </c>
      <c r="N3673" s="7">
        <v>127.11</v>
      </c>
      <c r="O3673" s="7">
        <f t="shared" si="401"/>
        <v>1016.88</v>
      </c>
      <c r="P3673" s="4">
        <v>0.05</v>
      </c>
      <c r="Q3673" s="7">
        <f t="shared" si="402"/>
        <v>50.844000000000001</v>
      </c>
      <c r="R3673" s="7">
        <f t="shared" si="403"/>
        <v>966.03599999999994</v>
      </c>
      <c r="S3673" s="7">
        <f t="shared" si="404"/>
        <v>161.006</v>
      </c>
      <c r="T3673" s="6">
        <f t="shared" si="405"/>
        <v>1.5267175572519083E-2</v>
      </c>
      <c r="V3673" t="s">
        <v>29</v>
      </c>
    </row>
    <row r="3674" spans="1:22">
      <c r="A3674" s="3">
        <v>45810</v>
      </c>
      <c r="B3674" t="str">
        <f t="shared" si="399"/>
        <v>yyyy-06</v>
      </c>
      <c r="C3674">
        <f t="shared" si="400"/>
        <v>23</v>
      </c>
      <c r="D3674" t="s">
        <v>66</v>
      </c>
      <c r="E3674" t="s">
        <v>73</v>
      </c>
      <c r="F3674" t="s">
        <v>74</v>
      </c>
      <c r="G3674" t="s">
        <v>27</v>
      </c>
      <c r="H3674" t="s">
        <v>45</v>
      </c>
      <c r="I3674" s="5">
        <v>234</v>
      </c>
      <c r="J3674" s="5">
        <v>137</v>
      </c>
      <c r="K3674" s="5">
        <v>16</v>
      </c>
      <c r="L3674" s="5">
        <v>3</v>
      </c>
      <c r="M3674" s="5">
        <v>3</v>
      </c>
      <c r="N3674" s="7">
        <v>1168.21</v>
      </c>
      <c r="O3674" s="7">
        <f t="shared" si="401"/>
        <v>3504.63</v>
      </c>
      <c r="P3674" s="4">
        <v>0</v>
      </c>
      <c r="Q3674" s="7">
        <f t="shared" si="402"/>
        <v>0</v>
      </c>
      <c r="R3674" s="7">
        <f t="shared" si="403"/>
        <v>3504.63</v>
      </c>
      <c r="S3674" s="7">
        <f t="shared" si="404"/>
        <v>1168.21</v>
      </c>
      <c r="T3674" s="6">
        <f t="shared" si="405"/>
        <v>1.282051282051282E-2</v>
      </c>
      <c r="V3674" t="s">
        <v>29</v>
      </c>
    </row>
    <row r="3675" spans="1:22">
      <c r="A3675" s="3">
        <v>45810</v>
      </c>
      <c r="B3675" t="str">
        <f t="shared" si="399"/>
        <v>yyyy-06</v>
      </c>
      <c r="C3675">
        <f t="shared" si="400"/>
        <v>23</v>
      </c>
      <c r="D3675" t="s">
        <v>66</v>
      </c>
      <c r="E3675" t="s">
        <v>71</v>
      </c>
      <c r="F3675" t="s">
        <v>75</v>
      </c>
      <c r="G3675" t="s">
        <v>27</v>
      </c>
      <c r="H3675" t="s">
        <v>63</v>
      </c>
      <c r="I3675" s="5">
        <v>242</v>
      </c>
      <c r="J3675" s="5">
        <v>143</v>
      </c>
      <c r="K3675" s="5">
        <v>21</v>
      </c>
      <c r="L3675" s="5">
        <v>5</v>
      </c>
      <c r="M3675" s="5">
        <v>7</v>
      </c>
      <c r="N3675" s="7">
        <v>39.520000000000003</v>
      </c>
      <c r="O3675" s="7">
        <f t="shared" si="401"/>
        <v>276.64000000000004</v>
      </c>
      <c r="P3675" s="4">
        <v>0</v>
      </c>
      <c r="Q3675" s="7">
        <f t="shared" si="402"/>
        <v>0</v>
      </c>
      <c r="R3675" s="7">
        <f t="shared" si="403"/>
        <v>276.64000000000004</v>
      </c>
      <c r="S3675" s="7">
        <f t="shared" si="404"/>
        <v>55.32800000000001</v>
      </c>
      <c r="T3675" s="6">
        <f t="shared" si="405"/>
        <v>2.0661157024793389E-2</v>
      </c>
      <c r="V3675" t="s">
        <v>29</v>
      </c>
    </row>
    <row r="3676" spans="1:22">
      <c r="A3676" s="3">
        <v>45810</v>
      </c>
      <c r="B3676" t="str">
        <f t="shared" si="399"/>
        <v>yyyy-06</v>
      </c>
      <c r="C3676">
        <f t="shared" si="400"/>
        <v>23</v>
      </c>
      <c r="D3676" t="s">
        <v>24</v>
      </c>
      <c r="E3676" t="s">
        <v>76</v>
      </c>
      <c r="F3676" t="s">
        <v>77</v>
      </c>
      <c r="G3676" t="s">
        <v>27</v>
      </c>
      <c r="H3676" t="s">
        <v>45</v>
      </c>
      <c r="I3676" s="5">
        <v>574</v>
      </c>
      <c r="J3676" s="5">
        <v>443</v>
      </c>
      <c r="K3676" s="5">
        <v>32</v>
      </c>
      <c r="L3676" s="5">
        <v>9</v>
      </c>
      <c r="M3676" s="5">
        <v>11</v>
      </c>
      <c r="N3676" s="7">
        <v>194.6</v>
      </c>
      <c r="O3676" s="7">
        <f t="shared" si="401"/>
        <v>2140.6</v>
      </c>
      <c r="P3676" s="4">
        <v>0</v>
      </c>
      <c r="Q3676" s="7">
        <f t="shared" si="402"/>
        <v>0</v>
      </c>
      <c r="R3676" s="7">
        <f t="shared" si="403"/>
        <v>2140.6</v>
      </c>
      <c r="S3676" s="7">
        <f t="shared" si="404"/>
        <v>237.84444444444443</v>
      </c>
      <c r="T3676" s="6">
        <f t="shared" si="405"/>
        <v>1.5679442508710801E-2</v>
      </c>
      <c r="V3676" t="s">
        <v>78</v>
      </c>
    </row>
    <row r="3677" spans="1:22">
      <c r="A3677" s="3">
        <v>45811</v>
      </c>
      <c r="B3677" t="str">
        <f t="shared" si="399"/>
        <v>yyyy-06</v>
      </c>
      <c r="C3677">
        <f t="shared" si="400"/>
        <v>23</v>
      </c>
      <c r="D3677" t="s">
        <v>24</v>
      </c>
      <c r="E3677" t="s">
        <v>25</v>
      </c>
      <c r="F3677" t="s">
        <v>26</v>
      </c>
      <c r="G3677" t="s">
        <v>27</v>
      </c>
      <c r="H3677" t="s">
        <v>63</v>
      </c>
      <c r="I3677" s="5">
        <v>1294</v>
      </c>
      <c r="J3677" s="5">
        <v>700</v>
      </c>
      <c r="K3677" s="5">
        <v>49</v>
      </c>
      <c r="L3677" s="5">
        <v>22</v>
      </c>
      <c r="M3677" s="5">
        <v>22</v>
      </c>
      <c r="N3677" s="7">
        <v>991.65</v>
      </c>
      <c r="O3677" s="7">
        <f t="shared" si="401"/>
        <v>21816.3</v>
      </c>
      <c r="P3677" s="4">
        <v>0.05</v>
      </c>
      <c r="Q3677" s="7">
        <f t="shared" si="402"/>
        <v>1090.8150000000001</v>
      </c>
      <c r="R3677" s="7">
        <f t="shared" si="403"/>
        <v>20725.485000000001</v>
      </c>
      <c r="S3677" s="7">
        <f t="shared" si="404"/>
        <v>942.0675</v>
      </c>
      <c r="T3677" s="6">
        <f t="shared" si="405"/>
        <v>1.7001545595054096E-2</v>
      </c>
      <c r="V3677" t="s">
        <v>29</v>
      </c>
    </row>
    <row r="3678" spans="1:22">
      <c r="A3678" s="3">
        <v>45811</v>
      </c>
      <c r="B3678" t="str">
        <f t="shared" si="399"/>
        <v>yyyy-06</v>
      </c>
      <c r="C3678">
        <f t="shared" si="400"/>
        <v>23</v>
      </c>
      <c r="D3678" t="s">
        <v>24</v>
      </c>
      <c r="E3678" t="s">
        <v>25</v>
      </c>
      <c r="F3678" t="s">
        <v>30</v>
      </c>
      <c r="G3678" t="s">
        <v>36</v>
      </c>
      <c r="H3678" t="s">
        <v>37</v>
      </c>
      <c r="I3678" s="5">
        <v>1921</v>
      </c>
      <c r="J3678" s="5">
        <v>1578</v>
      </c>
      <c r="K3678" s="5">
        <v>123</v>
      </c>
      <c r="L3678" s="5">
        <v>30</v>
      </c>
      <c r="M3678" s="5">
        <v>30</v>
      </c>
      <c r="N3678" s="7">
        <v>393.71</v>
      </c>
      <c r="O3678" s="7">
        <f t="shared" si="401"/>
        <v>11811.3</v>
      </c>
      <c r="P3678" s="4">
        <v>0</v>
      </c>
      <c r="Q3678" s="7">
        <f t="shared" si="402"/>
        <v>0</v>
      </c>
      <c r="R3678" s="7">
        <f t="shared" si="403"/>
        <v>11811.3</v>
      </c>
      <c r="S3678" s="7">
        <f t="shared" si="404"/>
        <v>393.71</v>
      </c>
      <c r="T3678" s="6">
        <f t="shared" si="405"/>
        <v>1.5616866215512754E-2</v>
      </c>
      <c r="V3678" t="s">
        <v>29</v>
      </c>
    </row>
    <row r="3679" spans="1:22">
      <c r="A3679" s="3">
        <v>45811</v>
      </c>
      <c r="B3679" t="str">
        <f t="shared" si="399"/>
        <v>yyyy-06</v>
      </c>
      <c r="C3679">
        <f t="shared" si="400"/>
        <v>23</v>
      </c>
      <c r="D3679" t="s">
        <v>24</v>
      </c>
      <c r="E3679" t="s">
        <v>25</v>
      </c>
      <c r="F3679" t="s">
        <v>33</v>
      </c>
      <c r="G3679" t="s">
        <v>27</v>
      </c>
      <c r="H3679" t="s">
        <v>45</v>
      </c>
      <c r="I3679" s="5">
        <v>1850</v>
      </c>
      <c r="J3679" s="5">
        <v>1291</v>
      </c>
      <c r="K3679" s="5">
        <v>205</v>
      </c>
      <c r="L3679" s="5">
        <v>45</v>
      </c>
      <c r="M3679" s="5">
        <v>45</v>
      </c>
      <c r="N3679" s="7">
        <v>1740.9</v>
      </c>
      <c r="O3679" s="7">
        <f t="shared" si="401"/>
        <v>78340.5</v>
      </c>
      <c r="P3679" s="4">
        <v>0</v>
      </c>
      <c r="Q3679" s="7">
        <f t="shared" si="402"/>
        <v>0</v>
      </c>
      <c r="R3679" s="7">
        <f t="shared" si="403"/>
        <v>78340.5</v>
      </c>
      <c r="S3679" s="7">
        <f t="shared" si="404"/>
        <v>1740.9</v>
      </c>
      <c r="T3679" s="6">
        <f t="shared" si="405"/>
        <v>2.4324324324324326E-2</v>
      </c>
      <c r="V3679" t="s">
        <v>29</v>
      </c>
    </row>
    <row r="3680" spans="1:22">
      <c r="A3680" s="3">
        <v>45811</v>
      </c>
      <c r="B3680" t="str">
        <f t="shared" si="399"/>
        <v>yyyy-06</v>
      </c>
      <c r="C3680">
        <f t="shared" si="400"/>
        <v>23</v>
      </c>
      <c r="D3680" t="s">
        <v>24</v>
      </c>
      <c r="E3680" t="s">
        <v>34</v>
      </c>
      <c r="F3680" t="s">
        <v>35</v>
      </c>
      <c r="G3680" t="s">
        <v>31</v>
      </c>
      <c r="H3680" t="s">
        <v>32</v>
      </c>
      <c r="I3680" s="5">
        <v>1408</v>
      </c>
      <c r="J3680" s="5">
        <v>1022</v>
      </c>
      <c r="K3680" s="5">
        <v>104</v>
      </c>
      <c r="L3680" s="5">
        <v>25</v>
      </c>
      <c r="M3680" s="5">
        <v>25</v>
      </c>
      <c r="N3680" s="7">
        <v>870.04</v>
      </c>
      <c r="O3680" s="7">
        <f t="shared" si="401"/>
        <v>21751</v>
      </c>
      <c r="P3680" s="4">
        <v>0</v>
      </c>
      <c r="Q3680" s="7">
        <f t="shared" si="402"/>
        <v>0</v>
      </c>
      <c r="R3680" s="7">
        <f t="shared" si="403"/>
        <v>21751</v>
      </c>
      <c r="S3680" s="7">
        <f t="shared" si="404"/>
        <v>870.04</v>
      </c>
      <c r="T3680" s="6">
        <f t="shared" si="405"/>
        <v>1.775568181818182E-2</v>
      </c>
      <c r="V3680" t="s">
        <v>29</v>
      </c>
    </row>
    <row r="3681" spans="1:22">
      <c r="A3681" s="3">
        <v>45811</v>
      </c>
      <c r="B3681" t="str">
        <f t="shared" si="399"/>
        <v>yyyy-06</v>
      </c>
      <c r="C3681">
        <f t="shared" si="400"/>
        <v>23</v>
      </c>
      <c r="D3681" t="s">
        <v>24</v>
      </c>
      <c r="E3681" t="s">
        <v>38</v>
      </c>
      <c r="F3681" t="s">
        <v>39</v>
      </c>
      <c r="G3681" t="s">
        <v>31</v>
      </c>
      <c r="H3681" t="s">
        <v>32</v>
      </c>
      <c r="I3681" s="5">
        <v>1134</v>
      </c>
      <c r="J3681" s="5">
        <v>886</v>
      </c>
      <c r="K3681" s="5">
        <v>56</v>
      </c>
      <c r="L3681" s="5">
        <v>13</v>
      </c>
      <c r="M3681" s="5">
        <v>13</v>
      </c>
      <c r="N3681" s="7">
        <v>319.77</v>
      </c>
      <c r="O3681" s="7">
        <f t="shared" si="401"/>
        <v>4157.01</v>
      </c>
      <c r="P3681" s="4">
        <v>0</v>
      </c>
      <c r="Q3681" s="7">
        <f t="shared" si="402"/>
        <v>0</v>
      </c>
      <c r="R3681" s="7">
        <f t="shared" si="403"/>
        <v>4157.01</v>
      </c>
      <c r="S3681" s="7">
        <f t="shared" si="404"/>
        <v>319.77000000000004</v>
      </c>
      <c r="T3681" s="6">
        <f t="shared" si="405"/>
        <v>1.146384479717813E-2</v>
      </c>
      <c r="V3681" t="s">
        <v>78</v>
      </c>
    </row>
    <row r="3682" spans="1:22">
      <c r="A3682" s="3">
        <v>45811</v>
      </c>
      <c r="B3682" t="str">
        <f t="shared" si="399"/>
        <v>yyyy-06</v>
      </c>
      <c r="C3682">
        <f t="shared" si="400"/>
        <v>23</v>
      </c>
      <c r="D3682" t="s">
        <v>24</v>
      </c>
      <c r="E3682" t="s">
        <v>40</v>
      </c>
      <c r="F3682" t="s">
        <v>41</v>
      </c>
      <c r="G3682" t="s">
        <v>31</v>
      </c>
      <c r="H3682" t="s">
        <v>32</v>
      </c>
      <c r="I3682" s="5">
        <v>972</v>
      </c>
      <c r="J3682" s="5">
        <v>729</v>
      </c>
      <c r="K3682" s="5">
        <v>71</v>
      </c>
      <c r="L3682" s="5">
        <v>21</v>
      </c>
      <c r="M3682" s="5">
        <v>27</v>
      </c>
      <c r="N3682" s="7">
        <v>182.56</v>
      </c>
      <c r="O3682" s="7">
        <f t="shared" si="401"/>
        <v>4929.12</v>
      </c>
      <c r="P3682" s="4">
        <v>0</v>
      </c>
      <c r="Q3682" s="7">
        <f t="shared" si="402"/>
        <v>0</v>
      </c>
      <c r="R3682" s="7">
        <f t="shared" si="403"/>
        <v>4929.12</v>
      </c>
      <c r="S3682" s="7">
        <f t="shared" si="404"/>
        <v>234.72</v>
      </c>
      <c r="T3682" s="6">
        <f t="shared" si="405"/>
        <v>2.1604938271604937E-2</v>
      </c>
      <c r="V3682" t="s">
        <v>29</v>
      </c>
    </row>
    <row r="3683" spans="1:22">
      <c r="A3683" s="3">
        <v>45811</v>
      </c>
      <c r="B3683" t="str">
        <f t="shared" si="399"/>
        <v>yyyy-06</v>
      </c>
      <c r="C3683">
        <f t="shared" si="400"/>
        <v>23</v>
      </c>
      <c r="D3683" t="s">
        <v>42</v>
      </c>
      <c r="E3683" t="s">
        <v>43</v>
      </c>
      <c r="F3683" t="s">
        <v>44</v>
      </c>
      <c r="G3683" t="s">
        <v>27</v>
      </c>
      <c r="H3683" t="s">
        <v>45</v>
      </c>
      <c r="I3683" s="5">
        <v>530</v>
      </c>
      <c r="J3683" s="5">
        <v>345</v>
      </c>
      <c r="K3683" s="5">
        <v>45</v>
      </c>
      <c r="L3683" s="5">
        <v>11</v>
      </c>
      <c r="M3683" s="5">
        <v>11</v>
      </c>
      <c r="N3683" s="7">
        <v>1253.67</v>
      </c>
      <c r="O3683" s="7">
        <f t="shared" si="401"/>
        <v>13790.37</v>
      </c>
      <c r="P3683" s="4">
        <v>0.11</v>
      </c>
      <c r="Q3683" s="7">
        <f t="shared" si="402"/>
        <v>1516.9407000000001</v>
      </c>
      <c r="R3683" s="7">
        <f t="shared" si="403"/>
        <v>12273.4293</v>
      </c>
      <c r="S3683" s="7">
        <f t="shared" si="404"/>
        <v>1115.7663</v>
      </c>
      <c r="T3683" s="6">
        <f t="shared" si="405"/>
        <v>2.0754716981132074E-2</v>
      </c>
      <c r="U3683" t="s">
        <v>99</v>
      </c>
      <c r="V3683" t="s">
        <v>29</v>
      </c>
    </row>
    <row r="3684" spans="1:22">
      <c r="A3684" s="3">
        <v>45811</v>
      </c>
      <c r="B3684" t="str">
        <f t="shared" si="399"/>
        <v>yyyy-06</v>
      </c>
      <c r="C3684">
        <f t="shared" si="400"/>
        <v>23</v>
      </c>
      <c r="D3684" t="s">
        <v>42</v>
      </c>
      <c r="E3684" t="s">
        <v>43</v>
      </c>
      <c r="F3684" t="s">
        <v>46</v>
      </c>
      <c r="G3684" t="s">
        <v>36</v>
      </c>
      <c r="H3684" t="s">
        <v>37</v>
      </c>
      <c r="I3684" s="5">
        <v>849</v>
      </c>
      <c r="J3684" s="5">
        <v>628</v>
      </c>
      <c r="K3684" s="5">
        <v>65</v>
      </c>
      <c r="L3684" s="5">
        <v>17</v>
      </c>
      <c r="M3684" s="5">
        <v>17</v>
      </c>
      <c r="N3684" s="7">
        <v>2235.19</v>
      </c>
      <c r="O3684" s="7">
        <f t="shared" si="401"/>
        <v>37998.230000000003</v>
      </c>
      <c r="P3684" s="4">
        <v>0.11</v>
      </c>
      <c r="Q3684" s="7">
        <f t="shared" si="402"/>
        <v>4179.8053</v>
      </c>
      <c r="R3684" s="7">
        <f t="shared" si="403"/>
        <v>33818.424700000003</v>
      </c>
      <c r="S3684" s="7">
        <f t="shared" si="404"/>
        <v>1989.3191000000002</v>
      </c>
      <c r="T3684" s="6">
        <f t="shared" si="405"/>
        <v>2.0023557126030624E-2</v>
      </c>
      <c r="U3684" t="s">
        <v>99</v>
      </c>
      <c r="V3684" t="s">
        <v>29</v>
      </c>
    </row>
    <row r="3685" spans="1:22">
      <c r="A3685" s="3">
        <v>45811</v>
      </c>
      <c r="B3685" t="str">
        <f t="shared" si="399"/>
        <v>yyyy-06</v>
      </c>
      <c r="C3685">
        <f t="shared" si="400"/>
        <v>23</v>
      </c>
      <c r="D3685" t="s">
        <v>42</v>
      </c>
      <c r="E3685" t="s">
        <v>43</v>
      </c>
      <c r="F3685" t="s">
        <v>47</v>
      </c>
      <c r="G3685" t="s">
        <v>27</v>
      </c>
      <c r="H3685" t="s">
        <v>28</v>
      </c>
      <c r="I3685" s="5">
        <v>693</v>
      </c>
      <c r="J3685" s="5">
        <v>465</v>
      </c>
      <c r="K3685" s="5">
        <v>40</v>
      </c>
      <c r="L3685" s="5">
        <v>12</v>
      </c>
      <c r="M3685" s="5">
        <v>12</v>
      </c>
      <c r="N3685" s="7">
        <v>577.32000000000005</v>
      </c>
      <c r="O3685" s="7">
        <f t="shared" si="401"/>
        <v>6927.84</v>
      </c>
      <c r="P3685" s="4">
        <v>0.11</v>
      </c>
      <c r="Q3685" s="7">
        <f t="shared" si="402"/>
        <v>762.06240000000003</v>
      </c>
      <c r="R3685" s="7">
        <f t="shared" si="403"/>
        <v>6165.7776000000003</v>
      </c>
      <c r="S3685" s="7">
        <f t="shared" si="404"/>
        <v>513.81479999999999</v>
      </c>
      <c r="T3685" s="6">
        <f t="shared" si="405"/>
        <v>1.7316017316017316E-2</v>
      </c>
      <c r="U3685" t="s">
        <v>99</v>
      </c>
      <c r="V3685" t="s">
        <v>29</v>
      </c>
    </row>
    <row r="3686" spans="1:22">
      <c r="A3686" s="3">
        <v>45811</v>
      </c>
      <c r="B3686" t="str">
        <f t="shared" si="399"/>
        <v>yyyy-06</v>
      </c>
      <c r="C3686">
        <f t="shared" si="400"/>
        <v>23</v>
      </c>
      <c r="D3686" t="s">
        <v>42</v>
      </c>
      <c r="E3686" t="s">
        <v>49</v>
      </c>
      <c r="F3686" t="s">
        <v>50</v>
      </c>
      <c r="G3686" t="s">
        <v>27</v>
      </c>
      <c r="H3686" t="s">
        <v>28</v>
      </c>
      <c r="I3686" s="5">
        <v>151</v>
      </c>
      <c r="J3686" s="5">
        <v>84</v>
      </c>
      <c r="K3686" s="5">
        <v>7</v>
      </c>
      <c r="L3686" s="5">
        <v>2</v>
      </c>
      <c r="M3686" s="5">
        <v>2</v>
      </c>
      <c r="N3686" s="7">
        <v>993.43</v>
      </c>
      <c r="O3686" s="7">
        <f t="shared" si="401"/>
        <v>1986.86</v>
      </c>
      <c r="P3686" s="4">
        <v>0</v>
      </c>
      <c r="Q3686" s="7">
        <f t="shared" si="402"/>
        <v>0</v>
      </c>
      <c r="R3686" s="7">
        <f t="shared" si="403"/>
        <v>1986.86</v>
      </c>
      <c r="S3686" s="7">
        <f t="shared" si="404"/>
        <v>993.43</v>
      </c>
      <c r="T3686" s="6">
        <f t="shared" si="405"/>
        <v>1.3245033112582781E-2</v>
      </c>
      <c r="V3686" t="s">
        <v>29</v>
      </c>
    </row>
    <row r="3687" spans="1:22">
      <c r="A3687" s="3">
        <v>45811</v>
      </c>
      <c r="B3687" t="str">
        <f t="shared" si="399"/>
        <v>yyyy-06</v>
      </c>
      <c r="C3687">
        <f t="shared" si="400"/>
        <v>23</v>
      </c>
      <c r="D3687" t="s">
        <v>42</v>
      </c>
      <c r="E3687" t="s">
        <v>51</v>
      </c>
      <c r="F3687" t="s">
        <v>52</v>
      </c>
      <c r="G3687" t="s">
        <v>27</v>
      </c>
      <c r="H3687" t="s">
        <v>28</v>
      </c>
      <c r="I3687" s="5">
        <v>326</v>
      </c>
      <c r="J3687" s="5">
        <v>217</v>
      </c>
      <c r="K3687" s="5">
        <v>19</v>
      </c>
      <c r="L3687" s="5">
        <v>4</v>
      </c>
      <c r="M3687" s="5">
        <v>4</v>
      </c>
      <c r="N3687" s="7">
        <v>586.51</v>
      </c>
      <c r="O3687" s="7">
        <f t="shared" si="401"/>
        <v>2346.04</v>
      </c>
      <c r="P3687" s="4">
        <v>0.05</v>
      </c>
      <c r="Q3687" s="7">
        <f t="shared" si="402"/>
        <v>117.30200000000001</v>
      </c>
      <c r="R3687" s="7">
        <f t="shared" si="403"/>
        <v>2228.7379999999998</v>
      </c>
      <c r="S3687" s="7">
        <f t="shared" si="404"/>
        <v>557.18449999999996</v>
      </c>
      <c r="T3687" s="6">
        <f t="shared" si="405"/>
        <v>1.2269938650306749E-2</v>
      </c>
      <c r="V3687" t="s">
        <v>29</v>
      </c>
    </row>
    <row r="3688" spans="1:22">
      <c r="A3688" s="3">
        <v>45811</v>
      </c>
      <c r="B3688" t="str">
        <f t="shared" si="399"/>
        <v>yyyy-06</v>
      </c>
      <c r="C3688">
        <f t="shared" si="400"/>
        <v>23</v>
      </c>
      <c r="D3688" t="s">
        <v>53</v>
      </c>
      <c r="E3688" t="s">
        <v>54</v>
      </c>
      <c r="F3688" t="s">
        <v>55</v>
      </c>
      <c r="G3688" t="s">
        <v>27</v>
      </c>
      <c r="H3688" t="s">
        <v>45</v>
      </c>
      <c r="I3688" s="5">
        <v>205</v>
      </c>
      <c r="J3688" s="5">
        <v>157</v>
      </c>
      <c r="K3688" s="5">
        <v>12</v>
      </c>
      <c r="L3688" s="5">
        <v>2</v>
      </c>
      <c r="M3688" s="5">
        <v>2</v>
      </c>
      <c r="N3688" s="7">
        <v>1303.48</v>
      </c>
      <c r="O3688" s="7">
        <f t="shared" si="401"/>
        <v>2606.96</v>
      </c>
      <c r="P3688" s="4">
        <v>0</v>
      </c>
      <c r="Q3688" s="7">
        <f t="shared" si="402"/>
        <v>0</v>
      </c>
      <c r="R3688" s="7">
        <f t="shared" si="403"/>
        <v>2606.96</v>
      </c>
      <c r="S3688" s="7">
        <f t="shared" si="404"/>
        <v>1303.48</v>
      </c>
      <c r="T3688" s="6">
        <f t="shared" si="405"/>
        <v>9.7560975609756097E-3</v>
      </c>
      <c r="V3688" t="s">
        <v>29</v>
      </c>
    </row>
    <row r="3689" spans="1:22">
      <c r="A3689" s="3">
        <v>45811</v>
      </c>
      <c r="B3689" t="str">
        <f t="shared" si="399"/>
        <v>yyyy-06</v>
      </c>
      <c r="C3689">
        <f t="shared" si="400"/>
        <v>23</v>
      </c>
      <c r="D3689" t="s">
        <v>53</v>
      </c>
      <c r="E3689" t="s">
        <v>56</v>
      </c>
      <c r="F3689" t="s">
        <v>57</v>
      </c>
      <c r="G3689" t="s">
        <v>36</v>
      </c>
      <c r="H3689" t="s">
        <v>37</v>
      </c>
      <c r="I3689" s="5">
        <v>242</v>
      </c>
      <c r="J3689" s="5">
        <v>198</v>
      </c>
      <c r="K3689" s="5">
        <v>19</v>
      </c>
      <c r="L3689" s="5">
        <v>3</v>
      </c>
      <c r="M3689" s="5">
        <v>3</v>
      </c>
      <c r="N3689" s="7">
        <v>720.84</v>
      </c>
      <c r="O3689" s="7">
        <f t="shared" si="401"/>
        <v>2162.52</v>
      </c>
      <c r="P3689" s="4">
        <v>0.03</v>
      </c>
      <c r="Q3689" s="7">
        <f t="shared" si="402"/>
        <v>64.875599999999991</v>
      </c>
      <c r="R3689" s="7">
        <f t="shared" si="403"/>
        <v>2097.6444000000001</v>
      </c>
      <c r="S3689" s="7">
        <f t="shared" si="404"/>
        <v>699.21480000000008</v>
      </c>
      <c r="T3689" s="6">
        <f t="shared" si="405"/>
        <v>1.2396694214876033E-2</v>
      </c>
      <c r="V3689" t="s">
        <v>29</v>
      </c>
    </row>
    <row r="3690" spans="1:22">
      <c r="A3690" s="3">
        <v>45811</v>
      </c>
      <c r="B3690" t="str">
        <f t="shared" si="399"/>
        <v>yyyy-06</v>
      </c>
      <c r="C3690">
        <f t="shared" si="400"/>
        <v>23</v>
      </c>
      <c r="D3690" t="s">
        <v>53</v>
      </c>
      <c r="E3690" t="s">
        <v>56</v>
      </c>
      <c r="F3690" t="s">
        <v>58</v>
      </c>
      <c r="G3690" t="s">
        <v>27</v>
      </c>
      <c r="H3690" t="s">
        <v>28</v>
      </c>
      <c r="I3690" s="5">
        <v>199</v>
      </c>
      <c r="J3690" s="5">
        <v>133</v>
      </c>
      <c r="K3690" s="5">
        <v>7</v>
      </c>
      <c r="L3690" s="5">
        <v>2</v>
      </c>
      <c r="M3690" s="5">
        <v>2</v>
      </c>
      <c r="N3690" s="7">
        <v>893.72</v>
      </c>
      <c r="O3690" s="7">
        <f t="shared" si="401"/>
        <v>1787.44</v>
      </c>
      <c r="P3690" s="4">
        <v>0</v>
      </c>
      <c r="Q3690" s="7">
        <f t="shared" si="402"/>
        <v>0</v>
      </c>
      <c r="R3690" s="7">
        <f t="shared" si="403"/>
        <v>1787.44</v>
      </c>
      <c r="S3690" s="7">
        <f t="shared" si="404"/>
        <v>893.72</v>
      </c>
      <c r="T3690" s="6">
        <f t="shared" si="405"/>
        <v>1.0050251256281407E-2</v>
      </c>
      <c r="V3690" t="s">
        <v>29</v>
      </c>
    </row>
    <row r="3691" spans="1:22">
      <c r="A3691" s="3">
        <v>45811</v>
      </c>
      <c r="B3691" t="str">
        <f t="shared" si="399"/>
        <v>yyyy-06</v>
      </c>
      <c r="C3691">
        <f t="shared" si="400"/>
        <v>23</v>
      </c>
      <c r="D3691" t="s">
        <v>53</v>
      </c>
      <c r="E3691" t="s">
        <v>59</v>
      </c>
      <c r="F3691" t="s">
        <v>60</v>
      </c>
      <c r="G3691" t="s">
        <v>27</v>
      </c>
      <c r="H3691" t="s">
        <v>45</v>
      </c>
      <c r="I3691" s="5">
        <v>159</v>
      </c>
      <c r="J3691" s="5">
        <v>89</v>
      </c>
      <c r="K3691" s="5">
        <v>6</v>
      </c>
      <c r="L3691" s="5">
        <v>2</v>
      </c>
      <c r="M3691" s="5">
        <v>2</v>
      </c>
      <c r="N3691" s="7">
        <v>679.06</v>
      </c>
      <c r="O3691" s="7">
        <f t="shared" si="401"/>
        <v>1358.12</v>
      </c>
      <c r="P3691" s="4">
        <v>0.03</v>
      </c>
      <c r="Q3691" s="7">
        <f t="shared" si="402"/>
        <v>40.743599999999994</v>
      </c>
      <c r="R3691" s="7">
        <f t="shared" si="403"/>
        <v>1317.3763999999999</v>
      </c>
      <c r="S3691" s="7">
        <f t="shared" si="404"/>
        <v>658.68819999999994</v>
      </c>
      <c r="T3691" s="6">
        <f t="shared" si="405"/>
        <v>1.2578616352201259E-2</v>
      </c>
      <c r="V3691" t="s">
        <v>29</v>
      </c>
    </row>
    <row r="3692" spans="1:22">
      <c r="A3692" s="3">
        <v>45811</v>
      </c>
      <c r="B3692" t="str">
        <f t="shared" si="399"/>
        <v>yyyy-06</v>
      </c>
      <c r="C3692">
        <f t="shared" si="400"/>
        <v>23</v>
      </c>
      <c r="D3692" t="s">
        <v>53</v>
      </c>
      <c r="E3692" t="s">
        <v>61</v>
      </c>
      <c r="F3692" t="s">
        <v>62</v>
      </c>
      <c r="G3692" t="s">
        <v>31</v>
      </c>
      <c r="H3692" t="s">
        <v>32</v>
      </c>
      <c r="I3692" s="5">
        <v>259</v>
      </c>
      <c r="J3692" s="5">
        <v>188</v>
      </c>
      <c r="K3692" s="5">
        <v>14</v>
      </c>
      <c r="L3692" s="5">
        <v>3</v>
      </c>
      <c r="M3692" s="5">
        <v>3</v>
      </c>
      <c r="N3692" s="7">
        <v>494.51</v>
      </c>
      <c r="O3692" s="7">
        <f t="shared" si="401"/>
        <v>1483.53</v>
      </c>
      <c r="P3692" s="4">
        <v>0</v>
      </c>
      <c r="Q3692" s="7">
        <f t="shared" si="402"/>
        <v>0</v>
      </c>
      <c r="R3692" s="7">
        <f t="shared" si="403"/>
        <v>1483.53</v>
      </c>
      <c r="S3692" s="7">
        <f t="shared" si="404"/>
        <v>494.51</v>
      </c>
      <c r="T3692" s="6">
        <f t="shared" si="405"/>
        <v>1.1583011583011582E-2</v>
      </c>
      <c r="V3692" t="s">
        <v>29</v>
      </c>
    </row>
    <row r="3693" spans="1:22">
      <c r="A3693" s="3">
        <v>45811</v>
      </c>
      <c r="B3693" t="str">
        <f t="shared" si="399"/>
        <v>yyyy-06</v>
      </c>
      <c r="C3693">
        <f t="shared" si="400"/>
        <v>23</v>
      </c>
      <c r="D3693" t="s">
        <v>53</v>
      </c>
      <c r="E3693" t="s">
        <v>64</v>
      </c>
      <c r="F3693" t="s">
        <v>65</v>
      </c>
      <c r="G3693" t="s">
        <v>27</v>
      </c>
      <c r="H3693" t="s">
        <v>48</v>
      </c>
      <c r="I3693" s="5">
        <v>158</v>
      </c>
      <c r="J3693" s="5">
        <v>85</v>
      </c>
      <c r="K3693" s="5">
        <v>2</v>
      </c>
      <c r="L3693" s="5">
        <v>0</v>
      </c>
      <c r="M3693" s="5">
        <v>0</v>
      </c>
      <c r="N3693" s="7">
        <v>775.95</v>
      </c>
      <c r="O3693" s="7">
        <f t="shared" si="401"/>
        <v>0</v>
      </c>
      <c r="P3693" s="4">
        <v>0</v>
      </c>
      <c r="Q3693" s="7">
        <f t="shared" si="402"/>
        <v>0</v>
      </c>
      <c r="R3693" s="7">
        <f t="shared" si="403"/>
        <v>0</v>
      </c>
      <c r="S3693" s="7">
        <f t="shared" si="404"/>
        <v>0</v>
      </c>
      <c r="T3693" s="6">
        <f t="shared" si="405"/>
        <v>0</v>
      </c>
      <c r="V3693" t="s">
        <v>81</v>
      </c>
    </row>
    <row r="3694" spans="1:22">
      <c r="A3694" s="3">
        <v>45811</v>
      </c>
      <c r="B3694" t="str">
        <f t="shared" si="399"/>
        <v>yyyy-06</v>
      </c>
      <c r="C3694">
        <f t="shared" si="400"/>
        <v>23</v>
      </c>
      <c r="D3694" t="s">
        <v>66</v>
      </c>
      <c r="E3694" t="s">
        <v>67</v>
      </c>
      <c r="F3694" t="s">
        <v>68</v>
      </c>
      <c r="G3694" t="s">
        <v>27</v>
      </c>
      <c r="H3694" t="s">
        <v>45</v>
      </c>
      <c r="I3694" s="5">
        <v>363</v>
      </c>
      <c r="J3694" s="5">
        <v>261</v>
      </c>
      <c r="K3694" s="5">
        <v>30</v>
      </c>
      <c r="L3694" s="5">
        <v>7</v>
      </c>
      <c r="M3694" s="5">
        <v>7</v>
      </c>
      <c r="N3694" s="7">
        <v>682.24</v>
      </c>
      <c r="O3694" s="7">
        <f t="shared" si="401"/>
        <v>4775.68</v>
      </c>
      <c r="P3694" s="4">
        <v>0</v>
      </c>
      <c r="Q3694" s="7">
        <f t="shared" si="402"/>
        <v>0</v>
      </c>
      <c r="R3694" s="7">
        <f t="shared" si="403"/>
        <v>4775.68</v>
      </c>
      <c r="S3694" s="7">
        <f t="shared" si="404"/>
        <v>682.24</v>
      </c>
      <c r="T3694" s="6">
        <f t="shared" si="405"/>
        <v>1.928374655647383E-2</v>
      </c>
      <c r="V3694" t="s">
        <v>29</v>
      </c>
    </row>
    <row r="3695" spans="1:22">
      <c r="A3695" s="3">
        <v>45811</v>
      </c>
      <c r="B3695" t="str">
        <f t="shared" si="399"/>
        <v>yyyy-06</v>
      </c>
      <c r="C3695">
        <f t="shared" si="400"/>
        <v>23</v>
      </c>
      <c r="D3695" t="s">
        <v>66</v>
      </c>
      <c r="E3695" t="s">
        <v>67</v>
      </c>
      <c r="F3695" t="s">
        <v>69</v>
      </c>
      <c r="G3695" t="s">
        <v>27</v>
      </c>
      <c r="H3695" t="s">
        <v>63</v>
      </c>
      <c r="I3695" s="5">
        <v>347</v>
      </c>
      <c r="J3695" s="5">
        <v>244</v>
      </c>
      <c r="K3695" s="5">
        <v>29</v>
      </c>
      <c r="L3695" s="5">
        <v>6</v>
      </c>
      <c r="M3695" s="5">
        <v>6</v>
      </c>
      <c r="N3695" s="7">
        <v>403.98</v>
      </c>
      <c r="O3695" s="7">
        <f t="shared" si="401"/>
        <v>2423.88</v>
      </c>
      <c r="P3695" s="4">
        <v>0</v>
      </c>
      <c r="Q3695" s="7">
        <f t="shared" si="402"/>
        <v>0</v>
      </c>
      <c r="R3695" s="7">
        <f t="shared" si="403"/>
        <v>2423.88</v>
      </c>
      <c r="S3695" s="7">
        <f t="shared" si="404"/>
        <v>403.98</v>
      </c>
      <c r="T3695" s="6">
        <f t="shared" si="405"/>
        <v>1.7291066282420751E-2</v>
      </c>
      <c r="V3695" t="s">
        <v>29</v>
      </c>
    </row>
    <row r="3696" spans="1:22">
      <c r="A3696" s="3">
        <v>45811</v>
      </c>
      <c r="B3696" t="str">
        <f t="shared" si="399"/>
        <v>yyyy-06</v>
      </c>
      <c r="C3696">
        <f t="shared" si="400"/>
        <v>23</v>
      </c>
      <c r="D3696" t="s">
        <v>66</v>
      </c>
      <c r="E3696" t="s">
        <v>67</v>
      </c>
      <c r="F3696" t="s">
        <v>70</v>
      </c>
      <c r="G3696" t="s">
        <v>27</v>
      </c>
      <c r="H3696" t="s">
        <v>28</v>
      </c>
      <c r="I3696" s="5">
        <v>388</v>
      </c>
      <c r="J3696" s="5">
        <v>221</v>
      </c>
      <c r="K3696" s="5">
        <v>34</v>
      </c>
      <c r="L3696" s="5">
        <v>8</v>
      </c>
      <c r="M3696" s="5">
        <v>8</v>
      </c>
      <c r="N3696" s="7">
        <v>351.77</v>
      </c>
      <c r="O3696" s="7">
        <f t="shared" si="401"/>
        <v>2814.16</v>
      </c>
      <c r="P3696" s="4">
        <v>0.03</v>
      </c>
      <c r="Q3696" s="7">
        <f t="shared" si="402"/>
        <v>84.424799999999991</v>
      </c>
      <c r="R3696" s="7">
        <f t="shared" si="403"/>
        <v>2729.7352000000001</v>
      </c>
      <c r="S3696" s="7">
        <f t="shared" si="404"/>
        <v>341.21690000000001</v>
      </c>
      <c r="T3696" s="6">
        <f t="shared" si="405"/>
        <v>2.0618556701030927E-2</v>
      </c>
      <c r="V3696" t="s">
        <v>29</v>
      </c>
    </row>
    <row r="3697" spans="1:22">
      <c r="A3697" s="3">
        <v>45811</v>
      </c>
      <c r="B3697" t="str">
        <f t="shared" si="399"/>
        <v>yyyy-06</v>
      </c>
      <c r="C3697">
        <f t="shared" si="400"/>
        <v>23</v>
      </c>
      <c r="D3697" t="s">
        <v>66</v>
      </c>
      <c r="E3697" t="s">
        <v>71</v>
      </c>
      <c r="F3697" t="s">
        <v>72</v>
      </c>
      <c r="G3697" t="s">
        <v>27</v>
      </c>
      <c r="H3697" t="s">
        <v>45</v>
      </c>
      <c r="I3697" s="5">
        <v>310</v>
      </c>
      <c r="J3697" s="5">
        <v>225</v>
      </c>
      <c r="K3697" s="5">
        <v>23</v>
      </c>
      <c r="L3697" s="5">
        <v>7</v>
      </c>
      <c r="M3697" s="5">
        <v>8</v>
      </c>
      <c r="N3697" s="7">
        <v>129.72</v>
      </c>
      <c r="O3697" s="7">
        <f t="shared" si="401"/>
        <v>1037.76</v>
      </c>
      <c r="P3697" s="4">
        <v>0</v>
      </c>
      <c r="Q3697" s="7">
        <f t="shared" si="402"/>
        <v>0</v>
      </c>
      <c r="R3697" s="7">
        <f t="shared" si="403"/>
        <v>1037.76</v>
      </c>
      <c r="S3697" s="7">
        <f t="shared" si="404"/>
        <v>148.25142857142856</v>
      </c>
      <c r="T3697" s="6">
        <f t="shared" si="405"/>
        <v>2.2580645161290321E-2</v>
      </c>
      <c r="V3697" t="s">
        <v>29</v>
      </c>
    </row>
    <row r="3698" spans="1:22">
      <c r="A3698" s="3">
        <v>45811</v>
      </c>
      <c r="B3698" t="str">
        <f t="shared" si="399"/>
        <v>yyyy-06</v>
      </c>
      <c r="C3698">
        <f t="shared" si="400"/>
        <v>23</v>
      </c>
      <c r="D3698" t="s">
        <v>66</v>
      </c>
      <c r="E3698" t="s">
        <v>73</v>
      </c>
      <c r="F3698" t="s">
        <v>74</v>
      </c>
      <c r="G3698" t="s">
        <v>31</v>
      </c>
      <c r="H3698" t="s">
        <v>32</v>
      </c>
      <c r="I3698" s="5">
        <v>293</v>
      </c>
      <c r="J3698" s="5">
        <v>179</v>
      </c>
      <c r="K3698" s="5">
        <v>17</v>
      </c>
      <c r="L3698" s="5">
        <v>4</v>
      </c>
      <c r="M3698" s="5">
        <v>4</v>
      </c>
      <c r="N3698" s="7">
        <v>1189.7</v>
      </c>
      <c r="O3698" s="7">
        <f t="shared" si="401"/>
        <v>4758.8</v>
      </c>
      <c r="P3698" s="4">
        <v>0</v>
      </c>
      <c r="Q3698" s="7">
        <f t="shared" si="402"/>
        <v>0</v>
      </c>
      <c r="R3698" s="7">
        <f t="shared" si="403"/>
        <v>4758.8</v>
      </c>
      <c r="S3698" s="7">
        <f t="shared" si="404"/>
        <v>1189.7</v>
      </c>
      <c r="T3698" s="6">
        <f t="shared" si="405"/>
        <v>1.3651877133105802E-2</v>
      </c>
      <c r="V3698" t="s">
        <v>29</v>
      </c>
    </row>
    <row r="3699" spans="1:22">
      <c r="A3699" s="3">
        <v>45811</v>
      </c>
      <c r="B3699" t="str">
        <f t="shared" si="399"/>
        <v>yyyy-06</v>
      </c>
      <c r="C3699">
        <f t="shared" si="400"/>
        <v>23</v>
      </c>
      <c r="D3699" t="s">
        <v>66</v>
      </c>
      <c r="E3699" t="s">
        <v>71</v>
      </c>
      <c r="F3699" t="s">
        <v>75</v>
      </c>
      <c r="G3699" t="s">
        <v>31</v>
      </c>
      <c r="H3699" t="s">
        <v>32</v>
      </c>
      <c r="I3699" s="5">
        <v>568</v>
      </c>
      <c r="J3699" s="5">
        <v>468</v>
      </c>
      <c r="K3699" s="5">
        <v>35</v>
      </c>
      <c r="L3699" s="5">
        <v>11</v>
      </c>
      <c r="M3699" s="5">
        <v>13</v>
      </c>
      <c r="N3699" s="7">
        <v>39.67</v>
      </c>
      <c r="O3699" s="7">
        <f t="shared" si="401"/>
        <v>515.71</v>
      </c>
      <c r="P3699" s="4">
        <v>0</v>
      </c>
      <c r="Q3699" s="7">
        <f t="shared" si="402"/>
        <v>0</v>
      </c>
      <c r="R3699" s="7">
        <f t="shared" si="403"/>
        <v>515.71</v>
      </c>
      <c r="S3699" s="7">
        <f t="shared" si="404"/>
        <v>46.882727272727273</v>
      </c>
      <c r="T3699" s="6">
        <f t="shared" si="405"/>
        <v>1.936619718309859E-2</v>
      </c>
      <c r="V3699" t="s">
        <v>29</v>
      </c>
    </row>
    <row r="3700" spans="1:22">
      <c r="A3700" s="3">
        <v>45811</v>
      </c>
      <c r="B3700" t="str">
        <f t="shared" si="399"/>
        <v>yyyy-06</v>
      </c>
      <c r="C3700">
        <f t="shared" si="400"/>
        <v>23</v>
      </c>
      <c r="D3700" t="s">
        <v>24</v>
      </c>
      <c r="E3700" t="s">
        <v>76</v>
      </c>
      <c r="F3700" t="s">
        <v>77</v>
      </c>
      <c r="G3700" t="s">
        <v>31</v>
      </c>
      <c r="H3700" t="s">
        <v>32</v>
      </c>
      <c r="I3700" s="5">
        <v>575</v>
      </c>
      <c r="J3700" s="5">
        <v>351</v>
      </c>
      <c r="K3700" s="5">
        <v>68</v>
      </c>
      <c r="L3700" s="5">
        <v>14</v>
      </c>
      <c r="M3700" s="5">
        <v>16</v>
      </c>
      <c r="N3700" s="7">
        <v>197.59</v>
      </c>
      <c r="O3700" s="7">
        <f t="shared" si="401"/>
        <v>3161.44</v>
      </c>
      <c r="P3700" s="4">
        <v>0</v>
      </c>
      <c r="Q3700" s="7">
        <f t="shared" si="402"/>
        <v>0</v>
      </c>
      <c r="R3700" s="7">
        <f t="shared" si="403"/>
        <v>3161.44</v>
      </c>
      <c r="S3700" s="7">
        <f t="shared" si="404"/>
        <v>225.81714285714287</v>
      </c>
      <c r="T3700" s="6">
        <f t="shared" si="405"/>
        <v>2.4347826086956521E-2</v>
      </c>
      <c r="V3700" t="s">
        <v>29</v>
      </c>
    </row>
    <row r="3701" spans="1:22">
      <c r="A3701" s="3">
        <v>45812</v>
      </c>
      <c r="B3701" t="str">
        <f t="shared" si="399"/>
        <v>yyyy-06</v>
      </c>
      <c r="C3701">
        <f t="shared" si="400"/>
        <v>23</v>
      </c>
      <c r="D3701" t="s">
        <v>24</v>
      </c>
      <c r="E3701" t="s">
        <v>25</v>
      </c>
      <c r="F3701" t="s">
        <v>26</v>
      </c>
      <c r="G3701" t="s">
        <v>36</v>
      </c>
      <c r="H3701" t="s">
        <v>37</v>
      </c>
      <c r="I3701" s="5">
        <v>2234</v>
      </c>
      <c r="J3701" s="5">
        <v>1484</v>
      </c>
      <c r="K3701" s="5">
        <v>98</v>
      </c>
      <c r="L3701" s="5">
        <v>34</v>
      </c>
      <c r="M3701" s="5">
        <v>34</v>
      </c>
      <c r="N3701" s="7">
        <v>1005.59</v>
      </c>
      <c r="O3701" s="7">
        <f t="shared" si="401"/>
        <v>34190.06</v>
      </c>
      <c r="P3701" s="4">
        <v>0</v>
      </c>
      <c r="Q3701" s="7">
        <f t="shared" si="402"/>
        <v>0</v>
      </c>
      <c r="R3701" s="7">
        <f t="shared" si="403"/>
        <v>34190.06</v>
      </c>
      <c r="S3701" s="7">
        <f t="shared" si="404"/>
        <v>1005.5899999999999</v>
      </c>
      <c r="T3701" s="6">
        <f t="shared" si="405"/>
        <v>1.521933751119069E-2</v>
      </c>
      <c r="V3701" t="s">
        <v>29</v>
      </c>
    </row>
    <row r="3702" spans="1:22">
      <c r="A3702" s="3">
        <v>45812</v>
      </c>
      <c r="B3702" t="str">
        <f t="shared" si="399"/>
        <v>yyyy-06</v>
      </c>
      <c r="C3702">
        <f t="shared" si="400"/>
        <v>23</v>
      </c>
      <c r="D3702" t="s">
        <v>24</v>
      </c>
      <c r="E3702" t="s">
        <v>25</v>
      </c>
      <c r="F3702" t="s">
        <v>30</v>
      </c>
      <c r="G3702" t="s">
        <v>27</v>
      </c>
      <c r="H3702" t="s">
        <v>45</v>
      </c>
      <c r="I3702" s="5">
        <v>1534</v>
      </c>
      <c r="J3702" s="5">
        <v>1171</v>
      </c>
      <c r="K3702" s="5">
        <v>76</v>
      </c>
      <c r="L3702" s="5">
        <v>24</v>
      </c>
      <c r="M3702" s="5">
        <v>24</v>
      </c>
      <c r="N3702" s="7">
        <v>392.05</v>
      </c>
      <c r="O3702" s="7">
        <f t="shared" si="401"/>
        <v>9409.2000000000007</v>
      </c>
      <c r="P3702" s="4">
        <v>0.05</v>
      </c>
      <c r="Q3702" s="7">
        <f t="shared" si="402"/>
        <v>470.46000000000004</v>
      </c>
      <c r="R3702" s="7">
        <f t="shared" si="403"/>
        <v>8938.7400000000016</v>
      </c>
      <c r="S3702" s="7">
        <f t="shared" si="404"/>
        <v>372.44750000000005</v>
      </c>
      <c r="T3702" s="6">
        <f t="shared" si="405"/>
        <v>1.5645371577574969E-2</v>
      </c>
      <c r="V3702" t="s">
        <v>29</v>
      </c>
    </row>
    <row r="3703" spans="1:22">
      <c r="A3703" s="3">
        <v>45812</v>
      </c>
      <c r="B3703" t="str">
        <f t="shared" si="399"/>
        <v>yyyy-06</v>
      </c>
      <c r="C3703">
        <f t="shared" si="400"/>
        <v>23</v>
      </c>
      <c r="D3703" t="s">
        <v>24</v>
      </c>
      <c r="E3703" t="s">
        <v>25</v>
      </c>
      <c r="F3703" t="s">
        <v>33</v>
      </c>
      <c r="G3703" t="s">
        <v>36</v>
      </c>
      <c r="H3703" t="s">
        <v>37</v>
      </c>
      <c r="I3703" s="5">
        <v>1653</v>
      </c>
      <c r="J3703" s="5">
        <v>1316</v>
      </c>
      <c r="K3703" s="5">
        <v>160</v>
      </c>
      <c r="L3703" s="5">
        <v>36</v>
      </c>
      <c r="M3703" s="5">
        <v>36</v>
      </c>
      <c r="N3703" s="7">
        <v>1750.12</v>
      </c>
      <c r="O3703" s="7">
        <f t="shared" si="401"/>
        <v>63004.319999999992</v>
      </c>
      <c r="P3703" s="4">
        <v>0.03</v>
      </c>
      <c r="Q3703" s="7">
        <f t="shared" si="402"/>
        <v>1890.1295999999998</v>
      </c>
      <c r="R3703" s="7">
        <f t="shared" si="403"/>
        <v>61114.190399999992</v>
      </c>
      <c r="S3703" s="7">
        <f t="shared" si="404"/>
        <v>1697.6163999999999</v>
      </c>
      <c r="T3703" s="6">
        <f t="shared" si="405"/>
        <v>2.1778584392014518E-2</v>
      </c>
      <c r="V3703" t="s">
        <v>29</v>
      </c>
    </row>
    <row r="3704" spans="1:22">
      <c r="A3704" s="3">
        <v>45812</v>
      </c>
      <c r="B3704" t="str">
        <f t="shared" si="399"/>
        <v>yyyy-06</v>
      </c>
      <c r="C3704">
        <f t="shared" si="400"/>
        <v>23</v>
      </c>
      <c r="D3704" t="s">
        <v>24</v>
      </c>
      <c r="E3704" t="s">
        <v>34</v>
      </c>
      <c r="F3704" t="s">
        <v>35</v>
      </c>
      <c r="G3704" t="s">
        <v>27</v>
      </c>
      <c r="H3704" t="s">
        <v>45</v>
      </c>
      <c r="I3704" s="5">
        <v>882</v>
      </c>
      <c r="J3704" s="5">
        <v>520</v>
      </c>
      <c r="K3704" s="5">
        <v>101</v>
      </c>
      <c r="L3704" s="5">
        <v>23</v>
      </c>
      <c r="M3704" s="5">
        <v>23</v>
      </c>
      <c r="N3704" s="7">
        <v>895.12</v>
      </c>
      <c r="O3704" s="7">
        <f t="shared" si="401"/>
        <v>20587.759999999998</v>
      </c>
      <c r="P3704" s="4">
        <v>0</v>
      </c>
      <c r="Q3704" s="7">
        <f t="shared" si="402"/>
        <v>0</v>
      </c>
      <c r="R3704" s="7">
        <f t="shared" si="403"/>
        <v>20587.759999999998</v>
      </c>
      <c r="S3704" s="7">
        <f t="shared" si="404"/>
        <v>895.11999999999989</v>
      </c>
      <c r="T3704" s="6">
        <f t="shared" si="405"/>
        <v>2.6077097505668934E-2</v>
      </c>
      <c r="V3704" t="s">
        <v>29</v>
      </c>
    </row>
    <row r="3705" spans="1:22">
      <c r="A3705" s="3">
        <v>45812</v>
      </c>
      <c r="B3705" t="str">
        <f t="shared" si="399"/>
        <v>yyyy-06</v>
      </c>
      <c r="C3705">
        <f t="shared" si="400"/>
        <v>23</v>
      </c>
      <c r="D3705" t="s">
        <v>24</v>
      </c>
      <c r="E3705" t="s">
        <v>38</v>
      </c>
      <c r="F3705" t="s">
        <v>39</v>
      </c>
      <c r="G3705" t="s">
        <v>27</v>
      </c>
      <c r="H3705" t="s">
        <v>45</v>
      </c>
      <c r="I3705" s="5">
        <v>820</v>
      </c>
      <c r="J3705" s="5">
        <v>467</v>
      </c>
      <c r="K3705" s="5">
        <v>48</v>
      </c>
      <c r="L3705" s="5">
        <v>17</v>
      </c>
      <c r="M3705" s="5">
        <v>17</v>
      </c>
      <c r="N3705" s="7">
        <v>317.92</v>
      </c>
      <c r="O3705" s="7">
        <f t="shared" si="401"/>
        <v>5404.64</v>
      </c>
      <c r="P3705" s="4">
        <v>0.03</v>
      </c>
      <c r="Q3705" s="7">
        <f t="shared" si="402"/>
        <v>162.13920000000002</v>
      </c>
      <c r="R3705" s="7">
        <f t="shared" si="403"/>
        <v>5242.5008000000007</v>
      </c>
      <c r="S3705" s="7">
        <f t="shared" si="404"/>
        <v>308.38240000000002</v>
      </c>
      <c r="T3705" s="6">
        <f t="shared" si="405"/>
        <v>2.0731707317073172E-2</v>
      </c>
      <c r="V3705" t="s">
        <v>29</v>
      </c>
    </row>
    <row r="3706" spans="1:22">
      <c r="A3706" s="3">
        <v>45812</v>
      </c>
      <c r="B3706" t="str">
        <f t="shared" si="399"/>
        <v>yyyy-06</v>
      </c>
      <c r="C3706">
        <f t="shared" si="400"/>
        <v>23</v>
      </c>
      <c r="D3706" t="s">
        <v>24</v>
      </c>
      <c r="E3706" t="s">
        <v>40</v>
      </c>
      <c r="F3706" t="s">
        <v>41</v>
      </c>
      <c r="G3706" t="s">
        <v>27</v>
      </c>
      <c r="H3706" t="s">
        <v>63</v>
      </c>
      <c r="I3706" s="5">
        <v>744</v>
      </c>
      <c r="J3706" s="5">
        <v>504</v>
      </c>
      <c r="K3706" s="5">
        <v>37</v>
      </c>
      <c r="L3706" s="5">
        <v>13</v>
      </c>
      <c r="M3706" s="5">
        <v>14</v>
      </c>
      <c r="N3706" s="7">
        <v>174.68</v>
      </c>
      <c r="O3706" s="7">
        <f t="shared" si="401"/>
        <v>2445.52</v>
      </c>
      <c r="P3706" s="4">
        <v>0</v>
      </c>
      <c r="Q3706" s="7">
        <f t="shared" si="402"/>
        <v>0</v>
      </c>
      <c r="R3706" s="7">
        <f t="shared" si="403"/>
        <v>2445.52</v>
      </c>
      <c r="S3706" s="7">
        <f t="shared" si="404"/>
        <v>188.11692307692309</v>
      </c>
      <c r="T3706" s="6">
        <f t="shared" si="405"/>
        <v>1.7473118279569891E-2</v>
      </c>
      <c r="V3706" t="s">
        <v>78</v>
      </c>
    </row>
    <row r="3707" spans="1:22">
      <c r="A3707" s="3">
        <v>45812</v>
      </c>
      <c r="B3707" t="str">
        <f t="shared" si="399"/>
        <v>yyyy-06</v>
      </c>
      <c r="C3707">
        <f t="shared" si="400"/>
        <v>23</v>
      </c>
      <c r="D3707" t="s">
        <v>42</v>
      </c>
      <c r="E3707" t="s">
        <v>43</v>
      </c>
      <c r="F3707" t="s">
        <v>44</v>
      </c>
      <c r="G3707" t="s">
        <v>36</v>
      </c>
      <c r="H3707" t="s">
        <v>37</v>
      </c>
      <c r="I3707" s="5">
        <v>539</v>
      </c>
      <c r="J3707" s="5">
        <v>301</v>
      </c>
      <c r="K3707" s="5">
        <v>34</v>
      </c>
      <c r="L3707" s="5">
        <v>9</v>
      </c>
      <c r="M3707" s="5">
        <v>9</v>
      </c>
      <c r="N3707" s="7">
        <v>1284.03</v>
      </c>
      <c r="O3707" s="7">
        <f t="shared" si="401"/>
        <v>11556.27</v>
      </c>
      <c r="P3707" s="4">
        <v>0.11</v>
      </c>
      <c r="Q3707" s="7">
        <f t="shared" si="402"/>
        <v>1271.1897000000001</v>
      </c>
      <c r="R3707" s="7">
        <f t="shared" si="403"/>
        <v>10285.0803</v>
      </c>
      <c r="S3707" s="7">
        <f t="shared" si="404"/>
        <v>1142.7866999999999</v>
      </c>
      <c r="T3707" s="6">
        <f t="shared" si="405"/>
        <v>1.6697588126159554E-2</v>
      </c>
      <c r="U3707" t="s">
        <v>99</v>
      </c>
      <c r="V3707" t="s">
        <v>29</v>
      </c>
    </row>
    <row r="3708" spans="1:22">
      <c r="A3708" s="3">
        <v>45812</v>
      </c>
      <c r="B3708" t="str">
        <f t="shared" si="399"/>
        <v>yyyy-06</v>
      </c>
      <c r="C3708">
        <f t="shared" si="400"/>
        <v>23</v>
      </c>
      <c r="D3708" t="s">
        <v>42</v>
      </c>
      <c r="E3708" t="s">
        <v>43</v>
      </c>
      <c r="F3708" t="s">
        <v>46</v>
      </c>
      <c r="G3708" t="s">
        <v>31</v>
      </c>
      <c r="H3708" t="s">
        <v>32</v>
      </c>
      <c r="I3708" s="5">
        <v>756</v>
      </c>
      <c r="J3708" s="5">
        <v>604</v>
      </c>
      <c r="K3708" s="5">
        <v>65</v>
      </c>
      <c r="L3708" s="5">
        <v>13</v>
      </c>
      <c r="M3708" s="5">
        <v>13</v>
      </c>
      <c r="N3708" s="7">
        <v>2157.7600000000002</v>
      </c>
      <c r="O3708" s="7">
        <f t="shared" si="401"/>
        <v>28050.880000000005</v>
      </c>
      <c r="P3708" s="4">
        <v>0.11</v>
      </c>
      <c r="Q3708" s="7">
        <f t="shared" si="402"/>
        <v>3085.5968000000007</v>
      </c>
      <c r="R3708" s="7">
        <f t="shared" si="403"/>
        <v>24965.283200000005</v>
      </c>
      <c r="S3708" s="7">
        <f t="shared" si="404"/>
        <v>1920.4064000000003</v>
      </c>
      <c r="T3708" s="6">
        <f t="shared" si="405"/>
        <v>1.7195767195767195E-2</v>
      </c>
      <c r="U3708" t="s">
        <v>99</v>
      </c>
      <c r="V3708" t="s">
        <v>29</v>
      </c>
    </row>
    <row r="3709" spans="1:22">
      <c r="A3709" s="3">
        <v>45812</v>
      </c>
      <c r="B3709" t="str">
        <f t="shared" si="399"/>
        <v>yyyy-06</v>
      </c>
      <c r="C3709">
        <f t="shared" si="400"/>
        <v>23</v>
      </c>
      <c r="D3709" t="s">
        <v>42</v>
      </c>
      <c r="E3709" t="s">
        <v>43</v>
      </c>
      <c r="F3709" t="s">
        <v>47</v>
      </c>
      <c r="G3709" t="s">
        <v>36</v>
      </c>
      <c r="H3709" t="s">
        <v>37</v>
      </c>
      <c r="I3709" s="5">
        <v>545</v>
      </c>
      <c r="J3709" s="5">
        <v>417</v>
      </c>
      <c r="K3709" s="5">
        <v>33</v>
      </c>
      <c r="L3709" s="5">
        <v>11</v>
      </c>
      <c r="M3709" s="5">
        <v>11</v>
      </c>
      <c r="N3709" s="7">
        <v>586.37</v>
      </c>
      <c r="O3709" s="7">
        <f t="shared" si="401"/>
        <v>6450.07</v>
      </c>
      <c r="P3709" s="4">
        <v>0.11</v>
      </c>
      <c r="Q3709" s="7">
        <f t="shared" si="402"/>
        <v>709.5077</v>
      </c>
      <c r="R3709" s="7">
        <f t="shared" si="403"/>
        <v>5740.5622999999996</v>
      </c>
      <c r="S3709" s="7">
        <f t="shared" si="404"/>
        <v>521.86929999999995</v>
      </c>
      <c r="T3709" s="6">
        <f t="shared" si="405"/>
        <v>2.0183486238532111E-2</v>
      </c>
      <c r="U3709" t="s">
        <v>99</v>
      </c>
      <c r="V3709" t="s">
        <v>29</v>
      </c>
    </row>
    <row r="3710" spans="1:22">
      <c r="A3710" s="3">
        <v>45812</v>
      </c>
      <c r="B3710" t="str">
        <f t="shared" si="399"/>
        <v>yyyy-06</v>
      </c>
      <c r="C3710">
        <f t="shared" si="400"/>
        <v>23</v>
      </c>
      <c r="D3710" t="s">
        <v>42</v>
      </c>
      <c r="E3710" t="s">
        <v>49</v>
      </c>
      <c r="F3710" t="s">
        <v>50</v>
      </c>
      <c r="G3710" t="s">
        <v>27</v>
      </c>
      <c r="H3710" t="s">
        <v>48</v>
      </c>
      <c r="I3710" s="5">
        <v>193</v>
      </c>
      <c r="J3710" s="5">
        <v>107</v>
      </c>
      <c r="K3710" s="5">
        <v>10</v>
      </c>
      <c r="L3710" s="5">
        <v>3</v>
      </c>
      <c r="M3710" s="5">
        <v>3</v>
      </c>
      <c r="N3710" s="7">
        <v>965.85</v>
      </c>
      <c r="O3710" s="7">
        <f t="shared" si="401"/>
        <v>2897.55</v>
      </c>
      <c r="P3710" s="4">
        <v>0.05</v>
      </c>
      <c r="Q3710" s="7">
        <f t="shared" si="402"/>
        <v>144.87750000000003</v>
      </c>
      <c r="R3710" s="7">
        <f t="shared" si="403"/>
        <v>2752.6725000000001</v>
      </c>
      <c r="S3710" s="7">
        <f t="shared" si="404"/>
        <v>917.5575</v>
      </c>
      <c r="T3710" s="6">
        <f t="shared" si="405"/>
        <v>1.5544041450777202E-2</v>
      </c>
      <c r="V3710" t="s">
        <v>29</v>
      </c>
    </row>
    <row r="3711" spans="1:22">
      <c r="A3711" s="3">
        <v>45812</v>
      </c>
      <c r="B3711" t="str">
        <f t="shared" si="399"/>
        <v>yyyy-06</v>
      </c>
      <c r="C3711">
        <f t="shared" si="400"/>
        <v>23</v>
      </c>
      <c r="D3711" t="s">
        <v>42</v>
      </c>
      <c r="E3711" t="s">
        <v>51</v>
      </c>
      <c r="F3711" t="s">
        <v>52</v>
      </c>
      <c r="G3711" t="s">
        <v>27</v>
      </c>
      <c r="H3711" t="s">
        <v>48</v>
      </c>
      <c r="I3711" s="5">
        <v>245</v>
      </c>
      <c r="J3711" s="5">
        <v>135</v>
      </c>
      <c r="K3711" s="5">
        <v>16</v>
      </c>
      <c r="L3711" s="5">
        <v>4</v>
      </c>
      <c r="M3711" s="5">
        <v>4</v>
      </c>
      <c r="N3711" s="7">
        <v>603.22</v>
      </c>
      <c r="O3711" s="7">
        <f t="shared" si="401"/>
        <v>2412.88</v>
      </c>
      <c r="P3711" s="4">
        <v>0</v>
      </c>
      <c r="Q3711" s="7">
        <f t="shared" si="402"/>
        <v>0</v>
      </c>
      <c r="R3711" s="7">
        <f t="shared" si="403"/>
        <v>2412.88</v>
      </c>
      <c r="S3711" s="7">
        <f t="shared" si="404"/>
        <v>603.22</v>
      </c>
      <c r="T3711" s="6">
        <f t="shared" si="405"/>
        <v>1.6326530612244899E-2</v>
      </c>
      <c r="V3711" t="s">
        <v>29</v>
      </c>
    </row>
    <row r="3712" spans="1:22">
      <c r="A3712" s="3">
        <v>45812</v>
      </c>
      <c r="B3712" t="str">
        <f t="shared" si="399"/>
        <v>yyyy-06</v>
      </c>
      <c r="C3712">
        <f t="shared" si="400"/>
        <v>23</v>
      </c>
      <c r="D3712" t="s">
        <v>53</v>
      </c>
      <c r="E3712" t="s">
        <v>54</v>
      </c>
      <c r="F3712" t="s">
        <v>55</v>
      </c>
      <c r="G3712" t="s">
        <v>36</v>
      </c>
      <c r="H3712" t="s">
        <v>37</v>
      </c>
      <c r="I3712" s="5">
        <v>226</v>
      </c>
      <c r="J3712" s="5">
        <v>186</v>
      </c>
      <c r="K3712" s="5">
        <v>20</v>
      </c>
      <c r="L3712" s="5">
        <v>2</v>
      </c>
      <c r="M3712" s="5">
        <v>2</v>
      </c>
      <c r="N3712" s="7">
        <v>1308.1600000000001</v>
      </c>
      <c r="O3712" s="7">
        <f t="shared" si="401"/>
        <v>2616.3200000000002</v>
      </c>
      <c r="P3712" s="4">
        <v>0</v>
      </c>
      <c r="Q3712" s="7">
        <f t="shared" si="402"/>
        <v>0</v>
      </c>
      <c r="R3712" s="7">
        <f t="shared" si="403"/>
        <v>2616.3200000000002</v>
      </c>
      <c r="S3712" s="7">
        <f t="shared" si="404"/>
        <v>1308.1600000000001</v>
      </c>
      <c r="T3712" s="6">
        <f t="shared" si="405"/>
        <v>8.8495575221238937E-3</v>
      </c>
      <c r="V3712" t="s">
        <v>29</v>
      </c>
    </row>
    <row r="3713" spans="1:22">
      <c r="A3713" s="3">
        <v>45812</v>
      </c>
      <c r="B3713" t="str">
        <f t="shared" si="399"/>
        <v>yyyy-06</v>
      </c>
      <c r="C3713">
        <f t="shared" si="400"/>
        <v>23</v>
      </c>
      <c r="D3713" t="s">
        <v>53</v>
      </c>
      <c r="E3713" t="s">
        <v>56</v>
      </c>
      <c r="F3713" t="s">
        <v>57</v>
      </c>
      <c r="G3713" t="s">
        <v>36</v>
      </c>
      <c r="H3713" t="s">
        <v>37</v>
      </c>
      <c r="I3713" s="5">
        <v>242</v>
      </c>
      <c r="J3713" s="5">
        <v>145</v>
      </c>
      <c r="K3713" s="5">
        <v>9</v>
      </c>
      <c r="L3713" s="5">
        <v>2</v>
      </c>
      <c r="M3713" s="5">
        <v>2</v>
      </c>
      <c r="N3713" s="7">
        <v>756.45</v>
      </c>
      <c r="O3713" s="7">
        <f t="shared" si="401"/>
        <v>1512.9</v>
      </c>
      <c r="P3713" s="4">
        <v>0</v>
      </c>
      <c r="Q3713" s="7">
        <f t="shared" si="402"/>
        <v>0</v>
      </c>
      <c r="R3713" s="7">
        <f t="shared" si="403"/>
        <v>1512.9</v>
      </c>
      <c r="S3713" s="7">
        <f t="shared" si="404"/>
        <v>756.45</v>
      </c>
      <c r="T3713" s="6">
        <f t="shared" si="405"/>
        <v>8.2644628099173556E-3</v>
      </c>
      <c r="V3713" t="s">
        <v>29</v>
      </c>
    </row>
    <row r="3714" spans="1:22">
      <c r="A3714" s="3">
        <v>45812</v>
      </c>
      <c r="B3714" t="str">
        <f t="shared" si="399"/>
        <v>yyyy-06</v>
      </c>
      <c r="C3714">
        <f t="shared" si="400"/>
        <v>23</v>
      </c>
      <c r="D3714" t="s">
        <v>53</v>
      </c>
      <c r="E3714" t="s">
        <v>56</v>
      </c>
      <c r="F3714" t="s">
        <v>58</v>
      </c>
      <c r="G3714" t="s">
        <v>31</v>
      </c>
      <c r="H3714" t="s">
        <v>32</v>
      </c>
      <c r="I3714" s="5">
        <v>303</v>
      </c>
      <c r="J3714" s="5">
        <v>229</v>
      </c>
      <c r="K3714" s="5">
        <v>15</v>
      </c>
      <c r="L3714" s="5">
        <v>4</v>
      </c>
      <c r="M3714" s="5">
        <v>4</v>
      </c>
      <c r="N3714" s="7">
        <v>870.68</v>
      </c>
      <c r="O3714" s="7">
        <f t="shared" si="401"/>
        <v>3482.72</v>
      </c>
      <c r="P3714" s="4">
        <v>0.05</v>
      </c>
      <c r="Q3714" s="7">
        <f t="shared" si="402"/>
        <v>174.136</v>
      </c>
      <c r="R3714" s="7">
        <f t="shared" si="403"/>
        <v>3308.5839999999998</v>
      </c>
      <c r="S3714" s="7">
        <f t="shared" si="404"/>
        <v>827.14599999999996</v>
      </c>
      <c r="T3714" s="6">
        <f t="shared" si="405"/>
        <v>1.3201320132013201E-2</v>
      </c>
      <c r="V3714" t="s">
        <v>29</v>
      </c>
    </row>
    <row r="3715" spans="1:22">
      <c r="A3715" s="3">
        <v>45812</v>
      </c>
      <c r="B3715" t="str">
        <f t="shared" si="399"/>
        <v>yyyy-06</v>
      </c>
      <c r="C3715">
        <f t="shared" si="400"/>
        <v>23</v>
      </c>
      <c r="D3715" t="s">
        <v>53</v>
      </c>
      <c r="E3715" t="s">
        <v>59</v>
      </c>
      <c r="F3715" t="s">
        <v>60</v>
      </c>
      <c r="G3715" t="s">
        <v>27</v>
      </c>
      <c r="H3715" t="s">
        <v>45</v>
      </c>
      <c r="I3715" s="5">
        <v>170</v>
      </c>
      <c r="J3715" s="5">
        <v>99</v>
      </c>
      <c r="K3715" s="5">
        <v>10</v>
      </c>
      <c r="L3715" s="5">
        <v>2</v>
      </c>
      <c r="M3715" s="5">
        <v>2</v>
      </c>
      <c r="N3715" s="7">
        <v>711.77</v>
      </c>
      <c r="O3715" s="7">
        <f t="shared" si="401"/>
        <v>1423.54</v>
      </c>
      <c r="P3715" s="4">
        <v>0</v>
      </c>
      <c r="Q3715" s="7">
        <f t="shared" si="402"/>
        <v>0</v>
      </c>
      <c r="R3715" s="7">
        <f t="shared" si="403"/>
        <v>1423.54</v>
      </c>
      <c r="S3715" s="7">
        <f t="shared" si="404"/>
        <v>711.77</v>
      </c>
      <c r="T3715" s="6">
        <f t="shared" si="405"/>
        <v>1.1764705882352941E-2</v>
      </c>
      <c r="V3715" t="s">
        <v>29</v>
      </c>
    </row>
    <row r="3716" spans="1:22">
      <c r="A3716" s="3">
        <v>45812</v>
      </c>
      <c r="B3716" t="str">
        <f t="shared" si="399"/>
        <v>yyyy-06</v>
      </c>
      <c r="C3716">
        <f t="shared" si="400"/>
        <v>23</v>
      </c>
      <c r="D3716" t="s">
        <v>53</v>
      </c>
      <c r="E3716" t="s">
        <v>61</v>
      </c>
      <c r="F3716" t="s">
        <v>62</v>
      </c>
      <c r="G3716" t="s">
        <v>36</v>
      </c>
      <c r="H3716" t="s">
        <v>37</v>
      </c>
      <c r="I3716" s="5">
        <v>185</v>
      </c>
      <c r="J3716" s="5">
        <v>132</v>
      </c>
      <c r="K3716" s="5">
        <v>14</v>
      </c>
      <c r="L3716" s="5">
        <v>2</v>
      </c>
      <c r="M3716" s="5">
        <v>2</v>
      </c>
      <c r="N3716" s="7">
        <v>496.42</v>
      </c>
      <c r="O3716" s="7">
        <f t="shared" si="401"/>
        <v>992.84</v>
      </c>
      <c r="P3716" s="4">
        <v>0</v>
      </c>
      <c r="Q3716" s="7">
        <f t="shared" si="402"/>
        <v>0</v>
      </c>
      <c r="R3716" s="7">
        <f t="shared" si="403"/>
        <v>992.84</v>
      </c>
      <c r="S3716" s="7">
        <f t="shared" si="404"/>
        <v>496.42</v>
      </c>
      <c r="T3716" s="6">
        <f t="shared" si="405"/>
        <v>1.0810810810810811E-2</v>
      </c>
      <c r="V3716" t="s">
        <v>29</v>
      </c>
    </row>
    <row r="3717" spans="1:22">
      <c r="A3717" s="3">
        <v>45812</v>
      </c>
      <c r="B3717" t="str">
        <f t="shared" ref="B3717:B3780" si="406">TEXT(A3717,"yyyy-mm")</f>
        <v>yyyy-06</v>
      </c>
      <c r="C3717">
        <f t="shared" ref="C3717:C3780" si="407">WEEKNUM(A3717,2)</f>
        <v>23</v>
      </c>
      <c r="D3717" t="s">
        <v>53</v>
      </c>
      <c r="E3717" t="s">
        <v>64</v>
      </c>
      <c r="F3717" t="s">
        <v>65</v>
      </c>
      <c r="G3717" t="s">
        <v>27</v>
      </c>
      <c r="H3717" t="s">
        <v>48</v>
      </c>
      <c r="I3717" s="5">
        <v>192</v>
      </c>
      <c r="J3717" s="5">
        <v>111</v>
      </c>
      <c r="K3717" s="5">
        <v>12</v>
      </c>
      <c r="L3717" s="5">
        <v>2</v>
      </c>
      <c r="M3717" s="5">
        <v>2</v>
      </c>
      <c r="N3717" s="7">
        <v>791.55</v>
      </c>
      <c r="O3717" s="7">
        <f t="shared" ref="O3717:O3780" si="408">M3717*N3717</f>
        <v>1583.1</v>
      </c>
      <c r="P3717" s="4">
        <v>0</v>
      </c>
      <c r="Q3717" s="7">
        <f t="shared" ref="Q3717:Q3780" si="409">O3717*P3717</f>
        <v>0</v>
      </c>
      <c r="R3717" s="7">
        <f t="shared" ref="R3717:R3780" si="410">O3717-Q3717</f>
        <v>1583.1</v>
      </c>
      <c r="S3717" s="7">
        <f t="shared" ref="S3717:S3780" si="411">IFERROR(R3717/L3717,0)</f>
        <v>791.55</v>
      </c>
      <c r="T3717" s="6">
        <f t="shared" ref="T3717:T3780" si="412">IFERROR(L3717/I3717,0)</f>
        <v>1.0416666666666666E-2</v>
      </c>
      <c r="V3717" t="s">
        <v>29</v>
      </c>
    </row>
    <row r="3718" spans="1:22">
      <c r="A3718" s="3">
        <v>45812</v>
      </c>
      <c r="B3718" t="str">
        <f t="shared" si="406"/>
        <v>yyyy-06</v>
      </c>
      <c r="C3718">
        <f t="shared" si="407"/>
        <v>23</v>
      </c>
      <c r="D3718" t="s">
        <v>66</v>
      </c>
      <c r="E3718" t="s">
        <v>67</v>
      </c>
      <c r="F3718" t="s">
        <v>68</v>
      </c>
      <c r="G3718" t="s">
        <v>27</v>
      </c>
      <c r="H3718" t="s">
        <v>45</v>
      </c>
      <c r="I3718" s="5">
        <v>410</v>
      </c>
      <c r="J3718" s="5">
        <v>293</v>
      </c>
      <c r="K3718" s="5">
        <v>24</v>
      </c>
      <c r="L3718" s="5">
        <v>9</v>
      </c>
      <c r="M3718" s="5">
        <v>9</v>
      </c>
      <c r="N3718" s="7">
        <v>685.13</v>
      </c>
      <c r="O3718" s="7">
        <f t="shared" si="408"/>
        <v>6166.17</v>
      </c>
      <c r="P3718" s="4">
        <v>0.05</v>
      </c>
      <c r="Q3718" s="7">
        <f t="shared" si="409"/>
        <v>308.30850000000004</v>
      </c>
      <c r="R3718" s="7">
        <f t="shared" si="410"/>
        <v>5857.8615</v>
      </c>
      <c r="S3718" s="7">
        <f t="shared" si="411"/>
        <v>650.87350000000004</v>
      </c>
      <c r="T3718" s="6">
        <f t="shared" si="412"/>
        <v>2.1951219512195121E-2</v>
      </c>
      <c r="V3718" t="s">
        <v>29</v>
      </c>
    </row>
    <row r="3719" spans="1:22">
      <c r="A3719" s="3">
        <v>45812</v>
      </c>
      <c r="B3719" t="str">
        <f t="shared" si="406"/>
        <v>yyyy-06</v>
      </c>
      <c r="C3719">
        <f t="shared" si="407"/>
        <v>23</v>
      </c>
      <c r="D3719" t="s">
        <v>66</v>
      </c>
      <c r="E3719" t="s">
        <v>67</v>
      </c>
      <c r="F3719" t="s">
        <v>69</v>
      </c>
      <c r="G3719" t="s">
        <v>27</v>
      </c>
      <c r="H3719" t="s">
        <v>63</v>
      </c>
      <c r="I3719" s="5">
        <v>346</v>
      </c>
      <c r="J3719" s="5">
        <v>234</v>
      </c>
      <c r="K3719" s="5">
        <v>33</v>
      </c>
      <c r="L3719" s="5">
        <v>7</v>
      </c>
      <c r="M3719" s="5">
        <v>7</v>
      </c>
      <c r="N3719" s="7">
        <v>393.84</v>
      </c>
      <c r="O3719" s="7">
        <f t="shared" si="408"/>
        <v>2756.8799999999997</v>
      </c>
      <c r="P3719" s="4">
        <v>0</v>
      </c>
      <c r="Q3719" s="7">
        <f t="shared" si="409"/>
        <v>0</v>
      </c>
      <c r="R3719" s="7">
        <f t="shared" si="410"/>
        <v>2756.8799999999997</v>
      </c>
      <c r="S3719" s="7">
        <f t="shared" si="411"/>
        <v>393.84</v>
      </c>
      <c r="T3719" s="6">
        <f t="shared" si="412"/>
        <v>2.023121387283237E-2</v>
      </c>
      <c r="V3719" t="s">
        <v>29</v>
      </c>
    </row>
    <row r="3720" spans="1:22">
      <c r="A3720" s="3">
        <v>45812</v>
      </c>
      <c r="B3720" t="str">
        <f t="shared" si="406"/>
        <v>yyyy-06</v>
      </c>
      <c r="C3720">
        <f t="shared" si="407"/>
        <v>23</v>
      </c>
      <c r="D3720" t="s">
        <v>66</v>
      </c>
      <c r="E3720" t="s">
        <v>67</v>
      </c>
      <c r="F3720" t="s">
        <v>70</v>
      </c>
      <c r="G3720" t="s">
        <v>31</v>
      </c>
      <c r="H3720" t="s">
        <v>32</v>
      </c>
      <c r="I3720" s="5">
        <v>411</v>
      </c>
      <c r="J3720" s="5">
        <v>318</v>
      </c>
      <c r="K3720" s="5">
        <v>28</v>
      </c>
      <c r="L3720" s="5">
        <v>9</v>
      </c>
      <c r="M3720" s="5">
        <v>9</v>
      </c>
      <c r="N3720" s="7">
        <v>349.72</v>
      </c>
      <c r="O3720" s="7">
        <f t="shared" si="408"/>
        <v>3147.4800000000005</v>
      </c>
      <c r="P3720" s="4">
        <v>0</v>
      </c>
      <c r="Q3720" s="7">
        <f t="shared" si="409"/>
        <v>0</v>
      </c>
      <c r="R3720" s="7">
        <f t="shared" si="410"/>
        <v>3147.4800000000005</v>
      </c>
      <c r="S3720" s="7">
        <f t="shared" si="411"/>
        <v>349.72</v>
      </c>
      <c r="T3720" s="6">
        <f t="shared" si="412"/>
        <v>2.1897810218978103E-2</v>
      </c>
      <c r="V3720" t="s">
        <v>29</v>
      </c>
    </row>
    <row r="3721" spans="1:22">
      <c r="A3721" s="3">
        <v>45812</v>
      </c>
      <c r="B3721" t="str">
        <f t="shared" si="406"/>
        <v>yyyy-06</v>
      </c>
      <c r="C3721">
        <f t="shared" si="407"/>
        <v>23</v>
      </c>
      <c r="D3721" t="s">
        <v>66</v>
      </c>
      <c r="E3721" t="s">
        <v>71</v>
      </c>
      <c r="F3721" t="s">
        <v>72</v>
      </c>
      <c r="G3721" t="s">
        <v>27</v>
      </c>
      <c r="H3721" t="s">
        <v>28</v>
      </c>
      <c r="I3721" s="5">
        <v>380</v>
      </c>
      <c r="J3721" s="5">
        <v>243</v>
      </c>
      <c r="K3721" s="5">
        <v>22</v>
      </c>
      <c r="L3721" s="5">
        <v>8</v>
      </c>
      <c r="M3721" s="5">
        <v>9</v>
      </c>
      <c r="N3721" s="7">
        <v>124.25</v>
      </c>
      <c r="O3721" s="7">
        <f t="shared" si="408"/>
        <v>1118.25</v>
      </c>
      <c r="P3721" s="4">
        <v>0</v>
      </c>
      <c r="Q3721" s="7">
        <f t="shared" si="409"/>
        <v>0</v>
      </c>
      <c r="R3721" s="7">
        <f t="shared" si="410"/>
        <v>1118.25</v>
      </c>
      <c r="S3721" s="7">
        <f t="shared" si="411"/>
        <v>139.78125</v>
      </c>
      <c r="T3721" s="6">
        <f t="shared" si="412"/>
        <v>2.1052631578947368E-2</v>
      </c>
      <c r="V3721" t="s">
        <v>29</v>
      </c>
    </row>
    <row r="3722" spans="1:22">
      <c r="A3722" s="3">
        <v>45812</v>
      </c>
      <c r="B3722" t="str">
        <f t="shared" si="406"/>
        <v>yyyy-06</v>
      </c>
      <c r="C3722">
        <f t="shared" si="407"/>
        <v>23</v>
      </c>
      <c r="D3722" t="s">
        <v>66</v>
      </c>
      <c r="E3722" t="s">
        <v>73</v>
      </c>
      <c r="F3722" t="s">
        <v>74</v>
      </c>
      <c r="G3722" t="s">
        <v>36</v>
      </c>
      <c r="H3722" t="s">
        <v>37</v>
      </c>
      <c r="I3722" s="5">
        <v>232</v>
      </c>
      <c r="J3722" s="5">
        <v>183</v>
      </c>
      <c r="K3722" s="5">
        <v>16</v>
      </c>
      <c r="L3722" s="5">
        <v>5</v>
      </c>
      <c r="M3722" s="5">
        <v>5</v>
      </c>
      <c r="N3722" s="7">
        <v>1160.0999999999999</v>
      </c>
      <c r="O3722" s="7">
        <f t="shared" si="408"/>
        <v>5800.5</v>
      </c>
      <c r="P3722" s="4">
        <v>0</v>
      </c>
      <c r="Q3722" s="7">
        <f t="shared" si="409"/>
        <v>0</v>
      </c>
      <c r="R3722" s="7">
        <f t="shared" si="410"/>
        <v>5800.5</v>
      </c>
      <c r="S3722" s="7">
        <f t="shared" si="411"/>
        <v>1160.0999999999999</v>
      </c>
      <c r="T3722" s="6">
        <f t="shared" si="412"/>
        <v>2.1551724137931036E-2</v>
      </c>
      <c r="V3722" t="s">
        <v>29</v>
      </c>
    </row>
    <row r="3723" spans="1:22">
      <c r="A3723" s="3">
        <v>45812</v>
      </c>
      <c r="B3723" t="str">
        <f t="shared" si="406"/>
        <v>yyyy-06</v>
      </c>
      <c r="C3723">
        <f t="shared" si="407"/>
        <v>23</v>
      </c>
      <c r="D3723" t="s">
        <v>66</v>
      </c>
      <c r="E3723" t="s">
        <v>71</v>
      </c>
      <c r="F3723" t="s">
        <v>75</v>
      </c>
      <c r="G3723" t="s">
        <v>27</v>
      </c>
      <c r="H3723" t="s">
        <v>45</v>
      </c>
      <c r="I3723" s="5">
        <v>314</v>
      </c>
      <c r="J3723" s="5">
        <v>208</v>
      </c>
      <c r="K3723" s="5">
        <v>25</v>
      </c>
      <c r="L3723" s="5">
        <v>5</v>
      </c>
      <c r="M3723" s="5">
        <v>6</v>
      </c>
      <c r="N3723" s="7">
        <v>38.96</v>
      </c>
      <c r="O3723" s="7">
        <f t="shared" si="408"/>
        <v>233.76</v>
      </c>
      <c r="P3723" s="4">
        <v>0</v>
      </c>
      <c r="Q3723" s="7">
        <f t="shared" si="409"/>
        <v>0</v>
      </c>
      <c r="R3723" s="7">
        <f t="shared" si="410"/>
        <v>233.76</v>
      </c>
      <c r="S3723" s="7">
        <f t="shared" si="411"/>
        <v>46.751999999999995</v>
      </c>
      <c r="T3723" s="6">
        <f t="shared" si="412"/>
        <v>1.5923566878980892E-2</v>
      </c>
      <c r="V3723" t="s">
        <v>29</v>
      </c>
    </row>
    <row r="3724" spans="1:22">
      <c r="A3724" s="3">
        <v>45812</v>
      </c>
      <c r="B3724" t="str">
        <f t="shared" si="406"/>
        <v>yyyy-06</v>
      </c>
      <c r="C3724">
        <f t="shared" si="407"/>
        <v>23</v>
      </c>
      <c r="D3724" t="s">
        <v>24</v>
      </c>
      <c r="E3724" t="s">
        <v>76</v>
      </c>
      <c r="F3724" t="s">
        <v>77</v>
      </c>
      <c r="G3724" t="s">
        <v>36</v>
      </c>
      <c r="H3724" t="s">
        <v>37</v>
      </c>
      <c r="I3724" s="5">
        <v>750</v>
      </c>
      <c r="J3724" s="5">
        <v>413</v>
      </c>
      <c r="K3724" s="5">
        <v>42</v>
      </c>
      <c r="L3724" s="5">
        <v>9</v>
      </c>
      <c r="M3724" s="5">
        <v>11</v>
      </c>
      <c r="N3724" s="7">
        <v>201.3</v>
      </c>
      <c r="O3724" s="7">
        <f t="shared" si="408"/>
        <v>2214.3000000000002</v>
      </c>
      <c r="P3724" s="4">
        <v>0</v>
      </c>
      <c r="Q3724" s="7">
        <f t="shared" si="409"/>
        <v>0</v>
      </c>
      <c r="R3724" s="7">
        <f t="shared" si="410"/>
        <v>2214.3000000000002</v>
      </c>
      <c r="S3724" s="7">
        <f t="shared" si="411"/>
        <v>246.03333333333336</v>
      </c>
      <c r="T3724" s="6">
        <f t="shared" si="412"/>
        <v>1.2E-2</v>
      </c>
      <c r="V3724" t="s">
        <v>78</v>
      </c>
    </row>
    <row r="3725" spans="1:22">
      <c r="A3725" s="3">
        <v>45813</v>
      </c>
      <c r="B3725" t="str">
        <f t="shared" si="406"/>
        <v>yyyy-06</v>
      </c>
      <c r="C3725">
        <f t="shared" si="407"/>
        <v>23</v>
      </c>
      <c r="D3725" t="s">
        <v>24</v>
      </c>
      <c r="E3725" t="s">
        <v>25</v>
      </c>
      <c r="F3725" t="s">
        <v>26</v>
      </c>
      <c r="G3725" t="s">
        <v>36</v>
      </c>
      <c r="H3725" t="s">
        <v>37</v>
      </c>
      <c r="I3725" s="5">
        <v>1833</v>
      </c>
      <c r="J3725" s="5">
        <v>1382</v>
      </c>
      <c r="K3725" s="5">
        <v>131</v>
      </c>
      <c r="L3725" s="5">
        <v>29</v>
      </c>
      <c r="M3725" s="5">
        <v>29</v>
      </c>
      <c r="N3725" s="7">
        <v>1018.15</v>
      </c>
      <c r="O3725" s="7">
        <f t="shared" si="408"/>
        <v>29526.35</v>
      </c>
      <c r="P3725" s="4">
        <v>0</v>
      </c>
      <c r="Q3725" s="7">
        <f t="shared" si="409"/>
        <v>0</v>
      </c>
      <c r="R3725" s="7">
        <f t="shared" si="410"/>
        <v>29526.35</v>
      </c>
      <c r="S3725" s="7">
        <f t="shared" si="411"/>
        <v>1018.15</v>
      </c>
      <c r="T3725" s="6">
        <f t="shared" si="412"/>
        <v>1.5821058374249863E-2</v>
      </c>
      <c r="V3725" t="s">
        <v>29</v>
      </c>
    </row>
    <row r="3726" spans="1:22">
      <c r="A3726" s="3">
        <v>45813</v>
      </c>
      <c r="B3726" t="str">
        <f t="shared" si="406"/>
        <v>yyyy-06</v>
      </c>
      <c r="C3726">
        <f t="shared" si="407"/>
        <v>23</v>
      </c>
      <c r="D3726" t="s">
        <v>24</v>
      </c>
      <c r="E3726" t="s">
        <v>25</v>
      </c>
      <c r="F3726" t="s">
        <v>30</v>
      </c>
      <c r="G3726" t="s">
        <v>31</v>
      </c>
      <c r="H3726" t="s">
        <v>32</v>
      </c>
      <c r="I3726" s="5">
        <v>2010</v>
      </c>
      <c r="J3726" s="5">
        <v>1337</v>
      </c>
      <c r="K3726" s="5">
        <v>155</v>
      </c>
      <c r="L3726" s="5">
        <v>40</v>
      </c>
      <c r="M3726" s="5">
        <v>40</v>
      </c>
      <c r="N3726" s="7">
        <v>391.67</v>
      </c>
      <c r="O3726" s="7">
        <f t="shared" si="408"/>
        <v>15666.800000000001</v>
      </c>
      <c r="P3726" s="4">
        <v>0.05</v>
      </c>
      <c r="Q3726" s="7">
        <f t="shared" si="409"/>
        <v>783.34000000000015</v>
      </c>
      <c r="R3726" s="7">
        <f t="shared" si="410"/>
        <v>14883.460000000001</v>
      </c>
      <c r="S3726" s="7">
        <f t="shared" si="411"/>
        <v>372.0865</v>
      </c>
      <c r="T3726" s="6">
        <f t="shared" si="412"/>
        <v>1.9900497512437811E-2</v>
      </c>
      <c r="V3726" t="s">
        <v>29</v>
      </c>
    </row>
    <row r="3727" spans="1:22">
      <c r="A3727" s="3">
        <v>45813</v>
      </c>
      <c r="B3727" t="str">
        <f t="shared" si="406"/>
        <v>yyyy-06</v>
      </c>
      <c r="C3727">
        <f t="shared" si="407"/>
        <v>23</v>
      </c>
      <c r="D3727" t="s">
        <v>24</v>
      </c>
      <c r="E3727" t="s">
        <v>25</v>
      </c>
      <c r="F3727" t="s">
        <v>33</v>
      </c>
      <c r="G3727" t="s">
        <v>27</v>
      </c>
      <c r="H3727" t="s">
        <v>63</v>
      </c>
      <c r="I3727" s="5">
        <v>1212</v>
      </c>
      <c r="J3727" s="5">
        <v>778</v>
      </c>
      <c r="K3727" s="5">
        <v>46</v>
      </c>
      <c r="L3727" s="5">
        <v>19</v>
      </c>
      <c r="M3727" s="5">
        <v>19</v>
      </c>
      <c r="N3727" s="7">
        <v>1816.12</v>
      </c>
      <c r="O3727" s="7">
        <f t="shared" si="408"/>
        <v>34506.28</v>
      </c>
      <c r="P3727" s="4">
        <v>0</v>
      </c>
      <c r="Q3727" s="7">
        <f t="shared" si="409"/>
        <v>0</v>
      </c>
      <c r="R3727" s="7">
        <f t="shared" si="410"/>
        <v>34506.28</v>
      </c>
      <c r="S3727" s="7">
        <f t="shared" si="411"/>
        <v>1816.12</v>
      </c>
      <c r="T3727" s="6">
        <f t="shared" si="412"/>
        <v>1.5676567656765675E-2</v>
      </c>
      <c r="V3727" t="s">
        <v>29</v>
      </c>
    </row>
    <row r="3728" spans="1:22">
      <c r="A3728" s="3">
        <v>45813</v>
      </c>
      <c r="B3728" t="str">
        <f t="shared" si="406"/>
        <v>yyyy-06</v>
      </c>
      <c r="C3728">
        <f t="shared" si="407"/>
        <v>23</v>
      </c>
      <c r="D3728" t="s">
        <v>24</v>
      </c>
      <c r="E3728" t="s">
        <v>34</v>
      </c>
      <c r="F3728" t="s">
        <v>35</v>
      </c>
      <c r="G3728" t="s">
        <v>27</v>
      </c>
      <c r="H3728" t="s">
        <v>45</v>
      </c>
      <c r="I3728" s="5">
        <v>1068</v>
      </c>
      <c r="J3728" s="5">
        <v>653</v>
      </c>
      <c r="K3728" s="5">
        <v>91</v>
      </c>
      <c r="L3728" s="5">
        <v>24</v>
      </c>
      <c r="M3728" s="5">
        <v>24</v>
      </c>
      <c r="N3728" s="7">
        <v>876.99</v>
      </c>
      <c r="O3728" s="7">
        <f t="shared" si="408"/>
        <v>21047.760000000002</v>
      </c>
      <c r="P3728" s="4">
        <v>0.05</v>
      </c>
      <c r="Q3728" s="7">
        <f t="shared" si="409"/>
        <v>1052.3880000000001</v>
      </c>
      <c r="R3728" s="7">
        <f t="shared" si="410"/>
        <v>19995.372000000003</v>
      </c>
      <c r="S3728" s="7">
        <f t="shared" si="411"/>
        <v>833.14050000000009</v>
      </c>
      <c r="T3728" s="6">
        <f t="shared" si="412"/>
        <v>2.247191011235955E-2</v>
      </c>
      <c r="V3728" t="s">
        <v>29</v>
      </c>
    </row>
    <row r="3729" spans="1:22">
      <c r="A3729" s="3">
        <v>45813</v>
      </c>
      <c r="B3729" t="str">
        <f t="shared" si="406"/>
        <v>yyyy-06</v>
      </c>
      <c r="C3729">
        <f t="shared" si="407"/>
        <v>23</v>
      </c>
      <c r="D3729" t="s">
        <v>24</v>
      </c>
      <c r="E3729" t="s">
        <v>38</v>
      </c>
      <c r="F3729" t="s">
        <v>39</v>
      </c>
      <c r="G3729" t="s">
        <v>36</v>
      </c>
      <c r="H3729" t="s">
        <v>37</v>
      </c>
      <c r="I3729" s="5">
        <v>934</v>
      </c>
      <c r="J3729" s="5">
        <v>753</v>
      </c>
      <c r="K3729" s="5">
        <v>78</v>
      </c>
      <c r="L3729" s="5">
        <v>18</v>
      </c>
      <c r="M3729" s="5">
        <v>18</v>
      </c>
      <c r="N3729" s="7">
        <v>333.81</v>
      </c>
      <c r="O3729" s="7">
        <f t="shared" si="408"/>
        <v>6008.58</v>
      </c>
      <c r="P3729" s="4">
        <v>0</v>
      </c>
      <c r="Q3729" s="7">
        <f t="shared" si="409"/>
        <v>0</v>
      </c>
      <c r="R3729" s="7">
        <f t="shared" si="410"/>
        <v>6008.58</v>
      </c>
      <c r="S3729" s="7">
        <f t="shared" si="411"/>
        <v>333.81</v>
      </c>
      <c r="T3729" s="6">
        <f t="shared" si="412"/>
        <v>1.9271948608137045E-2</v>
      </c>
      <c r="V3729" t="s">
        <v>29</v>
      </c>
    </row>
    <row r="3730" spans="1:22">
      <c r="A3730" s="3">
        <v>45813</v>
      </c>
      <c r="B3730" t="str">
        <f t="shared" si="406"/>
        <v>yyyy-06</v>
      </c>
      <c r="C3730">
        <f t="shared" si="407"/>
        <v>23</v>
      </c>
      <c r="D3730" t="s">
        <v>24</v>
      </c>
      <c r="E3730" t="s">
        <v>40</v>
      </c>
      <c r="F3730" t="s">
        <v>41</v>
      </c>
      <c r="G3730" t="s">
        <v>27</v>
      </c>
      <c r="H3730" t="s">
        <v>28</v>
      </c>
      <c r="I3730" s="5">
        <v>778</v>
      </c>
      <c r="J3730" s="5">
        <v>628</v>
      </c>
      <c r="K3730" s="5">
        <v>70</v>
      </c>
      <c r="L3730" s="5">
        <v>14</v>
      </c>
      <c r="M3730" s="5">
        <v>18</v>
      </c>
      <c r="N3730" s="7">
        <v>175.64</v>
      </c>
      <c r="O3730" s="7">
        <f t="shared" si="408"/>
        <v>3161.5199999999995</v>
      </c>
      <c r="P3730" s="4">
        <v>0.05</v>
      </c>
      <c r="Q3730" s="7">
        <f t="shared" si="409"/>
        <v>158.07599999999999</v>
      </c>
      <c r="R3730" s="7">
        <f t="shared" si="410"/>
        <v>3003.4439999999995</v>
      </c>
      <c r="S3730" s="7">
        <f t="shared" si="411"/>
        <v>214.53171428571426</v>
      </c>
      <c r="T3730" s="6">
        <f t="shared" si="412"/>
        <v>1.7994858611825194E-2</v>
      </c>
      <c r="V3730" t="s">
        <v>29</v>
      </c>
    </row>
    <row r="3731" spans="1:22">
      <c r="A3731" s="3">
        <v>45813</v>
      </c>
      <c r="B3731" t="str">
        <f t="shared" si="406"/>
        <v>yyyy-06</v>
      </c>
      <c r="C3731">
        <f t="shared" si="407"/>
        <v>23</v>
      </c>
      <c r="D3731" t="s">
        <v>42</v>
      </c>
      <c r="E3731" t="s">
        <v>43</v>
      </c>
      <c r="F3731" t="s">
        <v>44</v>
      </c>
      <c r="G3731" t="s">
        <v>36</v>
      </c>
      <c r="H3731" t="s">
        <v>37</v>
      </c>
      <c r="I3731" s="5">
        <v>691</v>
      </c>
      <c r="J3731" s="5">
        <v>400</v>
      </c>
      <c r="K3731" s="5">
        <v>41</v>
      </c>
      <c r="L3731" s="5">
        <v>10</v>
      </c>
      <c r="M3731" s="5">
        <v>10</v>
      </c>
      <c r="N3731" s="7">
        <v>1303.77</v>
      </c>
      <c r="O3731" s="7">
        <f t="shared" si="408"/>
        <v>13037.7</v>
      </c>
      <c r="P3731" s="4">
        <v>0.11</v>
      </c>
      <c r="Q3731" s="7">
        <f t="shared" si="409"/>
        <v>1434.1470000000002</v>
      </c>
      <c r="R3731" s="7">
        <f t="shared" si="410"/>
        <v>11603.553</v>
      </c>
      <c r="S3731" s="7">
        <f t="shared" si="411"/>
        <v>1160.3552999999999</v>
      </c>
      <c r="T3731" s="6">
        <f t="shared" si="412"/>
        <v>1.4471780028943559E-2</v>
      </c>
      <c r="U3731" t="s">
        <v>99</v>
      </c>
      <c r="V3731" t="s">
        <v>29</v>
      </c>
    </row>
    <row r="3732" spans="1:22">
      <c r="A3732" s="3">
        <v>45813</v>
      </c>
      <c r="B3732" t="str">
        <f t="shared" si="406"/>
        <v>yyyy-06</v>
      </c>
      <c r="C3732">
        <f t="shared" si="407"/>
        <v>23</v>
      </c>
      <c r="D3732" t="s">
        <v>42</v>
      </c>
      <c r="E3732" t="s">
        <v>43</v>
      </c>
      <c r="F3732" t="s">
        <v>46</v>
      </c>
      <c r="G3732" t="s">
        <v>27</v>
      </c>
      <c r="H3732" t="s">
        <v>28</v>
      </c>
      <c r="I3732" s="5">
        <v>624</v>
      </c>
      <c r="J3732" s="5">
        <v>465</v>
      </c>
      <c r="K3732" s="5">
        <v>26</v>
      </c>
      <c r="L3732" s="5">
        <v>11</v>
      </c>
      <c r="M3732" s="5">
        <v>11</v>
      </c>
      <c r="N3732" s="7">
        <v>2201.13</v>
      </c>
      <c r="O3732" s="7">
        <f t="shared" si="408"/>
        <v>24212.43</v>
      </c>
      <c r="P3732" s="4">
        <v>0.11</v>
      </c>
      <c r="Q3732" s="7">
        <f t="shared" si="409"/>
        <v>2663.3672999999999</v>
      </c>
      <c r="R3732" s="7">
        <f t="shared" si="410"/>
        <v>21549.062700000002</v>
      </c>
      <c r="S3732" s="7">
        <f t="shared" si="411"/>
        <v>1959.0057000000002</v>
      </c>
      <c r="T3732" s="6">
        <f t="shared" si="412"/>
        <v>1.7628205128205128E-2</v>
      </c>
      <c r="U3732" t="s">
        <v>99</v>
      </c>
      <c r="V3732" t="s">
        <v>29</v>
      </c>
    </row>
    <row r="3733" spans="1:22">
      <c r="A3733" s="3">
        <v>45813</v>
      </c>
      <c r="B3733" t="str">
        <f t="shared" si="406"/>
        <v>yyyy-06</v>
      </c>
      <c r="C3733">
        <f t="shared" si="407"/>
        <v>23</v>
      </c>
      <c r="D3733" t="s">
        <v>42</v>
      </c>
      <c r="E3733" t="s">
        <v>43</v>
      </c>
      <c r="F3733" t="s">
        <v>47</v>
      </c>
      <c r="G3733" t="s">
        <v>27</v>
      </c>
      <c r="H3733" t="s">
        <v>48</v>
      </c>
      <c r="I3733" s="5">
        <v>402</v>
      </c>
      <c r="J3733" s="5">
        <v>316</v>
      </c>
      <c r="K3733" s="5">
        <v>31</v>
      </c>
      <c r="L3733" s="5">
        <v>9</v>
      </c>
      <c r="M3733" s="5">
        <v>9</v>
      </c>
      <c r="N3733" s="7">
        <v>589.73</v>
      </c>
      <c r="O3733" s="7">
        <f t="shared" si="408"/>
        <v>5307.57</v>
      </c>
      <c r="P3733" s="4">
        <v>0.11</v>
      </c>
      <c r="Q3733" s="7">
        <f t="shared" si="409"/>
        <v>583.83269999999993</v>
      </c>
      <c r="R3733" s="7">
        <f t="shared" si="410"/>
        <v>4723.7372999999998</v>
      </c>
      <c r="S3733" s="7">
        <f t="shared" si="411"/>
        <v>524.85969999999998</v>
      </c>
      <c r="T3733" s="6">
        <f t="shared" si="412"/>
        <v>2.2388059701492536E-2</v>
      </c>
      <c r="U3733" t="s">
        <v>99</v>
      </c>
      <c r="V3733" t="s">
        <v>29</v>
      </c>
    </row>
    <row r="3734" spans="1:22">
      <c r="A3734" s="3">
        <v>45813</v>
      </c>
      <c r="B3734" t="str">
        <f t="shared" si="406"/>
        <v>yyyy-06</v>
      </c>
      <c r="C3734">
        <f t="shared" si="407"/>
        <v>23</v>
      </c>
      <c r="D3734" t="s">
        <v>42</v>
      </c>
      <c r="E3734" t="s">
        <v>49</v>
      </c>
      <c r="F3734" t="s">
        <v>50</v>
      </c>
      <c r="G3734" t="s">
        <v>27</v>
      </c>
      <c r="H3734" t="s">
        <v>45</v>
      </c>
      <c r="I3734" s="5">
        <v>152</v>
      </c>
      <c r="J3734" s="5">
        <v>110</v>
      </c>
      <c r="K3734" s="5">
        <v>13</v>
      </c>
      <c r="L3734" s="5">
        <v>2</v>
      </c>
      <c r="M3734" s="5">
        <v>2</v>
      </c>
      <c r="N3734" s="7">
        <v>979.2</v>
      </c>
      <c r="O3734" s="7">
        <f t="shared" si="408"/>
        <v>1958.4</v>
      </c>
      <c r="P3734" s="4">
        <v>0.05</v>
      </c>
      <c r="Q3734" s="7">
        <f t="shared" si="409"/>
        <v>97.920000000000016</v>
      </c>
      <c r="R3734" s="7">
        <f t="shared" si="410"/>
        <v>1860.48</v>
      </c>
      <c r="S3734" s="7">
        <f t="shared" si="411"/>
        <v>930.24</v>
      </c>
      <c r="T3734" s="6">
        <f t="shared" si="412"/>
        <v>1.3157894736842105E-2</v>
      </c>
      <c r="V3734" t="s">
        <v>78</v>
      </c>
    </row>
    <row r="3735" spans="1:22">
      <c r="A3735" s="3">
        <v>45813</v>
      </c>
      <c r="B3735" t="str">
        <f t="shared" si="406"/>
        <v>yyyy-06</v>
      </c>
      <c r="C3735">
        <f t="shared" si="407"/>
        <v>23</v>
      </c>
      <c r="D3735" t="s">
        <v>42</v>
      </c>
      <c r="E3735" t="s">
        <v>51</v>
      </c>
      <c r="F3735" t="s">
        <v>52</v>
      </c>
      <c r="G3735" t="s">
        <v>36</v>
      </c>
      <c r="H3735" t="s">
        <v>37</v>
      </c>
      <c r="I3735" s="5">
        <v>293</v>
      </c>
      <c r="J3735" s="5">
        <v>239</v>
      </c>
      <c r="K3735" s="5">
        <v>27</v>
      </c>
      <c r="L3735" s="5">
        <v>5</v>
      </c>
      <c r="M3735" s="5">
        <v>5</v>
      </c>
      <c r="N3735" s="7">
        <v>600.46</v>
      </c>
      <c r="O3735" s="7">
        <f t="shared" si="408"/>
        <v>3002.3</v>
      </c>
      <c r="P3735" s="4">
        <v>0</v>
      </c>
      <c r="Q3735" s="7">
        <f t="shared" si="409"/>
        <v>0</v>
      </c>
      <c r="R3735" s="7">
        <f t="shared" si="410"/>
        <v>3002.3</v>
      </c>
      <c r="S3735" s="7">
        <f t="shared" si="411"/>
        <v>600.46</v>
      </c>
      <c r="T3735" s="6">
        <f t="shared" si="412"/>
        <v>1.7064846416382253E-2</v>
      </c>
      <c r="V3735" t="s">
        <v>29</v>
      </c>
    </row>
    <row r="3736" spans="1:22">
      <c r="A3736" s="3">
        <v>45813</v>
      </c>
      <c r="B3736" t="str">
        <f t="shared" si="406"/>
        <v>yyyy-06</v>
      </c>
      <c r="C3736">
        <f t="shared" si="407"/>
        <v>23</v>
      </c>
      <c r="D3736" t="s">
        <v>53</v>
      </c>
      <c r="E3736" t="s">
        <v>54</v>
      </c>
      <c r="F3736" t="s">
        <v>55</v>
      </c>
      <c r="G3736" t="s">
        <v>27</v>
      </c>
      <c r="H3736" t="s">
        <v>45</v>
      </c>
      <c r="I3736" s="5">
        <v>209</v>
      </c>
      <c r="J3736" s="5">
        <v>119</v>
      </c>
      <c r="K3736" s="5">
        <v>11</v>
      </c>
      <c r="L3736" s="5">
        <v>2</v>
      </c>
      <c r="M3736" s="5">
        <v>2</v>
      </c>
      <c r="N3736" s="7">
        <v>1273.42</v>
      </c>
      <c r="O3736" s="7">
        <f t="shared" si="408"/>
        <v>2546.84</v>
      </c>
      <c r="P3736" s="4">
        <v>0.03</v>
      </c>
      <c r="Q3736" s="7">
        <f t="shared" si="409"/>
        <v>76.405200000000008</v>
      </c>
      <c r="R3736" s="7">
        <f t="shared" si="410"/>
        <v>2470.4348</v>
      </c>
      <c r="S3736" s="7">
        <f t="shared" si="411"/>
        <v>1235.2174</v>
      </c>
      <c r="T3736" s="6">
        <f t="shared" si="412"/>
        <v>9.5693779904306216E-3</v>
      </c>
      <c r="V3736" t="s">
        <v>29</v>
      </c>
    </row>
    <row r="3737" spans="1:22">
      <c r="A3737" s="3">
        <v>45813</v>
      </c>
      <c r="B3737" t="str">
        <f t="shared" si="406"/>
        <v>yyyy-06</v>
      </c>
      <c r="C3737">
        <f t="shared" si="407"/>
        <v>23</v>
      </c>
      <c r="D3737" t="s">
        <v>53</v>
      </c>
      <c r="E3737" t="s">
        <v>56</v>
      </c>
      <c r="F3737" t="s">
        <v>57</v>
      </c>
      <c r="G3737" t="s">
        <v>36</v>
      </c>
      <c r="H3737" t="s">
        <v>37</v>
      </c>
      <c r="I3737" s="5">
        <v>300</v>
      </c>
      <c r="J3737" s="5">
        <v>242</v>
      </c>
      <c r="K3737" s="5">
        <v>15</v>
      </c>
      <c r="L3737" s="5">
        <v>3</v>
      </c>
      <c r="M3737" s="5">
        <v>3</v>
      </c>
      <c r="N3737" s="7">
        <v>728.31</v>
      </c>
      <c r="O3737" s="7">
        <f t="shared" si="408"/>
        <v>2184.9299999999998</v>
      </c>
      <c r="P3737" s="4">
        <v>0.03</v>
      </c>
      <c r="Q3737" s="7">
        <f t="shared" si="409"/>
        <v>65.547899999999998</v>
      </c>
      <c r="R3737" s="7">
        <f t="shared" si="410"/>
        <v>2119.3820999999998</v>
      </c>
      <c r="S3737" s="7">
        <f t="shared" si="411"/>
        <v>706.46069999999997</v>
      </c>
      <c r="T3737" s="6">
        <f t="shared" si="412"/>
        <v>0.01</v>
      </c>
      <c r="V3737" t="s">
        <v>29</v>
      </c>
    </row>
    <row r="3738" spans="1:22">
      <c r="A3738" s="3">
        <v>45813</v>
      </c>
      <c r="B3738" t="str">
        <f t="shared" si="406"/>
        <v>yyyy-06</v>
      </c>
      <c r="C3738">
        <f t="shared" si="407"/>
        <v>23</v>
      </c>
      <c r="D3738" t="s">
        <v>53</v>
      </c>
      <c r="E3738" t="s">
        <v>56</v>
      </c>
      <c r="F3738" t="s">
        <v>58</v>
      </c>
      <c r="G3738" t="s">
        <v>31</v>
      </c>
      <c r="H3738" t="s">
        <v>32</v>
      </c>
      <c r="I3738" s="5">
        <v>267</v>
      </c>
      <c r="J3738" s="5">
        <v>214</v>
      </c>
      <c r="K3738" s="5">
        <v>24</v>
      </c>
      <c r="L3738" s="5">
        <v>3</v>
      </c>
      <c r="M3738" s="5">
        <v>3</v>
      </c>
      <c r="N3738" s="7">
        <v>873.48</v>
      </c>
      <c r="O3738" s="7">
        <f t="shared" si="408"/>
        <v>2620.44</v>
      </c>
      <c r="P3738" s="4">
        <v>0.05</v>
      </c>
      <c r="Q3738" s="7">
        <f t="shared" si="409"/>
        <v>131.02200000000002</v>
      </c>
      <c r="R3738" s="7">
        <f t="shared" si="410"/>
        <v>2489.4180000000001</v>
      </c>
      <c r="S3738" s="7">
        <f t="shared" si="411"/>
        <v>829.80600000000004</v>
      </c>
      <c r="T3738" s="6">
        <f t="shared" si="412"/>
        <v>1.1235955056179775E-2</v>
      </c>
      <c r="V3738" t="s">
        <v>29</v>
      </c>
    </row>
    <row r="3739" spans="1:22">
      <c r="A3739" s="3">
        <v>45813</v>
      </c>
      <c r="B3739" t="str">
        <f t="shared" si="406"/>
        <v>yyyy-06</v>
      </c>
      <c r="C3739">
        <f t="shared" si="407"/>
        <v>23</v>
      </c>
      <c r="D3739" t="s">
        <v>53</v>
      </c>
      <c r="E3739" t="s">
        <v>59</v>
      </c>
      <c r="F3739" t="s">
        <v>60</v>
      </c>
      <c r="G3739" t="s">
        <v>27</v>
      </c>
      <c r="H3739" t="s">
        <v>45</v>
      </c>
      <c r="I3739" s="5">
        <v>189</v>
      </c>
      <c r="J3739" s="5">
        <v>143</v>
      </c>
      <c r="K3739" s="5">
        <v>17</v>
      </c>
      <c r="L3739" s="5">
        <v>2</v>
      </c>
      <c r="M3739" s="5">
        <v>2</v>
      </c>
      <c r="N3739" s="7">
        <v>676.06</v>
      </c>
      <c r="O3739" s="7">
        <f t="shared" si="408"/>
        <v>1352.12</v>
      </c>
      <c r="P3739" s="4">
        <v>0.05</v>
      </c>
      <c r="Q3739" s="7">
        <f t="shared" si="409"/>
        <v>67.605999999999995</v>
      </c>
      <c r="R3739" s="7">
        <f t="shared" si="410"/>
        <v>1284.5139999999999</v>
      </c>
      <c r="S3739" s="7">
        <f t="shared" si="411"/>
        <v>642.25699999999995</v>
      </c>
      <c r="T3739" s="6">
        <f t="shared" si="412"/>
        <v>1.0582010582010581E-2</v>
      </c>
      <c r="V3739" t="s">
        <v>29</v>
      </c>
    </row>
    <row r="3740" spans="1:22">
      <c r="A3740" s="3">
        <v>45813</v>
      </c>
      <c r="B3740" t="str">
        <f t="shared" si="406"/>
        <v>yyyy-06</v>
      </c>
      <c r="C3740">
        <f t="shared" si="407"/>
        <v>23</v>
      </c>
      <c r="D3740" t="s">
        <v>53</v>
      </c>
      <c r="E3740" t="s">
        <v>61</v>
      </c>
      <c r="F3740" t="s">
        <v>62</v>
      </c>
      <c r="G3740" t="s">
        <v>31</v>
      </c>
      <c r="H3740" t="s">
        <v>32</v>
      </c>
      <c r="I3740" s="5">
        <v>108</v>
      </c>
      <c r="J3740" s="5">
        <v>61</v>
      </c>
      <c r="K3740" s="5">
        <v>1</v>
      </c>
      <c r="L3740" s="5">
        <v>0</v>
      </c>
      <c r="M3740" s="5">
        <v>0</v>
      </c>
      <c r="N3740" s="7">
        <v>507.6</v>
      </c>
      <c r="O3740" s="7">
        <f t="shared" si="408"/>
        <v>0</v>
      </c>
      <c r="P3740" s="4">
        <v>0</v>
      </c>
      <c r="Q3740" s="7">
        <f t="shared" si="409"/>
        <v>0</v>
      </c>
      <c r="R3740" s="7">
        <f t="shared" si="410"/>
        <v>0</v>
      </c>
      <c r="S3740" s="7">
        <f t="shared" si="411"/>
        <v>0</v>
      </c>
      <c r="T3740" s="6">
        <f t="shared" si="412"/>
        <v>0</v>
      </c>
      <c r="V3740" t="s">
        <v>81</v>
      </c>
    </row>
    <row r="3741" spans="1:22">
      <c r="A3741" s="3">
        <v>45813</v>
      </c>
      <c r="B3741" t="str">
        <f t="shared" si="406"/>
        <v>yyyy-06</v>
      </c>
      <c r="C3741">
        <f t="shared" si="407"/>
        <v>23</v>
      </c>
      <c r="D3741" t="s">
        <v>53</v>
      </c>
      <c r="E3741" t="s">
        <v>64</v>
      </c>
      <c r="F3741" t="s">
        <v>65</v>
      </c>
      <c r="G3741" t="s">
        <v>27</v>
      </c>
      <c r="H3741" t="s">
        <v>45</v>
      </c>
      <c r="I3741" s="5">
        <v>163</v>
      </c>
      <c r="J3741" s="5">
        <v>133</v>
      </c>
      <c r="K3741" s="5">
        <v>15</v>
      </c>
      <c r="L3741" s="5">
        <v>2</v>
      </c>
      <c r="M3741" s="5">
        <v>2</v>
      </c>
      <c r="N3741" s="7">
        <v>770.31</v>
      </c>
      <c r="O3741" s="7">
        <f t="shared" si="408"/>
        <v>1540.62</v>
      </c>
      <c r="P3741" s="4">
        <v>0</v>
      </c>
      <c r="Q3741" s="7">
        <f t="shared" si="409"/>
        <v>0</v>
      </c>
      <c r="R3741" s="7">
        <f t="shared" si="410"/>
        <v>1540.62</v>
      </c>
      <c r="S3741" s="7">
        <f t="shared" si="411"/>
        <v>770.31</v>
      </c>
      <c r="T3741" s="6">
        <f t="shared" si="412"/>
        <v>1.2269938650306749E-2</v>
      </c>
      <c r="V3741" t="s">
        <v>29</v>
      </c>
    </row>
    <row r="3742" spans="1:22">
      <c r="A3742" s="3">
        <v>45813</v>
      </c>
      <c r="B3742" t="str">
        <f t="shared" si="406"/>
        <v>yyyy-06</v>
      </c>
      <c r="C3742">
        <f t="shared" si="407"/>
        <v>23</v>
      </c>
      <c r="D3742" t="s">
        <v>66</v>
      </c>
      <c r="E3742" t="s">
        <v>67</v>
      </c>
      <c r="F3742" t="s">
        <v>68</v>
      </c>
      <c r="G3742" t="s">
        <v>27</v>
      </c>
      <c r="H3742" t="s">
        <v>48</v>
      </c>
      <c r="I3742" s="5">
        <v>289</v>
      </c>
      <c r="J3742" s="5">
        <v>237</v>
      </c>
      <c r="K3742" s="5">
        <v>20</v>
      </c>
      <c r="L3742" s="5">
        <v>5</v>
      </c>
      <c r="M3742" s="5">
        <v>5</v>
      </c>
      <c r="N3742" s="7">
        <v>679.2</v>
      </c>
      <c r="O3742" s="7">
        <f t="shared" si="408"/>
        <v>3396</v>
      </c>
      <c r="P3742" s="4">
        <v>0</v>
      </c>
      <c r="Q3742" s="7">
        <f t="shared" si="409"/>
        <v>0</v>
      </c>
      <c r="R3742" s="7">
        <f t="shared" si="410"/>
        <v>3396</v>
      </c>
      <c r="S3742" s="7">
        <f t="shared" si="411"/>
        <v>679.2</v>
      </c>
      <c r="T3742" s="6">
        <f t="shared" si="412"/>
        <v>1.7301038062283738E-2</v>
      </c>
      <c r="V3742" t="s">
        <v>29</v>
      </c>
    </row>
    <row r="3743" spans="1:22">
      <c r="A3743" s="3">
        <v>45813</v>
      </c>
      <c r="B3743" t="str">
        <f t="shared" si="406"/>
        <v>yyyy-06</v>
      </c>
      <c r="C3743">
        <f t="shared" si="407"/>
        <v>23</v>
      </c>
      <c r="D3743" t="s">
        <v>66</v>
      </c>
      <c r="E3743" t="s">
        <v>67</v>
      </c>
      <c r="F3743" t="s">
        <v>69</v>
      </c>
      <c r="G3743" t="s">
        <v>27</v>
      </c>
      <c r="H3743" t="s">
        <v>28</v>
      </c>
      <c r="I3743" s="5">
        <v>484</v>
      </c>
      <c r="J3743" s="5">
        <v>259</v>
      </c>
      <c r="K3743" s="5">
        <v>32</v>
      </c>
      <c r="L3743" s="5">
        <v>7</v>
      </c>
      <c r="M3743" s="5">
        <v>7</v>
      </c>
      <c r="N3743" s="7">
        <v>403.39</v>
      </c>
      <c r="O3743" s="7">
        <f t="shared" si="408"/>
        <v>2823.73</v>
      </c>
      <c r="P3743" s="4">
        <v>0</v>
      </c>
      <c r="Q3743" s="7">
        <f t="shared" si="409"/>
        <v>0</v>
      </c>
      <c r="R3743" s="7">
        <f t="shared" si="410"/>
        <v>2823.73</v>
      </c>
      <c r="S3743" s="7">
        <f t="shared" si="411"/>
        <v>403.39</v>
      </c>
      <c r="T3743" s="6">
        <f t="shared" si="412"/>
        <v>1.4462809917355372E-2</v>
      </c>
      <c r="V3743" t="s">
        <v>78</v>
      </c>
    </row>
    <row r="3744" spans="1:22">
      <c r="A3744" s="3">
        <v>45813</v>
      </c>
      <c r="B3744" t="str">
        <f t="shared" si="406"/>
        <v>yyyy-06</v>
      </c>
      <c r="C3744">
        <f t="shared" si="407"/>
        <v>23</v>
      </c>
      <c r="D3744" t="s">
        <v>66</v>
      </c>
      <c r="E3744" t="s">
        <v>67</v>
      </c>
      <c r="F3744" t="s">
        <v>70</v>
      </c>
      <c r="G3744" t="s">
        <v>27</v>
      </c>
      <c r="H3744" t="s">
        <v>48</v>
      </c>
      <c r="I3744" s="5">
        <v>190</v>
      </c>
      <c r="J3744" s="5">
        <v>134</v>
      </c>
      <c r="K3744" s="5">
        <v>19</v>
      </c>
      <c r="L3744" s="5">
        <v>4</v>
      </c>
      <c r="M3744" s="5">
        <v>4</v>
      </c>
      <c r="N3744" s="7">
        <v>336.83</v>
      </c>
      <c r="O3744" s="7">
        <f t="shared" si="408"/>
        <v>1347.32</v>
      </c>
      <c r="P3744" s="4">
        <v>0</v>
      </c>
      <c r="Q3744" s="7">
        <f t="shared" si="409"/>
        <v>0</v>
      </c>
      <c r="R3744" s="7">
        <f t="shared" si="410"/>
        <v>1347.32</v>
      </c>
      <c r="S3744" s="7">
        <f t="shared" si="411"/>
        <v>336.83</v>
      </c>
      <c r="T3744" s="6">
        <f t="shared" si="412"/>
        <v>2.1052631578947368E-2</v>
      </c>
      <c r="V3744" t="s">
        <v>29</v>
      </c>
    </row>
    <row r="3745" spans="1:22">
      <c r="A3745" s="3">
        <v>45813</v>
      </c>
      <c r="B3745" t="str">
        <f t="shared" si="406"/>
        <v>yyyy-06</v>
      </c>
      <c r="C3745">
        <f t="shared" si="407"/>
        <v>23</v>
      </c>
      <c r="D3745" t="s">
        <v>66</v>
      </c>
      <c r="E3745" t="s">
        <v>71</v>
      </c>
      <c r="F3745" t="s">
        <v>72</v>
      </c>
      <c r="G3745" t="s">
        <v>36</v>
      </c>
      <c r="H3745" t="s">
        <v>37</v>
      </c>
      <c r="I3745" s="5">
        <v>444</v>
      </c>
      <c r="J3745" s="5">
        <v>325</v>
      </c>
      <c r="K3745" s="5">
        <v>35</v>
      </c>
      <c r="L3745" s="5">
        <v>7</v>
      </c>
      <c r="M3745" s="5">
        <v>9</v>
      </c>
      <c r="N3745" s="7">
        <v>129.22999999999999</v>
      </c>
      <c r="O3745" s="7">
        <f t="shared" si="408"/>
        <v>1163.07</v>
      </c>
      <c r="P3745" s="4">
        <v>0</v>
      </c>
      <c r="Q3745" s="7">
        <f t="shared" si="409"/>
        <v>0</v>
      </c>
      <c r="R3745" s="7">
        <f t="shared" si="410"/>
        <v>1163.07</v>
      </c>
      <c r="S3745" s="7">
        <f t="shared" si="411"/>
        <v>166.15285714285713</v>
      </c>
      <c r="T3745" s="6">
        <f t="shared" si="412"/>
        <v>1.5765765765765764E-2</v>
      </c>
      <c r="V3745" t="s">
        <v>78</v>
      </c>
    </row>
    <row r="3746" spans="1:22">
      <c r="A3746" s="3">
        <v>45813</v>
      </c>
      <c r="B3746" t="str">
        <f t="shared" si="406"/>
        <v>yyyy-06</v>
      </c>
      <c r="C3746">
        <f t="shared" si="407"/>
        <v>23</v>
      </c>
      <c r="D3746" t="s">
        <v>66</v>
      </c>
      <c r="E3746" t="s">
        <v>73</v>
      </c>
      <c r="F3746" t="s">
        <v>74</v>
      </c>
      <c r="G3746" t="s">
        <v>27</v>
      </c>
      <c r="H3746" t="s">
        <v>28</v>
      </c>
      <c r="I3746" s="5">
        <v>238</v>
      </c>
      <c r="J3746" s="5">
        <v>125</v>
      </c>
      <c r="K3746" s="5">
        <v>17</v>
      </c>
      <c r="L3746" s="5">
        <v>5</v>
      </c>
      <c r="M3746" s="5">
        <v>5</v>
      </c>
      <c r="N3746" s="7">
        <v>1191.3800000000001</v>
      </c>
      <c r="O3746" s="7">
        <f t="shared" si="408"/>
        <v>5956.9000000000005</v>
      </c>
      <c r="P3746" s="4">
        <v>0</v>
      </c>
      <c r="Q3746" s="7">
        <f t="shared" si="409"/>
        <v>0</v>
      </c>
      <c r="R3746" s="7">
        <f t="shared" si="410"/>
        <v>5956.9000000000005</v>
      </c>
      <c r="S3746" s="7">
        <f t="shared" si="411"/>
        <v>1191.3800000000001</v>
      </c>
      <c r="T3746" s="6">
        <f t="shared" si="412"/>
        <v>2.100840336134454E-2</v>
      </c>
      <c r="V3746" t="s">
        <v>29</v>
      </c>
    </row>
    <row r="3747" spans="1:22">
      <c r="A3747" s="3">
        <v>45813</v>
      </c>
      <c r="B3747" t="str">
        <f t="shared" si="406"/>
        <v>yyyy-06</v>
      </c>
      <c r="C3747">
        <f t="shared" si="407"/>
        <v>23</v>
      </c>
      <c r="D3747" t="s">
        <v>66</v>
      </c>
      <c r="E3747" t="s">
        <v>71</v>
      </c>
      <c r="F3747" t="s">
        <v>75</v>
      </c>
      <c r="G3747" t="s">
        <v>27</v>
      </c>
      <c r="H3747" t="s">
        <v>28</v>
      </c>
      <c r="I3747" s="5">
        <v>399</v>
      </c>
      <c r="J3747" s="5">
        <v>279</v>
      </c>
      <c r="K3747" s="5">
        <v>23</v>
      </c>
      <c r="L3747" s="5">
        <v>8</v>
      </c>
      <c r="M3747" s="5">
        <v>10</v>
      </c>
      <c r="N3747" s="7">
        <v>38.950000000000003</v>
      </c>
      <c r="O3747" s="7">
        <f t="shared" si="408"/>
        <v>389.5</v>
      </c>
      <c r="P3747" s="4">
        <v>0</v>
      </c>
      <c r="Q3747" s="7">
        <f t="shared" si="409"/>
        <v>0</v>
      </c>
      <c r="R3747" s="7">
        <f t="shared" si="410"/>
        <v>389.5</v>
      </c>
      <c r="S3747" s="7">
        <f t="shared" si="411"/>
        <v>48.6875</v>
      </c>
      <c r="T3747" s="6">
        <f t="shared" si="412"/>
        <v>2.0050125313283207E-2</v>
      </c>
      <c r="V3747" t="s">
        <v>29</v>
      </c>
    </row>
    <row r="3748" spans="1:22">
      <c r="A3748" s="3">
        <v>45813</v>
      </c>
      <c r="B3748" t="str">
        <f t="shared" si="406"/>
        <v>yyyy-06</v>
      </c>
      <c r="C3748">
        <f t="shared" si="407"/>
        <v>23</v>
      </c>
      <c r="D3748" t="s">
        <v>24</v>
      </c>
      <c r="E3748" t="s">
        <v>76</v>
      </c>
      <c r="F3748" t="s">
        <v>77</v>
      </c>
      <c r="G3748" t="s">
        <v>36</v>
      </c>
      <c r="H3748" t="s">
        <v>37</v>
      </c>
      <c r="I3748" s="5">
        <v>678</v>
      </c>
      <c r="J3748" s="5">
        <v>380</v>
      </c>
      <c r="K3748" s="5">
        <v>53</v>
      </c>
      <c r="L3748" s="5">
        <v>12</v>
      </c>
      <c r="M3748" s="5">
        <v>16</v>
      </c>
      <c r="N3748" s="7">
        <v>201.71</v>
      </c>
      <c r="O3748" s="7">
        <f t="shared" si="408"/>
        <v>3227.36</v>
      </c>
      <c r="P3748" s="4">
        <v>0</v>
      </c>
      <c r="Q3748" s="7">
        <f t="shared" si="409"/>
        <v>0</v>
      </c>
      <c r="R3748" s="7">
        <f t="shared" si="410"/>
        <v>3227.36</v>
      </c>
      <c r="S3748" s="7">
        <f t="shared" si="411"/>
        <v>268.94666666666666</v>
      </c>
      <c r="T3748" s="6">
        <f t="shared" si="412"/>
        <v>1.7699115044247787E-2</v>
      </c>
      <c r="V3748" t="s">
        <v>29</v>
      </c>
    </row>
    <row r="3749" spans="1:22">
      <c r="A3749" s="3">
        <v>45814</v>
      </c>
      <c r="B3749" t="str">
        <f t="shared" si="406"/>
        <v>yyyy-06</v>
      </c>
      <c r="C3749">
        <f t="shared" si="407"/>
        <v>23</v>
      </c>
      <c r="D3749" t="s">
        <v>24</v>
      </c>
      <c r="E3749" t="s">
        <v>25</v>
      </c>
      <c r="F3749" t="s">
        <v>26</v>
      </c>
      <c r="G3749" t="s">
        <v>27</v>
      </c>
      <c r="H3749" t="s">
        <v>28</v>
      </c>
      <c r="I3749" s="5">
        <v>1920</v>
      </c>
      <c r="J3749" s="5">
        <v>1468</v>
      </c>
      <c r="K3749" s="5">
        <v>73</v>
      </c>
      <c r="L3749" s="5">
        <v>29</v>
      </c>
      <c r="M3749" s="5">
        <v>29</v>
      </c>
      <c r="N3749" s="7">
        <v>1015.14</v>
      </c>
      <c r="O3749" s="7">
        <f t="shared" si="408"/>
        <v>29439.06</v>
      </c>
      <c r="P3749" s="4">
        <v>0</v>
      </c>
      <c r="Q3749" s="7">
        <f t="shared" si="409"/>
        <v>0</v>
      </c>
      <c r="R3749" s="7">
        <f t="shared" si="410"/>
        <v>29439.06</v>
      </c>
      <c r="S3749" s="7">
        <f t="shared" si="411"/>
        <v>1015.1400000000001</v>
      </c>
      <c r="T3749" s="6">
        <f t="shared" si="412"/>
        <v>1.5104166666666667E-2</v>
      </c>
      <c r="V3749" t="s">
        <v>29</v>
      </c>
    </row>
    <row r="3750" spans="1:22">
      <c r="A3750" s="3">
        <v>45814</v>
      </c>
      <c r="B3750" t="str">
        <f t="shared" si="406"/>
        <v>yyyy-06</v>
      </c>
      <c r="C3750">
        <f t="shared" si="407"/>
        <v>23</v>
      </c>
      <c r="D3750" t="s">
        <v>24</v>
      </c>
      <c r="E3750" t="s">
        <v>25</v>
      </c>
      <c r="F3750" t="s">
        <v>30</v>
      </c>
      <c r="G3750" t="s">
        <v>27</v>
      </c>
      <c r="H3750" t="s">
        <v>28</v>
      </c>
      <c r="I3750" s="5">
        <v>1898</v>
      </c>
      <c r="J3750" s="5">
        <v>1495</v>
      </c>
      <c r="K3750" s="5">
        <v>134</v>
      </c>
      <c r="L3750" s="5">
        <v>47</v>
      </c>
      <c r="M3750" s="5">
        <v>47</v>
      </c>
      <c r="N3750" s="7">
        <v>391.09</v>
      </c>
      <c r="O3750" s="7">
        <f t="shared" si="408"/>
        <v>18381.23</v>
      </c>
      <c r="P3750" s="4">
        <v>0</v>
      </c>
      <c r="Q3750" s="7">
        <f t="shared" si="409"/>
        <v>0</v>
      </c>
      <c r="R3750" s="7">
        <f t="shared" si="410"/>
        <v>18381.23</v>
      </c>
      <c r="S3750" s="7">
        <f t="shared" si="411"/>
        <v>391.09</v>
      </c>
      <c r="T3750" s="6">
        <f t="shared" si="412"/>
        <v>2.476290832455216E-2</v>
      </c>
      <c r="V3750" t="s">
        <v>29</v>
      </c>
    </row>
    <row r="3751" spans="1:22">
      <c r="A3751" s="3">
        <v>45814</v>
      </c>
      <c r="B3751" t="str">
        <f t="shared" si="406"/>
        <v>yyyy-06</v>
      </c>
      <c r="C3751">
        <f t="shared" si="407"/>
        <v>23</v>
      </c>
      <c r="D3751" t="s">
        <v>24</v>
      </c>
      <c r="E3751" t="s">
        <v>25</v>
      </c>
      <c r="F3751" t="s">
        <v>33</v>
      </c>
      <c r="G3751" t="s">
        <v>31</v>
      </c>
      <c r="H3751" t="s">
        <v>32</v>
      </c>
      <c r="I3751" s="5">
        <v>2746</v>
      </c>
      <c r="J3751" s="5">
        <v>1467</v>
      </c>
      <c r="K3751" s="5">
        <v>207</v>
      </c>
      <c r="L3751" s="5">
        <v>57</v>
      </c>
      <c r="M3751" s="5">
        <v>57</v>
      </c>
      <c r="N3751" s="7">
        <v>1764.77</v>
      </c>
      <c r="O3751" s="7">
        <f t="shared" si="408"/>
        <v>100591.89</v>
      </c>
      <c r="P3751" s="4">
        <v>0.05</v>
      </c>
      <c r="Q3751" s="7">
        <f t="shared" si="409"/>
        <v>5029.5945000000002</v>
      </c>
      <c r="R3751" s="7">
        <f t="shared" si="410"/>
        <v>95562.295499999993</v>
      </c>
      <c r="S3751" s="7">
        <f t="shared" si="411"/>
        <v>1676.5314999999998</v>
      </c>
      <c r="T3751" s="6">
        <f t="shared" si="412"/>
        <v>2.0757465404224327E-2</v>
      </c>
      <c r="V3751" t="s">
        <v>29</v>
      </c>
    </row>
    <row r="3752" spans="1:22">
      <c r="A3752" s="3">
        <v>45814</v>
      </c>
      <c r="B3752" t="str">
        <f t="shared" si="406"/>
        <v>yyyy-06</v>
      </c>
      <c r="C3752">
        <f t="shared" si="407"/>
        <v>23</v>
      </c>
      <c r="D3752" t="s">
        <v>24</v>
      </c>
      <c r="E3752" t="s">
        <v>34</v>
      </c>
      <c r="F3752" t="s">
        <v>35</v>
      </c>
      <c r="G3752" t="s">
        <v>27</v>
      </c>
      <c r="H3752" t="s">
        <v>45</v>
      </c>
      <c r="I3752" s="5">
        <v>880</v>
      </c>
      <c r="J3752" s="5">
        <v>643</v>
      </c>
      <c r="K3752" s="5">
        <v>80</v>
      </c>
      <c r="L3752" s="5">
        <v>16</v>
      </c>
      <c r="M3752" s="5">
        <v>16</v>
      </c>
      <c r="N3752" s="7">
        <v>894.06</v>
      </c>
      <c r="O3752" s="7">
        <f t="shared" si="408"/>
        <v>14304.96</v>
      </c>
      <c r="P3752" s="4">
        <v>0</v>
      </c>
      <c r="Q3752" s="7">
        <f t="shared" si="409"/>
        <v>0</v>
      </c>
      <c r="R3752" s="7">
        <f t="shared" si="410"/>
        <v>14304.96</v>
      </c>
      <c r="S3752" s="7">
        <f t="shared" si="411"/>
        <v>894.06</v>
      </c>
      <c r="T3752" s="6">
        <f t="shared" si="412"/>
        <v>1.8181818181818181E-2</v>
      </c>
      <c r="V3752" t="s">
        <v>29</v>
      </c>
    </row>
    <row r="3753" spans="1:22">
      <c r="A3753" s="3">
        <v>45814</v>
      </c>
      <c r="B3753" t="str">
        <f t="shared" si="406"/>
        <v>yyyy-06</v>
      </c>
      <c r="C3753">
        <f t="shared" si="407"/>
        <v>23</v>
      </c>
      <c r="D3753" t="s">
        <v>24</v>
      </c>
      <c r="E3753" t="s">
        <v>38</v>
      </c>
      <c r="F3753" t="s">
        <v>39</v>
      </c>
      <c r="G3753" t="s">
        <v>31</v>
      </c>
      <c r="H3753" t="s">
        <v>32</v>
      </c>
      <c r="I3753" s="5">
        <v>836</v>
      </c>
      <c r="J3753" s="5">
        <v>480</v>
      </c>
      <c r="K3753" s="5">
        <v>36</v>
      </c>
      <c r="L3753" s="5">
        <v>11</v>
      </c>
      <c r="M3753" s="5">
        <v>11</v>
      </c>
      <c r="N3753" s="7">
        <v>323.60000000000002</v>
      </c>
      <c r="O3753" s="7">
        <f t="shared" si="408"/>
        <v>3559.6000000000004</v>
      </c>
      <c r="P3753" s="4">
        <v>0</v>
      </c>
      <c r="Q3753" s="7">
        <f t="shared" si="409"/>
        <v>0</v>
      </c>
      <c r="R3753" s="7">
        <f t="shared" si="410"/>
        <v>3559.6000000000004</v>
      </c>
      <c r="S3753" s="7">
        <f t="shared" si="411"/>
        <v>323.60000000000002</v>
      </c>
      <c r="T3753" s="6">
        <f t="shared" si="412"/>
        <v>1.3157894736842105E-2</v>
      </c>
      <c r="V3753" t="s">
        <v>78</v>
      </c>
    </row>
    <row r="3754" spans="1:22">
      <c r="A3754" s="3">
        <v>45814</v>
      </c>
      <c r="B3754" t="str">
        <f t="shared" si="406"/>
        <v>yyyy-06</v>
      </c>
      <c r="C3754">
        <f t="shared" si="407"/>
        <v>23</v>
      </c>
      <c r="D3754" t="s">
        <v>24</v>
      </c>
      <c r="E3754" t="s">
        <v>40</v>
      </c>
      <c r="F3754" t="s">
        <v>41</v>
      </c>
      <c r="G3754" t="s">
        <v>36</v>
      </c>
      <c r="H3754" t="s">
        <v>37</v>
      </c>
      <c r="I3754" s="5">
        <v>689</v>
      </c>
      <c r="J3754" s="5">
        <v>430</v>
      </c>
      <c r="K3754" s="5">
        <v>44</v>
      </c>
      <c r="L3754" s="5">
        <v>14</v>
      </c>
      <c r="M3754" s="5">
        <v>15</v>
      </c>
      <c r="N3754" s="7">
        <v>175.15</v>
      </c>
      <c r="O3754" s="7">
        <f t="shared" si="408"/>
        <v>2627.25</v>
      </c>
      <c r="P3754" s="4">
        <v>0.03</v>
      </c>
      <c r="Q3754" s="7">
        <f t="shared" si="409"/>
        <v>78.817499999999995</v>
      </c>
      <c r="R3754" s="7">
        <f t="shared" si="410"/>
        <v>2548.4324999999999</v>
      </c>
      <c r="S3754" s="7">
        <f t="shared" si="411"/>
        <v>182.03089285714285</v>
      </c>
      <c r="T3754" s="6">
        <f t="shared" si="412"/>
        <v>2.0319303338171262E-2</v>
      </c>
      <c r="V3754" t="s">
        <v>29</v>
      </c>
    </row>
    <row r="3755" spans="1:22">
      <c r="A3755" s="3">
        <v>45814</v>
      </c>
      <c r="B3755" t="str">
        <f t="shared" si="406"/>
        <v>yyyy-06</v>
      </c>
      <c r="C3755">
        <f t="shared" si="407"/>
        <v>23</v>
      </c>
      <c r="D3755" t="s">
        <v>42</v>
      </c>
      <c r="E3755" t="s">
        <v>43</v>
      </c>
      <c r="F3755" t="s">
        <v>44</v>
      </c>
      <c r="G3755" t="s">
        <v>27</v>
      </c>
      <c r="H3755" t="s">
        <v>63</v>
      </c>
      <c r="I3755" s="5">
        <v>305</v>
      </c>
      <c r="J3755" s="5">
        <v>189</v>
      </c>
      <c r="K3755" s="5">
        <v>19</v>
      </c>
      <c r="L3755" s="5">
        <v>4</v>
      </c>
      <c r="M3755" s="5">
        <v>4</v>
      </c>
      <c r="N3755" s="7">
        <v>1278.32</v>
      </c>
      <c r="O3755" s="7">
        <f t="shared" si="408"/>
        <v>5113.28</v>
      </c>
      <c r="P3755" s="4">
        <v>0.11</v>
      </c>
      <c r="Q3755" s="7">
        <f t="shared" si="409"/>
        <v>562.46079999999995</v>
      </c>
      <c r="R3755" s="7">
        <f t="shared" si="410"/>
        <v>4550.8191999999999</v>
      </c>
      <c r="S3755" s="7">
        <f t="shared" si="411"/>
        <v>1137.7048</v>
      </c>
      <c r="T3755" s="6">
        <f t="shared" si="412"/>
        <v>1.3114754098360656E-2</v>
      </c>
      <c r="U3755" t="s">
        <v>99</v>
      </c>
      <c r="V3755" t="s">
        <v>29</v>
      </c>
    </row>
    <row r="3756" spans="1:22">
      <c r="A3756" s="3">
        <v>45814</v>
      </c>
      <c r="B3756" t="str">
        <f t="shared" si="406"/>
        <v>yyyy-06</v>
      </c>
      <c r="C3756">
        <f t="shared" si="407"/>
        <v>23</v>
      </c>
      <c r="D3756" t="s">
        <v>42</v>
      </c>
      <c r="E3756" t="s">
        <v>43</v>
      </c>
      <c r="F3756" t="s">
        <v>46</v>
      </c>
      <c r="G3756" t="s">
        <v>31</v>
      </c>
      <c r="H3756" t="s">
        <v>32</v>
      </c>
      <c r="I3756" s="5">
        <v>613</v>
      </c>
      <c r="J3756" s="5">
        <v>368</v>
      </c>
      <c r="K3756" s="5">
        <v>40</v>
      </c>
      <c r="L3756" s="5">
        <v>9</v>
      </c>
      <c r="M3756" s="5">
        <v>9</v>
      </c>
      <c r="N3756" s="7">
        <v>2224.29</v>
      </c>
      <c r="O3756" s="7">
        <f t="shared" si="408"/>
        <v>20018.61</v>
      </c>
      <c r="P3756" s="4">
        <v>0.11</v>
      </c>
      <c r="Q3756" s="7">
        <f t="shared" si="409"/>
        <v>2202.0471000000002</v>
      </c>
      <c r="R3756" s="7">
        <f t="shared" si="410"/>
        <v>17816.562900000001</v>
      </c>
      <c r="S3756" s="7">
        <f t="shared" si="411"/>
        <v>1979.6181000000001</v>
      </c>
      <c r="T3756" s="6">
        <f t="shared" si="412"/>
        <v>1.468189233278956E-2</v>
      </c>
      <c r="U3756" t="s">
        <v>99</v>
      </c>
      <c r="V3756" t="s">
        <v>29</v>
      </c>
    </row>
    <row r="3757" spans="1:22">
      <c r="A3757" s="3">
        <v>45814</v>
      </c>
      <c r="B3757" t="str">
        <f t="shared" si="406"/>
        <v>yyyy-06</v>
      </c>
      <c r="C3757">
        <f t="shared" si="407"/>
        <v>23</v>
      </c>
      <c r="D3757" t="s">
        <v>42</v>
      </c>
      <c r="E3757" t="s">
        <v>43</v>
      </c>
      <c r="F3757" t="s">
        <v>47</v>
      </c>
      <c r="G3757" t="s">
        <v>27</v>
      </c>
      <c r="H3757" t="s">
        <v>48</v>
      </c>
      <c r="I3757" s="5">
        <v>471</v>
      </c>
      <c r="J3757" s="5">
        <v>349</v>
      </c>
      <c r="K3757" s="5">
        <v>41</v>
      </c>
      <c r="L3757" s="5">
        <v>10</v>
      </c>
      <c r="M3757" s="5">
        <v>10</v>
      </c>
      <c r="N3757" s="7">
        <v>590.91</v>
      </c>
      <c r="O3757" s="7">
        <f t="shared" si="408"/>
        <v>5909.0999999999995</v>
      </c>
      <c r="P3757" s="4">
        <v>0.11</v>
      </c>
      <c r="Q3757" s="7">
        <f t="shared" si="409"/>
        <v>650.00099999999998</v>
      </c>
      <c r="R3757" s="7">
        <f t="shared" si="410"/>
        <v>5259.0989999999993</v>
      </c>
      <c r="S3757" s="7">
        <f t="shared" si="411"/>
        <v>525.90989999999988</v>
      </c>
      <c r="T3757" s="6">
        <f t="shared" si="412"/>
        <v>2.1231422505307854E-2</v>
      </c>
      <c r="U3757" t="s">
        <v>99</v>
      </c>
      <c r="V3757" t="s">
        <v>29</v>
      </c>
    </row>
    <row r="3758" spans="1:22">
      <c r="A3758" s="3">
        <v>45814</v>
      </c>
      <c r="B3758" t="str">
        <f t="shared" si="406"/>
        <v>yyyy-06</v>
      </c>
      <c r="C3758">
        <f t="shared" si="407"/>
        <v>23</v>
      </c>
      <c r="D3758" t="s">
        <v>42</v>
      </c>
      <c r="E3758" t="s">
        <v>49</v>
      </c>
      <c r="F3758" t="s">
        <v>50</v>
      </c>
      <c r="G3758" t="s">
        <v>27</v>
      </c>
      <c r="H3758" t="s">
        <v>48</v>
      </c>
      <c r="I3758" s="5">
        <v>93</v>
      </c>
      <c r="J3758" s="5">
        <v>68</v>
      </c>
      <c r="K3758" s="5">
        <v>7</v>
      </c>
      <c r="L3758" s="5">
        <v>1</v>
      </c>
      <c r="M3758" s="5">
        <v>1</v>
      </c>
      <c r="N3758" s="7">
        <v>1000.79</v>
      </c>
      <c r="O3758" s="7">
        <f t="shared" si="408"/>
        <v>1000.79</v>
      </c>
      <c r="P3758" s="4">
        <v>0.03</v>
      </c>
      <c r="Q3758" s="7">
        <f t="shared" si="409"/>
        <v>30.023699999999998</v>
      </c>
      <c r="R3758" s="7">
        <f t="shared" si="410"/>
        <v>970.7663</v>
      </c>
      <c r="S3758" s="7">
        <f t="shared" si="411"/>
        <v>970.7663</v>
      </c>
      <c r="T3758" s="6">
        <f t="shared" si="412"/>
        <v>1.0752688172043012E-2</v>
      </c>
      <c r="V3758" t="s">
        <v>29</v>
      </c>
    </row>
    <row r="3759" spans="1:22">
      <c r="A3759" s="3">
        <v>45814</v>
      </c>
      <c r="B3759" t="str">
        <f t="shared" si="406"/>
        <v>yyyy-06</v>
      </c>
      <c r="C3759">
        <f t="shared" si="407"/>
        <v>23</v>
      </c>
      <c r="D3759" t="s">
        <v>42</v>
      </c>
      <c r="E3759" t="s">
        <v>51</v>
      </c>
      <c r="F3759" t="s">
        <v>52</v>
      </c>
      <c r="G3759" t="s">
        <v>27</v>
      </c>
      <c r="H3759" t="s">
        <v>48</v>
      </c>
      <c r="I3759" s="5">
        <v>192</v>
      </c>
      <c r="J3759" s="5">
        <v>156</v>
      </c>
      <c r="K3759" s="5">
        <v>16</v>
      </c>
      <c r="L3759" s="5">
        <v>2</v>
      </c>
      <c r="M3759" s="5">
        <v>2</v>
      </c>
      <c r="N3759" s="7">
        <v>590.74</v>
      </c>
      <c r="O3759" s="7">
        <f t="shared" si="408"/>
        <v>1181.48</v>
      </c>
      <c r="P3759" s="4">
        <v>0</v>
      </c>
      <c r="Q3759" s="7">
        <f t="shared" si="409"/>
        <v>0</v>
      </c>
      <c r="R3759" s="7">
        <f t="shared" si="410"/>
        <v>1181.48</v>
      </c>
      <c r="S3759" s="7">
        <f t="shared" si="411"/>
        <v>590.74</v>
      </c>
      <c r="T3759" s="6">
        <f t="shared" si="412"/>
        <v>1.0416666666666666E-2</v>
      </c>
      <c r="V3759" t="s">
        <v>29</v>
      </c>
    </row>
    <row r="3760" spans="1:22">
      <c r="A3760" s="3">
        <v>45814</v>
      </c>
      <c r="B3760" t="str">
        <f t="shared" si="406"/>
        <v>yyyy-06</v>
      </c>
      <c r="C3760">
        <f t="shared" si="407"/>
        <v>23</v>
      </c>
      <c r="D3760" t="s">
        <v>53</v>
      </c>
      <c r="E3760" t="s">
        <v>54</v>
      </c>
      <c r="F3760" t="s">
        <v>55</v>
      </c>
      <c r="G3760" t="s">
        <v>27</v>
      </c>
      <c r="H3760" t="s">
        <v>28</v>
      </c>
      <c r="I3760" s="5">
        <v>220</v>
      </c>
      <c r="J3760" s="5">
        <v>120</v>
      </c>
      <c r="K3760" s="5">
        <v>10</v>
      </c>
      <c r="L3760" s="5">
        <v>2</v>
      </c>
      <c r="M3760" s="5">
        <v>2</v>
      </c>
      <c r="N3760" s="7">
        <v>1288.97</v>
      </c>
      <c r="O3760" s="7">
        <f t="shared" si="408"/>
        <v>2577.94</v>
      </c>
      <c r="P3760" s="4">
        <v>0</v>
      </c>
      <c r="Q3760" s="7">
        <f t="shared" si="409"/>
        <v>0</v>
      </c>
      <c r="R3760" s="7">
        <f t="shared" si="410"/>
        <v>2577.94</v>
      </c>
      <c r="S3760" s="7">
        <f t="shared" si="411"/>
        <v>1288.97</v>
      </c>
      <c r="T3760" s="6">
        <f t="shared" si="412"/>
        <v>9.0909090909090905E-3</v>
      </c>
      <c r="V3760" t="s">
        <v>29</v>
      </c>
    </row>
    <row r="3761" spans="1:22">
      <c r="A3761" s="3">
        <v>45814</v>
      </c>
      <c r="B3761" t="str">
        <f t="shared" si="406"/>
        <v>yyyy-06</v>
      </c>
      <c r="C3761">
        <f t="shared" si="407"/>
        <v>23</v>
      </c>
      <c r="D3761" t="s">
        <v>53</v>
      </c>
      <c r="E3761" t="s">
        <v>56</v>
      </c>
      <c r="F3761" t="s">
        <v>57</v>
      </c>
      <c r="G3761" t="s">
        <v>27</v>
      </c>
      <c r="H3761" t="s">
        <v>48</v>
      </c>
      <c r="I3761" s="5">
        <v>254</v>
      </c>
      <c r="J3761" s="5">
        <v>154</v>
      </c>
      <c r="K3761" s="5">
        <v>11</v>
      </c>
      <c r="L3761" s="5">
        <v>2</v>
      </c>
      <c r="M3761" s="5">
        <v>2</v>
      </c>
      <c r="N3761" s="7">
        <v>730.99</v>
      </c>
      <c r="O3761" s="7">
        <f t="shared" si="408"/>
        <v>1461.98</v>
      </c>
      <c r="P3761" s="4">
        <v>0</v>
      </c>
      <c r="Q3761" s="7">
        <f t="shared" si="409"/>
        <v>0</v>
      </c>
      <c r="R3761" s="7">
        <f t="shared" si="410"/>
        <v>1461.98</v>
      </c>
      <c r="S3761" s="7">
        <f t="shared" si="411"/>
        <v>730.99</v>
      </c>
      <c r="T3761" s="6">
        <f t="shared" si="412"/>
        <v>7.874015748031496E-3</v>
      </c>
      <c r="V3761" t="s">
        <v>29</v>
      </c>
    </row>
    <row r="3762" spans="1:22">
      <c r="A3762" s="3">
        <v>45814</v>
      </c>
      <c r="B3762" t="str">
        <f t="shared" si="406"/>
        <v>yyyy-06</v>
      </c>
      <c r="C3762">
        <f t="shared" si="407"/>
        <v>23</v>
      </c>
      <c r="D3762" t="s">
        <v>53</v>
      </c>
      <c r="E3762" t="s">
        <v>56</v>
      </c>
      <c r="F3762" t="s">
        <v>58</v>
      </c>
      <c r="G3762" t="s">
        <v>27</v>
      </c>
      <c r="H3762" t="s">
        <v>45</v>
      </c>
      <c r="I3762" s="5">
        <v>242</v>
      </c>
      <c r="J3762" s="5">
        <v>136</v>
      </c>
      <c r="K3762" s="5">
        <v>16</v>
      </c>
      <c r="L3762" s="5">
        <v>3</v>
      </c>
      <c r="M3762" s="5">
        <v>3</v>
      </c>
      <c r="N3762" s="7">
        <v>886.69</v>
      </c>
      <c r="O3762" s="7">
        <f t="shared" si="408"/>
        <v>2660.07</v>
      </c>
      <c r="P3762" s="4">
        <v>0.03</v>
      </c>
      <c r="Q3762" s="7">
        <f t="shared" si="409"/>
        <v>79.802099999999996</v>
      </c>
      <c r="R3762" s="7">
        <f t="shared" si="410"/>
        <v>2580.2679000000003</v>
      </c>
      <c r="S3762" s="7">
        <f t="shared" si="411"/>
        <v>860.08930000000009</v>
      </c>
      <c r="T3762" s="6">
        <f t="shared" si="412"/>
        <v>1.2396694214876033E-2</v>
      </c>
      <c r="V3762" t="s">
        <v>29</v>
      </c>
    </row>
    <row r="3763" spans="1:22">
      <c r="A3763" s="3">
        <v>45814</v>
      </c>
      <c r="B3763" t="str">
        <f t="shared" si="406"/>
        <v>yyyy-06</v>
      </c>
      <c r="C3763">
        <f t="shared" si="407"/>
        <v>23</v>
      </c>
      <c r="D3763" t="s">
        <v>53</v>
      </c>
      <c r="E3763" t="s">
        <v>59</v>
      </c>
      <c r="F3763" t="s">
        <v>60</v>
      </c>
      <c r="G3763" t="s">
        <v>31</v>
      </c>
      <c r="H3763" t="s">
        <v>32</v>
      </c>
      <c r="I3763" s="5">
        <v>104</v>
      </c>
      <c r="J3763" s="5">
        <v>65</v>
      </c>
      <c r="K3763" s="5">
        <v>1</v>
      </c>
      <c r="L3763" s="5">
        <v>0</v>
      </c>
      <c r="M3763" s="5">
        <v>0</v>
      </c>
      <c r="N3763" s="7">
        <v>704.02</v>
      </c>
      <c r="O3763" s="7">
        <f t="shared" si="408"/>
        <v>0</v>
      </c>
      <c r="P3763" s="4">
        <v>0</v>
      </c>
      <c r="Q3763" s="7">
        <f t="shared" si="409"/>
        <v>0</v>
      </c>
      <c r="R3763" s="7">
        <f t="shared" si="410"/>
        <v>0</v>
      </c>
      <c r="S3763" s="7">
        <f t="shared" si="411"/>
        <v>0</v>
      </c>
      <c r="T3763" s="6">
        <f t="shared" si="412"/>
        <v>0</v>
      </c>
      <c r="V3763" t="s">
        <v>81</v>
      </c>
    </row>
    <row r="3764" spans="1:22">
      <c r="A3764" s="3">
        <v>45814</v>
      </c>
      <c r="B3764" t="str">
        <f t="shared" si="406"/>
        <v>yyyy-06</v>
      </c>
      <c r="C3764">
        <f t="shared" si="407"/>
        <v>23</v>
      </c>
      <c r="D3764" t="s">
        <v>53</v>
      </c>
      <c r="E3764" t="s">
        <v>61</v>
      </c>
      <c r="F3764" t="s">
        <v>62</v>
      </c>
      <c r="G3764" t="s">
        <v>31</v>
      </c>
      <c r="H3764" t="s">
        <v>32</v>
      </c>
      <c r="I3764" s="5">
        <v>237</v>
      </c>
      <c r="J3764" s="5">
        <v>189</v>
      </c>
      <c r="K3764" s="5">
        <v>22</v>
      </c>
      <c r="L3764" s="5">
        <v>2</v>
      </c>
      <c r="M3764" s="5">
        <v>2</v>
      </c>
      <c r="N3764" s="7">
        <v>502.32</v>
      </c>
      <c r="O3764" s="7">
        <f t="shared" si="408"/>
        <v>1004.64</v>
      </c>
      <c r="P3764" s="4">
        <v>0</v>
      </c>
      <c r="Q3764" s="7">
        <f t="shared" si="409"/>
        <v>0</v>
      </c>
      <c r="R3764" s="7">
        <f t="shared" si="410"/>
        <v>1004.64</v>
      </c>
      <c r="S3764" s="7">
        <f t="shared" si="411"/>
        <v>502.32</v>
      </c>
      <c r="T3764" s="6">
        <f t="shared" si="412"/>
        <v>8.4388185654008432E-3</v>
      </c>
      <c r="V3764" t="s">
        <v>29</v>
      </c>
    </row>
    <row r="3765" spans="1:22">
      <c r="A3765" s="3">
        <v>45814</v>
      </c>
      <c r="B3765" t="str">
        <f t="shared" si="406"/>
        <v>yyyy-06</v>
      </c>
      <c r="C3765">
        <f t="shared" si="407"/>
        <v>23</v>
      </c>
      <c r="D3765" t="s">
        <v>53</v>
      </c>
      <c r="E3765" t="s">
        <v>64</v>
      </c>
      <c r="F3765" t="s">
        <v>65</v>
      </c>
      <c r="G3765" t="s">
        <v>27</v>
      </c>
      <c r="H3765" t="s">
        <v>63</v>
      </c>
      <c r="I3765" s="5">
        <v>165</v>
      </c>
      <c r="J3765" s="5">
        <v>96</v>
      </c>
      <c r="K3765" s="5">
        <v>7</v>
      </c>
      <c r="L3765" s="5">
        <v>2</v>
      </c>
      <c r="M3765" s="5">
        <v>2</v>
      </c>
      <c r="N3765" s="7">
        <v>785.71</v>
      </c>
      <c r="O3765" s="7">
        <f t="shared" si="408"/>
        <v>1571.42</v>
      </c>
      <c r="P3765" s="4">
        <v>0.05</v>
      </c>
      <c r="Q3765" s="7">
        <f t="shared" si="409"/>
        <v>78.571000000000012</v>
      </c>
      <c r="R3765" s="7">
        <f t="shared" si="410"/>
        <v>1492.8490000000002</v>
      </c>
      <c r="S3765" s="7">
        <f t="shared" si="411"/>
        <v>746.42450000000008</v>
      </c>
      <c r="T3765" s="6">
        <f t="shared" si="412"/>
        <v>1.2121212121212121E-2</v>
      </c>
      <c r="V3765" t="s">
        <v>29</v>
      </c>
    </row>
    <row r="3766" spans="1:22">
      <c r="A3766" s="3">
        <v>45814</v>
      </c>
      <c r="B3766" t="str">
        <f t="shared" si="406"/>
        <v>yyyy-06</v>
      </c>
      <c r="C3766">
        <f t="shared" si="407"/>
        <v>23</v>
      </c>
      <c r="D3766" t="s">
        <v>66</v>
      </c>
      <c r="E3766" t="s">
        <v>67</v>
      </c>
      <c r="F3766" t="s">
        <v>68</v>
      </c>
      <c r="G3766" t="s">
        <v>27</v>
      </c>
      <c r="H3766" t="s">
        <v>28</v>
      </c>
      <c r="I3766" s="5">
        <v>347</v>
      </c>
      <c r="J3766" s="5">
        <v>197</v>
      </c>
      <c r="K3766" s="5">
        <v>20</v>
      </c>
      <c r="L3766" s="5">
        <v>6</v>
      </c>
      <c r="M3766" s="5">
        <v>6</v>
      </c>
      <c r="N3766" s="7">
        <v>690.24</v>
      </c>
      <c r="O3766" s="7">
        <f t="shared" si="408"/>
        <v>4141.4400000000005</v>
      </c>
      <c r="P3766" s="4">
        <v>0</v>
      </c>
      <c r="Q3766" s="7">
        <f t="shared" si="409"/>
        <v>0</v>
      </c>
      <c r="R3766" s="7">
        <f t="shared" si="410"/>
        <v>4141.4400000000005</v>
      </c>
      <c r="S3766" s="7">
        <f t="shared" si="411"/>
        <v>690.24000000000012</v>
      </c>
      <c r="T3766" s="6">
        <f t="shared" si="412"/>
        <v>1.7291066282420751E-2</v>
      </c>
      <c r="V3766" t="s">
        <v>29</v>
      </c>
    </row>
    <row r="3767" spans="1:22">
      <c r="A3767" s="3">
        <v>45814</v>
      </c>
      <c r="B3767" t="str">
        <f t="shared" si="406"/>
        <v>yyyy-06</v>
      </c>
      <c r="C3767">
        <f t="shared" si="407"/>
        <v>23</v>
      </c>
      <c r="D3767" t="s">
        <v>66</v>
      </c>
      <c r="E3767" t="s">
        <v>67</v>
      </c>
      <c r="F3767" t="s">
        <v>69</v>
      </c>
      <c r="G3767" t="s">
        <v>27</v>
      </c>
      <c r="H3767" t="s">
        <v>28</v>
      </c>
      <c r="I3767" s="5">
        <v>365</v>
      </c>
      <c r="J3767" s="5">
        <v>205</v>
      </c>
      <c r="K3767" s="5">
        <v>18</v>
      </c>
      <c r="L3767" s="5">
        <v>6</v>
      </c>
      <c r="M3767" s="5">
        <v>6</v>
      </c>
      <c r="N3767" s="7">
        <v>383.51</v>
      </c>
      <c r="O3767" s="7">
        <f t="shared" si="408"/>
        <v>2301.06</v>
      </c>
      <c r="P3767" s="4">
        <v>0.03</v>
      </c>
      <c r="Q3767" s="7">
        <f t="shared" si="409"/>
        <v>69.03179999999999</v>
      </c>
      <c r="R3767" s="7">
        <f t="shared" si="410"/>
        <v>2232.0281999999997</v>
      </c>
      <c r="S3767" s="7">
        <f t="shared" si="411"/>
        <v>372.00469999999996</v>
      </c>
      <c r="T3767" s="6">
        <f t="shared" si="412"/>
        <v>1.643835616438356E-2</v>
      </c>
      <c r="V3767" t="s">
        <v>29</v>
      </c>
    </row>
    <row r="3768" spans="1:22">
      <c r="A3768" s="3">
        <v>45814</v>
      </c>
      <c r="B3768" t="str">
        <f t="shared" si="406"/>
        <v>yyyy-06</v>
      </c>
      <c r="C3768">
        <f t="shared" si="407"/>
        <v>23</v>
      </c>
      <c r="D3768" t="s">
        <v>66</v>
      </c>
      <c r="E3768" t="s">
        <v>67</v>
      </c>
      <c r="F3768" t="s">
        <v>70</v>
      </c>
      <c r="G3768" t="s">
        <v>27</v>
      </c>
      <c r="H3768" t="s">
        <v>28</v>
      </c>
      <c r="I3768" s="5">
        <v>385</v>
      </c>
      <c r="J3768" s="5">
        <v>304</v>
      </c>
      <c r="K3768" s="5">
        <v>25</v>
      </c>
      <c r="L3768" s="5">
        <v>6</v>
      </c>
      <c r="M3768" s="5">
        <v>6</v>
      </c>
      <c r="N3768" s="7">
        <v>343.57</v>
      </c>
      <c r="O3768" s="7">
        <f t="shared" si="408"/>
        <v>2061.42</v>
      </c>
      <c r="P3768" s="4">
        <v>0.05</v>
      </c>
      <c r="Q3768" s="7">
        <f t="shared" si="409"/>
        <v>103.07100000000001</v>
      </c>
      <c r="R3768" s="7">
        <f t="shared" si="410"/>
        <v>1958.3490000000002</v>
      </c>
      <c r="S3768" s="7">
        <f t="shared" si="411"/>
        <v>326.39150000000001</v>
      </c>
      <c r="T3768" s="6">
        <f t="shared" si="412"/>
        <v>1.5584415584415584E-2</v>
      </c>
      <c r="V3768" t="s">
        <v>29</v>
      </c>
    </row>
    <row r="3769" spans="1:22">
      <c r="A3769" s="3">
        <v>45814</v>
      </c>
      <c r="B3769" t="str">
        <f t="shared" si="406"/>
        <v>yyyy-06</v>
      </c>
      <c r="C3769">
        <f t="shared" si="407"/>
        <v>23</v>
      </c>
      <c r="D3769" t="s">
        <v>66</v>
      </c>
      <c r="E3769" t="s">
        <v>71</v>
      </c>
      <c r="F3769" t="s">
        <v>72</v>
      </c>
      <c r="G3769" t="s">
        <v>27</v>
      </c>
      <c r="H3769" t="s">
        <v>28</v>
      </c>
      <c r="I3769" s="5">
        <v>490</v>
      </c>
      <c r="J3769" s="5">
        <v>295</v>
      </c>
      <c r="K3769" s="5">
        <v>54</v>
      </c>
      <c r="L3769" s="5">
        <v>11</v>
      </c>
      <c r="M3769" s="5">
        <v>13</v>
      </c>
      <c r="N3769" s="7">
        <v>128.9</v>
      </c>
      <c r="O3769" s="7">
        <f t="shared" si="408"/>
        <v>1675.7</v>
      </c>
      <c r="P3769" s="4">
        <v>0.05</v>
      </c>
      <c r="Q3769" s="7">
        <f t="shared" si="409"/>
        <v>83.785000000000011</v>
      </c>
      <c r="R3769" s="7">
        <f t="shared" si="410"/>
        <v>1591.915</v>
      </c>
      <c r="S3769" s="7">
        <f t="shared" si="411"/>
        <v>144.71954545454545</v>
      </c>
      <c r="T3769" s="6">
        <f t="shared" si="412"/>
        <v>2.2448979591836733E-2</v>
      </c>
      <c r="V3769" t="s">
        <v>29</v>
      </c>
    </row>
    <row r="3770" spans="1:22">
      <c r="A3770" s="3">
        <v>45814</v>
      </c>
      <c r="B3770" t="str">
        <f t="shared" si="406"/>
        <v>yyyy-06</v>
      </c>
      <c r="C3770">
        <f t="shared" si="407"/>
        <v>23</v>
      </c>
      <c r="D3770" t="s">
        <v>66</v>
      </c>
      <c r="E3770" t="s">
        <v>73</v>
      </c>
      <c r="F3770" t="s">
        <v>74</v>
      </c>
      <c r="G3770" t="s">
        <v>31</v>
      </c>
      <c r="H3770" t="s">
        <v>32</v>
      </c>
      <c r="I3770" s="5">
        <v>304</v>
      </c>
      <c r="J3770" s="5">
        <v>227</v>
      </c>
      <c r="K3770" s="5">
        <v>23</v>
      </c>
      <c r="L3770" s="5">
        <v>6</v>
      </c>
      <c r="M3770" s="5">
        <v>6</v>
      </c>
      <c r="N3770" s="7">
        <v>1222.83</v>
      </c>
      <c r="O3770" s="7">
        <f t="shared" si="408"/>
        <v>7336.98</v>
      </c>
      <c r="P3770" s="4">
        <v>0.03</v>
      </c>
      <c r="Q3770" s="7">
        <f t="shared" si="409"/>
        <v>220.10939999999997</v>
      </c>
      <c r="R3770" s="7">
        <f t="shared" si="410"/>
        <v>7116.8705999999993</v>
      </c>
      <c r="S3770" s="7">
        <f t="shared" si="411"/>
        <v>1186.1451</v>
      </c>
      <c r="T3770" s="6">
        <f t="shared" si="412"/>
        <v>1.9736842105263157E-2</v>
      </c>
      <c r="V3770" t="s">
        <v>29</v>
      </c>
    </row>
    <row r="3771" spans="1:22">
      <c r="A3771" s="3">
        <v>45814</v>
      </c>
      <c r="B3771" t="str">
        <f t="shared" si="406"/>
        <v>yyyy-06</v>
      </c>
      <c r="C3771">
        <f t="shared" si="407"/>
        <v>23</v>
      </c>
      <c r="D3771" t="s">
        <v>66</v>
      </c>
      <c r="E3771" t="s">
        <v>71</v>
      </c>
      <c r="F3771" t="s">
        <v>75</v>
      </c>
      <c r="G3771" t="s">
        <v>36</v>
      </c>
      <c r="H3771" t="s">
        <v>37</v>
      </c>
      <c r="I3771" s="5">
        <v>414</v>
      </c>
      <c r="J3771" s="5">
        <v>279</v>
      </c>
      <c r="K3771" s="5">
        <v>22</v>
      </c>
      <c r="L3771" s="5">
        <v>6</v>
      </c>
      <c r="M3771" s="5">
        <v>8</v>
      </c>
      <c r="N3771" s="7">
        <v>37.67</v>
      </c>
      <c r="O3771" s="7">
        <f t="shared" si="408"/>
        <v>301.36</v>
      </c>
      <c r="P3771" s="4">
        <v>0.05</v>
      </c>
      <c r="Q3771" s="7">
        <f t="shared" si="409"/>
        <v>15.068000000000001</v>
      </c>
      <c r="R3771" s="7">
        <f t="shared" si="410"/>
        <v>286.29200000000003</v>
      </c>
      <c r="S3771" s="7">
        <f t="shared" si="411"/>
        <v>47.715333333333341</v>
      </c>
      <c r="T3771" s="6">
        <f t="shared" si="412"/>
        <v>1.4492753623188406E-2</v>
      </c>
      <c r="V3771" t="s">
        <v>29</v>
      </c>
    </row>
    <row r="3772" spans="1:22">
      <c r="A3772" s="3">
        <v>45814</v>
      </c>
      <c r="B3772" t="str">
        <f t="shared" si="406"/>
        <v>yyyy-06</v>
      </c>
      <c r="C3772">
        <f t="shared" si="407"/>
        <v>23</v>
      </c>
      <c r="D3772" t="s">
        <v>24</v>
      </c>
      <c r="E3772" t="s">
        <v>76</v>
      </c>
      <c r="F3772" t="s">
        <v>77</v>
      </c>
      <c r="G3772" t="s">
        <v>36</v>
      </c>
      <c r="H3772" t="s">
        <v>37</v>
      </c>
      <c r="I3772" s="5">
        <v>674</v>
      </c>
      <c r="J3772" s="5">
        <v>443</v>
      </c>
      <c r="K3772" s="5">
        <v>74</v>
      </c>
      <c r="L3772" s="5">
        <v>17</v>
      </c>
      <c r="M3772" s="5">
        <v>18</v>
      </c>
      <c r="N3772" s="7">
        <v>201.4</v>
      </c>
      <c r="O3772" s="7">
        <f t="shared" si="408"/>
        <v>3625.2000000000003</v>
      </c>
      <c r="P3772" s="4">
        <v>0</v>
      </c>
      <c r="Q3772" s="7">
        <f t="shared" si="409"/>
        <v>0</v>
      </c>
      <c r="R3772" s="7">
        <f t="shared" si="410"/>
        <v>3625.2000000000003</v>
      </c>
      <c r="S3772" s="7">
        <f t="shared" si="411"/>
        <v>213.24705882352941</v>
      </c>
      <c r="T3772" s="6">
        <f t="shared" si="412"/>
        <v>2.5222551928783383E-2</v>
      </c>
      <c r="V3772" t="s">
        <v>29</v>
      </c>
    </row>
    <row r="3773" spans="1:22">
      <c r="A3773" s="3">
        <v>45815</v>
      </c>
      <c r="B3773" t="str">
        <f t="shared" si="406"/>
        <v>yyyy-06</v>
      </c>
      <c r="C3773">
        <f t="shared" si="407"/>
        <v>23</v>
      </c>
      <c r="D3773" t="s">
        <v>24</v>
      </c>
      <c r="E3773" t="s">
        <v>25</v>
      </c>
      <c r="F3773" t="s">
        <v>26</v>
      </c>
      <c r="G3773" t="s">
        <v>27</v>
      </c>
      <c r="H3773" t="s">
        <v>28</v>
      </c>
      <c r="I3773" s="5">
        <v>1883</v>
      </c>
      <c r="J3773" s="5">
        <v>1234</v>
      </c>
      <c r="K3773" s="5">
        <v>164</v>
      </c>
      <c r="L3773" s="5">
        <v>42</v>
      </c>
      <c r="M3773" s="5">
        <v>42</v>
      </c>
      <c r="N3773" s="7">
        <v>981.91</v>
      </c>
      <c r="O3773" s="7">
        <f t="shared" si="408"/>
        <v>41240.22</v>
      </c>
      <c r="P3773" s="4">
        <v>0</v>
      </c>
      <c r="Q3773" s="7">
        <f t="shared" si="409"/>
        <v>0</v>
      </c>
      <c r="R3773" s="7">
        <f t="shared" si="410"/>
        <v>41240.22</v>
      </c>
      <c r="S3773" s="7">
        <f t="shared" si="411"/>
        <v>981.91000000000008</v>
      </c>
      <c r="T3773" s="6">
        <f t="shared" si="412"/>
        <v>2.2304832713754646E-2</v>
      </c>
      <c r="V3773" t="s">
        <v>29</v>
      </c>
    </row>
    <row r="3774" spans="1:22">
      <c r="A3774" s="3">
        <v>45815</v>
      </c>
      <c r="B3774" t="str">
        <f t="shared" si="406"/>
        <v>yyyy-06</v>
      </c>
      <c r="C3774">
        <f t="shared" si="407"/>
        <v>23</v>
      </c>
      <c r="D3774" t="s">
        <v>24</v>
      </c>
      <c r="E3774" t="s">
        <v>25</v>
      </c>
      <c r="F3774" t="s">
        <v>30</v>
      </c>
      <c r="G3774" t="s">
        <v>27</v>
      </c>
      <c r="H3774" t="s">
        <v>28</v>
      </c>
      <c r="I3774" s="5">
        <v>2226</v>
      </c>
      <c r="J3774" s="5">
        <v>1286</v>
      </c>
      <c r="K3774" s="5">
        <v>108</v>
      </c>
      <c r="L3774" s="5">
        <v>35</v>
      </c>
      <c r="M3774" s="5">
        <v>35</v>
      </c>
      <c r="N3774" s="7">
        <v>394.77</v>
      </c>
      <c r="O3774" s="7">
        <f t="shared" si="408"/>
        <v>13816.949999999999</v>
      </c>
      <c r="P3774" s="4">
        <v>0.05</v>
      </c>
      <c r="Q3774" s="7">
        <f t="shared" si="409"/>
        <v>690.84749999999997</v>
      </c>
      <c r="R3774" s="7">
        <f t="shared" si="410"/>
        <v>13126.102499999999</v>
      </c>
      <c r="S3774" s="7">
        <f t="shared" si="411"/>
        <v>375.03149999999999</v>
      </c>
      <c r="T3774" s="6">
        <f t="shared" si="412"/>
        <v>1.5723270440251572E-2</v>
      </c>
      <c r="V3774" t="s">
        <v>29</v>
      </c>
    </row>
    <row r="3775" spans="1:22">
      <c r="A3775" s="3">
        <v>45815</v>
      </c>
      <c r="B3775" t="str">
        <f t="shared" si="406"/>
        <v>yyyy-06</v>
      </c>
      <c r="C3775">
        <f t="shared" si="407"/>
        <v>23</v>
      </c>
      <c r="D3775" t="s">
        <v>24</v>
      </c>
      <c r="E3775" t="s">
        <v>25</v>
      </c>
      <c r="F3775" t="s">
        <v>33</v>
      </c>
      <c r="G3775" t="s">
        <v>36</v>
      </c>
      <c r="H3775" t="s">
        <v>37</v>
      </c>
      <c r="I3775" s="5">
        <v>2119</v>
      </c>
      <c r="J3775" s="5">
        <v>1431</v>
      </c>
      <c r="K3775" s="5">
        <v>150</v>
      </c>
      <c r="L3775" s="5">
        <v>42</v>
      </c>
      <c r="M3775" s="5">
        <v>42</v>
      </c>
      <c r="N3775" s="7">
        <v>1785.24</v>
      </c>
      <c r="O3775" s="7">
        <f t="shared" si="408"/>
        <v>74980.08</v>
      </c>
      <c r="P3775" s="4">
        <v>0</v>
      </c>
      <c r="Q3775" s="7">
        <f t="shared" si="409"/>
        <v>0</v>
      </c>
      <c r="R3775" s="7">
        <f t="shared" si="410"/>
        <v>74980.08</v>
      </c>
      <c r="S3775" s="7">
        <f t="shared" si="411"/>
        <v>1785.24</v>
      </c>
      <c r="T3775" s="6">
        <f t="shared" si="412"/>
        <v>1.9820670127418595E-2</v>
      </c>
      <c r="V3775" t="s">
        <v>29</v>
      </c>
    </row>
    <row r="3776" spans="1:22">
      <c r="A3776" s="3">
        <v>45815</v>
      </c>
      <c r="B3776" t="str">
        <f t="shared" si="406"/>
        <v>yyyy-06</v>
      </c>
      <c r="C3776">
        <f t="shared" si="407"/>
        <v>23</v>
      </c>
      <c r="D3776" t="s">
        <v>24</v>
      </c>
      <c r="E3776" t="s">
        <v>34</v>
      </c>
      <c r="F3776" t="s">
        <v>35</v>
      </c>
      <c r="G3776" t="s">
        <v>27</v>
      </c>
      <c r="H3776" t="s">
        <v>28</v>
      </c>
      <c r="I3776" s="5">
        <v>1410</v>
      </c>
      <c r="J3776" s="5">
        <v>946</v>
      </c>
      <c r="K3776" s="5">
        <v>73</v>
      </c>
      <c r="L3776" s="5">
        <v>27</v>
      </c>
      <c r="M3776" s="5">
        <v>27</v>
      </c>
      <c r="N3776" s="7">
        <v>868.91</v>
      </c>
      <c r="O3776" s="7">
        <f t="shared" si="408"/>
        <v>23460.57</v>
      </c>
      <c r="P3776" s="4">
        <v>0</v>
      </c>
      <c r="Q3776" s="7">
        <f t="shared" si="409"/>
        <v>0</v>
      </c>
      <c r="R3776" s="7">
        <f t="shared" si="410"/>
        <v>23460.57</v>
      </c>
      <c r="S3776" s="7">
        <f t="shared" si="411"/>
        <v>868.91</v>
      </c>
      <c r="T3776" s="6">
        <f t="shared" si="412"/>
        <v>1.9148936170212766E-2</v>
      </c>
      <c r="V3776" t="s">
        <v>29</v>
      </c>
    </row>
    <row r="3777" spans="1:22">
      <c r="A3777" s="3">
        <v>45815</v>
      </c>
      <c r="B3777" t="str">
        <f t="shared" si="406"/>
        <v>yyyy-06</v>
      </c>
      <c r="C3777">
        <f t="shared" si="407"/>
        <v>23</v>
      </c>
      <c r="D3777" t="s">
        <v>24</v>
      </c>
      <c r="E3777" t="s">
        <v>38</v>
      </c>
      <c r="F3777" t="s">
        <v>39</v>
      </c>
      <c r="G3777" t="s">
        <v>27</v>
      </c>
      <c r="H3777" t="s">
        <v>45</v>
      </c>
      <c r="I3777" s="5">
        <v>982</v>
      </c>
      <c r="J3777" s="5">
        <v>589</v>
      </c>
      <c r="K3777" s="5">
        <v>47</v>
      </c>
      <c r="L3777" s="5">
        <v>21</v>
      </c>
      <c r="M3777" s="5">
        <v>21</v>
      </c>
      <c r="N3777" s="7">
        <v>319.89</v>
      </c>
      <c r="O3777" s="7">
        <f t="shared" si="408"/>
        <v>6717.69</v>
      </c>
      <c r="P3777" s="4">
        <v>0.03</v>
      </c>
      <c r="Q3777" s="7">
        <f t="shared" si="409"/>
        <v>201.53069999999997</v>
      </c>
      <c r="R3777" s="7">
        <f t="shared" si="410"/>
        <v>6516.1592999999993</v>
      </c>
      <c r="S3777" s="7">
        <f t="shared" si="411"/>
        <v>310.29329999999999</v>
      </c>
      <c r="T3777" s="6">
        <f t="shared" si="412"/>
        <v>2.1384928716904276E-2</v>
      </c>
      <c r="V3777" t="s">
        <v>29</v>
      </c>
    </row>
    <row r="3778" spans="1:22">
      <c r="A3778" s="3">
        <v>45815</v>
      </c>
      <c r="B3778" t="str">
        <f t="shared" si="406"/>
        <v>yyyy-06</v>
      </c>
      <c r="C3778">
        <f t="shared" si="407"/>
        <v>23</v>
      </c>
      <c r="D3778" t="s">
        <v>24</v>
      </c>
      <c r="E3778" t="s">
        <v>40</v>
      </c>
      <c r="F3778" t="s">
        <v>41</v>
      </c>
      <c r="G3778" t="s">
        <v>31</v>
      </c>
      <c r="H3778" t="s">
        <v>32</v>
      </c>
      <c r="I3778" s="5">
        <v>1177</v>
      </c>
      <c r="J3778" s="5">
        <v>803</v>
      </c>
      <c r="K3778" s="5">
        <v>138</v>
      </c>
      <c r="L3778" s="5">
        <v>29</v>
      </c>
      <c r="M3778" s="5">
        <v>35</v>
      </c>
      <c r="N3778" s="7">
        <v>172.1</v>
      </c>
      <c r="O3778" s="7">
        <f t="shared" si="408"/>
        <v>6023.5</v>
      </c>
      <c r="P3778" s="4">
        <v>0.03</v>
      </c>
      <c r="Q3778" s="7">
        <f t="shared" si="409"/>
        <v>180.70499999999998</v>
      </c>
      <c r="R3778" s="7">
        <f t="shared" si="410"/>
        <v>5842.7950000000001</v>
      </c>
      <c r="S3778" s="7">
        <f t="shared" si="411"/>
        <v>201.4756896551724</v>
      </c>
      <c r="T3778" s="6">
        <f t="shared" si="412"/>
        <v>2.4638912489379779E-2</v>
      </c>
      <c r="V3778" t="s">
        <v>29</v>
      </c>
    </row>
    <row r="3779" spans="1:22">
      <c r="A3779" s="3">
        <v>45815</v>
      </c>
      <c r="B3779" t="str">
        <f t="shared" si="406"/>
        <v>yyyy-06</v>
      </c>
      <c r="C3779">
        <f t="shared" si="407"/>
        <v>23</v>
      </c>
      <c r="D3779" t="s">
        <v>42</v>
      </c>
      <c r="E3779" t="s">
        <v>43</v>
      </c>
      <c r="F3779" t="s">
        <v>44</v>
      </c>
      <c r="G3779" t="s">
        <v>36</v>
      </c>
      <c r="H3779" t="s">
        <v>37</v>
      </c>
      <c r="I3779" s="5">
        <v>755</v>
      </c>
      <c r="J3779" s="5">
        <v>547</v>
      </c>
      <c r="K3779" s="5">
        <v>63</v>
      </c>
      <c r="L3779" s="5">
        <v>10</v>
      </c>
      <c r="M3779" s="5">
        <v>10</v>
      </c>
      <c r="N3779" s="7">
        <v>1267.19</v>
      </c>
      <c r="O3779" s="7">
        <f t="shared" si="408"/>
        <v>12671.900000000001</v>
      </c>
      <c r="P3779" s="4">
        <v>0.11</v>
      </c>
      <c r="Q3779" s="7">
        <f t="shared" si="409"/>
        <v>1393.9090000000001</v>
      </c>
      <c r="R3779" s="7">
        <f t="shared" si="410"/>
        <v>11277.991000000002</v>
      </c>
      <c r="S3779" s="7">
        <f t="shared" si="411"/>
        <v>1127.7991000000002</v>
      </c>
      <c r="T3779" s="6">
        <f t="shared" si="412"/>
        <v>1.3245033112582781E-2</v>
      </c>
      <c r="U3779" t="s">
        <v>99</v>
      </c>
      <c r="V3779" t="s">
        <v>29</v>
      </c>
    </row>
    <row r="3780" spans="1:22">
      <c r="A3780" s="3">
        <v>45815</v>
      </c>
      <c r="B3780" t="str">
        <f t="shared" si="406"/>
        <v>yyyy-06</v>
      </c>
      <c r="C3780">
        <f t="shared" si="407"/>
        <v>23</v>
      </c>
      <c r="D3780" t="s">
        <v>42</v>
      </c>
      <c r="E3780" t="s">
        <v>43</v>
      </c>
      <c r="F3780" t="s">
        <v>46</v>
      </c>
      <c r="G3780" t="s">
        <v>27</v>
      </c>
      <c r="H3780" t="s">
        <v>45</v>
      </c>
      <c r="I3780" s="5">
        <v>790</v>
      </c>
      <c r="J3780" s="5">
        <v>637</v>
      </c>
      <c r="K3780" s="5">
        <v>68</v>
      </c>
      <c r="L3780" s="5">
        <v>14</v>
      </c>
      <c r="M3780" s="5">
        <v>14</v>
      </c>
      <c r="N3780" s="7">
        <v>2146.13</v>
      </c>
      <c r="O3780" s="7">
        <f t="shared" si="408"/>
        <v>30045.82</v>
      </c>
      <c r="P3780" s="4">
        <v>0.11</v>
      </c>
      <c r="Q3780" s="7">
        <f t="shared" si="409"/>
        <v>3305.0401999999999</v>
      </c>
      <c r="R3780" s="7">
        <f t="shared" si="410"/>
        <v>26740.7798</v>
      </c>
      <c r="S3780" s="7">
        <f t="shared" si="411"/>
        <v>1910.0557000000001</v>
      </c>
      <c r="T3780" s="6">
        <f t="shared" si="412"/>
        <v>1.7721518987341773E-2</v>
      </c>
      <c r="U3780" t="s">
        <v>99</v>
      </c>
      <c r="V3780" t="s">
        <v>29</v>
      </c>
    </row>
    <row r="3781" spans="1:22">
      <c r="A3781" s="3">
        <v>45815</v>
      </c>
      <c r="B3781" t="str">
        <f t="shared" ref="B3781:B3844" si="413">TEXT(A3781,"yyyy-mm")</f>
        <v>yyyy-06</v>
      </c>
      <c r="C3781">
        <f t="shared" ref="C3781:C3844" si="414">WEEKNUM(A3781,2)</f>
        <v>23</v>
      </c>
      <c r="D3781" t="s">
        <v>42</v>
      </c>
      <c r="E3781" t="s">
        <v>43</v>
      </c>
      <c r="F3781" t="s">
        <v>47</v>
      </c>
      <c r="G3781" t="s">
        <v>27</v>
      </c>
      <c r="H3781" t="s">
        <v>45</v>
      </c>
      <c r="I3781" s="5">
        <v>541</v>
      </c>
      <c r="J3781" s="5">
        <v>331</v>
      </c>
      <c r="K3781" s="5">
        <v>34</v>
      </c>
      <c r="L3781" s="5">
        <v>9</v>
      </c>
      <c r="M3781" s="5">
        <v>9</v>
      </c>
      <c r="N3781" s="7">
        <v>578.08000000000004</v>
      </c>
      <c r="O3781" s="7">
        <f t="shared" ref="O3781:O3844" si="415">M3781*N3781</f>
        <v>5202.72</v>
      </c>
      <c r="P3781" s="4">
        <v>0.11</v>
      </c>
      <c r="Q3781" s="7">
        <f t="shared" ref="Q3781:Q3844" si="416">O3781*P3781</f>
        <v>572.29920000000004</v>
      </c>
      <c r="R3781" s="7">
        <f t="shared" ref="R3781:R3844" si="417">O3781-Q3781</f>
        <v>4630.4207999999999</v>
      </c>
      <c r="S3781" s="7">
        <f t="shared" ref="S3781:S3844" si="418">IFERROR(R3781/L3781,0)</f>
        <v>514.49119999999994</v>
      </c>
      <c r="T3781" s="6">
        <f t="shared" ref="T3781:T3844" si="419">IFERROR(L3781/I3781,0)</f>
        <v>1.6635859519408502E-2</v>
      </c>
      <c r="U3781" t="s">
        <v>99</v>
      </c>
      <c r="V3781" t="s">
        <v>29</v>
      </c>
    </row>
    <row r="3782" spans="1:22">
      <c r="A3782" s="3">
        <v>45815</v>
      </c>
      <c r="B3782" t="str">
        <f t="shared" si="413"/>
        <v>yyyy-06</v>
      </c>
      <c r="C3782">
        <f t="shared" si="414"/>
        <v>23</v>
      </c>
      <c r="D3782" t="s">
        <v>42</v>
      </c>
      <c r="E3782" t="s">
        <v>49</v>
      </c>
      <c r="F3782" t="s">
        <v>50</v>
      </c>
      <c r="G3782" t="s">
        <v>31</v>
      </c>
      <c r="H3782" t="s">
        <v>32</v>
      </c>
      <c r="I3782" s="5">
        <v>205</v>
      </c>
      <c r="J3782" s="5">
        <v>126</v>
      </c>
      <c r="K3782" s="5">
        <v>14</v>
      </c>
      <c r="L3782" s="5">
        <v>3</v>
      </c>
      <c r="M3782" s="5">
        <v>3</v>
      </c>
      <c r="N3782" s="7">
        <v>1008.15</v>
      </c>
      <c r="O3782" s="7">
        <f t="shared" si="415"/>
        <v>3024.45</v>
      </c>
      <c r="P3782" s="4">
        <v>0.05</v>
      </c>
      <c r="Q3782" s="7">
        <f t="shared" si="416"/>
        <v>151.2225</v>
      </c>
      <c r="R3782" s="7">
        <f t="shared" si="417"/>
        <v>2873.2275</v>
      </c>
      <c r="S3782" s="7">
        <f t="shared" si="418"/>
        <v>957.74249999999995</v>
      </c>
      <c r="T3782" s="6">
        <f t="shared" si="419"/>
        <v>1.4634146341463415E-2</v>
      </c>
      <c r="V3782" t="s">
        <v>29</v>
      </c>
    </row>
    <row r="3783" spans="1:22">
      <c r="A3783" s="3">
        <v>45815</v>
      </c>
      <c r="B3783" t="str">
        <f t="shared" si="413"/>
        <v>yyyy-06</v>
      </c>
      <c r="C3783">
        <f t="shared" si="414"/>
        <v>23</v>
      </c>
      <c r="D3783" t="s">
        <v>42</v>
      </c>
      <c r="E3783" t="s">
        <v>51</v>
      </c>
      <c r="F3783" t="s">
        <v>52</v>
      </c>
      <c r="G3783" t="s">
        <v>27</v>
      </c>
      <c r="H3783" t="s">
        <v>63</v>
      </c>
      <c r="I3783" s="5">
        <v>269</v>
      </c>
      <c r="J3783" s="5">
        <v>171</v>
      </c>
      <c r="K3783" s="5">
        <v>17</v>
      </c>
      <c r="L3783" s="5">
        <v>5</v>
      </c>
      <c r="M3783" s="5">
        <v>5</v>
      </c>
      <c r="N3783" s="7">
        <v>595.24</v>
      </c>
      <c r="O3783" s="7">
        <f t="shared" si="415"/>
        <v>2976.2</v>
      </c>
      <c r="P3783" s="4">
        <v>0</v>
      </c>
      <c r="Q3783" s="7">
        <f t="shared" si="416"/>
        <v>0</v>
      </c>
      <c r="R3783" s="7">
        <f t="shared" si="417"/>
        <v>2976.2</v>
      </c>
      <c r="S3783" s="7">
        <f t="shared" si="418"/>
        <v>595.24</v>
      </c>
      <c r="T3783" s="6">
        <f t="shared" si="419"/>
        <v>1.858736059479554E-2</v>
      </c>
      <c r="V3783" t="s">
        <v>29</v>
      </c>
    </row>
    <row r="3784" spans="1:22">
      <c r="A3784" s="3">
        <v>45815</v>
      </c>
      <c r="B3784" t="str">
        <f t="shared" si="413"/>
        <v>yyyy-06</v>
      </c>
      <c r="C3784">
        <f t="shared" si="414"/>
        <v>23</v>
      </c>
      <c r="D3784" t="s">
        <v>53</v>
      </c>
      <c r="E3784" t="s">
        <v>54</v>
      </c>
      <c r="F3784" t="s">
        <v>55</v>
      </c>
      <c r="G3784" t="s">
        <v>31</v>
      </c>
      <c r="H3784" t="s">
        <v>32</v>
      </c>
      <c r="I3784" s="5">
        <v>214</v>
      </c>
      <c r="J3784" s="5">
        <v>172</v>
      </c>
      <c r="K3784" s="5">
        <v>13</v>
      </c>
      <c r="L3784" s="5">
        <v>3</v>
      </c>
      <c r="M3784" s="5">
        <v>3</v>
      </c>
      <c r="N3784" s="7">
        <v>1272.72</v>
      </c>
      <c r="O3784" s="7">
        <f t="shared" si="415"/>
        <v>3818.16</v>
      </c>
      <c r="P3784" s="4">
        <v>0.03</v>
      </c>
      <c r="Q3784" s="7">
        <f t="shared" si="416"/>
        <v>114.5448</v>
      </c>
      <c r="R3784" s="7">
        <f t="shared" si="417"/>
        <v>3703.6151999999997</v>
      </c>
      <c r="S3784" s="7">
        <f t="shared" si="418"/>
        <v>1234.5383999999999</v>
      </c>
      <c r="T3784" s="6">
        <f t="shared" si="419"/>
        <v>1.4018691588785047E-2</v>
      </c>
      <c r="V3784" t="s">
        <v>29</v>
      </c>
    </row>
    <row r="3785" spans="1:22">
      <c r="A3785" s="3">
        <v>45815</v>
      </c>
      <c r="B3785" t="str">
        <f t="shared" si="413"/>
        <v>yyyy-06</v>
      </c>
      <c r="C3785">
        <f t="shared" si="414"/>
        <v>23</v>
      </c>
      <c r="D3785" t="s">
        <v>53</v>
      </c>
      <c r="E3785" t="s">
        <v>56</v>
      </c>
      <c r="F3785" t="s">
        <v>57</v>
      </c>
      <c r="G3785" t="s">
        <v>36</v>
      </c>
      <c r="H3785" t="s">
        <v>37</v>
      </c>
      <c r="I3785" s="5">
        <v>267</v>
      </c>
      <c r="J3785" s="5">
        <v>190</v>
      </c>
      <c r="K3785" s="5">
        <v>17</v>
      </c>
      <c r="L3785" s="5">
        <v>2</v>
      </c>
      <c r="M3785" s="5">
        <v>2</v>
      </c>
      <c r="N3785" s="7">
        <v>741.57</v>
      </c>
      <c r="O3785" s="7">
        <f t="shared" si="415"/>
        <v>1483.14</v>
      </c>
      <c r="P3785" s="4">
        <v>0</v>
      </c>
      <c r="Q3785" s="7">
        <f t="shared" si="416"/>
        <v>0</v>
      </c>
      <c r="R3785" s="7">
        <f t="shared" si="417"/>
        <v>1483.14</v>
      </c>
      <c r="S3785" s="7">
        <f t="shared" si="418"/>
        <v>741.57</v>
      </c>
      <c r="T3785" s="6">
        <f t="shared" si="419"/>
        <v>7.4906367041198503E-3</v>
      </c>
      <c r="V3785" t="s">
        <v>78</v>
      </c>
    </row>
    <row r="3786" spans="1:22">
      <c r="A3786" s="3">
        <v>45815</v>
      </c>
      <c r="B3786" t="str">
        <f t="shared" si="413"/>
        <v>yyyy-06</v>
      </c>
      <c r="C3786">
        <f t="shared" si="414"/>
        <v>23</v>
      </c>
      <c r="D3786" t="s">
        <v>53</v>
      </c>
      <c r="E3786" t="s">
        <v>56</v>
      </c>
      <c r="F3786" t="s">
        <v>58</v>
      </c>
      <c r="G3786" t="s">
        <v>27</v>
      </c>
      <c r="H3786" t="s">
        <v>63</v>
      </c>
      <c r="I3786" s="5">
        <v>207</v>
      </c>
      <c r="J3786" s="5">
        <v>155</v>
      </c>
      <c r="K3786" s="5">
        <v>7</v>
      </c>
      <c r="L3786" s="5">
        <v>2</v>
      </c>
      <c r="M3786" s="5">
        <v>2</v>
      </c>
      <c r="N3786" s="7">
        <v>900.79</v>
      </c>
      <c r="O3786" s="7">
        <f t="shared" si="415"/>
        <v>1801.58</v>
      </c>
      <c r="P3786" s="4">
        <v>0</v>
      </c>
      <c r="Q3786" s="7">
        <f t="shared" si="416"/>
        <v>0</v>
      </c>
      <c r="R3786" s="7">
        <f t="shared" si="417"/>
        <v>1801.58</v>
      </c>
      <c r="S3786" s="7">
        <f t="shared" si="418"/>
        <v>900.79</v>
      </c>
      <c r="T3786" s="6">
        <f t="shared" si="419"/>
        <v>9.6618357487922701E-3</v>
      </c>
      <c r="V3786" t="s">
        <v>29</v>
      </c>
    </row>
    <row r="3787" spans="1:22">
      <c r="A3787" s="3">
        <v>45815</v>
      </c>
      <c r="B3787" t="str">
        <f t="shared" si="413"/>
        <v>yyyy-06</v>
      </c>
      <c r="C3787">
        <f t="shared" si="414"/>
        <v>23</v>
      </c>
      <c r="D3787" t="s">
        <v>53</v>
      </c>
      <c r="E3787" t="s">
        <v>59</v>
      </c>
      <c r="F3787" t="s">
        <v>60</v>
      </c>
      <c r="G3787" t="s">
        <v>36</v>
      </c>
      <c r="H3787" t="s">
        <v>37</v>
      </c>
      <c r="I3787" s="5">
        <v>179</v>
      </c>
      <c r="J3787" s="5">
        <v>122</v>
      </c>
      <c r="K3787" s="5">
        <v>10</v>
      </c>
      <c r="L3787" s="5">
        <v>2</v>
      </c>
      <c r="M3787" s="5">
        <v>2</v>
      </c>
      <c r="N3787" s="7">
        <v>703.97</v>
      </c>
      <c r="O3787" s="7">
        <f t="shared" si="415"/>
        <v>1407.94</v>
      </c>
      <c r="P3787" s="4">
        <v>0</v>
      </c>
      <c r="Q3787" s="7">
        <f t="shared" si="416"/>
        <v>0</v>
      </c>
      <c r="R3787" s="7">
        <f t="shared" si="417"/>
        <v>1407.94</v>
      </c>
      <c r="S3787" s="7">
        <f t="shared" si="418"/>
        <v>703.97</v>
      </c>
      <c r="T3787" s="6">
        <f t="shared" si="419"/>
        <v>1.11731843575419E-2</v>
      </c>
      <c r="V3787" t="s">
        <v>29</v>
      </c>
    </row>
    <row r="3788" spans="1:22">
      <c r="A3788" s="3">
        <v>45815</v>
      </c>
      <c r="B3788" t="str">
        <f t="shared" si="413"/>
        <v>yyyy-06</v>
      </c>
      <c r="C3788">
        <f t="shared" si="414"/>
        <v>23</v>
      </c>
      <c r="D3788" t="s">
        <v>53</v>
      </c>
      <c r="E3788" t="s">
        <v>61</v>
      </c>
      <c r="F3788" t="s">
        <v>62</v>
      </c>
      <c r="G3788" t="s">
        <v>36</v>
      </c>
      <c r="H3788" t="s">
        <v>37</v>
      </c>
      <c r="I3788" s="5">
        <v>203</v>
      </c>
      <c r="J3788" s="5">
        <v>135</v>
      </c>
      <c r="K3788" s="5">
        <v>10</v>
      </c>
      <c r="L3788" s="5">
        <v>2</v>
      </c>
      <c r="M3788" s="5">
        <v>2</v>
      </c>
      <c r="N3788" s="7">
        <v>496.53</v>
      </c>
      <c r="O3788" s="7">
        <f t="shared" si="415"/>
        <v>993.06</v>
      </c>
      <c r="P3788" s="4">
        <v>0</v>
      </c>
      <c r="Q3788" s="7">
        <f t="shared" si="416"/>
        <v>0</v>
      </c>
      <c r="R3788" s="7">
        <f t="shared" si="417"/>
        <v>993.06</v>
      </c>
      <c r="S3788" s="7">
        <f t="shared" si="418"/>
        <v>496.53</v>
      </c>
      <c r="T3788" s="6">
        <f t="shared" si="419"/>
        <v>9.852216748768473E-3</v>
      </c>
      <c r="V3788" t="s">
        <v>29</v>
      </c>
    </row>
    <row r="3789" spans="1:22">
      <c r="A3789" s="3">
        <v>45815</v>
      </c>
      <c r="B3789" t="str">
        <f t="shared" si="413"/>
        <v>yyyy-06</v>
      </c>
      <c r="C3789">
        <f t="shared" si="414"/>
        <v>23</v>
      </c>
      <c r="D3789" t="s">
        <v>53</v>
      </c>
      <c r="E3789" t="s">
        <v>64</v>
      </c>
      <c r="F3789" t="s">
        <v>65</v>
      </c>
      <c r="G3789" t="s">
        <v>31</v>
      </c>
      <c r="H3789" t="s">
        <v>32</v>
      </c>
      <c r="I3789" s="5">
        <v>335</v>
      </c>
      <c r="J3789" s="5">
        <v>246</v>
      </c>
      <c r="K3789" s="5">
        <v>22</v>
      </c>
      <c r="L3789" s="5">
        <v>5</v>
      </c>
      <c r="M3789" s="5">
        <v>5</v>
      </c>
      <c r="N3789" s="7">
        <v>806.39</v>
      </c>
      <c r="O3789" s="7">
        <f t="shared" si="415"/>
        <v>4031.95</v>
      </c>
      <c r="P3789" s="4">
        <v>0</v>
      </c>
      <c r="Q3789" s="7">
        <f t="shared" si="416"/>
        <v>0</v>
      </c>
      <c r="R3789" s="7">
        <f t="shared" si="417"/>
        <v>4031.95</v>
      </c>
      <c r="S3789" s="7">
        <f t="shared" si="418"/>
        <v>806.39</v>
      </c>
      <c r="T3789" s="6">
        <f t="shared" si="419"/>
        <v>1.4925373134328358E-2</v>
      </c>
      <c r="V3789" t="s">
        <v>29</v>
      </c>
    </row>
    <row r="3790" spans="1:22">
      <c r="A3790" s="3">
        <v>45815</v>
      </c>
      <c r="B3790" t="str">
        <f t="shared" si="413"/>
        <v>yyyy-06</v>
      </c>
      <c r="C3790">
        <f t="shared" si="414"/>
        <v>23</v>
      </c>
      <c r="D3790" t="s">
        <v>66</v>
      </c>
      <c r="E3790" t="s">
        <v>67</v>
      </c>
      <c r="F3790" t="s">
        <v>68</v>
      </c>
      <c r="G3790" t="s">
        <v>27</v>
      </c>
      <c r="H3790" t="s">
        <v>48</v>
      </c>
      <c r="I3790" s="5">
        <v>372</v>
      </c>
      <c r="J3790" s="5">
        <v>285</v>
      </c>
      <c r="K3790" s="5">
        <v>28</v>
      </c>
      <c r="L3790" s="5">
        <v>7</v>
      </c>
      <c r="M3790" s="5">
        <v>7</v>
      </c>
      <c r="N3790" s="7">
        <v>681.59</v>
      </c>
      <c r="O3790" s="7">
        <f t="shared" si="415"/>
        <v>4771.13</v>
      </c>
      <c r="P3790" s="4">
        <v>0</v>
      </c>
      <c r="Q3790" s="7">
        <f t="shared" si="416"/>
        <v>0</v>
      </c>
      <c r="R3790" s="7">
        <f t="shared" si="417"/>
        <v>4771.13</v>
      </c>
      <c r="S3790" s="7">
        <f t="shared" si="418"/>
        <v>681.59</v>
      </c>
      <c r="T3790" s="6">
        <f t="shared" si="419"/>
        <v>1.8817204301075269E-2</v>
      </c>
      <c r="V3790" t="s">
        <v>29</v>
      </c>
    </row>
    <row r="3791" spans="1:22">
      <c r="A3791" s="3">
        <v>45815</v>
      </c>
      <c r="B3791" t="str">
        <f t="shared" si="413"/>
        <v>yyyy-06</v>
      </c>
      <c r="C3791">
        <f t="shared" si="414"/>
        <v>23</v>
      </c>
      <c r="D3791" t="s">
        <v>66</v>
      </c>
      <c r="E3791" t="s">
        <v>67</v>
      </c>
      <c r="F3791" t="s">
        <v>69</v>
      </c>
      <c r="G3791" t="s">
        <v>27</v>
      </c>
      <c r="H3791" t="s">
        <v>28</v>
      </c>
      <c r="I3791" s="5">
        <v>450</v>
      </c>
      <c r="J3791" s="5">
        <v>274</v>
      </c>
      <c r="K3791" s="5">
        <v>22</v>
      </c>
      <c r="L3791" s="5">
        <v>7</v>
      </c>
      <c r="M3791" s="5">
        <v>7</v>
      </c>
      <c r="N3791" s="7">
        <v>389.66</v>
      </c>
      <c r="O3791" s="7">
        <f t="shared" si="415"/>
        <v>2727.6200000000003</v>
      </c>
      <c r="P3791" s="4">
        <v>0</v>
      </c>
      <c r="Q3791" s="7">
        <f t="shared" si="416"/>
        <v>0</v>
      </c>
      <c r="R3791" s="7">
        <f t="shared" si="417"/>
        <v>2727.6200000000003</v>
      </c>
      <c r="S3791" s="7">
        <f t="shared" si="418"/>
        <v>389.66</v>
      </c>
      <c r="T3791" s="6">
        <f t="shared" si="419"/>
        <v>1.5555555555555555E-2</v>
      </c>
      <c r="V3791" t="s">
        <v>29</v>
      </c>
    </row>
    <row r="3792" spans="1:22">
      <c r="A3792" s="3">
        <v>45815</v>
      </c>
      <c r="B3792" t="str">
        <f t="shared" si="413"/>
        <v>yyyy-06</v>
      </c>
      <c r="C3792">
        <f t="shared" si="414"/>
        <v>23</v>
      </c>
      <c r="D3792" t="s">
        <v>66</v>
      </c>
      <c r="E3792" t="s">
        <v>67</v>
      </c>
      <c r="F3792" t="s">
        <v>70</v>
      </c>
      <c r="G3792" t="s">
        <v>36</v>
      </c>
      <c r="H3792" t="s">
        <v>37</v>
      </c>
      <c r="I3792" s="5">
        <v>548</v>
      </c>
      <c r="J3792" s="5">
        <v>343</v>
      </c>
      <c r="K3792" s="5">
        <v>39</v>
      </c>
      <c r="L3792" s="5">
        <v>11</v>
      </c>
      <c r="M3792" s="5">
        <v>11</v>
      </c>
      <c r="N3792" s="7">
        <v>354.67</v>
      </c>
      <c r="O3792" s="7">
        <f t="shared" si="415"/>
        <v>3901.3700000000003</v>
      </c>
      <c r="P3792" s="4">
        <v>0</v>
      </c>
      <c r="Q3792" s="7">
        <f t="shared" si="416"/>
        <v>0</v>
      </c>
      <c r="R3792" s="7">
        <f t="shared" si="417"/>
        <v>3901.3700000000003</v>
      </c>
      <c r="S3792" s="7">
        <f t="shared" si="418"/>
        <v>354.67</v>
      </c>
      <c r="T3792" s="6">
        <f t="shared" si="419"/>
        <v>2.0072992700729927E-2</v>
      </c>
      <c r="V3792" t="s">
        <v>29</v>
      </c>
    </row>
    <row r="3793" spans="1:22">
      <c r="A3793" s="3">
        <v>45815</v>
      </c>
      <c r="B3793" t="str">
        <f t="shared" si="413"/>
        <v>yyyy-06</v>
      </c>
      <c r="C3793">
        <f t="shared" si="414"/>
        <v>23</v>
      </c>
      <c r="D3793" t="s">
        <v>66</v>
      </c>
      <c r="E3793" t="s">
        <v>71</v>
      </c>
      <c r="F3793" t="s">
        <v>72</v>
      </c>
      <c r="G3793" t="s">
        <v>27</v>
      </c>
      <c r="H3793" t="s">
        <v>63</v>
      </c>
      <c r="I3793" s="5">
        <v>227</v>
      </c>
      <c r="J3793" s="5">
        <v>124</v>
      </c>
      <c r="K3793" s="5">
        <v>12</v>
      </c>
      <c r="L3793" s="5">
        <v>4</v>
      </c>
      <c r="M3793" s="5">
        <v>5</v>
      </c>
      <c r="N3793" s="7">
        <v>128.62</v>
      </c>
      <c r="O3793" s="7">
        <f t="shared" si="415"/>
        <v>643.1</v>
      </c>
      <c r="P3793" s="4">
        <v>0.03</v>
      </c>
      <c r="Q3793" s="7">
        <f t="shared" si="416"/>
        <v>19.292999999999999</v>
      </c>
      <c r="R3793" s="7">
        <f t="shared" si="417"/>
        <v>623.80700000000002</v>
      </c>
      <c r="S3793" s="7">
        <f t="shared" si="418"/>
        <v>155.95175</v>
      </c>
      <c r="T3793" s="6">
        <f t="shared" si="419"/>
        <v>1.7621145374449341E-2</v>
      </c>
      <c r="V3793" t="s">
        <v>29</v>
      </c>
    </row>
    <row r="3794" spans="1:22">
      <c r="A3794" s="3">
        <v>45815</v>
      </c>
      <c r="B3794" t="str">
        <f t="shared" si="413"/>
        <v>yyyy-06</v>
      </c>
      <c r="C3794">
        <f t="shared" si="414"/>
        <v>23</v>
      </c>
      <c r="D3794" t="s">
        <v>66</v>
      </c>
      <c r="E3794" t="s">
        <v>73</v>
      </c>
      <c r="F3794" t="s">
        <v>74</v>
      </c>
      <c r="G3794" t="s">
        <v>27</v>
      </c>
      <c r="H3794" t="s">
        <v>63</v>
      </c>
      <c r="I3794" s="5">
        <v>192</v>
      </c>
      <c r="J3794" s="5">
        <v>111</v>
      </c>
      <c r="K3794" s="5">
        <v>17</v>
      </c>
      <c r="L3794" s="5">
        <v>4</v>
      </c>
      <c r="M3794" s="5">
        <v>4</v>
      </c>
      <c r="N3794" s="7">
        <v>1202.1600000000001</v>
      </c>
      <c r="O3794" s="7">
        <f t="shared" si="415"/>
        <v>4808.6400000000003</v>
      </c>
      <c r="P3794" s="4">
        <v>0</v>
      </c>
      <c r="Q3794" s="7">
        <f t="shared" si="416"/>
        <v>0</v>
      </c>
      <c r="R3794" s="7">
        <f t="shared" si="417"/>
        <v>4808.6400000000003</v>
      </c>
      <c r="S3794" s="7">
        <f t="shared" si="418"/>
        <v>1202.1600000000001</v>
      </c>
      <c r="T3794" s="6">
        <f t="shared" si="419"/>
        <v>2.0833333333333332E-2</v>
      </c>
      <c r="V3794" t="s">
        <v>29</v>
      </c>
    </row>
    <row r="3795" spans="1:22">
      <c r="A3795" s="3">
        <v>45815</v>
      </c>
      <c r="B3795" t="str">
        <f t="shared" si="413"/>
        <v>yyyy-06</v>
      </c>
      <c r="C3795">
        <f t="shared" si="414"/>
        <v>23</v>
      </c>
      <c r="D3795" t="s">
        <v>66</v>
      </c>
      <c r="E3795" t="s">
        <v>71</v>
      </c>
      <c r="F3795" t="s">
        <v>75</v>
      </c>
      <c r="G3795" t="s">
        <v>27</v>
      </c>
      <c r="H3795" t="s">
        <v>45</v>
      </c>
      <c r="I3795" s="5">
        <v>452</v>
      </c>
      <c r="J3795" s="5">
        <v>364</v>
      </c>
      <c r="K3795" s="5">
        <v>41</v>
      </c>
      <c r="L3795" s="5">
        <v>8</v>
      </c>
      <c r="M3795" s="5">
        <v>10</v>
      </c>
      <c r="N3795" s="7">
        <v>38.840000000000003</v>
      </c>
      <c r="O3795" s="7">
        <f t="shared" si="415"/>
        <v>388.40000000000003</v>
      </c>
      <c r="P3795" s="4">
        <v>0</v>
      </c>
      <c r="Q3795" s="7">
        <f t="shared" si="416"/>
        <v>0</v>
      </c>
      <c r="R3795" s="7">
        <f t="shared" si="417"/>
        <v>388.40000000000003</v>
      </c>
      <c r="S3795" s="7">
        <f t="shared" si="418"/>
        <v>48.550000000000004</v>
      </c>
      <c r="T3795" s="6">
        <f t="shared" si="419"/>
        <v>1.7699115044247787E-2</v>
      </c>
      <c r="V3795" t="s">
        <v>29</v>
      </c>
    </row>
    <row r="3796" spans="1:22">
      <c r="A3796" s="3">
        <v>45815</v>
      </c>
      <c r="B3796" t="str">
        <f t="shared" si="413"/>
        <v>yyyy-06</v>
      </c>
      <c r="C3796">
        <f t="shared" si="414"/>
        <v>23</v>
      </c>
      <c r="D3796" t="s">
        <v>24</v>
      </c>
      <c r="E3796" t="s">
        <v>76</v>
      </c>
      <c r="F3796" t="s">
        <v>77</v>
      </c>
      <c r="G3796" t="s">
        <v>27</v>
      </c>
      <c r="H3796" t="s">
        <v>45</v>
      </c>
      <c r="I3796" s="5">
        <v>703</v>
      </c>
      <c r="J3796" s="5">
        <v>565</v>
      </c>
      <c r="K3796" s="5">
        <v>42</v>
      </c>
      <c r="L3796" s="5">
        <v>14</v>
      </c>
      <c r="M3796" s="5">
        <v>17</v>
      </c>
      <c r="N3796" s="7">
        <v>198.61</v>
      </c>
      <c r="O3796" s="7">
        <f t="shared" si="415"/>
        <v>3376.3700000000003</v>
      </c>
      <c r="P3796" s="4">
        <v>0</v>
      </c>
      <c r="Q3796" s="7">
        <f t="shared" si="416"/>
        <v>0</v>
      </c>
      <c r="R3796" s="7">
        <f t="shared" si="417"/>
        <v>3376.3700000000003</v>
      </c>
      <c r="S3796" s="7">
        <f t="shared" si="418"/>
        <v>241.16928571428573</v>
      </c>
      <c r="T3796" s="6">
        <f t="shared" si="419"/>
        <v>1.9914651493598862E-2</v>
      </c>
      <c r="V3796" t="s">
        <v>29</v>
      </c>
    </row>
    <row r="3797" spans="1:22">
      <c r="A3797" s="3">
        <v>45816</v>
      </c>
      <c r="B3797" t="str">
        <f t="shared" si="413"/>
        <v>yyyy-06</v>
      </c>
      <c r="C3797">
        <f t="shared" si="414"/>
        <v>23</v>
      </c>
      <c r="D3797" t="s">
        <v>24</v>
      </c>
      <c r="E3797" t="s">
        <v>25</v>
      </c>
      <c r="F3797" t="s">
        <v>26</v>
      </c>
      <c r="G3797" t="s">
        <v>36</v>
      </c>
      <c r="H3797" t="s">
        <v>37</v>
      </c>
      <c r="I3797" s="5">
        <v>1608</v>
      </c>
      <c r="J3797" s="5">
        <v>1302</v>
      </c>
      <c r="K3797" s="5">
        <v>142</v>
      </c>
      <c r="L3797" s="5">
        <v>29</v>
      </c>
      <c r="M3797" s="5">
        <v>29</v>
      </c>
      <c r="N3797" s="7">
        <v>1009.18</v>
      </c>
      <c r="O3797" s="7">
        <f t="shared" si="415"/>
        <v>29266.219999999998</v>
      </c>
      <c r="P3797" s="4">
        <v>0</v>
      </c>
      <c r="Q3797" s="7">
        <f t="shared" si="416"/>
        <v>0</v>
      </c>
      <c r="R3797" s="7">
        <f t="shared" si="417"/>
        <v>29266.219999999998</v>
      </c>
      <c r="S3797" s="7">
        <f t="shared" si="418"/>
        <v>1009.18</v>
      </c>
      <c r="T3797" s="6">
        <f t="shared" si="419"/>
        <v>1.8034825870646767E-2</v>
      </c>
      <c r="V3797" t="s">
        <v>29</v>
      </c>
    </row>
    <row r="3798" spans="1:22">
      <c r="A3798" s="3">
        <v>45816</v>
      </c>
      <c r="B3798" t="str">
        <f t="shared" si="413"/>
        <v>yyyy-06</v>
      </c>
      <c r="C3798">
        <f t="shared" si="414"/>
        <v>23</v>
      </c>
      <c r="D3798" t="s">
        <v>24</v>
      </c>
      <c r="E3798" t="s">
        <v>25</v>
      </c>
      <c r="F3798" t="s">
        <v>30</v>
      </c>
      <c r="G3798" t="s">
        <v>27</v>
      </c>
      <c r="H3798" t="s">
        <v>28</v>
      </c>
      <c r="I3798" s="5">
        <v>2320</v>
      </c>
      <c r="J3798" s="5">
        <v>1518</v>
      </c>
      <c r="K3798" s="5">
        <v>221</v>
      </c>
      <c r="L3798" s="5">
        <v>49</v>
      </c>
      <c r="M3798" s="5">
        <v>49</v>
      </c>
      <c r="N3798" s="7">
        <v>384.2</v>
      </c>
      <c r="O3798" s="7">
        <f t="shared" si="415"/>
        <v>18825.8</v>
      </c>
      <c r="P3798" s="4">
        <v>0.03</v>
      </c>
      <c r="Q3798" s="7">
        <f t="shared" si="416"/>
        <v>564.774</v>
      </c>
      <c r="R3798" s="7">
        <f t="shared" si="417"/>
        <v>18261.025999999998</v>
      </c>
      <c r="S3798" s="7">
        <f t="shared" si="418"/>
        <v>372.67399999999998</v>
      </c>
      <c r="T3798" s="6">
        <f t="shared" si="419"/>
        <v>2.1120689655172414E-2</v>
      </c>
      <c r="V3798" t="s">
        <v>29</v>
      </c>
    </row>
    <row r="3799" spans="1:22">
      <c r="A3799" s="3">
        <v>45816</v>
      </c>
      <c r="B3799" t="str">
        <f t="shared" si="413"/>
        <v>yyyy-06</v>
      </c>
      <c r="C3799">
        <f t="shared" si="414"/>
        <v>23</v>
      </c>
      <c r="D3799" t="s">
        <v>24</v>
      </c>
      <c r="E3799" t="s">
        <v>25</v>
      </c>
      <c r="F3799" t="s">
        <v>33</v>
      </c>
      <c r="G3799" t="s">
        <v>27</v>
      </c>
      <c r="H3799" t="s">
        <v>45</v>
      </c>
      <c r="I3799" s="5">
        <v>2243</v>
      </c>
      <c r="J3799" s="5">
        <v>1510</v>
      </c>
      <c r="K3799" s="5">
        <v>154</v>
      </c>
      <c r="L3799" s="5">
        <v>36</v>
      </c>
      <c r="M3799" s="5">
        <v>36</v>
      </c>
      <c r="N3799" s="7">
        <v>1834.64</v>
      </c>
      <c r="O3799" s="7">
        <f t="shared" si="415"/>
        <v>66047.040000000008</v>
      </c>
      <c r="P3799" s="4">
        <v>0</v>
      </c>
      <c r="Q3799" s="7">
        <f t="shared" si="416"/>
        <v>0</v>
      </c>
      <c r="R3799" s="7">
        <f t="shared" si="417"/>
        <v>66047.040000000008</v>
      </c>
      <c r="S3799" s="7">
        <f t="shared" si="418"/>
        <v>1834.6400000000003</v>
      </c>
      <c r="T3799" s="6">
        <f t="shared" si="419"/>
        <v>1.6049933125278644E-2</v>
      </c>
      <c r="V3799" t="s">
        <v>29</v>
      </c>
    </row>
    <row r="3800" spans="1:22">
      <c r="A3800" s="3">
        <v>45816</v>
      </c>
      <c r="B3800" t="str">
        <f t="shared" si="413"/>
        <v>yyyy-06</v>
      </c>
      <c r="C3800">
        <f t="shared" si="414"/>
        <v>23</v>
      </c>
      <c r="D3800" t="s">
        <v>24</v>
      </c>
      <c r="E3800" t="s">
        <v>34</v>
      </c>
      <c r="F3800" t="s">
        <v>35</v>
      </c>
      <c r="G3800" t="s">
        <v>36</v>
      </c>
      <c r="H3800" t="s">
        <v>37</v>
      </c>
      <c r="I3800" s="5">
        <v>1320</v>
      </c>
      <c r="J3800" s="5">
        <v>1039</v>
      </c>
      <c r="K3800" s="5">
        <v>121</v>
      </c>
      <c r="L3800" s="5">
        <v>32</v>
      </c>
      <c r="M3800" s="5">
        <v>32</v>
      </c>
      <c r="N3800" s="7">
        <v>887.54</v>
      </c>
      <c r="O3800" s="7">
        <f t="shared" si="415"/>
        <v>28401.279999999999</v>
      </c>
      <c r="P3800" s="4">
        <v>0.05</v>
      </c>
      <c r="Q3800" s="7">
        <f t="shared" si="416"/>
        <v>1420.0640000000001</v>
      </c>
      <c r="R3800" s="7">
        <f t="shared" si="417"/>
        <v>26981.216</v>
      </c>
      <c r="S3800" s="7">
        <f t="shared" si="418"/>
        <v>843.16300000000001</v>
      </c>
      <c r="T3800" s="6">
        <f t="shared" si="419"/>
        <v>2.4242424242424242E-2</v>
      </c>
      <c r="V3800" t="s">
        <v>29</v>
      </c>
    </row>
    <row r="3801" spans="1:22">
      <c r="A3801" s="3">
        <v>45816</v>
      </c>
      <c r="B3801" t="str">
        <f t="shared" si="413"/>
        <v>yyyy-06</v>
      </c>
      <c r="C3801">
        <f t="shared" si="414"/>
        <v>23</v>
      </c>
      <c r="D3801" t="s">
        <v>24</v>
      </c>
      <c r="E3801" t="s">
        <v>38</v>
      </c>
      <c r="F3801" t="s">
        <v>39</v>
      </c>
      <c r="G3801" t="s">
        <v>31</v>
      </c>
      <c r="H3801" t="s">
        <v>32</v>
      </c>
      <c r="I3801" s="5">
        <v>1347</v>
      </c>
      <c r="J3801" s="5">
        <v>731</v>
      </c>
      <c r="K3801" s="5">
        <v>59</v>
      </c>
      <c r="L3801" s="5">
        <v>21</v>
      </c>
      <c r="M3801" s="5">
        <v>21</v>
      </c>
      <c r="N3801" s="7">
        <v>331.56</v>
      </c>
      <c r="O3801" s="7">
        <f t="shared" si="415"/>
        <v>6962.76</v>
      </c>
      <c r="P3801" s="4">
        <v>0</v>
      </c>
      <c r="Q3801" s="7">
        <f t="shared" si="416"/>
        <v>0</v>
      </c>
      <c r="R3801" s="7">
        <f t="shared" si="417"/>
        <v>6962.76</v>
      </c>
      <c r="S3801" s="7">
        <f t="shared" si="418"/>
        <v>331.56</v>
      </c>
      <c r="T3801" s="6">
        <f t="shared" si="419"/>
        <v>1.5590200445434299E-2</v>
      </c>
      <c r="V3801" t="s">
        <v>29</v>
      </c>
    </row>
    <row r="3802" spans="1:22">
      <c r="A3802" s="3">
        <v>45816</v>
      </c>
      <c r="B3802" t="str">
        <f t="shared" si="413"/>
        <v>yyyy-06</v>
      </c>
      <c r="C3802">
        <f t="shared" si="414"/>
        <v>23</v>
      </c>
      <c r="D3802" t="s">
        <v>24</v>
      </c>
      <c r="E3802" t="s">
        <v>40</v>
      </c>
      <c r="F3802" t="s">
        <v>41</v>
      </c>
      <c r="G3802" t="s">
        <v>31</v>
      </c>
      <c r="H3802" t="s">
        <v>32</v>
      </c>
      <c r="I3802" s="5">
        <v>961</v>
      </c>
      <c r="J3802" s="5">
        <v>715</v>
      </c>
      <c r="K3802" s="5">
        <v>48</v>
      </c>
      <c r="L3802" s="5">
        <v>19</v>
      </c>
      <c r="M3802" s="5">
        <v>22</v>
      </c>
      <c r="N3802" s="7">
        <v>176.4</v>
      </c>
      <c r="O3802" s="7">
        <f t="shared" si="415"/>
        <v>3880.8</v>
      </c>
      <c r="P3802" s="4">
        <v>0</v>
      </c>
      <c r="Q3802" s="7">
        <f t="shared" si="416"/>
        <v>0</v>
      </c>
      <c r="R3802" s="7">
        <f t="shared" si="417"/>
        <v>3880.8</v>
      </c>
      <c r="S3802" s="7">
        <f t="shared" si="418"/>
        <v>204.25263157894739</v>
      </c>
      <c r="T3802" s="6">
        <f t="shared" si="419"/>
        <v>1.9771071800208116E-2</v>
      </c>
      <c r="V3802" t="s">
        <v>29</v>
      </c>
    </row>
    <row r="3803" spans="1:22">
      <c r="A3803" s="3">
        <v>45816</v>
      </c>
      <c r="B3803" t="str">
        <f t="shared" si="413"/>
        <v>yyyy-06</v>
      </c>
      <c r="C3803">
        <f t="shared" si="414"/>
        <v>23</v>
      </c>
      <c r="D3803" t="s">
        <v>42</v>
      </c>
      <c r="E3803" t="s">
        <v>43</v>
      </c>
      <c r="F3803" t="s">
        <v>44</v>
      </c>
      <c r="G3803" t="s">
        <v>31</v>
      </c>
      <c r="H3803" t="s">
        <v>32</v>
      </c>
      <c r="I3803" s="5">
        <v>487</v>
      </c>
      <c r="J3803" s="5">
        <v>306</v>
      </c>
      <c r="K3803" s="5">
        <v>30</v>
      </c>
      <c r="L3803" s="5">
        <v>9</v>
      </c>
      <c r="M3803" s="5">
        <v>9</v>
      </c>
      <c r="N3803" s="7">
        <v>1276.9100000000001</v>
      </c>
      <c r="O3803" s="7">
        <f t="shared" si="415"/>
        <v>11492.19</v>
      </c>
      <c r="P3803" s="4">
        <v>0.11</v>
      </c>
      <c r="Q3803" s="7">
        <f t="shared" si="416"/>
        <v>1264.1409000000001</v>
      </c>
      <c r="R3803" s="7">
        <f t="shared" si="417"/>
        <v>10228.0491</v>
      </c>
      <c r="S3803" s="7">
        <f t="shared" si="418"/>
        <v>1136.4499000000001</v>
      </c>
      <c r="T3803" s="6">
        <f t="shared" si="419"/>
        <v>1.8480492813141684E-2</v>
      </c>
      <c r="U3803" t="s">
        <v>99</v>
      </c>
      <c r="V3803" t="s">
        <v>29</v>
      </c>
    </row>
    <row r="3804" spans="1:22">
      <c r="A3804" s="3">
        <v>45816</v>
      </c>
      <c r="B3804" t="str">
        <f t="shared" si="413"/>
        <v>yyyy-06</v>
      </c>
      <c r="C3804">
        <f t="shared" si="414"/>
        <v>23</v>
      </c>
      <c r="D3804" t="s">
        <v>42</v>
      </c>
      <c r="E3804" t="s">
        <v>43</v>
      </c>
      <c r="F3804" t="s">
        <v>46</v>
      </c>
      <c r="G3804" t="s">
        <v>36</v>
      </c>
      <c r="H3804" t="s">
        <v>37</v>
      </c>
      <c r="I3804" s="5">
        <v>510</v>
      </c>
      <c r="J3804" s="5">
        <v>279</v>
      </c>
      <c r="K3804" s="5">
        <v>26</v>
      </c>
      <c r="L3804" s="5">
        <v>8</v>
      </c>
      <c r="M3804" s="5">
        <v>8</v>
      </c>
      <c r="N3804" s="7">
        <v>2152.4499999999998</v>
      </c>
      <c r="O3804" s="7">
        <f t="shared" si="415"/>
        <v>17219.599999999999</v>
      </c>
      <c r="P3804" s="4">
        <v>0.11</v>
      </c>
      <c r="Q3804" s="7">
        <f t="shared" si="416"/>
        <v>1894.1559999999999</v>
      </c>
      <c r="R3804" s="7">
        <f t="shared" si="417"/>
        <v>15325.444</v>
      </c>
      <c r="S3804" s="7">
        <f t="shared" si="418"/>
        <v>1915.6804999999999</v>
      </c>
      <c r="T3804" s="6">
        <f t="shared" si="419"/>
        <v>1.5686274509803921E-2</v>
      </c>
      <c r="U3804" t="s">
        <v>99</v>
      </c>
      <c r="V3804" t="s">
        <v>29</v>
      </c>
    </row>
    <row r="3805" spans="1:22">
      <c r="A3805" s="3">
        <v>45816</v>
      </c>
      <c r="B3805" t="str">
        <f t="shared" si="413"/>
        <v>yyyy-06</v>
      </c>
      <c r="C3805">
        <f t="shared" si="414"/>
        <v>23</v>
      </c>
      <c r="D3805" t="s">
        <v>42</v>
      </c>
      <c r="E3805" t="s">
        <v>43</v>
      </c>
      <c r="F3805" t="s">
        <v>47</v>
      </c>
      <c r="G3805" t="s">
        <v>27</v>
      </c>
      <c r="H3805" t="s">
        <v>63</v>
      </c>
      <c r="I3805" s="5">
        <v>395</v>
      </c>
      <c r="J3805" s="5">
        <v>287</v>
      </c>
      <c r="K3805" s="5">
        <v>32</v>
      </c>
      <c r="L3805" s="5">
        <v>8</v>
      </c>
      <c r="M3805" s="5">
        <v>8</v>
      </c>
      <c r="N3805" s="7">
        <v>594.05999999999995</v>
      </c>
      <c r="O3805" s="7">
        <f t="shared" si="415"/>
        <v>4752.4799999999996</v>
      </c>
      <c r="P3805" s="4">
        <v>0.11</v>
      </c>
      <c r="Q3805" s="7">
        <f t="shared" si="416"/>
        <v>522.77279999999996</v>
      </c>
      <c r="R3805" s="7">
        <f t="shared" si="417"/>
        <v>4229.7071999999998</v>
      </c>
      <c r="S3805" s="7">
        <f t="shared" si="418"/>
        <v>528.71339999999998</v>
      </c>
      <c r="T3805" s="6">
        <f t="shared" si="419"/>
        <v>2.0253164556962026E-2</v>
      </c>
      <c r="U3805" t="s">
        <v>99</v>
      </c>
      <c r="V3805" t="s">
        <v>29</v>
      </c>
    </row>
    <row r="3806" spans="1:22">
      <c r="A3806" s="3">
        <v>45816</v>
      </c>
      <c r="B3806" t="str">
        <f t="shared" si="413"/>
        <v>yyyy-06</v>
      </c>
      <c r="C3806">
        <f t="shared" si="414"/>
        <v>23</v>
      </c>
      <c r="D3806" t="s">
        <v>42</v>
      </c>
      <c r="E3806" t="s">
        <v>49</v>
      </c>
      <c r="F3806" t="s">
        <v>50</v>
      </c>
      <c r="G3806" t="s">
        <v>31</v>
      </c>
      <c r="H3806" t="s">
        <v>32</v>
      </c>
      <c r="I3806" s="5">
        <v>233</v>
      </c>
      <c r="J3806" s="5">
        <v>141</v>
      </c>
      <c r="K3806" s="5">
        <v>12</v>
      </c>
      <c r="L3806" s="5">
        <v>2</v>
      </c>
      <c r="M3806" s="5">
        <v>2</v>
      </c>
      <c r="N3806" s="7">
        <v>1003.25</v>
      </c>
      <c r="O3806" s="7">
        <f t="shared" si="415"/>
        <v>2006.5</v>
      </c>
      <c r="P3806" s="4">
        <v>0</v>
      </c>
      <c r="Q3806" s="7">
        <f t="shared" si="416"/>
        <v>0</v>
      </c>
      <c r="R3806" s="7">
        <f t="shared" si="417"/>
        <v>2006.5</v>
      </c>
      <c r="S3806" s="7">
        <f t="shared" si="418"/>
        <v>1003.25</v>
      </c>
      <c r="T3806" s="6">
        <f t="shared" si="419"/>
        <v>8.5836909871244635E-3</v>
      </c>
      <c r="V3806" t="s">
        <v>78</v>
      </c>
    </row>
    <row r="3807" spans="1:22">
      <c r="A3807" s="3">
        <v>45816</v>
      </c>
      <c r="B3807" t="str">
        <f t="shared" si="413"/>
        <v>yyyy-06</v>
      </c>
      <c r="C3807">
        <f t="shared" si="414"/>
        <v>23</v>
      </c>
      <c r="D3807" t="s">
        <v>42</v>
      </c>
      <c r="E3807" t="s">
        <v>51</v>
      </c>
      <c r="F3807" t="s">
        <v>52</v>
      </c>
      <c r="G3807" t="s">
        <v>31</v>
      </c>
      <c r="H3807" t="s">
        <v>32</v>
      </c>
      <c r="I3807" s="5">
        <v>462</v>
      </c>
      <c r="J3807" s="5">
        <v>366</v>
      </c>
      <c r="K3807" s="5">
        <v>24</v>
      </c>
      <c r="L3807" s="5">
        <v>7</v>
      </c>
      <c r="M3807" s="5">
        <v>7</v>
      </c>
      <c r="N3807" s="7">
        <v>584.74</v>
      </c>
      <c r="O3807" s="7">
        <f t="shared" si="415"/>
        <v>4093.1800000000003</v>
      </c>
      <c r="P3807" s="4">
        <v>0</v>
      </c>
      <c r="Q3807" s="7">
        <f t="shared" si="416"/>
        <v>0</v>
      </c>
      <c r="R3807" s="7">
        <f t="shared" si="417"/>
        <v>4093.1800000000003</v>
      </c>
      <c r="S3807" s="7">
        <f t="shared" si="418"/>
        <v>584.74</v>
      </c>
      <c r="T3807" s="6">
        <f t="shared" si="419"/>
        <v>1.5151515151515152E-2</v>
      </c>
      <c r="V3807" t="s">
        <v>29</v>
      </c>
    </row>
    <row r="3808" spans="1:22">
      <c r="A3808" s="3">
        <v>45816</v>
      </c>
      <c r="B3808" t="str">
        <f t="shared" si="413"/>
        <v>yyyy-06</v>
      </c>
      <c r="C3808">
        <f t="shared" si="414"/>
        <v>23</v>
      </c>
      <c r="D3808" t="s">
        <v>53</v>
      </c>
      <c r="E3808" t="s">
        <v>54</v>
      </c>
      <c r="F3808" t="s">
        <v>55</v>
      </c>
      <c r="G3808" t="s">
        <v>36</v>
      </c>
      <c r="H3808" t="s">
        <v>37</v>
      </c>
      <c r="I3808" s="5">
        <v>209</v>
      </c>
      <c r="J3808" s="5">
        <v>167</v>
      </c>
      <c r="K3808" s="5">
        <v>16</v>
      </c>
      <c r="L3808" s="5">
        <v>2</v>
      </c>
      <c r="M3808" s="5">
        <v>2</v>
      </c>
      <c r="N3808" s="7">
        <v>1260.5899999999999</v>
      </c>
      <c r="O3808" s="7">
        <f t="shared" si="415"/>
        <v>2521.1799999999998</v>
      </c>
      <c r="P3808" s="4">
        <v>0</v>
      </c>
      <c r="Q3808" s="7">
        <f t="shared" si="416"/>
        <v>0</v>
      </c>
      <c r="R3808" s="7">
        <f t="shared" si="417"/>
        <v>2521.1799999999998</v>
      </c>
      <c r="S3808" s="7">
        <f t="shared" si="418"/>
        <v>1260.5899999999999</v>
      </c>
      <c r="T3808" s="6">
        <f t="shared" si="419"/>
        <v>9.5693779904306216E-3</v>
      </c>
      <c r="V3808" t="s">
        <v>29</v>
      </c>
    </row>
    <row r="3809" spans="1:22">
      <c r="A3809" s="3">
        <v>45816</v>
      </c>
      <c r="B3809" t="str">
        <f t="shared" si="413"/>
        <v>yyyy-06</v>
      </c>
      <c r="C3809">
        <f t="shared" si="414"/>
        <v>23</v>
      </c>
      <c r="D3809" t="s">
        <v>53</v>
      </c>
      <c r="E3809" t="s">
        <v>56</v>
      </c>
      <c r="F3809" t="s">
        <v>57</v>
      </c>
      <c r="G3809" t="s">
        <v>27</v>
      </c>
      <c r="H3809" t="s">
        <v>45</v>
      </c>
      <c r="I3809" s="5">
        <v>258</v>
      </c>
      <c r="J3809" s="5">
        <v>203</v>
      </c>
      <c r="K3809" s="5">
        <v>16</v>
      </c>
      <c r="L3809" s="5">
        <v>3</v>
      </c>
      <c r="M3809" s="5">
        <v>3</v>
      </c>
      <c r="N3809" s="7">
        <v>734.98</v>
      </c>
      <c r="O3809" s="7">
        <f t="shared" si="415"/>
        <v>2204.94</v>
      </c>
      <c r="P3809" s="4">
        <v>0.05</v>
      </c>
      <c r="Q3809" s="7">
        <f t="shared" si="416"/>
        <v>110.24700000000001</v>
      </c>
      <c r="R3809" s="7">
        <f t="shared" si="417"/>
        <v>2094.6930000000002</v>
      </c>
      <c r="S3809" s="7">
        <f t="shared" si="418"/>
        <v>698.23100000000011</v>
      </c>
      <c r="T3809" s="6">
        <f t="shared" si="419"/>
        <v>1.1627906976744186E-2</v>
      </c>
      <c r="V3809" t="s">
        <v>29</v>
      </c>
    </row>
    <row r="3810" spans="1:22">
      <c r="A3810" s="3">
        <v>45816</v>
      </c>
      <c r="B3810" t="str">
        <f t="shared" si="413"/>
        <v>yyyy-06</v>
      </c>
      <c r="C3810">
        <f t="shared" si="414"/>
        <v>23</v>
      </c>
      <c r="D3810" t="s">
        <v>53</v>
      </c>
      <c r="E3810" t="s">
        <v>56</v>
      </c>
      <c r="F3810" t="s">
        <v>58</v>
      </c>
      <c r="G3810" t="s">
        <v>36</v>
      </c>
      <c r="H3810" t="s">
        <v>37</v>
      </c>
      <c r="I3810" s="5">
        <v>282</v>
      </c>
      <c r="J3810" s="5">
        <v>157</v>
      </c>
      <c r="K3810" s="5">
        <v>11</v>
      </c>
      <c r="L3810" s="5">
        <v>2</v>
      </c>
      <c r="M3810" s="5">
        <v>2</v>
      </c>
      <c r="N3810" s="7">
        <v>879.76</v>
      </c>
      <c r="O3810" s="7">
        <f t="shared" si="415"/>
        <v>1759.52</v>
      </c>
      <c r="P3810" s="4">
        <v>0</v>
      </c>
      <c r="Q3810" s="7">
        <f t="shared" si="416"/>
        <v>0</v>
      </c>
      <c r="R3810" s="7">
        <f t="shared" si="417"/>
        <v>1759.52</v>
      </c>
      <c r="S3810" s="7">
        <f t="shared" si="418"/>
        <v>879.76</v>
      </c>
      <c r="T3810" s="6">
        <f t="shared" si="419"/>
        <v>7.0921985815602835E-3</v>
      </c>
      <c r="V3810" t="s">
        <v>78</v>
      </c>
    </row>
    <row r="3811" spans="1:22">
      <c r="A3811" s="3">
        <v>45816</v>
      </c>
      <c r="B3811" t="str">
        <f t="shared" si="413"/>
        <v>yyyy-06</v>
      </c>
      <c r="C3811">
        <f t="shared" si="414"/>
        <v>23</v>
      </c>
      <c r="D3811" t="s">
        <v>53</v>
      </c>
      <c r="E3811" t="s">
        <v>59</v>
      </c>
      <c r="F3811" t="s">
        <v>60</v>
      </c>
      <c r="G3811" t="s">
        <v>27</v>
      </c>
      <c r="H3811" t="s">
        <v>63</v>
      </c>
      <c r="I3811" s="5">
        <v>176</v>
      </c>
      <c r="J3811" s="5">
        <v>113</v>
      </c>
      <c r="K3811" s="5">
        <v>9</v>
      </c>
      <c r="L3811" s="5">
        <v>2</v>
      </c>
      <c r="M3811" s="5">
        <v>2</v>
      </c>
      <c r="N3811" s="7">
        <v>680.15</v>
      </c>
      <c r="O3811" s="7">
        <f t="shared" si="415"/>
        <v>1360.3</v>
      </c>
      <c r="P3811" s="4">
        <v>0</v>
      </c>
      <c r="Q3811" s="7">
        <f t="shared" si="416"/>
        <v>0</v>
      </c>
      <c r="R3811" s="7">
        <f t="shared" si="417"/>
        <v>1360.3</v>
      </c>
      <c r="S3811" s="7">
        <f t="shared" si="418"/>
        <v>680.15</v>
      </c>
      <c r="T3811" s="6">
        <f t="shared" si="419"/>
        <v>1.1363636363636364E-2</v>
      </c>
      <c r="V3811" t="s">
        <v>29</v>
      </c>
    </row>
    <row r="3812" spans="1:22">
      <c r="A3812" s="3">
        <v>45816</v>
      </c>
      <c r="B3812" t="str">
        <f t="shared" si="413"/>
        <v>yyyy-06</v>
      </c>
      <c r="C3812">
        <f t="shared" si="414"/>
        <v>23</v>
      </c>
      <c r="D3812" t="s">
        <v>53</v>
      </c>
      <c r="E3812" t="s">
        <v>61</v>
      </c>
      <c r="F3812" t="s">
        <v>62</v>
      </c>
      <c r="G3812" t="s">
        <v>27</v>
      </c>
      <c r="H3812" t="s">
        <v>45</v>
      </c>
      <c r="I3812" s="5">
        <v>228</v>
      </c>
      <c r="J3812" s="5">
        <v>161</v>
      </c>
      <c r="K3812" s="5">
        <v>17</v>
      </c>
      <c r="L3812" s="5">
        <v>2</v>
      </c>
      <c r="M3812" s="5">
        <v>2</v>
      </c>
      <c r="N3812" s="7">
        <v>507.83</v>
      </c>
      <c r="O3812" s="7">
        <f t="shared" si="415"/>
        <v>1015.66</v>
      </c>
      <c r="P3812" s="4">
        <v>0.05</v>
      </c>
      <c r="Q3812" s="7">
        <f t="shared" si="416"/>
        <v>50.783000000000001</v>
      </c>
      <c r="R3812" s="7">
        <f t="shared" si="417"/>
        <v>964.87699999999995</v>
      </c>
      <c r="S3812" s="7">
        <f t="shared" si="418"/>
        <v>482.43849999999998</v>
      </c>
      <c r="T3812" s="6">
        <f t="shared" si="419"/>
        <v>8.771929824561403E-3</v>
      </c>
      <c r="V3812" t="s">
        <v>29</v>
      </c>
    </row>
    <row r="3813" spans="1:22">
      <c r="A3813" s="3">
        <v>45816</v>
      </c>
      <c r="B3813" t="str">
        <f t="shared" si="413"/>
        <v>yyyy-06</v>
      </c>
      <c r="C3813">
        <f t="shared" si="414"/>
        <v>23</v>
      </c>
      <c r="D3813" t="s">
        <v>53</v>
      </c>
      <c r="E3813" t="s">
        <v>64</v>
      </c>
      <c r="F3813" t="s">
        <v>65</v>
      </c>
      <c r="G3813" t="s">
        <v>36</v>
      </c>
      <c r="H3813" t="s">
        <v>37</v>
      </c>
      <c r="I3813" s="5">
        <v>353</v>
      </c>
      <c r="J3813" s="5">
        <v>207</v>
      </c>
      <c r="K3813" s="5">
        <v>11</v>
      </c>
      <c r="L3813" s="5">
        <v>3</v>
      </c>
      <c r="M3813" s="5">
        <v>3</v>
      </c>
      <c r="N3813" s="7">
        <v>796.7</v>
      </c>
      <c r="O3813" s="7">
        <f t="shared" si="415"/>
        <v>2390.1000000000004</v>
      </c>
      <c r="P3813" s="4">
        <v>0.05</v>
      </c>
      <c r="Q3813" s="7">
        <f t="shared" si="416"/>
        <v>119.50500000000002</v>
      </c>
      <c r="R3813" s="7">
        <f t="shared" si="417"/>
        <v>2270.5950000000003</v>
      </c>
      <c r="S3813" s="7">
        <f t="shared" si="418"/>
        <v>756.86500000000012</v>
      </c>
      <c r="T3813" s="6">
        <f t="shared" si="419"/>
        <v>8.4985835694051E-3</v>
      </c>
      <c r="V3813" t="s">
        <v>29</v>
      </c>
    </row>
    <row r="3814" spans="1:22">
      <c r="A3814" s="3">
        <v>45816</v>
      </c>
      <c r="B3814" t="str">
        <f t="shared" si="413"/>
        <v>yyyy-06</v>
      </c>
      <c r="C3814">
        <f t="shared" si="414"/>
        <v>23</v>
      </c>
      <c r="D3814" t="s">
        <v>66</v>
      </c>
      <c r="E3814" t="s">
        <v>67</v>
      </c>
      <c r="F3814" t="s">
        <v>68</v>
      </c>
      <c r="G3814" t="s">
        <v>27</v>
      </c>
      <c r="H3814" t="s">
        <v>45</v>
      </c>
      <c r="I3814" s="5">
        <v>343</v>
      </c>
      <c r="J3814" s="5">
        <v>213</v>
      </c>
      <c r="K3814" s="5">
        <v>16</v>
      </c>
      <c r="L3814" s="5">
        <v>5</v>
      </c>
      <c r="M3814" s="5">
        <v>5</v>
      </c>
      <c r="N3814" s="7">
        <v>678.96</v>
      </c>
      <c r="O3814" s="7">
        <f t="shared" si="415"/>
        <v>3394.8</v>
      </c>
      <c r="P3814" s="4">
        <v>0.03</v>
      </c>
      <c r="Q3814" s="7">
        <f t="shared" si="416"/>
        <v>101.84400000000001</v>
      </c>
      <c r="R3814" s="7">
        <f t="shared" si="417"/>
        <v>3292.9560000000001</v>
      </c>
      <c r="S3814" s="7">
        <f t="shared" si="418"/>
        <v>658.59120000000007</v>
      </c>
      <c r="T3814" s="6">
        <f t="shared" si="419"/>
        <v>1.4577259475218658E-2</v>
      </c>
      <c r="V3814" t="s">
        <v>29</v>
      </c>
    </row>
    <row r="3815" spans="1:22">
      <c r="A3815" s="3">
        <v>45816</v>
      </c>
      <c r="B3815" t="str">
        <f t="shared" si="413"/>
        <v>yyyy-06</v>
      </c>
      <c r="C3815">
        <f t="shared" si="414"/>
        <v>23</v>
      </c>
      <c r="D3815" t="s">
        <v>66</v>
      </c>
      <c r="E3815" t="s">
        <v>67</v>
      </c>
      <c r="F3815" t="s">
        <v>69</v>
      </c>
      <c r="G3815" t="s">
        <v>27</v>
      </c>
      <c r="H3815" t="s">
        <v>45</v>
      </c>
      <c r="I3815" s="5">
        <v>507</v>
      </c>
      <c r="J3815" s="5">
        <v>399</v>
      </c>
      <c r="K3815" s="5">
        <v>38</v>
      </c>
      <c r="L3815" s="5">
        <v>6</v>
      </c>
      <c r="M3815" s="5">
        <v>6</v>
      </c>
      <c r="N3815" s="7">
        <v>385.66</v>
      </c>
      <c r="O3815" s="7">
        <f t="shared" si="415"/>
        <v>2313.96</v>
      </c>
      <c r="P3815" s="4">
        <v>0.03</v>
      </c>
      <c r="Q3815" s="7">
        <f t="shared" si="416"/>
        <v>69.418800000000005</v>
      </c>
      <c r="R3815" s="7">
        <f t="shared" si="417"/>
        <v>2244.5412000000001</v>
      </c>
      <c r="S3815" s="7">
        <f t="shared" si="418"/>
        <v>374.09020000000004</v>
      </c>
      <c r="T3815" s="6">
        <f t="shared" si="419"/>
        <v>1.1834319526627219E-2</v>
      </c>
      <c r="V3815" t="s">
        <v>78</v>
      </c>
    </row>
    <row r="3816" spans="1:22">
      <c r="A3816" s="3">
        <v>45816</v>
      </c>
      <c r="B3816" t="str">
        <f t="shared" si="413"/>
        <v>yyyy-06</v>
      </c>
      <c r="C3816">
        <f t="shared" si="414"/>
        <v>23</v>
      </c>
      <c r="D3816" t="s">
        <v>66</v>
      </c>
      <c r="E3816" t="s">
        <v>67</v>
      </c>
      <c r="F3816" t="s">
        <v>70</v>
      </c>
      <c r="G3816" t="s">
        <v>27</v>
      </c>
      <c r="H3816" t="s">
        <v>63</v>
      </c>
      <c r="I3816" s="5">
        <v>406</v>
      </c>
      <c r="J3816" s="5">
        <v>282</v>
      </c>
      <c r="K3816" s="5">
        <v>27</v>
      </c>
      <c r="L3816" s="5">
        <v>9</v>
      </c>
      <c r="M3816" s="5">
        <v>9</v>
      </c>
      <c r="N3816" s="7">
        <v>336.87</v>
      </c>
      <c r="O3816" s="7">
        <f t="shared" si="415"/>
        <v>3031.83</v>
      </c>
      <c r="P3816" s="4">
        <v>0</v>
      </c>
      <c r="Q3816" s="7">
        <f t="shared" si="416"/>
        <v>0</v>
      </c>
      <c r="R3816" s="7">
        <f t="shared" si="417"/>
        <v>3031.83</v>
      </c>
      <c r="S3816" s="7">
        <f t="shared" si="418"/>
        <v>336.87</v>
      </c>
      <c r="T3816" s="6">
        <f t="shared" si="419"/>
        <v>2.2167487684729065E-2</v>
      </c>
      <c r="V3816" t="s">
        <v>29</v>
      </c>
    </row>
    <row r="3817" spans="1:22">
      <c r="A3817" s="3">
        <v>45816</v>
      </c>
      <c r="B3817" t="str">
        <f t="shared" si="413"/>
        <v>yyyy-06</v>
      </c>
      <c r="C3817">
        <f t="shared" si="414"/>
        <v>23</v>
      </c>
      <c r="D3817" t="s">
        <v>66</v>
      </c>
      <c r="E3817" t="s">
        <v>71</v>
      </c>
      <c r="F3817" t="s">
        <v>72</v>
      </c>
      <c r="G3817" t="s">
        <v>36</v>
      </c>
      <c r="H3817" t="s">
        <v>37</v>
      </c>
      <c r="I3817" s="5">
        <v>452</v>
      </c>
      <c r="J3817" s="5">
        <v>329</v>
      </c>
      <c r="K3817" s="5">
        <v>38</v>
      </c>
      <c r="L3817" s="5">
        <v>11</v>
      </c>
      <c r="M3817" s="5">
        <v>13</v>
      </c>
      <c r="N3817" s="7">
        <v>128.9</v>
      </c>
      <c r="O3817" s="7">
        <f t="shared" si="415"/>
        <v>1675.7</v>
      </c>
      <c r="P3817" s="4">
        <v>0</v>
      </c>
      <c r="Q3817" s="7">
        <f t="shared" si="416"/>
        <v>0</v>
      </c>
      <c r="R3817" s="7">
        <f t="shared" si="417"/>
        <v>1675.7</v>
      </c>
      <c r="S3817" s="7">
        <f t="shared" si="418"/>
        <v>152.33636363636364</v>
      </c>
      <c r="T3817" s="6">
        <f t="shared" si="419"/>
        <v>2.4336283185840708E-2</v>
      </c>
      <c r="V3817" t="s">
        <v>29</v>
      </c>
    </row>
    <row r="3818" spans="1:22">
      <c r="A3818" s="3">
        <v>45816</v>
      </c>
      <c r="B3818" t="str">
        <f t="shared" si="413"/>
        <v>yyyy-06</v>
      </c>
      <c r="C3818">
        <f t="shared" si="414"/>
        <v>23</v>
      </c>
      <c r="D3818" t="s">
        <v>66</v>
      </c>
      <c r="E3818" t="s">
        <v>73</v>
      </c>
      <c r="F3818" t="s">
        <v>74</v>
      </c>
      <c r="G3818" t="s">
        <v>27</v>
      </c>
      <c r="H3818" t="s">
        <v>45</v>
      </c>
      <c r="I3818" s="5">
        <v>206</v>
      </c>
      <c r="J3818" s="5">
        <v>107</v>
      </c>
      <c r="K3818" s="5">
        <v>8</v>
      </c>
      <c r="L3818" s="5">
        <v>3</v>
      </c>
      <c r="M3818" s="5">
        <v>3</v>
      </c>
      <c r="N3818" s="7">
        <v>1214.0999999999999</v>
      </c>
      <c r="O3818" s="7">
        <f t="shared" si="415"/>
        <v>3642.2999999999997</v>
      </c>
      <c r="P3818" s="4">
        <v>0.03</v>
      </c>
      <c r="Q3818" s="7">
        <f t="shared" si="416"/>
        <v>109.26899999999999</v>
      </c>
      <c r="R3818" s="7">
        <f t="shared" si="417"/>
        <v>3533.0309999999999</v>
      </c>
      <c r="S3818" s="7">
        <f t="shared" si="418"/>
        <v>1177.6769999999999</v>
      </c>
      <c r="T3818" s="6">
        <f t="shared" si="419"/>
        <v>1.4563106796116505E-2</v>
      </c>
      <c r="V3818" t="s">
        <v>29</v>
      </c>
    </row>
    <row r="3819" spans="1:22">
      <c r="A3819" s="3">
        <v>45816</v>
      </c>
      <c r="B3819" t="str">
        <f t="shared" si="413"/>
        <v>yyyy-06</v>
      </c>
      <c r="C3819">
        <f t="shared" si="414"/>
        <v>23</v>
      </c>
      <c r="D3819" t="s">
        <v>66</v>
      </c>
      <c r="E3819" t="s">
        <v>71</v>
      </c>
      <c r="F3819" t="s">
        <v>75</v>
      </c>
      <c r="G3819" t="s">
        <v>36</v>
      </c>
      <c r="H3819" t="s">
        <v>37</v>
      </c>
      <c r="I3819" s="5">
        <v>508</v>
      </c>
      <c r="J3819" s="5">
        <v>352</v>
      </c>
      <c r="K3819" s="5">
        <v>41</v>
      </c>
      <c r="L3819" s="5">
        <v>11</v>
      </c>
      <c r="M3819" s="5">
        <v>12</v>
      </c>
      <c r="N3819" s="7">
        <v>39.22</v>
      </c>
      <c r="O3819" s="7">
        <f t="shared" si="415"/>
        <v>470.64</v>
      </c>
      <c r="P3819" s="4">
        <v>0</v>
      </c>
      <c r="Q3819" s="7">
        <f t="shared" si="416"/>
        <v>0</v>
      </c>
      <c r="R3819" s="7">
        <f t="shared" si="417"/>
        <v>470.64</v>
      </c>
      <c r="S3819" s="7">
        <f t="shared" si="418"/>
        <v>42.785454545454542</v>
      </c>
      <c r="T3819" s="6">
        <f t="shared" si="419"/>
        <v>2.1653543307086614E-2</v>
      </c>
      <c r="V3819" t="s">
        <v>29</v>
      </c>
    </row>
    <row r="3820" spans="1:22">
      <c r="A3820" s="3">
        <v>45816</v>
      </c>
      <c r="B3820" t="str">
        <f t="shared" si="413"/>
        <v>yyyy-06</v>
      </c>
      <c r="C3820">
        <f t="shared" si="414"/>
        <v>23</v>
      </c>
      <c r="D3820" t="s">
        <v>24</v>
      </c>
      <c r="E3820" t="s">
        <v>76</v>
      </c>
      <c r="F3820" t="s">
        <v>77</v>
      </c>
      <c r="G3820" t="s">
        <v>27</v>
      </c>
      <c r="H3820" t="s">
        <v>63</v>
      </c>
      <c r="I3820" s="5">
        <v>395</v>
      </c>
      <c r="J3820" s="5">
        <v>262</v>
      </c>
      <c r="K3820" s="5">
        <v>33</v>
      </c>
      <c r="L3820" s="5">
        <v>7</v>
      </c>
      <c r="M3820" s="5">
        <v>8</v>
      </c>
      <c r="N3820" s="7">
        <v>197.01</v>
      </c>
      <c r="O3820" s="7">
        <f t="shared" si="415"/>
        <v>1576.08</v>
      </c>
      <c r="P3820" s="4">
        <v>0</v>
      </c>
      <c r="Q3820" s="7">
        <f t="shared" si="416"/>
        <v>0</v>
      </c>
      <c r="R3820" s="7">
        <f t="shared" si="417"/>
        <v>1576.08</v>
      </c>
      <c r="S3820" s="7">
        <f t="shared" si="418"/>
        <v>225.15428571428569</v>
      </c>
      <c r="T3820" s="6">
        <f t="shared" si="419"/>
        <v>1.7721518987341773E-2</v>
      </c>
      <c r="V3820" t="s">
        <v>29</v>
      </c>
    </row>
    <row r="3821" spans="1:22">
      <c r="A3821" s="3">
        <v>45817</v>
      </c>
      <c r="B3821" t="str">
        <f t="shared" si="413"/>
        <v>yyyy-06</v>
      </c>
      <c r="C3821">
        <f t="shared" si="414"/>
        <v>24</v>
      </c>
      <c r="D3821" t="s">
        <v>24</v>
      </c>
      <c r="E3821" t="s">
        <v>25</v>
      </c>
      <c r="F3821" t="s">
        <v>26</v>
      </c>
      <c r="G3821" t="s">
        <v>36</v>
      </c>
      <c r="H3821" t="s">
        <v>37</v>
      </c>
      <c r="I3821" s="5">
        <v>2095</v>
      </c>
      <c r="J3821" s="5">
        <v>1662</v>
      </c>
      <c r="K3821" s="5">
        <v>155</v>
      </c>
      <c r="L3821" s="5">
        <v>42</v>
      </c>
      <c r="M3821" s="5">
        <v>42</v>
      </c>
      <c r="N3821" s="7">
        <v>965.42</v>
      </c>
      <c r="O3821" s="7">
        <f t="shared" si="415"/>
        <v>40547.64</v>
      </c>
      <c r="P3821" s="4">
        <v>0</v>
      </c>
      <c r="Q3821" s="7">
        <f t="shared" si="416"/>
        <v>0</v>
      </c>
      <c r="R3821" s="7">
        <f t="shared" si="417"/>
        <v>40547.64</v>
      </c>
      <c r="S3821" s="7">
        <f t="shared" si="418"/>
        <v>965.42</v>
      </c>
      <c r="T3821" s="6">
        <f t="shared" si="419"/>
        <v>2.0047732696897375E-2</v>
      </c>
      <c r="V3821" t="s">
        <v>29</v>
      </c>
    </row>
    <row r="3822" spans="1:22">
      <c r="A3822" s="3">
        <v>45817</v>
      </c>
      <c r="B3822" t="str">
        <f t="shared" si="413"/>
        <v>yyyy-06</v>
      </c>
      <c r="C3822">
        <f t="shared" si="414"/>
        <v>24</v>
      </c>
      <c r="D3822" t="s">
        <v>24</v>
      </c>
      <c r="E3822" t="s">
        <v>25</v>
      </c>
      <c r="F3822" t="s">
        <v>30</v>
      </c>
      <c r="G3822" t="s">
        <v>27</v>
      </c>
      <c r="H3822" t="s">
        <v>28</v>
      </c>
      <c r="I3822" s="5">
        <v>1481</v>
      </c>
      <c r="J3822" s="5">
        <v>1114</v>
      </c>
      <c r="K3822" s="5">
        <v>97</v>
      </c>
      <c r="L3822" s="5">
        <v>26</v>
      </c>
      <c r="M3822" s="5">
        <v>26</v>
      </c>
      <c r="N3822" s="7">
        <v>404.57</v>
      </c>
      <c r="O3822" s="7">
        <f t="shared" si="415"/>
        <v>10518.82</v>
      </c>
      <c r="P3822" s="4">
        <v>0</v>
      </c>
      <c r="Q3822" s="7">
        <f t="shared" si="416"/>
        <v>0</v>
      </c>
      <c r="R3822" s="7">
        <f t="shared" si="417"/>
        <v>10518.82</v>
      </c>
      <c r="S3822" s="7">
        <f t="shared" si="418"/>
        <v>404.57</v>
      </c>
      <c r="T3822" s="6">
        <f t="shared" si="419"/>
        <v>1.7555705604321403E-2</v>
      </c>
      <c r="V3822" t="s">
        <v>29</v>
      </c>
    </row>
    <row r="3823" spans="1:22">
      <c r="A3823" s="3">
        <v>45817</v>
      </c>
      <c r="B3823" t="str">
        <f t="shared" si="413"/>
        <v>yyyy-06</v>
      </c>
      <c r="C3823">
        <f t="shared" si="414"/>
        <v>24</v>
      </c>
      <c r="D3823" t="s">
        <v>24</v>
      </c>
      <c r="E3823" t="s">
        <v>25</v>
      </c>
      <c r="F3823" t="s">
        <v>33</v>
      </c>
      <c r="G3823" t="s">
        <v>27</v>
      </c>
      <c r="H3823" t="s">
        <v>45</v>
      </c>
      <c r="I3823" s="5">
        <v>1750</v>
      </c>
      <c r="J3823" s="5">
        <v>1376</v>
      </c>
      <c r="K3823" s="5">
        <v>134</v>
      </c>
      <c r="L3823" s="5">
        <v>39</v>
      </c>
      <c r="M3823" s="5">
        <v>39</v>
      </c>
      <c r="N3823" s="7">
        <v>1762.74</v>
      </c>
      <c r="O3823" s="7">
        <f t="shared" si="415"/>
        <v>68746.86</v>
      </c>
      <c r="P3823" s="4">
        <v>0</v>
      </c>
      <c r="Q3823" s="7">
        <f t="shared" si="416"/>
        <v>0</v>
      </c>
      <c r="R3823" s="7">
        <f t="shared" si="417"/>
        <v>68746.86</v>
      </c>
      <c r="S3823" s="7">
        <f t="shared" si="418"/>
        <v>1762.74</v>
      </c>
      <c r="T3823" s="6">
        <f t="shared" si="419"/>
        <v>2.2285714285714287E-2</v>
      </c>
      <c r="V3823" t="s">
        <v>29</v>
      </c>
    </row>
    <row r="3824" spans="1:22">
      <c r="A3824" s="3">
        <v>45817</v>
      </c>
      <c r="B3824" t="str">
        <f t="shared" si="413"/>
        <v>yyyy-06</v>
      </c>
      <c r="C3824">
        <f t="shared" si="414"/>
        <v>24</v>
      </c>
      <c r="D3824" t="s">
        <v>24</v>
      </c>
      <c r="E3824" t="s">
        <v>34</v>
      </c>
      <c r="F3824" t="s">
        <v>35</v>
      </c>
      <c r="G3824" t="s">
        <v>36</v>
      </c>
      <c r="H3824" t="s">
        <v>37</v>
      </c>
      <c r="I3824" s="5">
        <v>1371</v>
      </c>
      <c r="J3824" s="5">
        <v>916</v>
      </c>
      <c r="K3824" s="5">
        <v>85</v>
      </c>
      <c r="L3824" s="5">
        <v>29</v>
      </c>
      <c r="M3824" s="5">
        <v>29</v>
      </c>
      <c r="N3824" s="7">
        <v>864.54</v>
      </c>
      <c r="O3824" s="7">
        <f t="shared" si="415"/>
        <v>25071.66</v>
      </c>
      <c r="P3824" s="4">
        <v>0.03</v>
      </c>
      <c r="Q3824" s="7">
        <f t="shared" si="416"/>
        <v>752.14979999999991</v>
      </c>
      <c r="R3824" s="7">
        <f t="shared" si="417"/>
        <v>24319.510200000001</v>
      </c>
      <c r="S3824" s="7">
        <f t="shared" si="418"/>
        <v>838.60379999999998</v>
      </c>
      <c r="T3824" s="6">
        <f t="shared" si="419"/>
        <v>2.1152443471918306E-2</v>
      </c>
      <c r="V3824" t="s">
        <v>29</v>
      </c>
    </row>
    <row r="3825" spans="1:22">
      <c r="A3825" s="3">
        <v>45817</v>
      </c>
      <c r="B3825" t="str">
        <f t="shared" si="413"/>
        <v>yyyy-06</v>
      </c>
      <c r="C3825">
        <f t="shared" si="414"/>
        <v>24</v>
      </c>
      <c r="D3825" t="s">
        <v>24</v>
      </c>
      <c r="E3825" t="s">
        <v>38</v>
      </c>
      <c r="F3825" t="s">
        <v>39</v>
      </c>
      <c r="G3825" t="s">
        <v>36</v>
      </c>
      <c r="H3825" t="s">
        <v>37</v>
      </c>
      <c r="I3825" s="5">
        <v>1058</v>
      </c>
      <c r="J3825" s="5">
        <v>819</v>
      </c>
      <c r="K3825" s="5">
        <v>87</v>
      </c>
      <c r="L3825" s="5">
        <v>20</v>
      </c>
      <c r="M3825" s="5">
        <v>20</v>
      </c>
      <c r="N3825" s="7">
        <v>323.99</v>
      </c>
      <c r="O3825" s="7">
        <f t="shared" si="415"/>
        <v>6479.8</v>
      </c>
      <c r="P3825" s="4">
        <v>0</v>
      </c>
      <c r="Q3825" s="7">
        <f t="shared" si="416"/>
        <v>0</v>
      </c>
      <c r="R3825" s="7">
        <f t="shared" si="417"/>
        <v>6479.8</v>
      </c>
      <c r="S3825" s="7">
        <f t="shared" si="418"/>
        <v>323.99</v>
      </c>
      <c r="T3825" s="6">
        <f t="shared" si="419"/>
        <v>1.890359168241966E-2</v>
      </c>
      <c r="V3825" t="s">
        <v>29</v>
      </c>
    </row>
    <row r="3826" spans="1:22">
      <c r="A3826" s="3">
        <v>45817</v>
      </c>
      <c r="B3826" t="str">
        <f t="shared" si="413"/>
        <v>yyyy-06</v>
      </c>
      <c r="C3826">
        <f t="shared" si="414"/>
        <v>24</v>
      </c>
      <c r="D3826" t="s">
        <v>24</v>
      </c>
      <c r="E3826" t="s">
        <v>40</v>
      </c>
      <c r="F3826" t="s">
        <v>41</v>
      </c>
      <c r="G3826" t="s">
        <v>27</v>
      </c>
      <c r="H3826" t="s">
        <v>48</v>
      </c>
      <c r="I3826" s="5">
        <v>779</v>
      </c>
      <c r="J3826" s="5">
        <v>591</v>
      </c>
      <c r="K3826" s="5">
        <v>64</v>
      </c>
      <c r="L3826" s="5">
        <v>15</v>
      </c>
      <c r="M3826" s="5">
        <v>17</v>
      </c>
      <c r="N3826" s="7">
        <v>176.84</v>
      </c>
      <c r="O3826" s="7">
        <f t="shared" si="415"/>
        <v>3006.28</v>
      </c>
      <c r="P3826" s="4">
        <v>0</v>
      </c>
      <c r="Q3826" s="7">
        <f t="shared" si="416"/>
        <v>0</v>
      </c>
      <c r="R3826" s="7">
        <f t="shared" si="417"/>
        <v>3006.28</v>
      </c>
      <c r="S3826" s="7">
        <f t="shared" si="418"/>
        <v>200.41866666666667</v>
      </c>
      <c r="T3826" s="6">
        <f t="shared" si="419"/>
        <v>1.9255455712451863E-2</v>
      </c>
      <c r="V3826" t="s">
        <v>29</v>
      </c>
    </row>
    <row r="3827" spans="1:22">
      <c r="A3827" s="3">
        <v>45817</v>
      </c>
      <c r="B3827" t="str">
        <f t="shared" si="413"/>
        <v>yyyy-06</v>
      </c>
      <c r="C3827">
        <f t="shared" si="414"/>
        <v>24</v>
      </c>
      <c r="D3827" t="s">
        <v>42</v>
      </c>
      <c r="E3827" t="s">
        <v>43</v>
      </c>
      <c r="F3827" t="s">
        <v>44</v>
      </c>
      <c r="G3827" t="s">
        <v>27</v>
      </c>
      <c r="H3827" t="s">
        <v>28</v>
      </c>
      <c r="I3827" s="5">
        <v>594</v>
      </c>
      <c r="J3827" s="5">
        <v>491</v>
      </c>
      <c r="K3827" s="5">
        <v>53</v>
      </c>
      <c r="L3827" s="5">
        <v>10</v>
      </c>
      <c r="M3827" s="5">
        <v>10</v>
      </c>
      <c r="N3827" s="7">
        <v>1285.99</v>
      </c>
      <c r="O3827" s="7">
        <f t="shared" si="415"/>
        <v>12859.9</v>
      </c>
      <c r="P3827" s="4">
        <v>0.11</v>
      </c>
      <c r="Q3827" s="7">
        <f t="shared" si="416"/>
        <v>1414.5889999999999</v>
      </c>
      <c r="R3827" s="7">
        <f t="shared" si="417"/>
        <v>11445.311</v>
      </c>
      <c r="S3827" s="7">
        <f t="shared" si="418"/>
        <v>1144.5310999999999</v>
      </c>
      <c r="T3827" s="6">
        <f t="shared" si="419"/>
        <v>1.6835016835016835E-2</v>
      </c>
      <c r="U3827" t="s">
        <v>99</v>
      </c>
      <c r="V3827" t="s">
        <v>29</v>
      </c>
    </row>
    <row r="3828" spans="1:22">
      <c r="A3828" s="3">
        <v>45817</v>
      </c>
      <c r="B3828" t="str">
        <f t="shared" si="413"/>
        <v>yyyy-06</v>
      </c>
      <c r="C3828">
        <f t="shared" si="414"/>
        <v>24</v>
      </c>
      <c r="D3828" t="s">
        <v>42</v>
      </c>
      <c r="E3828" t="s">
        <v>43</v>
      </c>
      <c r="F3828" t="s">
        <v>46</v>
      </c>
      <c r="G3828" t="s">
        <v>27</v>
      </c>
      <c r="H3828" t="s">
        <v>28</v>
      </c>
      <c r="I3828" s="5">
        <v>560</v>
      </c>
      <c r="J3828" s="5">
        <v>413</v>
      </c>
      <c r="K3828" s="5">
        <v>47</v>
      </c>
      <c r="L3828" s="5">
        <v>10</v>
      </c>
      <c r="M3828" s="5">
        <v>10</v>
      </c>
      <c r="N3828" s="7">
        <v>2215.15</v>
      </c>
      <c r="O3828" s="7">
        <f t="shared" si="415"/>
        <v>22151.5</v>
      </c>
      <c r="P3828" s="4">
        <v>0.11</v>
      </c>
      <c r="Q3828" s="7">
        <f t="shared" si="416"/>
        <v>2436.665</v>
      </c>
      <c r="R3828" s="7">
        <f t="shared" si="417"/>
        <v>19714.834999999999</v>
      </c>
      <c r="S3828" s="7">
        <f t="shared" si="418"/>
        <v>1971.4834999999998</v>
      </c>
      <c r="T3828" s="6">
        <f t="shared" si="419"/>
        <v>1.7857142857142856E-2</v>
      </c>
      <c r="U3828" t="s">
        <v>99</v>
      </c>
      <c r="V3828" t="s">
        <v>29</v>
      </c>
    </row>
    <row r="3829" spans="1:22">
      <c r="A3829" s="3">
        <v>45817</v>
      </c>
      <c r="B3829" t="str">
        <f t="shared" si="413"/>
        <v>yyyy-06</v>
      </c>
      <c r="C3829">
        <f t="shared" si="414"/>
        <v>24</v>
      </c>
      <c r="D3829" t="s">
        <v>42</v>
      </c>
      <c r="E3829" t="s">
        <v>43</v>
      </c>
      <c r="F3829" t="s">
        <v>47</v>
      </c>
      <c r="G3829" t="s">
        <v>31</v>
      </c>
      <c r="H3829" t="s">
        <v>32</v>
      </c>
      <c r="I3829" s="5">
        <v>560</v>
      </c>
      <c r="J3829" s="5">
        <v>452</v>
      </c>
      <c r="K3829" s="5">
        <v>37</v>
      </c>
      <c r="L3829" s="5">
        <v>11</v>
      </c>
      <c r="M3829" s="5">
        <v>11</v>
      </c>
      <c r="N3829" s="7">
        <v>581.59</v>
      </c>
      <c r="O3829" s="7">
        <f t="shared" si="415"/>
        <v>6397.4900000000007</v>
      </c>
      <c r="P3829" s="4">
        <v>0.11</v>
      </c>
      <c r="Q3829" s="7">
        <f t="shared" si="416"/>
        <v>703.72390000000007</v>
      </c>
      <c r="R3829" s="7">
        <f t="shared" si="417"/>
        <v>5693.7661000000007</v>
      </c>
      <c r="S3829" s="7">
        <f t="shared" si="418"/>
        <v>517.6151000000001</v>
      </c>
      <c r="T3829" s="6">
        <f t="shared" si="419"/>
        <v>1.9642857142857142E-2</v>
      </c>
      <c r="U3829" t="s">
        <v>99</v>
      </c>
      <c r="V3829" t="s">
        <v>29</v>
      </c>
    </row>
    <row r="3830" spans="1:22">
      <c r="A3830" s="3">
        <v>45817</v>
      </c>
      <c r="B3830" t="str">
        <f t="shared" si="413"/>
        <v>yyyy-06</v>
      </c>
      <c r="C3830">
        <f t="shared" si="414"/>
        <v>24</v>
      </c>
      <c r="D3830" t="s">
        <v>42</v>
      </c>
      <c r="E3830" t="s">
        <v>49</v>
      </c>
      <c r="F3830" t="s">
        <v>50</v>
      </c>
      <c r="G3830" t="s">
        <v>27</v>
      </c>
      <c r="H3830" t="s">
        <v>48</v>
      </c>
      <c r="I3830" s="5">
        <v>112</v>
      </c>
      <c r="J3830" s="5">
        <v>67</v>
      </c>
      <c r="K3830" s="5">
        <v>4</v>
      </c>
      <c r="L3830" s="5">
        <v>1</v>
      </c>
      <c r="M3830" s="5">
        <v>1</v>
      </c>
      <c r="N3830" s="7">
        <v>1017.23</v>
      </c>
      <c r="O3830" s="7">
        <f t="shared" si="415"/>
        <v>1017.23</v>
      </c>
      <c r="P3830" s="4">
        <v>0.05</v>
      </c>
      <c r="Q3830" s="7">
        <f t="shared" si="416"/>
        <v>50.861500000000007</v>
      </c>
      <c r="R3830" s="7">
        <f t="shared" si="417"/>
        <v>966.36850000000004</v>
      </c>
      <c r="S3830" s="7">
        <f t="shared" si="418"/>
        <v>966.36850000000004</v>
      </c>
      <c r="T3830" s="6">
        <f t="shared" si="419"/>
        <v>8.9285714285714281E-3</v>
      </c>
      <c r="V3830" t="s">
        <v>29</v>
      </c>
    </row>
    <row r="3831" spans="1:22">
      <c r="A3831" s="3">
        <v>45817</v>
      </c>
      <c r="B3831" t="str">
        <f t="shared" si="413"/>
        <v>yyyy-06</v>
      </c>
      <c r="C3831">
        <f t="shared" si="414"/>
        <v>24</v>
      </c>
      <c r="D3831" t="s">
        <v>42</v>
      </c>
      <c r="E3831" t="s">
        <v>51</v>
      </c>
      <c r="F3831" t="s">
        <v>52</v>
      </c>
      <c r="G3831" t="s">
        <v>31</v>
      </c>
      <c r="H3831" t="s">
        <v>32</v>
      </c>
      <c r="I3831" s="5">
        <v>332</v>
      </c>
      <c r="J3831" s="5">
        <v>233</v>
      </c>
      <c r="K3831" s="5">
        <v>18</v>
      </c>
      <c r="L3831" s="5">
        <v>4</v>
      </c>
      <c r="M3831" s="5">
        <v>4</v>
      </c>
      <c r="N3831" s="7">
        <v>579.73</v>
      </c>
      <c r="O3831" s="7">
        <f t="shared" si="415"/>
        <v>2318.92</v>
      </c>
      <c r="P3831" s="4">
        <v>0</v>
      </c>
      <c r="Q3831" s="7">
        <f t="shared" si="416"/>
        <v>0</v>
      </c>
      <c r="R3831" s="7">
        <f t="shared" si="417"/>
        <v>2318.92</v>
      </c>
      <c r="S3831" s="7">
        <f t="shared" si="418"/>
        <v>579.73</v>
      </c>
      <c r="T3831" s="6">
        <f t="shared" si="419"/>
        <v>1.2048192771084338E-2</v>
      </c>
      <c r="V3831" t="s">
        <v>29</v>
      </c>
    </row>
    <row r="3832" spans="1:22">
      <c r="A3832" s="3">
        <v>45817</v>
      </c>
      <c r="B3832" t="str">
        <f t="shared" si="413"/>
        <v>yyyy-06</v>
      </c>
      <c r="C3832">
        <f t="shared" si="414"/>
        <v>24</v>
      </c>
      <c r="D3832" t="s">
        <v>53</v>
      </c>
      <c r="E3832" t="s">
        <v>54</v>
      </c>
      <c r="F3832" t="s">
        <v>55</v>
      </c>
      <c r="G3832" t="s">
        <v>27</v>
      </c>
      <c r="H3832" t="s">
        <v>28</v>
      </c>
      <c r="I3832" s="5">
        <v>235</v>
      </c>
      <c r="J3832" s="5">
        <v>127</v>
      </c>
      <c r="K3832" s="5">
        <v>7</v>
      </c>
      <c r="L3832" s="5">
        <v>2</v>
      </c>
      <c r="M3832" s="5">
        <v>2</v>
      </c>
      <c r="N3832" s="7">
        <v>1261.45</v>
      </c>
      <c r="O3832" s="7">
        <f t="shared" si="415"/>
        <v>2522.9</v>
      </c>
      <c r="P3832" s="4">
        <v>0</v>
      </c>
      <c r="Q3832" s="7">
        <f t="shared" si="416"/>
        <v>0</v>
      </c>
      <c r="R3832" s="7">
        <f t="shared" si="417"/>
        <v>2522.9</v>
      </c>
      <c r="S3832" s="7">
        <f t="shared" si="418"/>
        <v>1261.45</v>
      </c>
      <c r="T3832" s="6">
        <f t="shared" si="419"/>
        <v>8.5106382978723406E-3</v>
      </c>
      <c r="V3832" t="s">
        <v>78</v>
      </c>
    </row>
    <row r="3833" spans="1:22">
      <c r="A3833" s="3">
        <v>45817</v>
      </c>
      <c r="B3833" t="str">
        <f t="shared" si="413"/>
        <v>yyyy-06</v>
      </c>
      <c r="C3833">
        <f t="shared" si="414"/>
        <v>24</v>
      </c>
      <c r="D3833" t="s">
        <v>53</v>
      </c>
      <c r="E3833" t="s">
        <v>56</v>
      </c>
      <c r="F3833" t="s">
        <v>57</v>
      </c>
      <c r="G3833" t="s">
        <v>27</v>
      </c>
      <c r="H3833" t="s">
        <v>48</v>
      </c>
      <c r="I3833" s="5">
        <v>191</v>
      </c>
      <c r="J3833" s="5">
        <v>109</v>
      </c>
      <c r="K3833" s="5">
        <v>10</v>
      </c>
      <c r="L3833" s="5">
        <v>2</v>
      </c>
      <c r="M3833" s="5">
        <v>2</v>
      </c>
      <c r="N3833" s="7">
        <v>728.04</v>
      </c>
      <c r="O3833" s="7">
        <f t="shared" si="415"/>
        <v>1456.08</v>
      </c>
      <c r="P3833" s="4">
        <v>0</v>
      </c>
      <c r="Q3833" s="7">
        <f t="shared" si="416"/>
        <v>0</v>
      </c>
      <c r="R3833" s="7">
        <f t="shared" si="417"/>
        <v>1456.08</v>
      </c>
      <c r="S3833" s="7">
        <f t="shared" si="418"/>
        <v>728.04</v>
      </c>
      <c r="T3833" s="6">
        <f t="shared" si="419"/>
        <v>1.0471204188481676E-2</v>
      </c>
      <c r="V3833" t="s">
        <v>29</v>
      </c>
    </row>
    <row r="3834" spans="1:22">
      <c r="A3834" s="3">
        <v>45817</v>
      </c>
      <c r="B3834" t="str">
        <f t="shared" si="413"/>
        <v>yyyy-06</v>
      </c>
      <c r="C3834">
        <f t="shared" si="414"/>
        <v>24</v>
      </c>
      <c r="D3834" t="s">
        <v>53</v>
      </c>
      <c r="E3834" t="s">
        <v>56</v>
      </c>
      <c r="F3834" t="s">
        <v>58</v>
      </c>
      <c r="G3834" t="s">
        <v>27</v>
      </c>
      <c r="H3834" t="s">
        <v>28</v>
      </c>
      <c r="I3834" s="5">
        <v>277</v>
      </c>
      <c r="J3834" s="5">
        <v>228</v>
      </c>
      <c r="K3834" s="5">
        <v>20</v>
      </c>
      <c r="L3834" s="5">
        <v>3</v>
      </c>
      <c r="M3834" s="5">
        <v>3</v>
      </c>
      <c r="N3834" s="7">
        <v>882.96</v>
      </c>
      <c r="O3834" s="7">
        <f t="shared" si="415"/>
        <v>2648.88</v>
      </c>
      <c r="P3834" s="4">
        <v>0</v>
      </c>
      <c r="Q3834" s="7">
        <f t="shared" si="416"/>
        <v>0</v>
      </c>
      <c r="R3834" s="7">
        <f t="shared" si="417"/>
        <v>2648.88</v>
      </c>
      <c r="S3834" s="7">
        <f t="shared" si="418"/>
        <v>882.96</v>
      </c>
      <c r="T3834" s="6">
        <f t="shared" si="419"/>
        <v>1.0830324909747292E-2</v>
      </c>
      <c r="V3834" t="s">
        <v>29</v>
      </c>
    </row>
    <row r="3835" spans="1:22">
      <c r="A3835" s="3">
        <v>45817</v>
      </c>
      <c r="B3835" t="str">
        <f t="shared" si="413"/>
        <v>yyyy-06</v>
      </c>
      <c r="C3835">
        <f t="shared" si="414"/>
        <v>24</v>
      </c>
      <c r="D3835" t="s">
        <v>53</v>
      </c>
      <c r="E3835" t="s">
        <v>59</v>
      </c>
      <c r="F3835" t="s">
        <v>60</v>
      </c>
      <c r="G3835" t="s">
        <v>31</v>
      </c>
      <c r="H3835" t="s">
        <v>32</v>
      </c>
      <c r="I3835" s="5">
        <v>244</v>
      </c>
      <c r="J3835" s="5">
        <v>194</v>
      </c>
      <c r="K3835" s="5">
        <v>20</v>
      </c>
      <c r="L3835" s="5">
        <v>3</v>
      </c>
      <c r="M3835" s="5">
        <v>3</v>
      </c>
      <c r="N3835" s="7">
        <v>699.43</v>
      </c>
      <c r="O3835" s="7">
        <f t="shared" si="415"/>
        <v>2098.29</v>
      </c>
      <c r="P3835" s="4">
        <v>0.05</v>
      </c>
      <c r="Q3835" s="7">
        <f t="shared" si="416"/>
        <v>104.9145</v>
      </c>
      <c r="R3835" s="7">
        <f t="shared" si="417"/>
        <v>1993.3754999999999</v>
      </c>
      <c r="S3835" s="7">
        <f t="shared" si="418"/>
        <v>664.45849999999996</v>
      </c>
      <c r="T3835" s="6">
        <f t="shared" si="419"/>
        <v>1.2295081967213115E-2</v>
      </c>
      <c r="V3835" t="s">
        <v>29</v>
      </c>
    </row>
    <row r="3836" spans="1:22">
      <c r="A3836" s="3">
        <v>45817</v>
      </c>
      <c r="B3836" t="str">
        <f t="shared" si="413"/>
        <v>yyyy-06</v>
      </c>
      <c r="C3836">
        <f t="shared" si="414"/>
        <v>24</v>
      </c>
      <c r="D3836" t="s">
        <v>53</v>
      </c>
      <c r="E3836" t="s">
        <v>61</v>
      </c>
      <c r="F3836" t="s">
        <v>62</v>
      </c>
      <c r="G3836" t="s">
        <v>27</v>
      </c>
      <c r="H3836" t="s">
        <v>45</v>
      </c>
      <c r="I3836" s="5">
        <v>158</v>
      </c>
      <c r="J3836" s="5">
        <v>84</v>
      </c>
      <c r="K3836" s="5">
        <v>7</v>
      </c>
      <c r="L3836" s="5">
        <v>2</v>
      </c>
      <c r="M3836" s="5">
        <v>2</v>
      </c>
      <c r="N3836" s="7">
        <v>508.94</v>
      </c>
      <c r="O3836" s="7">
        <f t="shared" si="415"/>
        <v>1017.88</v>
      </c>
      <c r="P3836" s="4">
        <v>0</v>
      </c>
      <c r="Q3836" s="7">
        <f t="shared" si="416"/>
        <v>0</v>
      </c>
      <c r="R3836" s="7">
        <f t="shared" si="417"/>
        <v>1017.88</v>
      </c>
      <c r="S3836" s="7">
        <f t="shared" si="418"/>
        <v>508.94</v>
      </c>
      <c r="T3836" s="6">
        <f t="shared" si="419"/>
        <v>1.2658227848101266E-2</v>
      </c>
      <c r="V3836" t="s">
        <v>29</v>
      </c>
    </row>
    <row r="3837" spans="1:22">
      <c r="A3837" s="3">
        <v>45817</v>
      </c>
      <c r="B3837" t="str">
        <f t="shared" si="413"/>
        <v>yyyy-06</v>
      </c>
      <c r="C3837">
        <f t="shared" si="414"/>
        <v>24</v>
      </c>
      <c r="D3837" t="s">
        <v>53</v>
      </c>
      <c r="E3837" t="s">
        <v>64</v>
      </c>
      <c r="F3837" t="s">
        <v>65</v>
      </c>
      <c r="G3837" t="s">
        <v>36</v>
      </c>
      <c r="H3837" t="s">
        <v>37</v>
      </c>
      <c r="I3837" s="5">
        <v>256</v>
      </c>
      <c r="J3837" s="5">
        <v>208</v>
      </c>
      <c r="K3837" s="5">
        <v>13</v>
      </c>
      <c r="L3837" s="5">
        <v>3</v>
      </c>
      <c r="M3837" s="5">
        <v>3</v>
      </c>
      <c r="N3837" s="7">
        <v>787.7</v>
      </c>
      <c r="O3837" s="7">
        <f t="shared" si="415"/>
        <v>2363.1000000000004</v>
      </c>
      <c r="P3837" s="4">
        <v>0</v>
      </c>
      <c r="Q3837" s="7">
        <f t="shared" si="416"/>
        <v>0</v>
      </c>
      <c r="R3837" s="7">
        <f t="shared" si="417"/>
        <v>2363.1000000000004</v>
      </c>
      <c r="S3837" s="7">
        <f t="shared" si="418"/>
        <v>787.70000000000016</v>
      </c>
      <c r="T3837" s="6">
        <f t="shared" si="419"/>
        <v>1.171875E-2</v>
      </c>
      <c r="V3837" t="s">
        <v>29</v>
      </c>
    </row>
    <row r="3838" spans="1:22">
      <c r="A3838" s="3">
        <v>45817</v>
      </c>
      <c r="B3838" t="str">
        <f t="shared" si="413"/>
        <v>yyyy-06</v>
      </c>
      <c r="C3838">
        <f t="shared" si="414"/>
        <v>24</v>
      </c>
      <c r="D3838" t="s">
        <v>66</v>
      </c>
      <c r="E3838" t="s">
        <v>67</v>
      </c>
      <c r="F3838" t="s">
        <v>68</v>
      </c>
      <c r="G3838" t="s">
        <v>36</v>
      </c>
      <c r="H3838" t="s">
        <v>37</v>
      </c>
      <c r="I3838" s="5">
        <v>442</v>
      </c>
      <c r="J3838" s="5">
        <v>306</v>
      </c>
      <c r="K3838" s="5">
        <v>32</v>
      </c>
      <c r="L3838" s="5">
        <v>8</v>
      </c>
      <c r="M3838" s="5">
        <v>8</v>
      </c>
      <c r="N3838" s="7">
        <v>711.63</v>
      </c>
      <c r="O3838" s="7">
        <f t="shared" si="415"/>
        <v>5693.04</v>
      </c>
      <c r="P3838" s="4">
        <v>0.03</v>
      </c>
      <c r="Q3838" s="7">
        <f t="shared" si="416"/>
        <v>170.7912</v>
      </c>
      <c r="R3838" s="7">
        <f t="shared" si="417"/>
        <v>5522.2488000000003</v>
      </c>
      <c r="S3838" s="7">
        <f t="shared" si="418"/>
        <v>690.28110000000004</v>
      </c>
      <c r="T3838" s="6">
        <f t="shared" si="419"/>
        <v>1.8099547511312219E-2</v>
      </c>
      <c r="V3838" t="s">
        <v>29</v>
      </c>
    </row>
    <row r="3839" spans="1:22">
      <c r="A3839" s="3">
        <v>45817</v>
      </c>
      <c r="B3839" t="str">
        <f t="shared" si="413"/>
        <v>yyyy-06</v>
      </c>
      <c r="C3839">
        <f t="shared" si="414"/>
        <v>24</v>
      </c>
      <c r="D3839" t="s">
        <v>66</v>
      </c>
      <c r="E3839" t="s">
        <v>67</v>
      </c>
      <c r="F3839" t="s">
        <v>69</v>
      </c>
      <c r="G3839" t="s">
        <v>27</v>
      </c>
      <c r="H3839" t="s">
        <v>28</v>
      </c>
      <c r="I3839" s="5">
        <v>288</v>
      </c>
      <c r="J3839" s="5">
        <v>216</v>
      </c>
      <c r="K3839" s="5">
        <v>14</v>
      </c>
      <c r="L3839" s="5">
        <v>6</v>
      </c>
      <c r="M3839" s="5">
        <v>6</v>
      </c>
      <c r="N3839" s="7">
        <v>396.91</v>
      </c>
      <c r="O3839" s="7">
        <f t="shared" si="415"/>
        <v>2381.46</v>
      </c>
      <c r="P3839" s="4">
        <v>0</v>
      </c>
      <c r="Q3839" s="7">
        <f t="shared" si="416"/>
        <v>0</v>
      </c>
      <c r="R3839" s="7">
        <f t="shared" si="417"/>
        <v>2381.46</v>
      </c>
      <c r="S3839" s="7">
        <f t="shared" si="418"/>
        <v>396.91</v>
      </c>
      <c r="T3839" s="6">
        <f t="shared" si="419"/>
        <v>2.0833333333333332E-2</v>
      </c>
      <c r="V3839" t="s">
        <v>29</v>
      </c>
    </row>
    <row r="3840" spans="1:22">
      <c r="A3840" s="3">
        <v>45817</v>
      </c>
      <c r="B3840" t="str">
        <f t="shared" si="413"/>
        <v>yyyy-06</v>
      </c>
      <c r="C3840">
        <f t="shared" si="414"/>
        <v>24</v>
      </c>
      <c r="D3840" t="s">
        <v>66</v>
      </c>
      <c r="E3840" t="s">
        <v>67</v>
      </c>
      <c r="F3840" t="s">
        <v>70</v>
      </c>
      <c r="G3840" t="s">
        <v>36</v>
      </c>
      <c r="H3840" t="s">
        <v>37</v>
      </c>
      <c r="I3840" s="5">
        <v>451</v>
      </c>
      <c r="J3840" s="5">
        <v>314</v>
      </c>
      <c r="K3840" s="5">
        <v>31</v>
      </c>
      <c r="L3840" s="5">
        <v>10</v>
      </c>
      <c r="M3840" s="5">
        <v>10</v>
      </c>
      <c r="N3840" s="7">
        <v>352.84</v>
      </c>
      <c r="O3840" s="7">
        <f t="shared" si="415"/>
        <v>3528.3999999999996</v>
      </c>
      <c r="P3840" s="4">
        <v>0.05</v>
      </c>
      <c r="Q3840" s="7">
        <f t="shared" si="416"/>
        <v>176.42</v>
      </c>
      <c r="R3840" s="7">
        <f t="shared" si="417"/>
        <v>3351.9799999999996</v>
      </c>
      <c r="S3840" s="7">
        <f t="shared" si="418"/>
        <v>335.19799999999998</v>
      </c>
      <c r="T3840" s="6">
        <f t="shared" si="419"/>
        <v>2.2172949002217297E-2</v>
      </c>
      <c r="V3840" t="s">
        <v>29</v>
      </c>
    </row>
    <row r="3841" spans="1:22">
      <c r="A3841" s="3">
        <v>45817</v>
      </c>
      <c r="B3841" t="str">
        <f t="shared" si="413"/>
        <v>yyyy-06</v>
      </c>
      <c r="C3841">
        <f t="shared" si="414"/>
        <v>24</v>
      </c>
      <c r="D3841" t="s">
        <v>66</v>
      </c>
      <c r="E3841" t="s">
        <v>71</v>
      </c>
      <c r="F3841" t="s">
        <v>72</v>
      </c>
      <c r="G3841" t="s">
        <v>31</v>
      </c>
      <c r="H3841" t="s">
        <v>32</v>
      </c>
      <c r="I3841" s="5">
        <v>439</v>
      </c>
      <c r="J3841" s="5">
        <v>261</v>
      </c>
      <c r="K3841" s="5">
        <v>42</v>
      </c>
      <c r="L3841" s="5">
        <v>10</v>
      </c>
      <c r="M3841" s="5">
        <v>13</v>
      </c>
      <c r="N3841" s="7">
        <v>130.19</v>
      </c>
      <c r="O3841" s="7">
        <f t="shared" si="415"/>
        <v>1692.47</v>
      </c>
      <c r="P3841" s="4">
        <v>0</v>
      </c>
      <c r="Q3841" s="7">
        <f t="shared" si="416"/>
        <v>0</v>
      </c>
      <c r="R3841" s="7">
        <f t="shared" si="417"/>
        <v>1692.47</v>
      </c>
      <c r="S3841" s="7">
        <f t="shared" si="418"/>
        <v>169.24700000000001</v>
      </c>
      <c r="T3841" s="6">
        <f t="shared" si="419"/>
        <v>2.2779043280182234E-2</v>
      </c>
      <c r="V3841" t="s">
        <v>29</v>
      </c>
    </row>
    <row r="3842" spans="1:22">
      <c r="A3842" s="3">
        <v>45817</v>
      </c>
      <c r="B3842" t="str">
        <f t="shared" si="413"/>
        <v>yyyy-06</v>
      </c>
      <c r="C3842">
        <f t="shared" si="414"/>
        <v>24</v>
      </c>
      <c r="D3842" t="s">
        <v>66</v>
      </c>
      <c r="E3842" t="s">
        <v>73</v>
      </c>
      <c r="F3842" t="s">
        <v>74</v>
      </c>
      <c r="G3842" t="s">
        <v>27</v>
      </c>
      <c r="H3842" t="s">
        <v>28</v>
      </c>
      <c r="I3842" s="5">
        <v>219</v>
      </c>
      <c r="J3842" s="5">
        <v>117</v>
      </c>
      <c r="K3842" s="5">
        <v>14</v>
      </c>
      <c r="L3842" s="5">
        <v>4</v>
      </c>
      <c r="M3842" s="5">
        <v>4</v>
      </c>
      <c r="N3842" s="7">
        <v>1199.3800000000001</v>
      </c>
      <c r="O3842" s="7">
        <f t="shared" si="415"/>
        <v>4797.5200000000004</v>
      </c>
      <c r="P3842" s="4">
        <v>0</v>
      </c>
      <c r="Q3842" s="7">
        <f t="shared" si="416"/>
        <v>0</v>
      </c>
      <c r="R3842" s="7">
        <f t="shared" si="417"/>
        <v>4797.5200000000004</v>
      </c>
      <c r="S3842" s="7">
        <f t="shared" si="418"/>
        <v>1199.3800000000001</v>
      </c>
      <c r="T3842" s="6">
        <f t="shared" si="419"/>
        <v>1.8264840182648401E-2</v>
      </c>
      <c r="V3842" t="s">
        <v>29</v>
      </c>
    </row>
    <row r="3843" spans="1:22">
      <c r="A3843" s="3">
        <v>45817</v>
      </c>
      <c r="B3843" t="str">
        <f t="shared" si="413"/>
        <v>yyyy-06</v>
      </c>
      <c r="C3843">
        <f t="shared" si="414"/>
        <v>24</v>
      </c>
      <c r="D3843" t="s">
        <v>66</v>
      </c>
      <c r="E3843" t="s">
        <v>71</v>
      </c>
      <c r="F3843" t="s">
        <v>75</v>
      </c>
      <c r="G3843" t="s">
        <v>31</v>
      </c>
      <c r="H3843" t="s">
        <v>32</v>
      </c>
      <c r="I3843" s="5">
        <v>494</v>
      </c>
      <c r="J3843" s="5">
        <v>317</v>
      </c>
      <c r="K3843" s="5">
        <v>37</v>
      </c>
      <c r="L3843" s="5">
        <v>7</v>
      </c>
      <c r="M3843" s="5">
        <v>9</v>
      </c>
      <c r="N3843" s="7">
        <v>39.18</v>
      </c>
      <c r="O3843" s="7">
        <f t="shared" si="415"/>
        <v>352.62</v>
      </c>
      <c r="P3843" s="4">
        <v>0.05</v>
      </c>
      <c r="Q3843" s="7">
        <f t="shared" si="416"/>
        <v>17.631</v>
      </c>
      <c r="R3843" s="7">
        <f t="shared" si="417"/>
        <v>334.98900000000003</v>
      </c>
      <c r="S3843" s="7">
        <f t="shared" si="418"/>
        <v>47.85557142857143</v>
      </c>
      <c r="T3843" s="6">
        <f t="shared" si="419"/>
        <v>1.417004048582996E-2</v>
      </c>
      <c r="V3843" t="s">
        <v>29</v>
      </c>
    </row>
    <row r="3844" spans="1:22">
      <c r="A3844" s="3">
        <v>45817</v>
      </c>
      <c r="B3844" t="str">
        <f t="shared" si="413"/>
        <v>yyyy-06</v>
      </c>
      <c r="C3844">
        <f t="shared" si="414"/>
        <v>24</v>
      </c>
      <c r="D3844" t="s">
        <v>24</v>
      </c>
      <c r="E3844" t="s">
        <v>76</v>
      </c>
      <c r="F3844" t="s">
        <v>77</v>
      </c>
      <c r="G3844" t="s">
        <v>31</v>
      </c>
      <c r="H3844" t="s">
        <v>32</v>
      </c>
      <c r="I3844" s="5">
        <v>673</v>
      </c>
      <c r="J3844" s="5">
        <v>531</v>
      </c>
      <c r="K3844" s="5">
        <v>46</v>
      </c>
      <c r="L3844" s="5">
        <v>13</v>
      </c>
      <c r="M3844" s="5">
        <v>17</v>
      </c>
      <c r="N3844" s="7">
        <v>199.95</v>
      </c>
      <c r="O3844" s="7">
        <f t="shared" si="415"/>
        <v>3399.1499999999996</v>
      </c>
      <c r="P3844" s="4">
        <v>0</v>
      </c>
      <c r="Q3844" s="7">
        <f t="shared" si="416"/>
        <v>0</v>
      </c>
      <c r="R3844" s="7">
        <f t="shared" si="417"/>
        <v>3399.1499999999996</v>
      </c>
      <c r="S3844" s="7">
        <f t="shared" si="418"/>
        <v>261.47307692307692</v>
      </c>
      <c r="T3844" s="6">
        <f t="shared" si="419"/>
        <v>1.9316493313521546E-2</v>
      </c>
      <c r="V3844" t="s">
        <v>29</v>
      </c>
    </row>
    <row r="3845" spans="1:22">
      <c r="A3845" s="3">
        <v>45818</v>
      </c>
      <c r="B3845" t="str">
        <f t="shared" ref="B3845:B3908" si="420">TEXT(A3845,"yyyy-mm")</f>
        <v>yyyy-06</v>
      </c>
      <c r="C3845">
        <f t="shared" ref="C3845:C3908" si="421">WEEKNUM(A3845,2)</f>
        <v>24</v>
      </c>
      <c r="D3845" t="s">
        <v>24</v>
      </c>
      <c r="E3845" t="s">
        <v>25</v>
      </c>
      <c r="F3845" t="s">
        <v>26</v>
      </c>
      <c r="G3845" t="s">
        <v>27</v>
      </c>
      <c r="H3845" t="s">
        <v>45</v>
      </c>
      <c r="I3845" s="5">
        <v>1463</v>
      </c>
      <c r="J3845" s="5">
        <v>1201</v>
      </c>
      <c r="K3845" s="5">
        <v>159</v>
      </c>
      <c r="L3845" s="5">
        <v>32</v>
      </c>
      <c r="M3845" s="5">
        <v>32</v>
      </c>
      <c r="N3845" s="7">
        <v>1004.23</v>
      </c>
      <c r="O3845" s="7">
        <f t="shared" ref="O3845:O3908" si="422">M3845*N3845</f>
        <v>32135.360000000001</v>
      </c>
      <c r="P3845" s="4">
        <v>0</v>
      </c>
      <c r="Q3845" s="7">
        <f t="shared" ref="Q3845:Q3908" si="423">O3845*P3845</f>
        <v>0</v>
      </c>
      <c r="R3845" s="7">
        <f t="shared" ref="R3845:R3908" si="424">O3845-Q3845</f>
        <v>32135.360000000001</v>
      </c>
      <c r="S3845" s="7">
        <f t="shared" ref="S3845:S3908" si="425">IFERROR(R3845/L3845,0)</f>
        <v>1004.23</v>
      </c>
      <c r="T3845" s="6">
        <f t="shared" ref="T3845:T3908" si="426">IFERROR(L3845/I3845,0)</f>
        <v>2.1872863978127138E-2</v>
      </c>
      <c r="V3845" t="s">
        <v>29</v>
      </c>
    </row>
    <row r="3846" spans="1:22">
      <c r="A3846" s="3">
        <v>45818</v>
      </c>
      <c r="B3846" t="str">
        <f t="shared" si="420"/>
        <v>yyyy-06</v>
      </c>
      <c r="C3846">
        <f t="shared" si="421"/>
        <v>24</v>
      </c>
      <c r="D3846" t="s">
        <v>24</v>
      </c>
      <c r="E3846" t="s">
        <v>25</v>
      </c>
      <c r="F3846" t="s">
        <v>30</v>
      </c>
      <c r="G3846" t="s">
        <v>27</v>
      </c>
      <c r="H3846" t="s">
        <v>45</v>
      </c>
      <c r="I3846" s="5">
        <v>1474</v>
      </c>
      <c r="J3846" s="5">
        <v>1051</v>
      </c>
      <c r="K3846" s="5">
        <v>112</v>
      </c>
      <c r="L3846" s="5">
        <v>23</v>
      </c>
      <c r="M3846" s="5">
        <v>23</v>
      </c>
      <c r="N3846" s="7">
        <v>390.8</v>
      </c>
      <c r="O3846" s="7">
        <f t="shared" si="422"/>
        <v>8988.4</v>
      </c>
      <c r="P3846" s="4">
        <v>0.05</v>
      </c>
      <c r="Q3846" s="7">
        <f t="shared" si="423"/>
        <v>449.42</v>
      </c>
      <c r="R3846" s="7">
        <f t="shared" si="424"/>
        <v>8538.98</v>
      </c>
      <c r="S3846" s="7">
        <f t="shared" si="425"/>
        <v>371.26</v>
      </c>
      <c r="T3846" s="6">
        <f t="shared" si="426"/>
        <v>1.5603799185888738E-2</v>
      </c>
      <c r="V3846" t="s">
        <v>29</v>
      </c>
    </row>
    <row r="3847" spans="1:22">
      <c r="A3847" s="3">
        <v>45818</v>
      </c>
      <c r="B3847" t="str">
        <f t="shared" si="420"/>
        <v>yyyy-06</v>
      </c>
      <c r="C3847">
        <f t="shared" si="421"/>
        <v>24</v>
      </c>
      <c r="D3847" t="s">
        <v>24</v>
      </c>
      <c r="E3847" t="s">
        <v>25</v>
      </c>
      <c r="F3847" t="s">
        <v>33</v>
      </c>
      <c r="G3847" t="s">
        <v>27</v>
      </c>
      <c r="H3847" t="s">
        <v>45</v>
      </c>
      <c r="I3847" s="5">
        <v>1504</v>
      </c>
      <c r="J3847" s="5">
        <v>1236</v>
      </c>
      <c r="K3847" s="5">
        <v>135</v>
      </c>
      <c r="L3847" s="5">
        <v>26</v>
      </c>
      <c r="M3847" s="5">
        <v>26</v>
      </c>
      <c r="N3847" s="7">
        <v>1785.81</v>
      </c>
      <c r="O3847" s="7">
        <f t="shared" si="422"/>
        <v>46431.06</v>
      </c>
      <c r="P3847" s="4">
        <v>0</v>
      </c>
      <c r="Q3847" s="7">
        <f t="shared" si="423"/>
        <v>0</v>
      </c>
      <c r="R3847" s="7">
        <f t="shared" si="424"/>
        <v>46431.06</v>
      </c>
      <c r="S3847" s="7">
        <f t="shared" si="425"/>
        <v>1785.81</v>
      </c>
      <c r="T3847" s="6">
        <f t="shared" si="426"/>
        <v>1.7287234042553192E-2</v>
      </c>
      <c r="V3847" t="s">
        <v>29</v>
      </c>
    </row>
    <row r="3848" spans="1:22">
      <c r="A3848" s="3">
        <v>45818</v>
      </c>
      <c r="B3848" t="str">
        <f t="shared" si="420"/>
        <v>yyyy-06</v>
      </c>
      <c r="C3848">
        <f t="shared" si="421"/>
        <v>24</v>
      </c>
      <c r="D3848" t="s">
        <v>24</v>
      </c>
      <c r="E3848" t="s">
        <v>34</v>
      </c>
      <c r="F3848" t="s">
        <v>35</v>
      </c>
      <c r="G3848" t="s">
        <v>27</v>
      </c>
      <c r="H3848" t="s">
        <v>28</v>
      </c>
      <c r="I3848" s="5">
        <v>1417</v>
      </c>
      <c r="J3848" s="5">
        <v>1062</v>
      </c>
      <c r="K3848" s="5">
        <v>82</v>
      </c>
      <c r="L3848" s="5">
        <v>25</v>
      </c>
      <c r="M3848" s="5">
        <v>25</v>
      </c>
      <c r="N3848" s="7">
        <v>870.33</v>
      </c>
      <c r="O3848" s="7">
        <f t="shared" si="422"/>
        <v>21758.25</v>
      </c>
      <c r="P3848" s="4">
        <v>0</v>
      </c>
      <c r="Q3848" s="7">
        <f t="shared" si="423"/>
        <v>0</v>
      </c>
      <c r="R3848" s="7">
        <f t="shared" si="424"/>
        <v>21758.25</v>
      </c>
      <c r="S3848" s="7">
        <f t="shared" si="425"/>
        <v>870.33</v>
      </c>
      <c r="T3848" s="6">
        <f t="shared" si="426"/>
        <v>1.7642907551164433E-2</v>
      </c>
      <c r="V3848" t="s">
        <v>29</v>
      </c>
    </row>
    <row r="3849" spans="1:22">
      <c r="A3849" s="3">
        <v>45818</v>
      </c>
      <c r="B3849" t="str">
        <f t="shared" si="420"/>
        <v>yyyy-06</v>
      </c>
      <c r="C3849">
        <f t="shared" si="421"/>
        <v>24</v>
      </c>
      <c r="D3849" t="s">
        <v>24</v>
      </c>
      <c r="E3849" t="s">
        <v>38</v>
      </c>
      <c r="F3849" t="s">
        <v>39</v>
      </c>
      <c r="G3849" t="s">
        <v>27</v>
      </c>
      <c r="H3849" t="s">
        <v>48</v>
      </c>
      <c r="I3849" s="5">
        <v>436</v>
      </c>
      <c r="J3849" s="5">
        <v>260</v>
      </c>
      <c r="K3849" s="5">
        <v>40</v>
      </c>
      <c r="L3849" s="5">
        <v>11</v>
      </c>
      <c r="M3849" s="5">
        <v>11</v>
      </c>
      <c r="N3849" s="7">
        <v>331.16</v>
      </c>
      <c r="O3849" s="7">
        <f t="shared" si="422"/>
        <v>3642.76</v>
      </c>
      <c r="P3849" s="4">
        <v>0</v>
      </c>
      <c r="Q3849" s="7">
        <f t="shared" si="423"/>
        <v>0</v>
      </c>
      <c r="R3849" s="7">
        <f t="shared" si="424"/>
        <v>3642.76</v>
      </c>
      <c r="S3849" s="7">
        <f t="shared" si="425"/>
        <v>331.16</v>
      </c>
      <c r="T3849" s="6">
        <f t="shared" si="426"/>
        <v>2.5229357798165139E-2</v>
      </c>
      <c r="V3849" t="s">
        <v>29</v>
      </c>
    </row>
    <row r="3850" spans="1:22">
      <c r="A3850" s="3">
        <v>45818</v>
      </c>
      <c r="B3850" t="str">
        <f t="shared" si="420"/>
        <v>yyyy-06</v>
      </c>
      <c r="C3850">
        <f t="shared" si="421"/>
        <v>24</v>
      </c>
      <c r="D3850" t="s">
        <v>24</v>
      </c>
      <c r="E3850" t="s">
        <v>40</v>
      </c>
      <c r="F3850" t="s">
        <v>41</v>
      </c>
      <c r="G3850" t="s">
        <v>27</v>
      </c>
      <c r="H3850" t="s">
        <v>48</v>
      </c>
      <c r="I3850" s="5">
        <v>642</v>
      </c>
      <c r="J3850" s="5">
        <v>339</v>
      </c>
      <c r="K3850" s="5">
        <v>34</v>
      </c>
      <c r="L3850" s="5">
        <v>12</v>
      </c>
      <c r="M3850" s="5">
        <v>13</v>
      </c>
      <c r="N3850" s="7">
        <v>171.9</v>
      </c>
      <c r="O3850" s="7">
        <f t="shared" si="422"/>
        <v>2234.7000000000003</v>
      </c>
      <c r="P3850" s="4">
        <v>0</v>
      </c>
      <c r="Q3850" s="7">
        <f t="shared" si="423"/>
        <v>0</v>
      </c>
      <c r="R3850" s="7">
        <f t="shared" si="424"/>
        <v>2234.7000000000003</v>
      </c>
      <c r="S3850" s="7">
        <f t="shared" si="425"/>
        <v>186.22500000000002</v>
      </c>
      <c r="T3850" s="6">
        <f t="shared" si="426"/>
        <v>1.8691588785046728E-2</v>
      </c>
      <c r="V3850" t="s">
        <v>29</v>
      </c>
    </row>
    <row r="3851" spans="1:22">
      <c r="A3851" s="3">
        <v>45818</v>
      </c>
      <c r="B3851" t="str">
        <f t="shared" si="420"/>
        <v>yyyy-06</v>
      </c>
      <c r="C3851">
        <f t="shared" si="421"/>
        <v>24</v>
      </c>
      <c r="D3851" t="s">
        <v>42</v>
      </c>
      <c r="E3851" t="s">
        <v>43</v>
      </c>
      <c r="F3851" t="s">
        <v>44</v>
      </c>
      <c r="G3851" t="s">
        <v>31</v>
      </c>
      <c r="H3851" t="s">
        <v>32</v>
      </c>
      <c r="I3851" s="5">
        <v>623</v>
      </c>
      <c r="J3851" s="5">
        <v>503</v>
      </c>
      <c r="K3851" s="5">
        <v>46</v>
      </c>
      <c r="L3851" s="5">
        <v>9</v>
      </c>
      <c r="M3851" s="5">
        <v>9</v>
      </c>
      <c r="N3851" s="7">
        <v>1300.49</v>
      </c>
      <c r="O3851" s="7">
        <f t="shared" si="422"/>
        <v>11704.41</v>
      </c>
      <c r="P3851" s="4">
        <v>0.11</v>
      </c>
      <c r="Q3851" s="7">
        <f t="shared" si="423"/>
        <v>1287.4851000000001</v>
      </c>
      <c r="R3851" s="7">
        <f t="shared" si="424"/>
        <v>10416.9249</v>
      </c>
      <c r="S3851" s="7">
        <f t="shared" si="425"/>
        <v>1157.4360999999999</v>
      </c>
      <c r="T3851" s="6">
        <f t="shared" si="426"/>
        <v>1.4446227929373997E-2</v>
      </c>
      <c r="U3851" t="s">
        <v>99</v>
      </c>
      <c r="V3851" t="s">
        <v>29</v>
      </c>
    </row>
    <row r="3852" spans="1:22">
      <c r="A3852" s="3">
        <v>45818</v>
      </c>
      <c r="B3852" t="str">
        <f t="shared" si="420"/>
        <v>yyyy-06</v>
      </c>
      <c r="C3852">
        <f t="shared" si="421"/>
        <v>24</v>
      </c>
      <c r="D3852" t="s">
        <v>42</v>
      </c>
      <c r="E3852" t="s">
        <v>43</v>
      </c>
      <c r="F3852" t="s">
        <v>46</v>
      </c>
      <c r="G3852" t="s">
        <v>27</v>
      </c>
      <c r="H3852" t="s">
        <v>45</v>
      </c>
      <c r="I3852" s="5">
        <v>549</v>
      </c>
      <c r="J3852" s="5">
        <v>286</v>
      </c>
      <c r="K3852" s="5">
        <v>23</v>
      </c>
      <c r="L3852" s="5">
        <v>10</v>
      </c>
      <c r="M3852" s="5">
        <v>10</v>
      </c>
      <c r="N3852" s="7">
        <v>2135.2600000000002</v>
      </c>
      <c r="O3852" s="7">
        <f t="shared" si="422"/>
        <v>21352.600000000002</v>
      </c>
      <c r="P3852" s="4">
        <v>0.11</v>
      </c>
      <c r="Q3852" s="7">
        <f t="shared" si="423"/>
        <v>2348.7860000000001</v>
      </c>
      <c r="R3852" s="7">
        <f t="shared" si="424"/>
        <v>19003.814000000002</v>
      </c>
      <c r="S3852" s="7">
        <f t="shared" si="425"/>
        <v>1900.3814000000002</v>
      </c>
      <c r="T3852" s="6">
        <f t="shared" si="426"/>
        <v>1.8214936247723135E-2</v>
      </c>
      <c r="U3852" t="s">
        <v>99</v>
      </c>
      <c r="V3852" t="s">
        <v>29</v>
      </c>
    </row>
    <row r="3853" spans="1:22">
      <c r="A3853" s="3">
        <v>45818</v>
      </c>
      <c r="B3853" t="str">
        <f t="shared" si="420"/>
        <v>yyyy-06</v>
      </c>
      <c r="C3853">
        <f t="shared" si="421"/>
        <v>24</v>
      </c>
      <c r="D3853" t="s">
        <v>42</v>
      </c>
      <c r="E3853" t="s">
        <v>43</v>
      </c>
      <c r="F3853" t="s">
        <v>47</v>
      </c>
      <c r="G3853" t="s">
        <v>31</v>
      </c>
      <c r="H3853" t="s">
        <v>32</v>
      </c>
      <c r="I3853" s="5">
        <v>611</v>
      </c>
      <c r="J3853" s="5">
        <v>475</v>
      </c>
      <c r="K3853" s="5">
        <v>27</v>
      </c>
      <c r="L3853" s="5">
        <v>9</v>
      </c>
      <c r="M3853" s="5">
        <v>9</v>
      </c>
      <c r="N3853" s="7">
        <v>605.52</v>
      </c>
      <c r="O3853" s="7">
        <f t="shared" si="422"/>
        <v>5449.68</v>
      </c>
      <c r="P3853" s="4">
        <v>0.11</v>
      </c>
      <c r="Q3853" s="7">
        <f t="shared" si="423"/>
        <v>599.46480000000008</v>
      </c>
      <c r="R3853" s="7">
        <f t="shared" si="424"/>
        <v>4850.2152000000006</v>
      </c>
      <c r="S3853" s="7">
        <f t="shared" si="425"/>
        <v>538.91280000000006</v>
      </c>
      <c r="T3853" s="6">
        <f t="shared" si="426"/>
        <v>1.4729950900163666E-2</v>
      </c>
      <c r="U3853" t="s">
        <v>99</v>
      </c>
      <c r="V3853" t="s">
        <v>29</v>
      </c>
    </row>
    <row r="3854" spans="1:22">
      <c r="A3854" s="3">
        <v>45818</v>
      </c>
      <c r="B3854" t="str">
        <f t="shared" si="420"/>
        <v>yyyy-06</v>
      </c>
      <c r="C3854">
        <f t="shared" si="421"/>
        <v>24</v>
      </c>
      <c r="D3854" t="s">
        <v>42</v>
      </c>
      <c r="E3854" t="s">
        <v>49</v>
      </c>
      <c r="F3854" t="s">
        <v>50</v>
      </c>
      <c r="G3854" t="s">
        <v>31</v>
      </c>
      <c r="H3854" t="s">
        <v>32</v>
      </c>
      <c r="I3854" s="5">
        <v>222</v>
      </c>
      <c r="J3854" s="5">
        <v>148</v>
      </c>
      <c r="K3854" s="5">
        <v>14</v>
      </c>
      <c r="L3854" s="5">
        <v>3</v>
      </c>
      <c r="M3854" s="5">
        <v>3</v>
      </c>
      <c r="N3854" s="7">
        <v>959.86</v>
      </c>
      <c r="O3854" s="7">
        <f t="shared" si="422"/>
        <v>2879.58</v>
      </c>
      <c r="P3854" s="4">
        <v>0.05</v>
      </c>
      <c r="Q3854" s="7">
        <f t="shared" si="423"/>
        <v>143.97900000000001</v>
      </c>
      <c r="R3854" s="7">
        <f t="shared" si="424"/>
        <v>2735.6010000000001</v>
      </c>
      <c r="S3854" s="7">
        <f t="shared" si="425"/>
        <v>911.86700000000008</v>
      </c>
      <c r="T3854" s="6">
        <f t="shared" si="426"/>
        <v>1.3513513513513514E-2</v>
      </c>
      <c r="V3854" t="s">
        <v>29</v>
      </c>
    </row>
    <row r="3855" spans="1:22">
      <c r="A3855" s="3">
        <v>45818</v>
      </c>
      <c r="B3855" t="str">
        <f t="shared" si="420"/>
        <v>yyyy-06</v>
      </c>
      <c r="C3855">
        <f t="shared" si="421"/>
        <v>24</v>
      </c>
      <c r="D3855" t="s">
        <v>42</v>
      </c>
      <c r="E3855" t="s">
        <v>51</v>
      </c>
      <c r="F3855" t="s">
        <v>52</v>
      </c>
      <c r="G3855" t="s">
        <v>27</v>
      </c>
      <c r="H3855" t="s">
        <v>45</v>
      </c>
      <c r="I3855" s="5">
        <v>151</v>
      </c>
      <c r="J3855" s="5">
        <v>113</v>
      </c>
      <c r="K3855" s="5">
        <v>9</v>
      </c>
      <c r="L3855" s="5">
        <v>3</v>
      </c>
      <c r="M3855" s="5">
        <v>3</v>
      </c>
      <c r="N3855" s="7">
        <v>609.52</v>
      </c>
      <c r="O3855" s="7">
        <f t="shared" si="422"/>
        <v>1828.56</v>
      </c>
      <c r="P3855" s="4">
        <v>0.05</v>
      </c>
      <c r="Q3855" s="7">
        <f t="shared" si="423"/>
        <v>91.427999999999997</v>
      </c>
      <c r="R3855" s="7">
        <f t="shared" si="424"/>
        <v>1737.1320000000001</v>
      </c>
      <c r="S3855" s="7">
        <f t="shared" si="425"/>
        <v>579.04399999999998</v>
      </c>
      <c r="T3855" s="6">
        <f t="shared" si="426"/>
        <v>1.9867549668874173E-2</v>
      </c>
      <c r="V3855" t="s">
        <v>29</v>
      </c>
    </row>
    <row r="3856" spans="1:22">
      <c r="A3856" s="3">
        <v>45818</v>
      </c>
      <c r="B3856" t="str">
        <f t="shared" si="420"/>
        <v>yyyy-06</v>
      </c>
      <c r="C3856">
        <f t="shared" si="421"/>
        <v>24</v>
      </c>
      <c r="D3856" t="s">
        <v>53</v>
      </c>
      <c r="E3856" t="s">
        <v>54</v>
      </c>
      <c r="F3856" t="s">
        <v>55</v>
      </c>
      <c r="G3856" t="s">
        <v>31</v>
      </c>
      <c r="H3856" t="s">
        <v>32</v>
      </c>
      <c r="I3856" s="5">
        <v>182</v>
      </c>
      <c r="J3856" s="5">
        <v>142</v>
      </c>
      <c r="K3856" s="5">
        <v>8</v>
      </c>
      <c r="L3856" s="5">
        <v>2</v>
      </c>
      <c r="M3856" s="5">
        <v>2</v>
      </c>
      <c r="N3856" s="7">
        <v>1314.37</v>
      </c>
      <c r="O3856" s="7">
        <f t="shared" si="422"/>
        <v>2628.74</v>
      </c>
      <c r="P3856" s="4">
        <v>0</v>
      </c>
      <c r="Q3856" s="7">
        <f t="shared" si="423"/>
        <v>0</v>
      </c>
      <c r="R3856" s="7">
        <f t="shared" si="424"/>
        <v>2628.74</v>
      </c>
      <c r="S3856" s="7">
        <f t="shared" si="425"/>
        <v>1314.37</v>
      </c>
      <c r="T3856" s="6">
        <f t="shared" si="426"/>
        <v>1.098901098901099E-2</v>
      </c>
      <c r="V3856" t="s">
        <v>29</v>
      </c>
    </row>
    <row r="3857" spans="1:22">
      <c r="A3857" s="3">
        <v>45818</v>
      </c>
      <c r="B3857" t="str">
        <f t="shared" si="420"/>
        <v>yyyy-06</v>
      </c>
      <c r="C3857">
        <f t="shared" si="421"/>
        <v>24</v>
      </c>
      <c r="D3857" t="s">
        <v>53</v>
      </c>
      <c r="E3857" t="s">
        <v>56</v>
      </c>
      <c r="F3857" t="s">
        <v>57</v>
      </c>
      <c r="G3857" t="s">
        <v>27</v>
      </c>
      <c r="H3857" t="s">
        <v>48</v>
      </c>
      <c r="I3857" s="5">
        <v>206</v>
      </c>
      <c r="J3857" s="5">
        <v>153</v>
      </c>
      <c r="K3857" s="5">
        <v>8</v>
      </c>
      <c r="L3857" s="5">
        <v>2</v>
      </c>
      <c r="M3857" s="5">
        <v>2</v>
      </c>
      <c r="N3857" s="7">
        <v>762.92</v>
      </c>
      <c r="O3857" s="7">
        <f t="shared" si="422"/>
        <v>1525.84</v>
      </c>
      <c r="P3857" s="4">
        <v>0</v>
      </c>
      <c r="Q3857" s="7">
        <f t="shared" si="423"/>
        <v>0</v>
      </c>
      <c r="R3857" s="7">
        <f t="shared" si="424"/>
        <v>1525.84</v>
      </c>
      <c r="S3857" s="7">
        <f t="shared" si="425"/>
        <v>762.92</v>
      </c>
      <c r="T3857" s="6">
        <f t="shared" si="426"/>
        <v>9.7087378640776691E-3</v>
      </c>
      <c r="V3857" t="s">
        <v>29</v>
      </c>
    </row>
    <row r="3858" spans="1:22">
      <c r="A3858" s="3">
        <v>45818</v>
      </c>
      <c r="B3858" t="str">
        <f t="shared" si="420"/>
        <v>yyyy-06</v>
      </c>
      <c r="C3858">
        <f t="shared" si="421"/>
        <v>24</v>
      </c>
      <c r="D3858" t="s">
        <v>53</v>
      </c>
      <c r="E3858" t="s">
        <v>56</v>
      </c>
      <c r="F3858" t="s">
        <v>58</v>
      </c>
      <c r="G3858" t="s">
        <v>31</v>
      </c>
      <c r="H3858" t="s">
        <v>32</v>
      </c>
      <c r="I3858" s="5">
        <v>263</v>
      </c>
      <c r="J3858" s="5">
        <v>173</v>
      </c>
      <c r="K3858" s="5">
        <v>20</v>
      </c>
      <c r="L3858" s="5">
        <v>2</v>
      </c>
      <c r="M3858" s="5">
        <v>2</v>
      </c>
      <c r="N3858" s="7">
        <v>911.92</v>
      </c>
      <c r="O3858" s="7">
        <f t="shared" si="422"/>
        <v>1823.84</v>
      </c>
      <c r="P3858" s="4">
        <v>0.05</v>
      </c>
      <c r="Q3858" s="7">
        <f t="shared" si="423"/>
        <v>91.192000000000007</v>
      </c>
      <c r="R3858" s="7">
        <f t="shared" si="424"/>
        <v>1732.6479999999999</v>
      </c>
      <c r="S3858" s="7">
        <f t="shared" si="425"/>
        <v>866.32399999999996</v>
      </c>
      <c r="T3858" s="6">
        <f t="shared" si="426"/>
        <v>7.6045627376425855E-3</v>
      </c>
      <c r="V3858" t="s">
        <v>29</v>
      </c>
    </row>
    <row r="3859" spans="1:22">
      <c r="A3859" s="3">
        <v>45818</v>
      </c>
      <c r="B3859" t="str">
        <f t="shared" si="420"/>
        <v>yyyy-06</v>
      </c>
      <c r="C3859">
        <f t="shared" si="421"/>
        <v>24</v>
      </c>
      <c r="D3859" t="s">
        <v>53</v>
      </c>
      <c r="E3859" t="s">
        <v>59</v>
      </c>
      <c r="F3859" t="s">
        <v>60</v>
      </c>
      <c r="G3859" t="s">
        <v>27</v>
      </c>
      <c r="H3859" t="s">
        <v>48</v>
      </c>
      <c r="I3859" s="5">
        <v>140</v>
      </c>
      <c r="J3859" s="5">
        <v>104</v>
      </c>
      <c r="K3859" s="5">
        <v>12</v>
      </c>
      <c r="L3859" s="5">
        <v>1</v>
      </c>
      <c r="M3859" s="5">
        <v>1</v>
      </c>
      <c r="N3859" s="7">
        <v>679.52</v>
      </c>
      <c r="O3859" s="7">
        <f t="shared" si="422"/>
        <v>679.52</v>
      </c>
      <c r="P3859" s="4">
        <v>0</v>
      </c>
      <c r="Q3859" s="7">
        <f t="shared" si="423"/>
        <v>0</v>
      </c>
      <c r="R3859" s="7">
        <f t="shared" si="424"/>
        <v>679.52</v>
      </c>
      <c r="S3859" s="7">
        <f t="shared" si="425"/>
        <v>679.52</v>
      </c>
      <c r="T3859" s="6">
        <f t="shared" si="426"/>
        <v>7.1428571428571426E-3</v>
      </c>
      <c r="V3859" t="s">
        <v>78</v>
      </c>
    </row>
    <row r="3860" spans="1:22">
      <c r="A3860" s="3">
        <v>45818</v>
      </c>
      <c r="B3860" t="str">
        <f t="shared" si="420"/>
        <v>yyyy-06</v>
      </c>
      <c r="C3860">
        <f t="shared" si="421"/>
        <v>24</v>
      </c>
      <c r="D3860" t="s">
        <v>53</v>
      </c>
      <c r="E3860" t="s">
        <v>61</v>
      </c>
      <c r="F3860" t="s">
        <v>62</v>
      </c>
      <c r="G3860" t="s">
        <v>27</v>
      </c>
      <c r="H3860" t="s">
        <v>28</v>
      </c>
      <c r="I3860" s="5">
        <v>277</v>
      </c>
      <c r="J3860" s="5">
        <v>159</v>
      </c>
      <c r="K3860" s="5">
        <v>15</v>
      </c>
      <c r="L3860" s="5">
        <v>3</v>
      </c>
      <c r="M3860" s="5">
        <v>3</v>
      </c>
      <c r="N3860" s="7">
        <v>479.42</v>
      </c>
      <c r="O3860" s="7">
        <f t="shared" si="422"/>
        <v>1438.26</v>
      </c>
      <c r="P3860" s="4">
        <v>0.03</v>
      </c>
      <c r="Q3860" s="7">
        <f t="shared" si="423"/>
        <v>43.147799999999997</v>
      </c>
      <c r="R3860" s="7">
        <f t="shared" si="424"/>
        <v>1395.1122</v>
      </c>
      <c r="S3860" s="7">
        <f t="shared" si="425"/>
        <v>465.03739999999999</v>
      </c>
      <c r="T3860" s="6">
        <f t="shared" si="426"/>
        <v>1.0830324909747292E-2</v>
      </c>
      <c r="V3860" t="s">
        <v>29</v>
      </c>
    </row>
    <row r="3861" spans="1:22">
      <c r="A3861" s="3">
        <v>45818</v>
      </c>
      <c r="B3861" t="str">
        <f t="shared" si="420"/>
        <v>yyyy-06</v>
      </c>
      <c r="C3861">
        <f t="shared" si="421"/>
        <v>24</v>
      </c>
      <c r="D3861" t="s">
        <v>53</v>
      </c>
      <c r="E3861" t="s">
        <v>64</v>
      </c>
      <c r="F3861" t="s">
        <v>65</v>
      </c>
      <c r="G3861" t="s">
        <v>36</v>
      </c>
      <c r="H3861" t="s">
        <v>37</v>
      </c>
      <c r="I3861" s="5">
        <v>266</v>
      </c>
      <c r="J3861" s="5">
        <v>144</v>
      </c>
      <c r="K3861" s="5">
        <v>14</v>
      </c>
      <c r="L3861" s="5">
        <v>3</v>
      </c>
      <c r="M3861" s="5">
        <v>3</v>
      </c>
      <c r="N3861" s="7">
        <v>776</v>
      </c>
      <c r="O3861" s="7">
        <f t="shared" si="422"/>
        <v>2328</v>
      </c>
      <c r="P3861" s="4">
        <v>0.03</v>
      </c>
      <c r="Q3861" s="7">
        <f t="shared" si="423"/>
        <v>69.84</v>
      </c>
      <c r="R3861" s="7">
        <f t="shared" si="424"/>
        <v>2258.16</v>
      </c>
      <c r="S3861" s="7">
        <f t="shared" si="425"/>
        <v>752.71999999999991</v>
      </c>
      <c r="T3861" s="6">
        <f t="shared" si="426"/>
        <v>1.1278195488721804E-2</v>
      </c>
      <c r="V3861" t="s">
        <v>29</v>
      </c>
    </row>
    <row r="3862" spans="1:22">
      <c r="A3862" s="3">
        <v>45818</v>
      </c>
      <c r="B3862" t="str">
        <f t="shared" si="420"/>
        <v>yyyy-06</v>
      </c>
      <c r="C3862">
        <f t="shared" si="421"/>
        <v>24</v>
      </c>
      <c r="D3862" t="s">
        <v>66</v>
      </c>
      <c r="E3862" t="s">
        <v>67</v>
      </c>
      <c r="F3862" t="s">
        <v>68</v>
      </c>
      <c r="G3862" t="s">
        <v>36</v>
      </c>
      <c r="H3862" t="s">
        <v>37</v>
      </c>
      <c r="I3862" s="5">
        <v>508</v>
      </c>
      <c r="J3862" s="5">
        <v>367</v>
      </c>
      <c r="K3862" s="5">
        <v>21</v>
      </c>
      <c r="L3862" s="5">
        <v>7</v>
      </c>
      <c r="M3862" s="5">
        <v>7</v>
      </c>
      <c r="N3862" s="7">
        <v>675.18</v>
      </c>
      <c r="O3862" s="7">
        <f t="shared" si="422"/>
        <v>4726.2599999999993</v>
      </c>
      <c r="P3862" s="4">
        <v>0</v>
      </c>
      <c r="Q3862" s="7">
        <f t="shared" si="423"/>
        <v>0</v>
      </c>
      <c r="R3862" s="7">
        <f t="shared" si="424"/>
        <v>4726.2599999999993</v>
      </c>
      <c r="S3862" s="7">
        <f t="shared" si="425"/>
        <v>675.18</v>
      </c>
      <c r="T3862" s="6">
        <f t="shared" si="426"/>
        <v>1.3779527559055118E-2</v>
      </c>
      <c r="V3862" t="s">
        <v>29</v>
      </c>
    </row>
    <row r="3863" spans="1:22">
      <c r="A3863" s="3">
        <v>45818</v>
      </c>
      <c r="B3863" t="str">
        <f t="shared" si="420"/>
        <v>yyyy-06</v>
      </c>
      <c r="C3863">
        <f t="shared" si="421"/>
        <v>24</v>
      </c>
      <c r="D3863" t="s">
        <v>66</v>
      </c>
      <c r="E3863" t="s">
        <v>67</v>
      </c>
      <c r="F3863" t="s">
        <v>69</v>
      </c>
      <c r="G3863" t="s">
        <v>36</v>
      </c>
      <c r="H3863" t="s">
        <v>37</v>
      </c>
      <c r="I3863" s="5">
        <v>542</v>
      </c>
      <c r="J3863" s="5">
        <v>407</v>
      </c>
      <c r="K3863" s="5">
        <v>38</v>
      </c>
      <c r="L3863" s="5">
        <v>8</v>
      </c>
      <c r="M3863" s="5">
        <v>8</v>
      </c>
      <c r="N3863" s="7">
        <v>385.47</v>
      </c>
      <c r="O3863" s="7">
        <f t="shared" si="422"/>
        <v>3083.76</v>
      </c>
      <c r="P3863" s="4">
        <v>0</v>
      </c>
      <c r="Q3863" s="7">
        <f t="shared" si="423"/>
        <v>0</v>
      </c>
      <c r="R3863" s="7">
        <f t="shared" si="424"/>
        <v>3083.76</v>
      </c>
      <c r="S3863" s="7">
        <f t="shared" si="425"/>
        <v>385.47</v>
      </c>
      <c r="T3863" s="6">
        <f t="shared" si="426"/>
        <v>1.4760147601476014E-2</v>
      </c>
      <c r="V3863" t="s">
        <v>29</v>
      </c>
    </row>
    <row r="3864" spans="1:22">
      <c r="A3864" s="3">
        <v>45818</v>
      </c>
      <c r="B3864" t="str">
        <f t="shared" si="420"/>
        <v>yyyy-06</v>
      </c>
      <c r="C3864">
        <f t="shared" si="421"/>
        <v>24</v>
      </c>
      <c r="D3864" t="s">
        <v>66</v>
      </c>
      <c r="E3864" t="s">
        <v>67</v>
      </c>
      <c r="F3864" t="s">
        <v>70</v>
      </c>
      <c r="G3864" t="s">
        <v>27</v>
      </c>
      <c r="H3864" t="s">
        <v>45</v>
      </c>
      <c r="I3864" s="5">
        <v>498</v>
      </c>
      <c r="J3864" s="5">
        <v>276</v>
      </c>
      <c r="K3864" s="5">
        <v>55</v>
      </c>
      <c r="L3864" s="5">
        <v>11</v>
      </c>
      <c r="M3864" s="5">
        <v>11</v>
      </c>
      <c r="N3864" s="7">
        <v>352.41</v>
      </c>
      <c r="O3864" s="7">
        <f t="shared" si="422"/>
        <v>3876.51</v>
      </c>
      <c r="P3864" s="4">
        <v>0</v>
      </c>
      <c r="Q3864" s="7">
        <f t="shared" si="423"/>
        <v>0</v>
      </c>
      <c r="R3864" s="7">
        <f t="shared" si="424"/>
        <v>3876.51</v>
      </c>
      <c r="S3864" s="7">
        <f t="shared" si="425"/>
        <v>352.41</v>
      </c>
      <c r="T3864" s="6">
        <f t="shared" si="426"/>
        <v>2.2088353413654619E-2</v>
      </c>
      <c r="V3864" t="s">
        <v>29</v>
      </c>
    </row>
    <row r="3865" spans="1:22">
      <c r="A3865" s="3">
        <v>45818</v>
      </c>
      <c r="B3865" t="str">
        <f t="shared" si="420"/>
        <v>yyyy-06</v>
      </c>
      <c r="C3865">
        <f t="shared" si="421"/>
        <v>24</v>
      </c>
      <c r="D3865" t="s">
        <v>66</v>
      </c>
      <c r="E3865" t="s">
        <v>71</v>
      </c>
      <c r="F3865" t="s">
        <v>72</v>
      </c>
      <c r="G3865" t="s">
        <v>27</v>
      </c>
      <c r="H3865" t="s">
        <v>28</v>
      </c>
      <c r="I3865" s="5">
        <v>343</v>
      </c>
      <c r="J3865" s="5">
        <v>188</v>
      </c>
      <c r="K3865" s="5">
        <v>16</v>
      </c>
      <c r="L3865" s="5">
        <v>5</v>
      </c>
      <c r="M3865" s="5">
        <v>6</v>
      </c>
      <c r="N3865" s="7">
        <v>127.26</v>
      </c>
      <c r="O3865" s="7">
        <f t="shared" si="422"/>
        <v>763.56000000000006</v>
      </c>
      <c r="P3865" s="4">
        <v>0.05</v>
      </c>
      <c r="Q3865" s="7">
        <f t="shared" si="423"/>
        <v>38.178000000000004</v>
      </c>
      <c r="R3865" s="7">
        <f t="shared" si="424"/>
        <v>725.38200000000006</v>
      </c>
      <c r="S3865" s="7">
        <f t="shared" si="425"/>
        <v>145.07640000000001</v>
      </c>
      <c r="T3865" s="6">
        <f t="shared" si="426"/>
        <v>1.4577259475218658E-2</v>
      </c>
      <c r="V3865" t="s">
        <v>29</v>
      </c>
    </row>
    <row r="3866" spans="1:22">
      <c r="A3866" s="3">
        <v>45818</v>
      </c>
      <c r="B3866" t="str">
        <f t="shared" si="420"/>
        <v>yyyy-06</v>
      </c>
      <c r="C3866">
        <f t="shared" si="421"/>
        <v>24</v>
      </c>
      <c r="D3866" t="s">
        <v>66</v>
      </c>
      <c r="E3866" t="s">
        <v>73</v>
      </c>
      <c r="F3866" t="s">
        <v>74</v>
      </c>
      <c r="G3866" t="s">
        <v>27</v>
      </c>
      <c r="H3866" t="s">
        <v>45</v>
      </c>
      <c r="I3866" s="5">
        <v>206</v>
      </c>
      <c r="J3866" s="5">
        <v>146</v>
      </c>
      <c r="K3866" s="5">
        <v>15</v>
      </c>
      <c r="L3866" s="5">
        <v>3</v>
      </c>
      <c r="M3866" s="5">
        <v>3</v>
      </c>
      <c r="N3866" s="7">
        <v>1218.8699999999999</v>
      </c>
      <c r="O3866" s="7">
        <f t="shared" si="422"/>
        <v>3656.6099999999997</v>
      </c>
      <c r="P3866" s="4">
        <v>0</v>
      </c>
      <c r="Q3866" s="7">
        <f t="shared" si="423"/>
        <v>0</v>
      </c>
      <c r="R3866" s="7">
        <f t="shared" si="424"/>
        <v>3656.6099999999997</v>
      </c>
      <c r="S3866" s="7">
        <f t="shared" si="425"/>
        <v>1218.8699999999999</v>
      </c>
      <c r="T3866" s="6">
        <f t="shared" si="426"/>
        <v>1.4563106796116505E-2</v>
      </c>
      <c r="V3866" t="s">
        <v>29</v>
      </c>
    </row>
    <row r="3867" spans="1:22">
      <c r="A3867" s="3">
        <v>45818</v>
      </c>
      <c r="B3867" t="str">
        <f t="shared" si="420"/>
        <v>yyyy-06</v>
      </c>
      <c r="C3867">
        <f t="shared" si="421"/>
        <v>24</v>
      </c>
      <c r="D3867" t="s">
        <v>66</v>
      </c>
      <c r="E3867" t="s">
        <v>71</v>
      </c>
      <c r="F3867" t="s">
        <v>75</v>
      </c>
      <c r="G3867" t="s">
        <v>31</v>
      </c>
      <c r="H3867" t="s">
        <v>32</v>
      </c>
      <c r="I3867" s="5">
        <v>414</v>
      </c>
      <c r="J3867" s="5">
        <v>240</v>
      </c>
      <c r="K3867" s="5">
        <v>23</v>
      </c>
      <c r="L3867" s="5">
        <v>8</v>
      </c>
      <c r="M3867" s="5">
        <v>10</v>
      </c>
      <c r="N3867" s="7">
        <v>37.5</v>
      </c>
      <c r="O3867" s="7">
        <f t="shared" si="422"/>
        <v>375</v>
      </c>
      <c r="P3867" s="4">
        <v>0</v>
      </c>
      <c r="Q3867" s="7">
        <f t="shared" si="423"/>
        <v>0</v>
      </c>
      <c r="R3867" s="7">
        <f t="shared" si="424"/>
        <v>375</v>
      </c>
      <c r="S3867" s="7">
        <f t="shared" si="425"/>
        <v>46.875</v>
      </c>
      <c r="T3867" s="6">
        <f t="shared" si="426"/>
        <v>1.932367149758454E-2</v>
      </c>
      <c r="V3867" t="s">
        <v>29</v>
      </c>
    </row>
    <row r="3868" spans="1:22">
      <c r="A3868" s="3">
        <v>45818</v>
      </c>
      <c r="B3868" t="str">
        <f t="shared" si="420"/>
        <v>yyyy-06</v>
      </c>
      <c r="C3868">
        <f t="shared" si="421"/>
        <v>24</v>
      </c>
      <c r="D3868" t="s">
        <v>24</v>
      </c>
      <c r="E3868" t="s">
        <v>76</v>
      </c>
      <c r="F3868" t="s">
        <v>77</v>
      </c>
      <c r="G3868" t="s">
        <v>36</v>
      </c>
      <c r="H3868" t="s">
        <v>37</v>
      </c>
      <c r="I3868" s="5">
        <v>268</v>
      </c>
      <c r="J3868" s="5">
        <v>165</v>
      </c>
      <c r="K3868" s="5">
        <v>4</v>
      </c>
      <c r="L3868" s="5">
        <v>0</v>
      </c>
      <c r="M3868" s="5">
        <v>0</v>
      </c>
      <c r="N3868" s="7">
        <v>200.37</v>
      </c>
      <c r="O3868" s="7">
        <f t="shared" si="422"/>
        <v>0</v>
      </c>
      <c r="P3868" s="4">
        <v>0</v>
      </c>
      <c r="Q3868" s="7">
        <f t="shared" si="423"/>
        <v>0</v>
      </c>
      <c r="R3868" s="7">
        <f t="shared" si="424"/>
        <v>0</v>
      </c>
      <c r="S3868" s="7">
        <f t="shared" si="425"/>
        <v>0</v>
      </c>
      <c r="T3868" s="6">
        <f t="shared" si="426"/>
        <v>0</v>
      </c>
      <c r="V3868" t="s">
        <v>81</v>
      </c>
    </row>
    <row r="3869" spans="1:22">
      <c r="A3869" s="3">
        <v>45819</v>
      </c>
      <c r="B3869" t="str">
        <f t="shared" si="420"/>
        <v>yyyy-06</v>
      </c>
      <c r="C3869">
        <f t="shared" si="421"/>
        <v>24</v>
      </c>
      <c r="D3869" t="s">
        <v>24</v>
      </c>
      <c r="E3869" t="s">
        <v>25</v>
      </c>
      <c r="F3869" t="s">
        <v>26</v>
      </c>
      <c r="G3869" t="s">
        <v>27</v>
      </c>
      <c r="H3869" t="s">
        <v>28</v>
      </c>
      <c r="I3869" s="5">
        <v>1312</v>
      </c>
      <c r="J3869" s="5">
        <v>909</v>
      </c>
      <c r="K3869" s="5">
        <v>150</v>
      </c>
      <c r="L3869" s="5">
        <v>30</v>
      </c>
      <c r="M3869" s="5">
        <v>30</v>
      </c>
      <c r="N3869" s="7">
        <v>982.58</v>
      </c>
      <c r="O3869" s="7">
        <f t="shared" si="422"/>
        <v>29477.4</v>
      </c>
      <c r="P3869" s="4">
        <v>0</v>
      </c>
      <c r="Q3869" s="7">
        <f t="shared" si="423"/>
        <v>0</v>
      </c>
      <c r="R3869" s="7">
        <f t="shared" si="424"/>
        <v>29477.4</v>
      </c>
      <c r="S3869" s="7">
        <f t="shared" si="425"/>
        <v>982.58</v>
      </c>
      <c r="T3869" s="6">
        <f t="shared" si="426"/>
        <v>2.2865853658536585E-2</v>
      </c>
      <c r="V3869" t="s">
        <v>29</v>
      </c>
    </row>
    <row r="3870" spans="1:22">
      <c r="A3870" s="3">
        <v>45819</v>
      </c>
      <c r="B3870" t="str">
        <f t="shared" si="420"/>
        <v>yyyy-06</v>
      </c>
      <c r="C3870">
        <f t="shared" si="421"/>
        <v>24</v>
      </c>
      <c r="D3870" t="s">
        <v>24</v>
      </c>
      <c r="E3870" t="s">
        <v>25</v>
      </c>
      <c r="F3870" t="s">
        <v>30</v>
      </c>
      <c r="G3870" t="s">
        <v>27</v>
      </c>
      <c r="H3870" t="s">
        <v>28</v>
      </c>
      <c r="I3870" s="5">
        <v>1756</v>
      </c>
      <c r="J3870" s="5">
        <v>1190</v>
      </c>
      <c r="K3870" s="5">
        <v>137</v>
      </c>
      <c r="L3870" s="5">
        <v>33</v>
      </c>
      <c r="M3870" s="5">
        <v>33</v>
      </c>
      <c r="N3870" s="7">
        <v>394.95</v>
      </c>
      <c r="O3870" s="7">
        <f t="shared" si="422"/>
        <v>13033.35</v>
      </c>
      <c r="P3870" s="4">
        <v>0</v>
      </c>
      <c r="Q3870" s="7">
        <f t="shared" si="423"/>
        <v>0</v>
      </c>
      <c r="R3870" s="7">
        <f t="shared" si="424"/>
        <v>13033.35</v>
      </c>
      <c r="S3870" s="7">
        <f t="shared" si="425"/>
        <v>394.95</v>
      </c>
      <c r="T3870" s="6">
        <f t="shared" si="426"/>
        <v>1.879271070615034E-2</v>
      </c>
      <c r="V3870" t="s">
        <v>29</v>
      </c>
    </row>
    <row r="3871" spans="1:22">
      <c r="A3871" s="3">
        <v>45819</v>
      </c>
      <c r="B3871" t="str">
        <f t="shared" si="420"/>
        <v>yyyy-06</v>
      </c>
      <c r="C3871">
        <f t="shared" si="421"/>
        <v>24</v>
      </c>
      <c r="D3871" t="s">
        <v>24</v>
      </c>
      <c r="E3871" t="s">
        <v>25</v>
      </c>
      <c r="F3871" t="s">
        <v>33</v>
      </c>
      <c r="G3871" t="s">
        <v>31</v>
      </c>
      <c r="H3871" t="s">
        <v>32</v>
      </c>
      <c r="I3871" s="5">
        <v>1788</v>
      </c>
      <c r="J3871" s="5">
        <v>1445</v>
      </c>
      <c r="K3871" s="5">
        <v>77</v>
      </c>
      <c r="L3871" s="5">
        <v>30</v>
      </c>
      <c r="M3871" s="5">
        <v>30</v>
      </c>
      <c r="N3871" s="7">
        <v>1818.44</v>
      </c>
      <c r="O3871" s="7">
        <f t="shared" si="422"/>
        <v>54553.200000000004</v>
      </c>
      <c r="P3871" s="4">
        <v>0</v>
      </c>
      <c r="Q3871" s="7">
        <f t="shared" si="423"/>
        <v>0</v>
      </c>
      <c r="R3871" s="7">
        <f t="shared" si="424"/>
        <v>54553.200000000004</v>
      </c>
      <c r="S3871" s="7">
        <f t="shared" si="425"/>
        <v>1818.44</v>
      </c>
      <c r="T3871" s="6">
        <f t="shared" si="426"/>
        <v>1.6778523489932886E-2</v>
      </c>
      <c r="V3871" t="s">
        <v>29</v>
      </c>
    </row>
    <row r="3872" spans="1:22">
      <c r="A3872" s="3">
        <v>45819</v>
      </c>
      <c r="B3872" t="str">
        <f t="shared" si="420"/>
        <v>yyyy-06</v>
      </c>
      <c r="C3872">
        <f t="shared" si="421"/>
        <v>24</v>
      </c>
      <c r="D3872" t="s">
        <v>24</v>
      </c>
      <c r="E3872" t="s">
        <v>34</v>
      </c>
      <c r="F3872" t="s">
        <v>35</v>
      </c>
      <c r="G3872" t="s">
        <v>27</v>
      </c>
      <c r="H3872" t="s">
        <v>28</v>
      </c>
      <c r="I3872" s="5">
        <v>999</v>
      </c>
      <c r="J3872" s="5">
        <v>631</v>
      </c>
      <c r="K3872" s="5">
        <v>67</v>
      </c>
      <c r="L3872" s="5">
        <v>16</v>
      </c>
      <c r="M3872" s="5">
        <v>16</v>
      </c>
      <c r="N3872" s="7">
        <v>876.83</v>
      </c>
      <c r="O3872" s="7">
        <f t="shared" si="422"/>
        <v>14029.28</v>
      </c>
      <c r="P3872" s="4">
        <v>0</v>
      </c>
      <c r="Q3872" s="7">
        <f t="shared" si="423"/>
        <v>0</v>
      </c>
      <c r="R3872" s="7">
        <f t="shared" si="424"/>
        <v>14029.28</v>
      </c>
      <c r="S3872" s="7">
        <f t="shared" si="425"/>
        <v>876.83</v>
      </c>
      <c r="T3872" s="6">
        <f t="shared" si="426"/>
        <v>1.6016016016016016E-2</v>
      </c>
      <c r="V3872" t="s">
        <v>29</v>
      </c>
    </row>
    <row r="3873" spans="1:22">
      <c r="A3873" s="3">
        <v>45819</v>
      </c>
      <c r="B3873" t="str">
        <f t="shared" si="420"/>
        <v>yyyy-06</v>
      </c>
      <c r="C3873">
        <f t="shared" si="421"/>
        <v>24</v>
      </c>
      <c r="D3873" t="s">
        <v>24</v>
      </c>
      <c r="E3873" t="s">
        <v>38</v>
      </c>
      <c r="F3873" t="s">
        <v>39</v>
      </c>
      <c r="G3873" t="s">
        <v>36</v>
      </c>
      <c r="H3873" t="s">
        <v>37</v>
      </c>
      <c r="I3873" s="5">
        <v>955</v>
      </c>
      <c r="J3873" s="5">
        <v>679</v>
      </c>
      <c r="K3873" s="5">
        <v>44</v>
      </c>
      <c r="L3873" s="5">
        <v>15</v>
      </c>
      <c r="M3873" s="5">
        <v>15</v>
      </c>
      <c r="N3873" s="7">
        <v>323.76</v>
      </c>
      <c r="O3873" s="7">
        <f t="shared" si="422"/>
        <v>4856.3999999999996</v>
      </c>
      <c r="P3873" s="4">
        <v>0</v>
      </c>
      <c r="Q3873" s="7">
        <f t="shared" si="423"/>
        <v>0</v>
      </c>
      <c r="R3873" s="7">
        <f t="shared" si="424"/>
        <v>4856.3999999999996</v>
      </c>
      <c r="S3873" s="7">
        <f t="shared" si="425"/>
        <v>323.76</v>
      </c>
      <c r="T3873" s="6">
        <f t="shared" si="426"/>
        <v>1.5706806282722512E-2</v>
      </c>
      <c r="V3873" t="s">
        <v>29</v>
      </c>
    </row>
    <row r="3874" spans="1:22">
      <c r="A3874" s="3">
        <v>45819</v>
      </c>
      <c r="B3874" t="str">
        <f t="shared" si="420"/>
        <v>yyyy-06</v>
      </c>
      <c r="C3874">
        <f t="shared" si="421"/>
        <v>24</v>
      </c>
      <c r="D3874" t="s">
        <v>24</v>
      </c>
      <c r="E3874" t="s">
        <v>40</v>
      </c>
      <c r="F3874" t="s">
        <v>41</v>
      </c>
      <c r="G3874" t="s">
        <v>31</v>
      </c>
      <c r="H3874" t="s">
        <v>32</v>
      </c>
      <c r="I3874" s="5">
        <v>952</v>
      </c>
      <c r="J3874" s="5">
        <v>705</v>
      </c>
      <c r="K3874" s="5">
        <v>82</v>
      </c>
      <c r="L3874" s="5">
        <v>17</v>
      </c>
      <c r="M3874" s="5">
        <v>22</v>
      </c>
      <c r="N3874" s="7">
        <v>176.79</v>
      </c>
      <c r="O3874" s="7">
        <f t="shared" si="422"/>
        <v>3889.3799999999997</v>
      </c>
      <c r="P3874" s="4">
        <v>0.05</v>
      </c>
      <c r="Q3874" s="7">
        <f t="shared" si="423"/>
        <v>194.46899999999999</v>
      </c>
      <c r="R3874" s="7">
        <f t="shared" si="424"/>
        <v>3694.9109999999996</v>
      </c>
      <c r="S3874" s="7">
        <f t="shared" si="425"/>
        <v>217.34770588235293</v>
      </c>
      <c r="T3874" s="6">
        <f t="shared" si="426"/>
        <v>1.7857142857142856E-2</v>
      </c>
      <c r="V3874" t="s">
        <v>29</v>
      </c>
    </row>
    <row r="3875" spans="1:22">
      <c r="A3875" s="3">
        <v>45819</v>
      </c>
      <c r="B3875" t="str">
        <f t="shared" si="420"/>
        <v>yyyy-06</v>
      </c>
      <c r="C3875">
        <f t="shared" si="421"/>
        <v>24</v>
      </c>
      <c r="D3875" t="s">
        <v>42</v>
      </c>
      <c r="E3875" t="s">
        <v>43</v>
      </c>
      <c r="F3875" t="s">
        <v>44</v>
      </c>
      <c r="G3875" t="s">
        <v>27</v>
      </c>
      <c r="H3875" t="s">
        <v>45</v>
      </c>
      <c r="I3875" s="5">
        <v>425</v>
      </c>
      <c r="J3875" s="5">
        <v>278</v>
      </c>
      <c r="K3875" s="5">
        <v>25</v>
      </c>
      <c r="L3875" s="5">
        <v>7</v>
      </c>
      <c r="M3875" s="5">
        <v>7</v>
      </c>
      <c r="N3875" s="7">
        <v>1262.26</v>
      </c>
      <c r="O3875" s="7">
        <f t="shared" si="422"/>
        <v>8835.82</v>
      </c>
      <c r="P3875" s="4">
        <v>0.11</v>
      </c>
      <c r="Q3875" s="7">
        <f t="shared" si="423"/>
        <v>971.9402</v>
      </c>
      <c r="R3875" s="7">
        <f t="shared" si="424"/>
        <v>7863.8797999999997</v>
      </c>
      <c r="S3875" s="7">
        <f t="shared" si="425"/>
        <v>1123.4114</v>
      </c>
      <c r="T3875" s="6">
        <f t="shared" si="426"/>
        <v>1.6470588235294119E-2</v>
      </c>
      <c r="U3875" t="s">
        <v>99</v>
      </c>
      <c r="V3875" t="s">
        <v>29</v>
      </c>
    </row>
    <row r="3876" spans="1:22">
      <c r="A3876" s="3">
        <v>45819</v>
      </c>
      <c r="B3876" t="str">
        <f t="shared" si="420"/>
        <v>yyyy-06</v>
      </c>
      <c r="C3876">
        <f t="shared" si="421"/>
        <v>24</v>
      </c>
      <c r="D3876" t="s">
        <v>42</v>
      </c>
      <c r="E3876" t="s">
        <v>43</v>
      </c>
      <c r="F3876" t="s">
        <v>46</v>
      </c>
      <c r="G3876" t="s">
        <v>27</v>
      </c>
      <c r="H3876" t="s">
        <v>28</v>
      </c>
      <c r="I3876" s="5">
        <v>686</v>
      </c>
      <c r="J3876" s="5">
        <v>559</v>
      </c>
      <c r="K3876" s="5">
        <v>63</v>
      </c>
      <c r="L3876" s="5">
        <v>14</v>
      </c>
      <c r="M3876" s="5">
        <v>14</v>
      </c>
      <c r="N3876" s="7">
        <v>2198.15</v>
      </c>
      <c r="O3876" s="7">
        <f t="shared" si="422"/>
        <v>30774.100000000002</v>
      </c>
      <c r="P3876" s="4">
        <v>0.11</v>
      </c>
      <c r="Q3876" s="7">
        <f t="shared" si="423"/>
        <v>3385.1510000000003</v>
      </c>
      <c r="R3876" s="7">
        <f t="shared" si="424"/>
        <v>27388.949000000001</v>
      </c>
      <c r="S3876" s="7">
        <f t="shared" si="425"/>
        <v>1956.3534999999999</v>
      </c>
      <c r="T3876" s="6">
        <f t="shared" si="426"/>
        <v>2.0408163265306121E-2</v>
      </c>
      <c r="U3876" t="s">
        <v>99</v>
      </c>
      <c r="V3876" t="s">
        <v>29</v>
      </c>
    </row>
    <row r="3877" spans="1:22">
      <c r="A3877" s="3">
        <v>45819</v>
      </c>
      <c r="B3877" t="str">
        <f t="shared" si="420"/>
        <v>yyyy-06</v>
      </c>
      <c r="C3877">
        <f t="shared" si="421"/>
        <v>24</v>
      </c>
      <c r="D3877" t="s">
        <v>42</v>
      </c>
      <c r="E3877" t="s">
        <v>43</v>
      </c>
      <c r="F3877" t="s">
        <v>47</v>
      </c>
      <c r="G3877" t="s">
        <v>31</v>
      </c>
      <c r="H3877" t="s">
        <v>32</v>
      </c>
      <c r="I3877" s="5">
        <v>630</v>
      </c>
      <c r="J3877" s="5">
        <v>375</v>
      </c>
      <c r="K3877" s="5">
        <v>50</v>
      </c>
      <c r="L3877" s="5">
        <v>14</v>
      </c>
      <c r="M3877" s="5">
        <v>14</v>
      </c>
      <c r="N3877" s="7">
        <v>607.89</v>
      </c>
      <c r="O3877" s="7">
        <f t="shared" si="422"/>
        <v>8510.4599999999991</v>
      </c>
      <c r="P3877" s="4">
        <v>0.11</v>
      </c>
      <c r="Q3877" s="7">
        <f t="shared" si="423"/>
        <v>936.15059999999994</v>
      </c>
      <c r="R3877" s="7">
        <f t="shared" si="424"/>
        <v>7574.3093999999992</v>
      </c>
      <c r="S3877" s="7">
        <f t="shared" si="425"/>
        <v>541.02209999999991</v>
      </c>
      <c r="T3877" s="6">
        <f t="shared" si="426"/>
        <v>2.2222222222222223E-2</v>
      </c>
      <c r="U3877" t="s">
        <v>99</v>
      </c>
      <c r="V3877" t="s">
        <v>29</v>
      </c>
    </row>
    <row r="3878" spans="1:22">
      <c r="A3878" s="3">
        <v>45819</v>
      </c>
      <c r="B3878" t="str">
        <f t="shared" si="420"/>
        <v>yyyy-06</v>
      </c>
      <c r="C3878">
        <f t="shared" si="421"/>
        <v>24</v>
      </c>
      <c r="D3878" t="s">
        <v>42</v>
      </c>
      <c r="E3878" t="s">
        <v>49</v>
      </c>
      <c r="F3878" t="s">
        <v>50</v>
      </c>
      <c r="G3878" t="s">
        <v>31</v>
      </c>
      <c r="H3878" t="s">
        <v>32</v>
      </c>
      <c r="I3878" s="5">
        <v>209</v>
      </c>
      <c r="J3878" s="5">
        <v>130</v>
      </c>
      <c r="K3878" s="5">
        <v>13</v>
      </c>
      <c r="L3878" s="5">
        <v>3</v>
      </c>
      <c r="M3878" s="5">
        <v>3</v>
      </c>
      <c r="N3878" s="7">
        <v>985.35</v>
      </c>
      <c r="O3878" s="7">
        <f t="shared" si="422"/>
        <v>2956.05</v>
      </c>
      <c r="P3878" s="4">
        <v>0</v>
      </c>
      <c r="Q3878" s="7">
        <f t="shared" si="423"/>
        <v>0</v>
      </c>
      <c r="R3878" s="7">
        <f t="shared" si="424"/>
        <v>2956.05</v>
      </c>
      <c r="S3878" s="7">
        <f t="shared" si="425"/>
        <v>985.35</v>
      </c>
      <c r="T3878" s="6">
        <f t="shared" si="426"/>
        <v>1.4354066985645933E-2</v>
      </c>
      <c r="V3878" t="s">
        <v>29</v>
      </c>
    </row>
    <row r="3879" spans="1:22">
      <c r="A3879" s="3">
        <v>45819</v>
      </c>
      <c r="B3879" t="str">
        <f t="shared" si="420"/>
        <v>yyyy-06</v>
      </c>
      <c r="C3879">
        <f t="shared" si="421"/>
        <v>24</v>
      </c>
      <c r="D3879" t="s">
        <v>42</v>
      </c>
      <c r="E3879" t="s">
        <v>51</v>
      </c>
      <c r="F3879" t="s">
        <v>52</v>
      </c>
      <c r="G3879" t="s">
        <v>27</v>
      </c>
      <c r="H3879" t="s">
        <v>48</v>
      </c>
      <c r="I3879" s="5">
        <v>271</v>
      </c>
      <c r="J3879" s="5">
        <v>202</v>
      </c>
      <c r="K3879" s="5">
        <v>11</v>
      </c>
      <c r="L3879" s="5">
        <v>3</v>
      </c>
      <c r="M3879" s="5">
        <v>3</v>
      </c>
      <c r="N3879" s="7">
        <v>578.44000000000005</v>
      </c>
      <c r="O3879" s="7">
        <f t="shared" si="422"/>
        <v>1735.3200000000002</v>
      </c>
      <c r="P3879" s="4">
        <v>0.03</v>
      </c>
      <c r="Q3879" s="7">
        <f t="shared" si="423"/>
        <v>52.059600000000003</v>
      </c>
      <c r="R3879" s="7">
        <f t="shared" si="424"/>
        <v>1683.2604000000001</v>
      </c>
      <c r="S3879" s="7">
        <f t="shared" si="425"/>
        <v>561.08680000000004</v>
      </c>
      <c r="T3879" s="6">
        <f t="shared" si="426"/>
        <v>1.107011070110701E-2</v>
      </c>
      <c r="V3879" t="s">
        <v>29</v>
      </c>
    </row>
    <row r="3880" spans="1:22">
      <c r="A3880" s="3">
        <v>45819</v>
      </c>
      <c r="B3880" t="str">
        <f t="shared" si="420"/>
        <v>yyyy-06</v>
      </c>
      <c r="C3880">
        <f t="shared" si="421"/>
        <v>24</v>
      </c>
      <c r="D3880" t="s">
        <v>53</v>
      </c>
      <c r="E3880" t="s">
        <v>54</v>
      </c>
      <c r="F3880" t="s">
        <v>55</v>
      </c>
      <c r="G3880" t="s">
        <v>36</v>
      </c>
      <c r="H3880" t="s">
        <v>37</v>
      </c>
      <c r="I3880" s="5">
        <v>257</v>
      </c>
      <c r="J3880" s="5">
        <v>205</v>
      </c>
      <c r="K3880" s="5">
        <v>21</v>
      </c>
      <c r="L3880" s="5">
        <v>3</v>
      </c>
      <c r="M3880" s="5">
        <v>3</v>
      </c>
      <c r="N3880" s="7">
        <v>1257.0899999999999</v>
      </c>
      <c r="O3880" s="7">
        <f t="shared" si="422"/>
        <v>3771.2699999999995</v>
      </c>
      <c r="P3880" s="4">
        <v>0</v>
      </c>
      <c r="Q3880" s="7">
        <f t="shared" si="423"/>
        <v>0</v>
      </c>
      <c r="R3880" s="7">
        <f t="shared" si="424"/>
        <v>3771.2699999999995</v>
      </c>
      <c r="S3880" s="7">
        <f t="shared" si="425"/>
        <v>1257.0899999999999</v>
      </c>
      <c r="T3880" s="6">
        <f t="shared" si="426"/>
        <v>1.1673151750972763E-2</v>
      </c>
      <c r="V3880" t="s">
        <v>78</v>
      </c>
    </row>
    <row r="3881" spans="1:22">
      <c r="A3881" s="3">
        <v>45819</v>
      </c>
      <c r="B3881" t="str">
        <f t="shared" si="420"/>
        <v>yyyy-06</v>
      </c>
      <c r="C3881">
        <f t="shared" si="421"/>
        <v>24</v>
      </c>
      <c r="D3881" t="s">
        <v>53</v>
      </c>
      <c r="E3881" t="s">
        <v>56</v>
      </c>
      <c r="F3881" t="s">
        <v>57</v>
      </c>
      <c r="G3881" t="s">
        <v>31</v>
      </c>
      <c r="H3881" t="s">
        <v>32</v>
      </c>
      <c r="I3881" s="5">
        <v>281</v>
      </c>
      <c r="J3881" s="5">
        <v>229</v>
      </c>
      <c r="K3881" s="5">
        <v>12</v>
      </c>
      <c r="L3881" s="5">
        <v>3</v>
      </c>
      <c r="M3881" s="5">
        <v>3</v>
      </c>
      <c r="N3881" s="7">
        <v>739.73</v>
      </c>
      <c r="O3881" s="7">
        <f t="shared" si="422"/>
        <v>2219.19</v>
      </c>
      <c r="P3881" s="4">
        <v>0</v>
      </c>
      <c r="Q3881" s="7">
        <f t="shared" si="423"/>
        <v>0</v>
      </c>
      <c r="R3881" s="7">
        <f t="shared" si="424"/>
        <v>2219.19</v>
      </c>
      <c r="S3881" s="7">
        <f t="shared" si="425"/>
        <v>739.73</v>
      </c>
      <c r="T3881" s="6">
        <f t="shared" si="426"/>
        <v>1.0676156583629894E-2</v>
      </c>
      <c r="V3881" t="s">
        <v>29</v>
      </c>
    </row>
    <row r="3882" spans="1:22">
      <c r="A3882" s="3">
        <v>45819</v>
      </c>
      <c r="B3882" t="str">
        <f t="shared" si="420"/>
        <v>yyyy-06</v>
      </c>
      <c r="C3882">
        <f t="shared" si="421"/>
        <v>24</v>
      </c>
      <c r="D3882" t="s">
        <v>53</v>
      </c>
      <c r="E3882" t="s">
        <v>56</v>
      </c>
      <c r="F3882" t="s">
        <v>58</v>
      </c>
      <c r="G3882" t="s">
        <v>31</v>
      </c>
      <c r="H3882" t="s">
        <v>32</v>
      </c>
      <c r="I3882" s="5">
        <v>405</v>
      </c>
      <c r="J3882" s="5">
        <v>218</v>
      </c>
      <c r="K3882" s="5">
        <v>23</v>
      </c>
      <c r="L3882" s="5">
        <v>6</v>
      </c>
      <c r="M3882" s="5">
        <v>6</v>
      </c>
      <c r="N3882" s="7">
        <v>872.89</v>
      </c>
      <c r="O3882" s="7">
        <f t="shared" si="422"/>
        <v>5237.34</v>
      </c>
      <c r="P3882" s="4">
        <v>0</v>
      </c>
      <c r="Q3882" s="7">
        <f t="shared" si="423"/>
        <v>0</v>
      </c>
      <c r="R3882" s="7">
        <f t="shared" si="424"/>
        <v>5237.34</v>
      </c>
      <c r="S3882" s="7">
        <f t="shared" si="425"/>
        <v>872.89</v>
      </c>
      <c r="T3882" s="6">
        <f t="shared" si="426"/>
        <v>1.4814814814814815E-2</v>
      </c>
      <c r="V3882" t="s">
        <v>29</v>
      </c>
    </row>
    <row r="3883" spans="1:22">
      <c r="A3883" s="3">
        <v>45819</v>
      </c>
      <c r="B3883" t="str">
        <f t="shared" si="420"/>
        <v>yyyy-06</v>
      </c>
      <c r="C3883">
        <f t="shared" si="421"/>
        <v>24</v>
      </c>
      <c r="D3883" t="s">
        <v>53</v>
      </c>
      <c r="E3883" t="s">
        <v>59</v>
      </c>
      <c r="F3883" t="s">
        <v>60</v>
      </c>
      <c r="G3883" t="s">
        <v>36</v>
      </c>
      <c r="H3883" t="s">
        <v>37</v>
      </c>
      <c r="I3883" s="5">
        <v>196</v>
      </c>
      <c r="J3883" s="5">
        <v>132</v>
      </c>
      <c r="K3883" s="5">
        <v>7</v>
      </c>
      <c r="L3883" s="5">
        <v>2</v>
      </c>
      <c r="M3883" s="5">
        <v>2</v>
      </c>
      <c r="N3883" s="7">
        <v>696.53</v>
      </c>
      <c r="O3883" s="7">
        <f t="shared" si="422"/>
        <v>1393.06</v>
      </c>
      <c r="P3883" s="4">
        <v>0.03</v>
      </c>
      <c r="Q3883" s="7">
        <f t="shared" si="423"/>
        <v>41.791799999999995</v>
      </c>
      <c r="R3883" s="7">
        <f t="shared" si="424"/>
        <v>1351.2682</v>
      </c>
      <c r="S3883" s="7">
        <f t="shared" si="425"/>
        <v>675.63409999999999</v>
      </c>
      <c r="T3883" s="6">
        <f t="shared" si="426"/>
        <v>1.020408163265306E-2</v>
      </c>
      <c r="V3883" t="s">
        <v>29</v>
      </c>
    </row>
    <row r="3884" spans="1:22">
      <c r="A3884" s="3">
        <v>45819</v>
      </c>
      <c r="B3884" t="str">
        <f t="shared" si="420"/>
        <v>yyyy-06</v>
      </c>
      <c r="C3884">
        <f t="shared" si="421"/>
        <v>24</v>
      </c>
      <c r="D3884" t="s">
        <v>53</v>
      </c>
      <c r="E3884" t="s">
        <v>61</v>
      </c>
      <c r="F3884" t="s">
        <v>62</v>
      </c>
      <c r="G3884" t="s">
        <v>27</v>
      </c>
      <c r="H3884" t="s">
        <v>63</v>
      </c>
      <c r="I3884" s="5">
        <v>116</v>
      </c>
      <c r="J3884" s="5">
        <v>72</v>
      </c>
      <c r="K3884" s="5">
        <v>4</v>
      </c>
      <c r="L3884" s="5">
        <v>1</v>
      </c>
      <c r="M3884" s="5">
        <v>1</v>
      </c>
      <c r="N3884" s="7">
        <v>500</v>
      </c>
      <c r="O3884" s="7">
        <f t="shared" si="422"/>
        <v>500</v>
      </c>
      <c r="P3884" s="4">
        <v>0</v>
      </c>
      <c r="Q3884" s="7">
        <f t="shared" si="423"/>
        <v>0</v>
      </c>
      <c r="R3884" s="7">
        <f t="shared" si="424"/>
        <v>500</v>
      </c>
      <c r="S3884" s="7">
        <f t="shared" si="425"/>
        <v>500</v>
      </c>
      <c r="T3884" s="6">
        <f t="shared" si="426"/>
        <v>8.6206896551724137E-3</v>
      </c>
      <c r="V3884" t="s">
        <v>29</v>
      </c>
    </row>
    <row r="3885" spans="1:22">
      <c r="A3885" s="3">
        <v>45819</v>
      </c>
      <c r="B3885" t="str">
        <f t="shared" si="420"/>
        <v>yyyy-06</v>
      </c>
      <c r="C3885">
        <f t="shared" si="421"/>
        <v>24</v>
      </c>
      <c r="D3885" t="s">
        <v>53</v>
      </c>
      <c r="E3885" t="s">
        <v>64</v>
      </c>
      <c r="F3885" t="s">
        <v>65</v>
      </c>
      <c r="G3885" t="s">
        <v>36</v>
      </c>
      <c r="H3885" t="s">
        <v>37</v>
      </c>
      <c r="I3885" s="5">
        <v>202</v>
      </c>
      <c r="J3885" s="5">
        <v>117</v>
      </c>
      <c r="K3885" s="5">
        <v>12</v>
      </c>
      <c r="L3885" s="5">
        <v>2</v>
      </c>
      <c r="M3885" s="5">
        <v>2</v>
      </c>
      <c r="N3885" s="7">
        <v>780.76</v>
      </c>
      <c r="O3885" s="7">
        <f t="shared" si="422"/>
        <v>1561.52</v>
      </c>
      <c r="P3885" s="4">
        <v>0.03</v>
      </c>
      <c r="Q3885" s="7">
        <f t="shared" si="423"/>
        <v>46.845599999999997</v>
      </c>
      <c r="R3885" s="7">
        <f t="shared" si="424"/>
        <v>1514.6743999999999</v>
      </c>
      <c r="S3885" s="7">
        <f t="shared" si="425"/>
        <v>757.33719999999994</v>
      </c>
      <c r="T3885" s="6">
        <f t="shared" si="426"/>
        <v>9.9009900990099011E-3</v>
      </c>
      <c r="V3885" t="s">
        <v>29</v>
      </c>
    </row>
    <row r="3886" spans="1:22">
      <c r="A3886" s="3">
        <v>45819</v>
      </c>
      <c r="B3886" t="str">
        <f t="shared" si="420"/>
        <v>yyyy-06</v>
      </c>
      <c r="C3886">
        <f t="shared" si="421"/>
        <v>24</v>
      </c>
      <c r="D3886" t="s">
        <v>66</v>
      </c>
      <c r="E3886" t="s">
        <v>67</v>
      </c>
      <c r="F3886" t="s">
        <v>68</v>
      </c>
      <c r="G3886" t="s">
        <v>36</v>
      </c>
      <c r="H3886" t="s">
        <v>37</v>
      </c>
      <c r="I3886" s="5">
        <v>454</v>
      </c>
      <c r="J3886" s="5">
        <v>271</v>
      </c>
      <c r="K3886" s="5">
        <v>27</v>
      </c>
      <c r="L3886" s="5">
        <v>9</v>
      </c>
      <c r="M3886" s="5">
        <v>9</v>
      </c>
      <c r="N3886" s="7">
        <v>704.43</v>
      </c>
      <c r="O3886" s="7">
        <f t="shared" si="422"/>
        <v>6339.87</v>
      </c>
      <c r="P3886" s="4">
        <v>0</v>
      </c>
      <c r="Q3886" s="7">
        <f t="shared" si="423"/>
        <v>0</v>
      </c>
      <c r="R3886" s="7">
        <f t="shared" si="424"/>
        <v>6339.87</v>
      </c>
      <c r="S3886" s="7">
        <f t="shared" si="425"/>
        <v>704.43</v>
      </c>
      <c r="T3886" s="6">
        <f t="shared" si="426"/>
        <v>1.9823788546255508E-2</v>
      </c>
      <c r="V3886" t="s">
        <v>29</v>
      </c>
    </row>
    <row r="3887" spans="1:22">
      <c r="A3887" s="3">
        <v>45819</v>
      </c>
      <c r="B3887" t="str">
        <f t="shared" si="420"/>
        <v>yyyy-06</v>
      </c>
      <c r="C3887">
        <f t="shared" si="421"/>
        <v>24</v>
      </c>
      <c r="D3887" t="s">
        <v>66</v>
      </c>
      <c r="E3887" t="s">
        <v>67</v>
      </c>
      <c r="F3887" t="s">
        <v>69</v>
      </c>
      <c r="G3887" t="s">
        <v>36</v>
      </c>
      <c r="H3887" t="s">
        <v>37</v>
      </c>
      <c r="I3887" s="5">
        <v>554</v>
      </c>
      <c r="J3887" s="5">
        <v>359</v>
      </c>
      <c r="K3887" s="5">
        <v>42</v>
      </c>
      <c r="L3887" s="5">
        <v>10</v>
      </c>
      <c r="M3887" s="5">
        <v>10</v>
      </c>
      <c r="N3887" s="7">
        <v>394.37</v>
      </c>
      <c r="O3887" s="7">
        <f t="shared" si="422"/>
        <v>3943.7</v>
      </c>
      <c r="P3887" s="4">
        <v>0.05</v>
      </c>
      <c r="Q3887" s="7">
        <f t="shared" si="423"/>
        <v>197.185</v>
      </c>
      <c r="R3887" s="7">
        <f t="shared" si="424"/>
        <v>3746.5149999999999</v>
      </c>
      <c r="S3887" s="7">
        <f t="shared" si="425"/>
        <v>374.6515</v>
      </c>
      <c r="T3887" s="6">
        <f t="shared" si="426"/>
        <v>1.8050541516245487E-2</v>
      </c>
      <c r="V3887" t="s">
        <v>29</v>
      </c>
    </row>
    <row r="3888" spans="1:22">
      <c r="A3888" s="3">
        <v>45819</v>
      </c>
      <c r="B3888" t="str">
        <f t="shared" si="420"/>
        <v>yyyy-06</v>
      </c>
      <c r="C3888">
        <f t="shared" si="421"/>
        <v>24</v>
      </c>
      <c r="D3888" t="s">
        <v>66</v>
      </c>
      <c r="E3888" t="s">
        <v>67</v>
      </c>
      <c r="F3888" t="s">
        <v>70</v>
      </c>
      <c r="G3888" t="s">
        <v>36</v>
      </c>
      <c r="H3888" t="s">
        <v>37</v>
      </c>
      <c r="I3888" s="5">
        <v>508</v>
      </c>
      <c r="J3888" s="5">
        <v>399</v>
      </c>
      <c r="K3888" s="5">
        <v>53</v>
      </c>
      <c r="L3888" s="5">
        <v>11</v>
      </c>
      <c r="M3888" s="5">
        <v>11</v>
      </c>
      <c r="N3888" s="7">
        <v>336.22</v>
      </c>
      <c r="O3888" s="7">
        <f t="shared" si="422"/>
        <v>3698.42</v>
      </c>
      <c r="P3888" s="4">
        <v>0</v>
      </c>
      <c r="Q3888" s="7">
        <f t="shared" si="423"/>
        <v>0</v>
      </c>
      <c r="R3888" s="7">
        <f t="shared" si="424"/>
        <v>3698.42</v>
      </c>
      <c r="S3888" s="7">
        <f t="shared" si="425"/>
        <v>336.22</v>
      </c>
      <c r="T3888" s="6">
        <f t="shared" si="426"/>
        <v>2.1653543307086614E-2</v>
      </c>
      <c r="V3888" t="s">
        <v>29</v>
      </c>
    </row>
    <row r="3889" spans="1:22">
      <c r="A3889" s="3">
        <v>45819</v>
      </c>
      <c r="B3889" t="str">
        <f t="shared" si="420"/>
        <v>yyyy-06</v>
      </c>
      <c r="C3889">
        <f t="shared" si="421"/>
        <v>24</v>
      </c>
      <c r="D3889" t="s">
        <v>66</v>
      </c>
      <c r="E3889" t="s">
        <v>71</v>
      </c>
      <c r="F3889" t="s">
        <v>72</v>
      </c>
      <c r="G3889" t="s">
        <v>31</v>
      </c>
      <c r="H3889" t="s">
        <v>32</v>
      </c>
      <c r="I3889" s="5">
        <v>440</v>
      </c>
      <c r="J3889" s="5">
        <v>264</v>
      </c>
      <c r="K3889" s="5">
        <v>23</v>
      </c>
      <c r="L3889" s="5">
        <v>10</v>
      </c>
      <c r="M3889" s="5">
        <v>11</v>
      </c>
      <c r="N3889" s="7">
        <v>130.66999999999999</v>
      </c>
      <c r="O3889" s="7">
        <f t="shared" si="422"/>
        <v>1437.37</v>
      </c>
      <c r="P3889" s="4">
        <v>0</v>
      </c>
      <c r="Q3889" s="7">
        <f t="shared" si="423"/>
        <v>0</v>
      </c>
      <c r="R3889" s="7">
        <f t="shared" si="424"/>
        <v>1437.37</v>
      </c>
      <c r="S3889" s="7">
        <f t="shared" si="425"/>
        <v>143.73699999999999</v>
      </c>
      <c r="T3889" s="6">
        <f t="shared" si="426"/>
        <v>2.2727272727272728E-2</v>
      </c>
      <c r="V3889" t="s">
        <v>29</v>
      </c>
    </row>
    <row r="3890" spans="1:22">
      <c r="A3890" s="3">
        <v>45819</v>
      </c>
      <c r="B3890" t="str">
        <f t="shared" si="420"/>
        <v>yyyy-06</v>
      </c>
      <c r="C3890">
        <f t="shared" si="421"/>
        <v>24</v>
      </c>
      <c r="D3890" t="s">
        <v>66</v>
      </c>
      <c r="E3890" t="s">
        <v>73</v>
      </c>
      <c r="F3890" t="s">
        <v>74</v>
      </c>
      <c r="G3890" t="s">
        <v>27</v>
      </c>
      <c r="H3890" t="s">
        <v>63</v>
      </c>
      <c r="I3890" s="5">
        <v>181</v>
      </c>
      <c r="J3890" s="5">
        <v>117</v>
      </c>
      <c r="K3890" s="5">
        <v>13</v>
      </c>
      <c r="L3890" s="5">
        <v>3</v>
      </c>
      <c r="M3890" s="5">
        <v>3</v>
      </c>
      <c r="N3890" s="7">
        <v>1181.23</v>
      </c>
      <c r="O3890" s="7">
        <f t="shared" si="422"/>
        <v>3543.69</v>
      </c>
      <c r="P3890" s="4">
        <v>0</v>
      </c>
      <c r="Q3890" s="7">
        <f t="shared" si="423"/>
        <v>0</v>
      </c>
      <c r="R3890" s="7">
        <f t="shared" si="424"/>
        <v>3543.69</v>
      </c>
      <c r="S3890" s="7">
        <f t="shared" si="425"/>
        <v>1181.23</v>
      </c>
      <c r="T3890" s="6">
        <f t="shared" si="426"/>
        <v>1.6574585635359115E-2</v>
      </c>
      <c r="V3890" t="s">
        <v>29</v>
      </c>
    </row>
    <row r="3891" spans="1:22">
      <c r="A3891" s="3">
        <v>45819</v>
      </c>
      <c r="B3891" t="str">
        <f t="shared" si="420"/>
        <v>yyyy-06</v>
      </c>
      <c r="C3891">
        <f t="shared" si="421"/>
        <v>24</v>
      </c>
      <c r="D3891" t="s">
        <v>66</v>
      </c>
      <c r="E3891" t="s">
        <v>71</v>
      </c>
      <c r="F3891" t="s">
        <v>75</v>
      </c>
      <c r="G3891" t="s">
        <v>27</v>
      </c>
      <c r="H3891" t="s">
        <v>48</v>
      </c>
      <c r="I3891" s="5">
        <v>325</v>
      </c>
      <c r="J3891" s="5">
        <v>205</v>
      </c>
      <c r="K3891" s="5">
        <v>23</v>
      </c>
      <c r="L3891" s="5">
        <v>7</v>
      </c>
      <c r="M3891" s="5">
        <v>9</v>
      </c>
      <c r="N3891" s="7">
        <v>38.159999999999997</v>
      </c>
      <c r="O3891" s="7">
        <f t="shared" si="422"/>
        <v>343.43999999999994</v>
      </c>
      <c r="P3891" s="4">
        <v>0</v>
      </c>
      <c r="Q3891" s="7">
        <f t="shared" si="423"/>
        <v>0</v>
      </c>
      <c r="R3891" s="7">
        <f t="shared" si="424"/>
        <v>343.43999999999994</v>
      </c>
      <c r="S3891" s="7">
        <f t="shared" si="425"/>
        <v>49.062857142857133</v>
      </c>
      <c r="T3891" s="6">
        <f t="shared" si="426"/>
        <v>2.1538461538461538E-2</v>
      </c>
      <c r="V3891" t="s">
        <v>29</v>
      </c>
    </row>
    <row r="3892" spans="1:22">
      <c r="A3892" s="3">
        <v>45819</v>
      </c>
      <c r="B3892" t="str">
        <f t="shared" si="420"/>
        <v>yyyy-06</v>
      </c>
      <c r="C3892">
        <f t="shared" si="421"/>
        <v>24</v>
      </c>
      <c r="D3892" t="s">
        <v>24</v>
      </c>
      <c r="E3892" t="s">
        <v>76</v>
      </c>
      <c r="F3892" t="s">
        <v>77</v>
      </c>
      <c r="G3892" t="s">
        <v>36</v>
      </c>
      <c r="H3892" t="s">
        <v>37</v>
      </c>
      <c r="I3892" s="5">
        <v>713</v>
      </c>
      <c r="J3892" s="5">
        <v>389</v>
      </c>
      <c r="K3892" s="5">
        <v>43</v>
      </c>
      <c r="L3892" s="5">
        <v>12</v>
      </c>
      <c r="M3892" s="5">
        <v>14</v>
      </c>
      <c r="N3892" s="7">
        <v>202.88</v>
      </c>
      <c r="O3892" s="7">
        <f t="shared" si="422"/>
        <v>2840.3199999999997</v>
      </c>
      <c r="P3892" s="4">
        <v>0</v>
      </c>
      <c r="Q3892" s="7">
        <f t="shared" si="423"/>
        <v>0</v>
      </c>
      <c r="R3892" s="7">
        <f t="shared" si="424"/>
        <v>2840.3199999999997</v>
      </c>
      <c r="S3892" s="7">
        <f t="shared" si="425"/>
        <v>236.6933333333333</v>
      </c>
      <c r="T3892" s="6">
        <f t="shared" si="426"/>
        <v>1.6830294530154277E-2</v>
      </c>
      <c r="V3892" t="s">
        <v>29</v>
      </c>
    </row>
    <row r="3893" spans="1:22">
      <c r="A3893" s="3">
        <v>45820</v>
      </c>
      <c r="B3893" t="str">
        <f t="shared" si="420"/>
        <v>yyyy-06</v>
      </c>
      <c r="C3893">
        <f t="shared" si="421"/>
        <v>24</v>
      </c>
      <c r="D3893" t="s">
        <v>24</v>
      </c>
      <c r="E3893" t="s">
        <v>25</v>
      </c>
      <c r="F3893" t="s">
        <v>26</v>
      </c>
      <c r="G3893" t="s">
        <v>36</v>
      </c>
      <c r="H3893" t="s">
        <v>37</v>
      </c>
      <c r="I3893" s="5">
        <v>1912</v>
      </c>
      <c r="J3893" s="5">
        <v>1322</v>
      </c>
      <c r="K3893" s="5">
        <v>119</v>
      </c>
      <c r="L3893" s="5">
        <v>44</v>
      </c>
      <c r="M3893" s="5">
        <v>44</v>
      </c>
      <c r="N3893" s="7">
        <v>977.04</v>
      </c>
      <c r="O3893" s="7">
        <f t="shared" si="422"/>
        <v>42989.759999999995</v>
      </c>
      <c r="P3893" s="4">
        <v>0.05</v>
      </c>
      <c r="Q3893" s="7">
        <f t="shared" si="423"/>
        <v>2149.4879999999998</v>
      </c>
      <c r="R3893" s="7">
        <f t="shared" si="424"/>
        <v>40840.271999999997</v>
      </c>
      <c r="S3893" s="7">
        <f t="shared" si="425"/>
        <v>928.18799999999999</v>
      </c>
      <c r="T3893" s="6">
        <f t="shared" si="426"/>
        <v>2.3012552301255231E-2</v>
      </c>
      <c r="V3893" t="s">
        <v>29</v>
      </c>
    </row>
    <row r="3894" spans="1:22">
      <c r="A3894" s="3">
        <v>45820</v>
      </c>
      <c r="B3894" t="str">
        <f t="shared" si="420"/>
        <v>yyyy-06</v>
      </c>
      <c r="C3894">
        <f t="shared" si="421"/>
        <v>24</v>
      </c>
      <c r="D3894" t="s">
        <v>24</v>
      </c>
      <c r="E3894" t="s">
        <v>25</v>
      </c>
      <c r="F3894" t="s">
        <v>30</v>
      </c>
      <c r="G3894" t="s">
        <v>31</v>
      </c>
      <c r="H3894" t="s">
        <v>32</v>
      </c>
      <c r="I3894" s="5">
        <v>1939</v>
      </c>
      <c r="J3894" s="5">
        <v>1053</v>
      </c>
      <c r="K3894" s="5">
        <v>119</v>
      </c>
      <c r="L3894" s="5">
        <v>42</v>
      </c>
      <c r="M3894" s="5">
        <v>42</v>
      </c>
      <c r="N3894" s="7">
        <v>389.58</v>
      </c>
      <c r="O3894" s="7">
        <f t="shared" si="422"/>
        <v>16362.359999999999</v>
      </c>
      <c r="P3894" s="4">
        <v>0</v>
      </c>
      <c r="Q3894" s="7">
        <f t="shared" si="423"/>
        <v>0</v>
      </c>
      <c r="R3894" s="7">
        <f t="shared" si="424"/>
        <v>16362.359999999999</v>
      </c>
      <c r="S3894" s="7">
        <f t="shared" si="425"/>
        <v>389.58</v>
      </c>
      <c r="T3894" s="6">
        <f t="shared" si="426"/>
        <v>2.1660649819494584E-2</v>
      </c>
      <c r="V3894" t="s">
        <v>29</v>
      </c>
    </row>
    <row r="3895" spans="1:22">
      <c r="A3895" s="3">
        <v>45820</v>
      </c>
      <c r="B3895" t="str">
        <f t="shared" si="420"/>
        <v>yyyy-06</v>
      </c>
      <c r="C3895">
        <f t="shared" si="421"/>
        <v>24</v>
      </c>
      <c r="D3895" t="s">
        <v>24</v>
      </c>
      <c r="E3895" t="s">
        <v>25</v>
      </c>
      <c r="F3895" t="s">
        <v>33</v>
      </c>
      <c r="G3895" t="s">
        <v>27</v>
      </c>
      <c r="H3895" t="s">
        <v>28</v>
      </c>
      <c r="I3895" s="5">
        <v>1732</v>
      </c>
      <c r="J3895" s="5">
        <v>996</v>
      </c>
      <c r="K3895" s="5">
        <v>130</v>
      </c>
      <c r="L3895" s="5">
        <v>37</v>
      </c>
      <c r="M3895" s="5">
        <v>37</v>
      </c>
      <c r="N3895" s="7">
        <v>1754.37</v>
      </c>
      <c r="O3895" s="7">
        <f t="shared" si="422"/>
        <v>64911.689999999995</v>
      </c>
      <c r="P3895" s="4">
        <v>0.03</v>
      </c>
      <c r="Q3895" s="7">
        <f t="shared" si="423"/>
        <v>1947.3506999999997</v>
      </c>
      <c r="R3895" s="7">
        <f t="shared" si="424"/>
        <v>62964.339299999992</v>
      </c>
      <c r="S3895" s="7">
        <f t="shared" si="425"/>
        <v>1701.7388999999998</v>
      </c>
      <c r="T3895" s="6">
        <f t="shared" si="426"/>
        <v>2.1362586605080832E-2</v>
      </c>
      <c r="V3895" t="s">
        <v>29</v>
      </c>
    </row>
    <row r="3896" spans="1:22">
      <c r="A3896" s="3">
        <v>45820</v>
      </c>
      <c r="B3896" t="str">
        <f t="shared" si="420"/>
        <v>yyyy-06</v>
      </c>
      <c r="C3896">
        <f t="shared" si="421"/>
        <v>24</v>
      </c>
      <c r="D3896" t="s">
        <v>24</v>
      </c>
      <c r="E3896" t="s">
        <v>34</v>
      </c>
      <c r="F3896" t="s">
        <v>35</v>
      </c>
      <c r="G3896" t="s">
        <v>27</v>
      </c>
      <c r="H3896" t="s">
        <v>45</v>
      </c>
      <c r="I3896" s="5">
        <v>1142</v>
      </c>
      <c r="J3896" s="5">
        <v>915</v>
      </c>
      <c r="K3896" s="5">
        <v>116</v>
      </c>
      <c r="L3896" s="5">
        <v>25</v>
      </c>
      <c r="M3896" s="5">
        <v>25</v>
      </c>
      <c r="N3896" s="7">
        <v>897.84</v>
      </c>
      <c r="O3896" s="7">
        <f t="shared" si="422"/>
        <v>22446</v>
      </c>
      <c r="P3896" s="4">
        <v>0</v>
      </c>
      <c r="Q3896" s="7">
        <f t="shared" si="423"/>
        <v>0</v>
      </c>
      <c r="R3896" s="7">
        <f t="shared" si="424"/>
        <v>22446</v>
      </c>
      <c r="S3896" s="7">
        <f t="shared" si="425"/>
        <v>897.84</v>
      </c>
      <c r="T3896" s="6">
        <f t="shared" si="426"/>
        <v>2.1891418563922942E-2</v>
      </c>
      <c r="V3896" t="s">
        <v>29</v>
      </c>
    </row>
    <row r="3897" spans="1:22">
      <c r="A3897" s="3">
        <v>45820</v>
      </c>
      <c r="B3897" t="str">
        <f t="shared" si="420"/>
        <v>yyyy-06</v>
      </c>
      <c r="C3897">
        <f t="shared" si="421"/>
        <v>24</v>
      </c>
      <c r="D3897" t="s">
        <v>24</v>
      </c>
      <c r="E3897" t="s">
        <v>38</v>
      </c>
      <c r="F3897" t="s">
        <v>39</v>
      </c>
      <c r="G3897" t="s">
        <v>27</v>
      </c>
      <c r="H3897" t="s">
        <v>45</v>
      </c>
      <c r="I3897" s="5">
        <v>977</v>
      </c>
      <c r="J3897" s="5">
        <v>753</v>
      </c>
      <c r="K3897" s="5">
        <v>84</v>
      </c>
      <c r="L3897" s="5">
        <v>17</v>
      </c>
      <c r="M3897" s="5">
        <v>17</v>
      </c>
      <c r="N3897" s="7">
        <v>331.57</v>
      </c>
      <c r="O3897" s="7">
        <f t="shared" si="422"/>
        <v>5636.69</v>
      </c>
      <c r="P3897" s="4">
        <v>0</v>
      </c>
      <c r="Q3897" s="7">
        <f t="shared" si="423"/>
        <v>0</v>
      </c>
      <c r="R3897" s="7">
        <f t="shared" si="424"/>
        <v>5636.69</v>
      </c>
      <c r="S3897" s="7">
        <f t="shared" si="425"/>
        <v>331.57</v>
      </c>
      <c r="T3897" s="6">
        <f t="shared" si="426"/>
        <v>1.7400204708290685E-2</v>
      </c>
      <c r="V3897" t="s">
        <v>29</v>
      </c>
    </row>
    <row r="3898" spans="1:22">
      <c r="A3898" s="3">
        <v>45820</v>
      </c>
      <c r="B3898" t="str">
        <f t="shared" si="420"/>
        <v>yyyy-06</v>
      </c>
      <c r="C3898">
        <f t="shared" si="421"/>
        <v>24</v>
      </c>
      <c r="D3898" t="s">
        <v>24</v>
      </c>
      <c r="E3898" t="s">
        <v>40</v>
      </c>
      <c r="F3898" t="s">
        <v>41</v>
      </c>
      <c r="G3898" t="s">
        <v>31</v>
      </c>
      <c r="H3898" t="s">
        <v>32</v>
      </c>
      <c r="I3898" s="5">
        <v>966</v>
      </c>
      <c r="J3898" s="5">
        <v>672</v>
      </c>
      <c r="K3898" s="5">
        <v>113</v>
      </c>
      <c r="L3898" s="5">
        <v>24</v>
      </c>
      <c r="M3898" s="5">
        <v>32</v>
      </c>
      <c r="N3898" s="7">
        <v>180.57</v>
      </c>
      <c r="O3898" s="7">
        <f t="shared" si="422"/>
        <v>5778.24</v>
      </c>
      <c r="P3898" s="4">
        <v>0</v>
      </c>
      <c r="Q3898" s="7">
        <f t="shared" si="423"/>
        <v>0</v>
      </c>
      <c r="R3898" s="7">
        <f t="shared" si="424"/>
        <v>5778.24</v>
      </c>
      <c r="S3898" s="7">
        <f t="shared" si="425"/>
        <v>240.76</v>
      </c>
      <c r="T3898" s="6">
        <f t="shared" si="426"/>
        <v>2.4844720496894408E-2</v>
      </c>
      <c r="V3898" t="s">
        <v>29</v>
      </c>
    </row>
    <row r="3899" spans="1:22">
      <c r="A3899" s="3">
        <v>45820</v>
      </c>
      <c r="B3899" t="str">
        <f t="shared" si="420"/>
        <v>yyyy-06</v>
      </c>
      <c r="C3899">
        <f t="shared" si="421"/>
        <v>24</v>
      </c>
      <c r="D3899" t="s">
        <v>42</v>
      </c>
      <c r="E3899" t="s">
        <v>43</v>
      </c>
      <c r="F3899" t="s">
        <v>44</v>
      </c>
      <c r="G3899" t="s">
        <v>27</v>
      </c>
      <c r="H3899" t="s">
        <v>28</v>
      </c>
      <c r="I3899" s="5">
        <v>544</v>
      </c>
      <c r="J3899" s="5">
        <v>287</v>
      </c>
      <c r="K3899" s="5">
        <v>24</v>
      </c>
      <c r="L3899" s="5">
        <v>10</v>
      </c>
      <c r="M3899" s="5">
        <v>10</v>
      </c>
      <c r="N3899" s="7">
        <v>1270.4100000000001</v>
      </c>
      <c r="O3899" s="7">
        <f t="shared" si="422"/>
        <v>12704.1</v>
      </c>
      <c r="P3899" s="4">
        <v>0.11</v>
      </c>
      <c r="Q3899" s="7">
        <f t="shared" si="423"/>
        <v>1397.451</v>
      </c>
      <c r="R3899" s="7">
        <f t="shared" si="424"/>
        <v>11306.649000000001</v>
      </c>
      <c r="S3899" s="7">
        <f t="shared" si="425"/>
        <v>1130.6649000000002</v>
      </c>
      <c r="T3899" s="6">
        <f t="shared" si="426"/>
        <v>1.8382352941176471E-2</v>
      </c>
      <c r="U3899" t="s">
        <v>99</v>
      </c>
      <c r="V3899" t="s">
        <v>29</v>
      </c>
    </row>
    <row r="3900" spans="1:22">
      <c r="A3900" s="3">
        <v>45820</v>
      </c>
      <c r="B3900" t="str">
        <f t="shared" si="420"/>
        <v>yyyy-06</v>
      </c>
      <c r="C3900">
        <f t="shared" si="421"/>
        <v>24</v>
      </c>
      <c r="D3900" t="s">
        <v>42</v>
      </c>
      <c r="E3900" t="s">
        <v>43</v>
      </c>
      <c r="F3900" t="s">
        <v>46</v>
      </c>
      <c r="G3900" t="s">
        <v>27</v>
      </c>
      <c r="H3900" t="s">
        <v>63</v>
      </c>
      <c r="I3900" s="5">
        <v>192</v>
      </c>
      <c r="J3900" s="5">
        <v>131</v>
      </c>
      <c r="K3900" s="5">
        <v>20</v>
      </c>
      <c r="L3900" s="5">
        <v>4</v>
      </c>
      <c r="M3900" s="5">
        <v>4</v>
      </c>
      <c r="N3900" s="7">
        <v>2151.75</v>
      </c>
      <c r="O3900" s="7">
        <f t="shared" si="422"/>
        <v>8607</v>
      </c>
      <c r="P3900" s="4">
        <v>0.11</v>
      </c>
      <c r="Q3900" s="7">
        <f t="shared" si="423"/>
        <v>946.77</v>
      </c>
      <c r="R3900" s="7">
        <f t="shared" si="424"/>
        <v>7660.23</v>
      </c>
      <c r="S3900" s="7">
        <f t="shared" si="425"/>
        <v>1915.0574999999999</v>
      </c>
      <c r="T3900" s="6">
        <f t="shared" si="426"/>
        <v>2.0833333333333332E-2</v>
      </c>
      <c r="U3900" t="s">
        <v>99</v>
      </c>
      <c r="V3900" t="s">
        <v>29</v>
      </c>
    </row>
    <row r="3901" spans="1:22">
      <c r="A3901" s="3">
        <v>45820</v>
      </c>
      <c r="B3901" t="str">
        <f t="shared" si="420"/>
        <v>yyyy-06</v>
      </c>
      <c r="C3901">
        <f t="shared" si="421"/>
        <v>24</v>
      </c>
      <c r="D3901" t="s">
        <v>42</v>
      </c>
      <c r="E3901" t="s">
        <v>43</v>
      </c>
      <c r="F3901" t="s">
        <v>47</v>
      </c>
      <c r="G3901" t="s">
        <v>27</v>
      </c>
      <c r="H3901" t="s">
        <v>45</v>
      </c>
      <c r="I3901" s="5">
        <v>395</v>
      </c>
      <c r="J3901" s="5">
        <v>282</v>
      </c>
      <c r="K3901" s="5">
        <v>28</v>
      </c>
      <c r="L3901" s="5">
        <v>5</v>
      </c>
      <c r="M3901" s="5">
        <v>5</v>
      </c>
      <c r="N3901" s="7">
        <v>589.03</v>
      </c>
      <c r="O3901" s="7">
        <f t="shared" si="422"/>
        <v>2945.1499999999996</v>
      </c>
      <c r="P3901" s="4">
        <v>0.11</v>
      </c>
      <c r="Q3901" s="7">
        <f t="shared" si="423"/>
        <v>323.96649999999994</v>
      </c>
      <c r="R3901" s="7">
        <f t="shared" si="424"/>
        <v>2621.1834999999996</v>
      </c>
      <c r="S3901" s="7">
        <f t="shared" si="425"/>
        <v>524.23669999999993</v>
      </c>
      <c r="T3901" s="6">
        <f t="shared" si="426"/>
        <v>1.2658227848101266E-2</v>
      </c>
      <c r="U3901" t="s">
        <v>99</v>
      </c>
      <c r="V3901" t="s">
        <v>29</v>
      </c>
    </row>
    <row r="3902" spans="1:22">
      <c r="A3902" s="3">
        <v>45820</v>
      </c>
      <c r="B3902" t="str">
        <f t="shared" si="420"/>
        <v>yyyy-06</v>
      </c>
      <c r="C3902">
        <f t="shared" si="421"/>
        <v>24</v>
      </c>
      <c r="D3902" t="s">
        <v>42</v>
      </c>
      <c r="E3902" t="s">
        <v>49</v>
      </c>
      <c r="F3902" t="s">
        <v>50</v>
      </c>
      <c r="G3902" t="s">
        <v>27</v>
      </c>
      <c r="H3902" t="s">
        <v>45</v>
      </c>
      <c r="I3902" s="5">
        <v>120</v>
      </c>
      <c r="J3902" s="5">
        <v>84</v>
      </c>
      <c r="K3902" s="5">
        <v>9</v>
      </c>
      <c r="L3902" s="5">
        <v>2</v>
      </c>
      <c r="M3902" s="5">
        <v>2</v>
      </c>
      <c r="N3902" s="7">
        <v>995.43</v>
      </c>
      <c r="O3902" s="7">
        <f t="shared" si="422"/>
        <v>1990.86</v>
      </c>
      <c r="P3902" s="4">
        <v>0</v>
      </c>
      <c r="Q3902" s="7">
        <f t="shared" si="423"/>
        <v>0</v>
      </c>
      <c r="R3902" s="7">
        <f t="shared" si="424"/>
        <v>1990.86</v>
      </c>
      <c r="S3902" s="7">
        <f t="shared" si="425"/>
        <v>995.43</v>
      </c>
      <c r="T3902" s="6">
        <f t="shared" si="426"/>
        <v>1.6666666666666666E-2</v>
      </c>
      <c r="V3902" t="s">
        <v>29</v>
      </c>
    </row>
    <row r="3903" spans="1:22">
      <c r="A3903" s="3">
        <v>45820</v>
      </c>
      <c r="B3903" t="str">
        <f t="shared" si="420"/>
        <v>yyyy-06</v>
      </c>
      <c r="C3903">
        <f t="shared" si="421"/>
        <v>24</v>
      </c>
      <c r="D3903" t="s">
        <v>42</v>
      </c>
      <c r="E3903" t="s">
        <v>51</v>
      </c>
      <c r="F3903" t="s">
        <v>52</v>
      </c>
      <c r="G3903" t="s">
        <v>27</v>
      </c>
      <c r="H3903" t="s">
        <v>48</v>
      </c>
      <c r="I3903" s="5">
        <v>252</v>
      </c>
      <c r="J3903" s="5">
        <v>169</v>
      </c>
      <c r="K3903" s="5">
        <v>19</v>
      </c>
      <c r="L3903" s="5">
        <v>5</v>
      </c>
      <c r="M3903" s="5">
        <v>5</v>
      </c>
      <c r="N3903" s="7">
        <v>575.36</v>
      </c>
      <c r="O3903" s="7">
        <f t="shared" si="422"/>
        <v>2876.8</v>
      </c>
      <c r="P3903" s="4">
        <v>0</v>
      </c>
      <c r="Q3903" s="7">
        <f t="shared" si="423"/>
        <v>0</v>
      </c>
      <c r="R3903" s="7">
        <f t="shared" si="424"/>
        <v>2876.8</v>
      </c>
      <c r="S3903" s="7">
        <f t="shared" si="425"/>
        <v>575.36</v>
      </c>
      <c r="T3903" s="6">
        <f t="shared" si="426"/>
        <v>1.984126984126984E-2</v>
      </c>
      <c r="V3903" t="s">
        <v>29</v>
      </c>
    </row>
    <row r="3904" spans="1:22">
      <c r="A3904" s="3">
        <v>45820</v>
      </c>
      <c r="B3904" t="str">
        <f t="shared" si="420"/>
        <v>yyyy-06</v>
      </c>
      <c r="C3904">
        <f t="shared" si="421"/>
        <v>24</v>
      </c>
      <c r="D3904" t="s">
        <v>53</v>
      </c>
      <c r="E3904" t="s">
        <v>54</v>
      </c>
      <c r="F3904" t="s">
        <v>55</v>
      </c>
      <c r="G3904" t="s">
        <v>31</v>
      </c>
      <c r="H3904" t="s">
        <v>32</v>
      </c>
      <c r="I3904" s="5">
        <v>202</v>
      </c>
      <c r="J3904" s="5">
        <v>126</v>
      </c>
      <c r="K3904" s="5">
        <v>7</v>
      </c>
      <c r="L3904" s="5">
        <v>2</v>
      </c>
      <c r="M3904" s="5">
        <v>2</v>
      </c>
      <c r="N3904" s="7">
        <v>1247.21</v>
      </c>
      <c r="O3904" s="7">
        <f t="shared" si="422"/>
        <v>2494.42</v>
      </c>
      <c r="P3904" s="4">
        <v>0</v>
      </c>
      <c r="Q3904" s="7">
        <f t="shared" si="423"/>
        <v>0</v>
      </c>
      <c r="R3904" s="7">
        <f t="shared" si="424"/>
        <v>2494.42</v>
      </c>
      <c r="S3904" s="7">
        <f t="shared" si="425"/>
        <v>1247.21</v>
      </c>
      <c r="T3904" s="6">
        <f t="shared" si="426"/>
        <v>9.9009900990099011E-3</v>
      </c>
      <c r="V3904" t="s">
        <v>29</v>
      </c>
    </row>
    <row r="3905" spans="1:22">
      <c r="A3905" s="3">
        <v>45820</v>
      </c>
      <c r="B3905" t="str">
        <f t="shared" si="420"/>
        <v>yyyy-06</v>
      </c>
      <c r="C3905">
        <f t="shared" si="421"/>
        <v>24</v>
      </c>
      <c r="D3905" t="s">
        <v>53</v>
      </c>
      <c r="E3905" t="s">
        <v>56</v>
      </c>
      <c r="F3905" t="s">
        <v>57</v>
      </c>
      <c r="G3905" t="s">
        <v>27</v>
      </c>
      <c r="H3905" t="s">
        <v>45</v>
      </c>
      <c r="I3905" s="5">
        <v>282</v>
      </c>
      <c r="J3905" s="5">
        <v>213</v>
      </c>
      <c r="K3905" s="5">
        <v>15</v>
      </c>
      <c r="L3905" s="5">
        <v>3</v>
      </c>
      <c r="M3905" s="5">
        <v>3</v>
      </c>
      <c r="N3905" s="7">
        <v>760.76</v>
      </c>
      <c r="O3905" s="7">
        <f t="shared" si="422"/>
        <v>2282.2799999999997</v>
      </c>
      <c r="P3905" s="4">
        <v>0</v>
      </c>
      <c r="Q3905" s="7">
        <f t="shared" si="423"/>
        <v>0</v>
      </c>
      <c r="R3905" s="7">
        <f t="shared" si="424"/>
        <v>2282.2799999999997</v>
      </c>
      <c r="S3905" s="7">
        <f t="shared" si="425"/>
        <v>760.75999999999988</v>
      </c>
      <c r="T3905" s="6">
        <f t="shared" si="426"/>
        <v>1.0638297872340425E-2</v>
      </c>
      <c r="V3905" t="s">
        <v>29</v>
      </c>
    </row>
    <row r="3906" spans="1:22">
      <c r="A3906" s="3">
        <v>45820</v>
      </c>
      <c r="B3906" t="str">
        <f t="shared" si="420"/>
        <v>yyyy-06</v>
      </c>
      <c r="C3906">
        <f t="shared" si="421"/>
        <v>24</v>
      </c>
      <c r="D3906" t="s">
        <v>53</v>
      </c>
      <c r="E3906" t="s">
        <v>56</v>
      </c>
      <c r="F3906" t="s">
        <v>58</v>
      </c>
      <c r="G3906" t="s">
        <v>27</v>
      </c>
      <c r="H3906" t="s">
        <v>28</v>
      </c>
      <c r="I3906" s="5">
        <v>258</v>
      </c>
      <c r="J3906" s="5">
        <v>211</v>
      </c>
      <c r="K3906" s="5">
        <v>11</v>
      </c>
      <c r="L3906" s="5">
        <v>3</v>
      </c>
      <c r="M3906" s="5">
        <v>3</v>
      </c>
      <c r="N3906" s="7">
        <v>912.96</v>
      </c>
      <c r="O3906" s="7">
        <f t="shared" si="422"/>
        <v>2738.88</v>
      </c>
      <c r="P3906" s="4">
        <v>0</v>
      </c>
      <c r="Q3906" s="7">
        <f t="shared" si="423"/>
        <v>0</v>
      </c>
      <c r="R3906" s="7">
        <f t="shared" si="424"/>
        <v>2738.88</v>
      </c>
      <c r="S3906" s="7">
        <f t="shared" si="425"/>
        <v>912.96</v>
      </c>
      <c r="T3906" s="6">
        <f t="shared" si="426"/>
        <v>1.1627906976744186E-2</v>
      </c>
      <c r="V3906" t="s">
        <v>29</v>
      </c>
    </row>
    <row r="3907" spans="1:22">
      <c r="A3907" s="3">
        <v>45820</v>
      </c>
      <c r="B3907" t="str">
        <f t="shared" si="420"/>
        <v>yyyy-06</v>
      </c>
      <c r="C3907">
        <f t="shared" si="421"/>
        <v>24</v>
      </c>
      <c r="D3907" t="s">
        <v>53</v>
      </c>
      <c r="E3907" t="s">
        <v>59</v>
      </c>
      <c r="F3907" t="s">
        <v>60</v>
      </c>
      <c r="G3907" t="s">
        <v>31</v>
      </c>
      <c r="H3907" t="s">
        <v>32</v>
      </c>
      <c r="I3907" s="5">
        <v>203</v>
      </c>
      <c r="J3907" s="5">
        <v>140</v>
      </c>
      <c r="K3907" s="5">
        <v>11</v>
      </c>
      <c r="L3907" s="5">
        <v>2</v>
      </c>
      <c r="M3907" s="5">
        <v>2</v>
      </c>
      <c r="N3907" s="7">
        <v>687.61</v>
      </c>
      <c r="O3907" s="7">
        <f t="shared" si="422"/>
        <v>1375.22</v>
      </c>
      <c r="P3907" s="4">
        <v>0</v>
      </c>
      <c r="Q3907" s="7">
        <f t="shared" si="423"/>
        <v>0</v>
      </c>
      <c r="R3907" s="7">
        <f t="shared" si="424"/>
        <v>1375.22</v>
      </c>
      <c r="S3907" s="7">
        <f t="shared" si="425"/>
        <v>687.61</v>
      </c>
      <c r="T3907" s="6">
        <f t="shared" si="426"/>
        <v>9.852216748768473E-3</v>
      </c>
      <c r="V3907" t="s">
        <v>29</v>
      </c>
    </row>
    <row r="3908" spans="1:22">
      <c r="A3908" s="3">
        <v>45820</v>
      </c>
      <c r="B3908" t="str">
        <f t="shared" si="420"/>
        <v>yyyy-06</v>
      </c>
      <c r="C3908">
        <f t="shared" si="421"/>
        <v>24</v>
      </c>
      <c r="D3908" t="s">
        <v>53</v>
      </c>
      <c r="E3908" t="s">
        <v>61</v>
      </c>
      <c r="F3908" t="s">
        <v>62</v>
      </c>
      <c r="G3908" t="s">
        <v>36</v>
      </c>
      <c r="H3908" t="s">
        <v>37</v>
      </c>
      <c r="I3908" s="5">
        <v>256</v>
      </c>
      <c r="J3908" s="5">
        <v>192</v>
      </c>
      <c r="K3908" s="5">
        <v>14</v>
      </c>
      <c r="L3908" s="5">
        <v>3</v>
      </c>
      <c r="M3908" s="5">
        <v>3</v>
      </c>
      <c r="N3908" s="7">
        <v>506.93</v>
      </c>
      <c r="O3908" s="7">
        <f t="shared" si="422"/>
        <v>1520.79</v>
      </c>
      <c r="P3908" s="4">
        <v>0.03</v>
      </c>
      <c r="Q3908" s="7">
        <f t="shared" si="423"/>
        <v>45.623699999999999</v>
      </c>
      <c r="R3908" s="7">
        <f t="shared" si="424"/>
        <v>1475.1662999999999</v>
      </c>
      <c r="S3908" s="7">
        <f t="shared" si="425"/>
        <v>491.72209999999995</v>
      </c>
      <c r="T3908" s="6">
        <f t="shared" si="426"/>
        <v>1.171875E-2</v>
      </c>
      <c r="V3908" t="s">
        <v>29</v>
      </c>
    </row>
    <row r="3909" spans="1:22">
      <c r="A3909" s="3">
        <v>45820</v>
      </c>
      <c r="B3909" t="str">
        <f t="shared" ref="B3909:B3972" si="427">TEXT(A3909,"yyyy-mm")</f>
        <v>yyyy-06</v>
      </c>
      <c r="C3909">
        <f t="shared" ref="C3909:C3972" si="428">WEEKNUM(A3909,2)</f>
        <v>24</v>
      </c>
      <c r="D3909" t="s">
        <v>53</v>
      </c>
      <c r="E3909" t="s">
        <v>64</v>
      </c>
      <c r="F3909" t="s">
        <v>65</v>
      </c>
      <c r="G3909" t="s">
        <v>27</v>
      </c>
      <c r="H3909" t="s">
        <v>28</v>
      </c>
      <c r="I3909" s="5">
        <v>247</v>
      </c>
      <c r="J3909" s="5">
        <v>158</v>
      </c>
      <c r="K3909" s="5">
        <v>12</v>
      </c>
      <c r="L3909" s="5">
        <v>3</v>
      </c>
      <c r="M3909" s="5">
        <v>3</v>
      </c>
      <c r="N3909" s="7">
        <v>778.87</v>
      </c>
      <c r="O3909" s="7">
        <f t="shared" ref="O3909:O3972" si="429">M3909*N3909</f>
        <v>2336.61</v>
      </c>
      <c r="P3909" s="4">
        <v>0</v>
      </c>
      <c r="Q3909" s="7">
        <f t="shared" ref="Q3909:Q3972" si="430">O3909*P3909</f>
        <v>0</v>
      </c>
      <c r="R3909" s="7">
        <f t="shared" ref="R3909:R3972" si="431">O3909-Q3909</f>
        <v>2336.61</v>
      </c>
      <c r="S3909" s="7">
        <f t="shared" ref="S3909:S3972" si="432">IFERROR(R3909/L3909,0)</f>
        <v>778.87</v>
      </c>
      <c r="T3909" s="6">
        <f t="shared" ref="T3909:T3972" si="433">IFERROR(L3909/I3909,0)</f>
        <v>1.2145748987854251E-2</v>
      </c>
      <c r="V3909" t="s">
        <v>29</v>
      </c>
    </row>
    <row r="3910" spans="1:22">
      <c r="A3910" s="3">
        <v>45820</v>
      </c>
      <c r="B3910" t="str">
        <f t="shared" si="427"/>
        <v>yyyy-06</v>
      </c>
      <c r="C3910">
        <f t="shared" si="428"/>
        <v>24</v>
      </c>
      <c r="D3910" t="s">
        <v>66</v>
      </c>
      <c r="E3910" t="s">
        <v>67</v>
      </c>
      <c r="F3910" t="s">
        <v>68</v>
      </c>
      <c r="G3910" t="s">
        <v>27</v>
      </c>
      <c r="H3910" t="s">
        <v>48</v>
      </c>
      <c r="I3910" s="5">
        <v>302</v>
      </c>
      <c r="J3910" s="5">
        <v>248</v>
      </c>
      <c r="K3910" s="5">
        <v>24</v>
      </c>
      <c r="L3910" s="5">
        <v>4</v>
      </c>
      <c r="M3910" s="5">
        <v>4</v>
      </c>
      <c r="N3910" s="7">
        <v>706.4</v>
      </c>
      <c r="O3910" s="7">
        <f t="shared" si="429"/>
        <v>2825.6</v>
      </c>
      <c r="P3910" s="4">
        <v>0</v>
      </c>
      <c r="Q3910" s="7">
        <f t="shared" si="430"/>
        <v>0</v>
      </c>
      <c r="R3910" s="7">
        <f t="shared" si="431"/>
        <v>2825.6</v>
      </c>
      <c r="S3910" s="7">
        <f t="shared" si="432"/>
        <v>706.4</v>
      </c>
      <c r="T3910" s="6">
        <f t="shared" si="433"/>
        <v>1.3245033112582781E-2</v>
      </c>
      <c r="V3910" t="s">
        <v>78</v>
      </c>
    </row>
    <row r="3911" spans="1:22">
      <c r="A3911" s="3">
        <v>45820</v>
      </c>
      <c r="B3911" t="str">
        <f t="shared" si="427"/>
        <v>yyyy-06</v>
      </c>
      <c r="C3911">
        <f t="shared" si="428"/>
        <v>24</v>
      </c>
      <c r="D3911" t="s">
        <v>66</v>
      </c>
      <c r="E3911" t="s">
        <v>67</v>
      </c>
      <c r="F3911" t="s">
        <v>69</v>
      </c>
      <c r="G3911" t="s">
        <v>27</v>
      </c>
      <c r="H3911" t="s">
        <v>45</v>
      </c>
      <c r="I3911" s="5">
        <v>354</v>
      </c>
      <c r="J3911" s="5">
        <v>256</v>
      </c>
      <c r="K3911" s="5">
        <v>26</v>
      </c>
      <c r="L3911" s="5">
        <v>7</v>
      </c>
      <c r="M3911" s="5">
        <v>7</v>
      </c>
      <c r="N3911" s="7">
        <v>394.77</v>
      </c>
      <c r="O3911" s="7">
        <f t="shared" si="429"/>
        <v>2763.39</v>
      </c>
      <c r="P3911" s="4">
        <v>0.05</v>
      </c>
      <c r="Q3911" s="7">
        <f t="shared" si="430"/>
        <v>138.1695</v>
      </c>
      <c r="R3911" s="7">
        <f t="shared" si="431"/>
        <v>2625.2204999999999</v>
      </c>
      <c r="S3911" s="7">
        <f t="shared" si="432"/>
        <v>375.03149999999999</v>
      </c>
      <c r="T3911" s="6">
        <f t="shared" si="433"/>
        <v>1.977401129943503E-2</v>
      </c>
      <c r="V3911" t="s">
        <v>29</v>
      </c>
    </row>
    <row r="3912" spans="1:22">
      <c r="A3912" s="3">
        <v>45820</v>
      </c>
      <c r="B3912" t="str">
        <f t="shared" si="427"/>
        <v>yyyy-06</v>
      </c>
      <c r="C3912">
        <f t="shared" si="428"/>
        <v>24</v>
      </c>
      <c r="D3912" t="s">
        <v>66</v>
      </c>
      <c r="E3912" t="s">
        <v>67</v>
      </c>
      <c r="F3912" t="s">
        <v>70</v>
      </c>
      <c r="G3912" t="s">
        <v>27</v>
      </c>
      <c r="H3912" t="s">
        <v>45</v>
      </c>
      <c r="I3912" s="5">
        <v>529</v>
      </c>
      <c r="J3912" s="5">
        <v>312</v>
      </c>
      <c r="K3912" s="5">
        <v>31</v>
      </c>
      <c r="L3912" s="5">
        <v>9</v>
      </c>
      <c r="M3912" s="5">
        <v>9</v>
      </c>
      <c r="N3912" s="7">
        <v>348.86</v>
      </c>
      <c r="O3912" s="7">
        <f t="shared" si="429"/>
        <v>3139.7400000000002</v>
      </c>
      <c r="P3912" s="4">
        <v>0.03</v>
      </c>
      <c r="Q3912" s="7">
        <f t="shared" si="430"/>
        <v>94.1922</v>
      </c>
      <c r="R3912" s="7">
        <f t="shared" si="431"/>
        <v>3045.5478000000003</v>
      </c>
      <c r="S3912" s="7">
        <f t="shared" si="432"/>
        <v>338.39420000000001</v>
      </c>
      <c r="T3912" s="6">
        <f t="shared" si="433"/>
        <v>1.7013232514177693E-2</v>
      </c>
      <c r="V3912" t="s">
        <v>29</v>
      </c>
    </row>
    <row r="3913" spans="1:22">
      <c r="A3913" s="3">
        <v>45820</v>
      </c>
      <c r="B3913" t="str">
        <f t="shared" si="427"/>
        <v>yyyy-06</v>
      </c>
      <c r="C3913">
        <f t="shared" si="428"/>
        <v>24</v>
      </c>
      <c r="D3913" t="s">
        <v>66</v>
      </c>
      <c r="E3913" t="s">
        <v>71</v>
      </c>
      <c r="F3913" t="s">
        <v>72</v>
      </c>
      <c r="G3913" t="s">
        <v>27</v>
      </c>
      <c r="H3913" t="s">
        <v>28</v>
      </c>
      <c r="I3913" s="5">
        <v>388</v>
      </c>
      <c r="J3913" s="5">
        <v>203</v>
      </c>
      <c r="K3913" s="5">
        <v>23</v>
      </c>
      <c r="L3913" s="5">
        <v>6</v>
      </c>
      <c r="M3913" s="5">
        <v>7</v>
      </c>
      <c r="N3913" s="7">
        <v>128.52000000000001</v>
      </c>
      <c r="O3913" s="7">
        <f t="shared" si="429"/>
        <v>899.6400000000001</v>
      </c>
      <c r="P3913" s="4">
        <v>0.03</v>
      </c>
      <c r="Q3913" s="7">
        <f t="shared" si="430"/>
        <v>26.9892</v>
      </c>
      <c r="R3913" s="7">
        <f t="shared" si="431"/>
        <v>872.65080000000012</v>
      </c>
      <c r="S3913" s="7">
        <f t="shared" si="432"/>
        <v>145.44180000000003</v>
      </c>
      <c r="T3913" s="6">
        <f t="shared" si="433"/>
        <v>1.5463917525773196E-2</v>
      </c>
      <c r="V3913" t="s">
        <v>29</v>
      </c>
    </row>
    <row r="3914" spans="1:22">
      <c r="A3914" s="3">
        <v>45820</v>
      </c>
      <c r="B3914" t="str">
        <f t="shared" si="427"/>
        <v>yyyy-06</v>
      </c>
      <c r="C3914">
        <f t="shared" si="428"/>
        <v>24</v>
      </c>
      <c r="D3914" t="s">
        <v>66</v>
      </c>
      <c r="E3914" t="s">
        <v>73</v>
      </c>
      <c r="F3914" t="s">
        <v>74</v>
      </c>
      <c r="G3914" t="s">
        <v>27</v>
      </c>
      <c r="H3914" t="s">
        <v>45</v>
      </c>
      <c r="I3914" s="5">
        <v>252</v>
      </c>
      <c r="J3914" s="5">
        <v>131</v>
      </c>
      <c r="K3914" s="5">
        <v>18</v>
      </c>
      <c r="L3914" s="5">
        <v>4</v>
      </c>
      <c r="M3914" s="5">
        <v>4</v>
      </c>
      <c r="N3914" s="7">
        <v>1221.2</v>
      </c>
      <c r="O3914" s="7">
        <f t="shared" si="429"/>
        <v>4884.8</v>
      </c>
      <c r="P3914" s="4">
        <v>0.03</v>
      </c>
      <c r="Q3914" s="7">
        <f t="shared" si="430"/>
        <v>146.54400000000001</v>
      </c>
      <c r="R3914" s="7">
        <f t="shared" si="431"/>
        <v>4738.2560000000003</v>
      </c>
      <c r="S3914" s="7">
        <f t="shared" si="432"/>
        <v>1184.5640000000001</v>
      </c>
      <c r="T3914" s="6">
        <f t="shared" si="433"/>
        <v>1.5873015873015872E-2</v>
      </c>
      <c r="V3914" t="s">
        <v>29</v>
      </c>
    </row>
    <row r="3915" spans="1:22">
      <c r="A3915" s="3">
        <v>45820</v>
      </c>
      <c r="B3915" t="str">
        <f t="shared" si="427"/>
        <v>yyyy-06</v>
      </c>
      <c r="C3915">
        <f t="shared" si="428"/>
        <v>24</v>
      </c>
      <c r="D3915" t="s">
        <v>66</v>
      </c>
      <c r="E3915" t="s">
        <v>71</v>
      </c>
      <c r="F3915" t="s">
        <v>75</v>
      </c>
      <c r="G3915" t="s">
        <v>36</v>
      </c>
      <c r="H3915" t="s">
        <v>37</v>
      </c>
      <c r="I3915" s="5">
        <v>461</v>
      </c>
      <c r="J3915" s="5">
        <v>349</v>
      </c>
      <c r="K3915" s="5">
        <v>41</v>
      </c>
      <c r="L3915" s="5">
        <v>9</v>
      </c>
      <c r="M3915" s="5">
        <v>11</v>
      </c>
      <c r="N3915" s="7">
        <v>37.479999999999997</v>
      </c>
      <c r="O3915" s="7">
        <f t="shared" si="429"/>
        <v>412.28</v>
      </c>
      <c r="P3915" s="4">
        <v>0</v>
      </c>
      <c r="Q3915" s="7">
        <f t="shared" si="430"/>
        <v>0</v>
      </c>
      <c r="R3915" s="7">
        <f t="shared" si="431"/>
        <v>412.28</v>
      </c>
      <c r="S3915" s="7">
        <f t="shared" si="432"/>
        <v>45.808888888888887</v>
      </c>
      <c r="T3915" s="6">
        <f t="shared" si="433"/>
        <v>1.9522776572668113E-2</v>
      </c>
      <c r="V3915" t="s">
        <v>29</v>
      </c>
    </row>
    <row r="3916" spans="1:22">
      <c r="A3916" s="3">
        <v>45820</v>
      </c>
      <c r="B3916" t="str">
        <f t="shared" si="427"/>
        <v>yyyy-06</v>
      </c>
      <c r="C3916">
        <f t="shared" si="428"/>
        <v>24</v>
      </c>
      <c r="D3916" t="s">
        <v>24</v>
      </c>
      <c r="E3916" t="s">
        <v>76</v>
      </c>
      <c r="F3916" t="s">
        <v>77</v>
      </c>
      <c r="G3916" t="s">
        <v>27</v>
      </c>
      <c r="H3916" t="s">
        <v>28</v>
      </c>
      <c r="I3916" s="5">
        <v>553</v>
      </c>
      <c r="J3916" s="5">
        <v>403</v>
      </c>
      <c r="K3916" s="5">
        <v>45</v>
      </c>
      <c r="L3916" s="5">
        <v>14</v>
      </c>
      <c r="M3916" s="5">
        <v>16</v>
      </c>
      <c r="N3916" s="7">
        <v>192.02</v>
      </c>
      <c r="O3916" s="7">
        <f t="shared" si="429"/>
        <v>3072.32</v>
      </c>
      <c r="P3916" s="4">
        <v>0</v>
      </c>
      <c r="Q3916" s="7">
        <f t="shared" si="430"/>
        <v>0</v>
      </c>
      <c r="R3916" s="7">
        <f t="shared" si="431"/>
        <v>3072.32</v>
      </c>
      <c r="S3916" s="7">
        <f t="shared" si="432"/>
        <v>219.45142857142858</v>
      </c>
      <c r="T3916" s="6">
        <f t="shared" si="433"/>
        <v>2.5316455696202531E-2</v>
      </c>
      <c r="V3916" t="s">
        <v>29</v>
      </c>
    </row>
    <row r="3917" spans="1:22">
      <c r="A3917" s="3">
        <v>45821</v>
      </c>
      <c r="B3917" t="str">
        <f t="shared" si="427"/>
        <v>yyyy-06</v>
      </c>
      <c r="C3917">
        <f t="shared" si="428"/>
        <v>24</v>
      </c>
      <c r="D3917" t="s">
        <v>24</v>
      </c>
      <c r="E3917" t="s">
        <v>25</v>
      </c>
      <c r="F3917" t="s">
        <v>26</v>
      </c>
      <c r="G3917" t="s">
        <v>31</v>
      </c>
      <c r="H3917" t="s">
        <v>32</v>
      </c>
      <c r="I3917" s="5">
        <v>1987</v>
      </c>
      <c r="J3917" s="5">
        <v>1441</v>
      </c>
      <c r="K3917" s="5">
        <v>172</v>
      </c>
      <c r="L3917" s="5">
        <v>38</v>
      </c>
      <c r="M3917" s="5">
        <v>38</v>
      </c>
      <c r="N3917" s="7">
        <v>965.26</v>
      </c>
      <c r="O3917" s="7">
        <f t="shared" si="429"/>
        <v>36679.879999999997</v>
      </c>
      <c r="P3917" s="4">
        <v>0</v>
      </c>
      <c r="Q3917" s="7">
        <f t="shared" si="430"/>
        <v>0</v>
      </c>
      <c r="R3917" s="7">
        <f t="shared" si="431"/>
        <v>36679.879999999997</v>
      </c>
      <c r="S3917" s="7">
        <f t="shared" si="432"/>
        <v>965.25999999999988</v>
      </c>
      <c r="T3917" s="6">
        <f t="shared" si="433"/>
        <v>1.9124308002013084E-2</v>
      </c>
      <c r="V3917" t="s">
        <v>29</v>
      </c>
    </row>
    <row r="3918" spans="1:22">
      <c r="A3918" s="3">
        <v>45821</v>
      </c>
      <c r="B3918" t="str">
        <f t="shared" si="427"/>
        <v>yyyy-06</v>
      </c>
      <c r="C3918">
        <f t="shared" si="428"/>
        <v>24</v>
      </c>
      <c r="D3918" t="s">
        <v>24</v>
      </c>
      <c r="E3918" t="s">
        <v>25</v>
      </c>
      <c r="F3918" t="s">
        <v>30</v>
      </c>
      <c r="G3918" t="s">
        <v>31</v>
      </c>
      <c r="H3918" t="s">
        <v>32</v>
      </c>
      <c r="I3918" s="5">
        <v>2363</v>
      </c>
      <c r="J3918" s="5">
        <v>1481</v>
      </c>
      <c r="K3918" s="5">
        <v>176</v>
      </c>
      <c r="L3918" s="5">
        <v>43</v>
      </c>
      <c r="M3918" s="5">
        <v>43</v>
      </c>
      <c r="N3918" s="7">
        <v>397.56</v>
      </c>
      <c r="O3918" s="7">
        <f t="shared" si="429"/>
        <v>17095.080000000002</v>
      </c>
      <c r="P3918" s="4">
        <v>0</v>
      </c>
      <c r="Q3918" s="7">
        <f t="shared" si="430"/>
        <v>0</v>
      </c>
      <c r="R3918" s="7">
        <f t="shared" si="431"/>
        <v>17095.080000000002</v>
      </c>
      <c r="S3918" s="7">
        <f t="shared" si="432"/>
        <v>397.56000000000006</v>
      </c>
      <c r="T3918" s="6">
        <f t="shared" si="433"/>
        <v>1.8197206940330089E-2</v>
      </c>
      <c r="V3918" t="s">
        <v>29</v>
      </c>
    </row>
    <row r="3919" spans="1:22">
      <c r="A3919" s="3">
        <v>45821</v>
      </c>
      <c r="B3919" t="str">
        <f t="shared" si="427"/>
        <v>yyyy-06</v>
      </c>
      <c r="C3919">
        <f t="shared" si="428"/>
        <v>24</v>
      </c>
      <c r="D3919" t="s">
        <v>24</v>
      </c>
      <c r="E3919" t="s">
        <v>25</v>
      </c>
      <c r="F3919" t="s">
        <v>33</v>
      </c>
      <c r="G3919" t="s">
        <v>31</v>
      </c>
      <c r="H3919" t="s">
        <v>32</v>
      </c>
      <c r="I3919" s="5">
        <v>1778</v>
      </c>
      <c r="J3919" s="5">
        <v>1277</v>
      </c>
      <c r="K3919" s="5">
        <v>126</v>
      </c>
      <c r="L3919" s="5">
        <v>36</v>
      </c>
      <c r="M3919" s="5">
        <v>36</v>
      </c>
      <c r="N3919" s="7">
        <v>1790.8</v>
      </c>
      <c r="O3919" s="7">
        <f t="shared" si="429"/>
        <v>64468.799999999996</v>
      </c>
      <c r="P3919" s="4">
        <v>0</v>
      </c>
      <c r="Q3919" s="7">
        <f t="shared" si="430"/>
        <v>0</v>
      </c>
      <c r="R3919" s="7">
        <f t="shared" si="431"/>
        <v>64468.799999999996</v>
      </c>
      <c r="S3919" s="7">
        <f t="shared" si="432"/>
        <v>1790.8</v>
      </c>
      <c r="T3919" s="6">
        <f t="shared" si="433"/>
        <v>2.0247469066366704E-2</v>
      </c>
      <c r="V3919" t="s">
        <v>29</v>
      </c>
    </row>
    <row r="3920" spans="1:22">
      <c r="A3920" s="3">
        <v>45821</v>
      </c>
      <c r="B3920" t="str">
        <f t="shared" si="427"/>
        <v>yyyy-06</v>
      </c>
      <c r="C3920">
        <f t="shared" si="428"/>
        <v>24</v>
      </c>
      <c r="D3920" t="s">
        <v>24</v>
      </c>
      <c r="E3920" t="s">
        <v>34</v>
      </c>
      <c r="F3920" t="s">
        <v>35</v>
      </c>
      <c r="G3920" t="s">
        <v>31</v>
      </c>
      <c r="H3920" t="s">
        <v>32</v>
      </c>
      <c r="I3920" s="5">
        <v>1610</v>
      </c>
      <c r="J3920" s="5">
        <v>1045</v>
      </c>
      <c r="K3920" s="5">
        <v>111</v>
      </c>
      <c r="L3920" s="5">
        <v>36</v>
      </c>
      <c r="M3920" s="5">
        <v>36</v>
      </c>
      <c r="N3920" s="7">
        <v>887.78</v>
      </c>
      <c r="O3920" s="7">
        <f t="shared" si="429"/>
        <v>31960.079999999998</v>
      </c>
      <c r="P3920" s="4">
        <v>0</v>
      </c>
      <c r="Q3920" s="7">
        <f t="shared" si="430"/>
        <v>0</v>
      </c>
      <c r="R3920" s="7">
        <f t="shared" si="431"/>
        <v>31960.079999999998</v>
      </c>
      <c r="S3920" s="7">
        <f t="shared" si="432"/>
        <v>887.78</v>
      </c>
      <c r="T3920" s="6">
        <f t="shared" si="433"/>
        <v>2.236024844720497E-2</v>
      </c>
      <c r="V3920" t="s">
        <v>29</v>
      </c>
    </row>
    <row r="3921" spans="1:22">
      <c r="A3921" s="3">
        <v>45821</v>
      </c>
      <c r="B3921" t="str">
        <f t="shared" si="427"/>
        <v>yyyy-06</v>
      </c>
      <c r="C3921">
        <f t="shared" si="428"/>
        <v>24</v>
      </c>
      <c r="D3921" t="s">
        <v>24</v>
      </c>
      <c r="E3921" t="s">
        <v>38</v>
      </c>
      <c r="F3921" t="s">
        <v>39</v>
      </c>
      <c r="G3921" t="s">
        <v>31</v>
      </c>
      <c r="H3921" t="s">
        <v>32</v>
      </c>
      <c r="I3921" s="5">
        <v>1101</v>
      </c>
      <c r="J3921" s="5">
        <v>820</v>
      </c>
      <c r="K3921" s="5">
        <v>78</v>
      </c>
      <c r="L3921" s="5">
        <v>26</v>
      </c>
      <c r="M3921" s="5">
        <v>26</v>
      </c>
      <c r="N3921" s="7">
        <v>334.46</v>
      </c>
      <c r="O3921" s="7">
        <f t="shared" si="429"/>
        <v>8695.9599999999991</v>
      </c>
      <c r="P3921" s="4">
        <v>0</v>
      </c>
      <c r="Q3921" s="7">
        <f t="shared" si="430"/>
        <v>0</v>
      </c>
      <c r="R3921" s="7">
        <f t="shared" si="431"/>
        <v>8695.9599999999991</v>
      </c>
      <c r="S3921" s="7">
        <f t="shared" si="432"/>
        <v>334.46</v>
      </c>
      <c r="T3921" s="6">
        <f t="shared" si="433"/>
        <v>2.3614895549500452E-2</v>
      </c>
      <c r="V3921" t="s">
        <v>29</v>
      </c>
    </row>
    <row r="3922" spans="1:22">
      <c r="A3922" s="3">
        <v>45821</v>
      </c>
      <c r="B3922" t="str">
        <f t="shared" si="427"/>
        <v>yyyy-06</v>
      </c>
      <c r="C3922">
        <f t="shared" si="428"/>
        <v>24</v>
      </c>
      <c r="D3922" t="s">
        <v>24</v>
      </c>
      <c r="E3922" t="s">
        <v>40</v>
      </c>
      <c r="F3922" t="s">
        <v>41</v>
      </c>
      <c r="G3922" t="s">
        <v>27</v>
      </c>
      <c r="H3922" t="s">
        <v>63</v>
      </c>
      <c r="I3922" s="5">
        <v>438</v>
      </c>
      <c r="J3922" s="5">
        <v>267</v>
      </c>
      <c r="K3922" s="5">
        <v>34</v>
      </c>
      <c r="L3922" s="5">
        <v>9</v>
      </c>
      <c r="M3922" s="5">
        <v>10</v>
      </c>
      <c r="N3922" s="7">
        <v>177.12</v>
      </c>
      <c r="O3922" s="7">
        <f t="shared" si="429"/>
        <v>1771.2</v>
      </c>
      <c r="P3922" s="4">
        <v>0.05</v>
      </c>
      <c r="Q3922" s="7">
        <f t="shared" si="430"/>
        <v>88.56</v>
      </c>
      <c r="R3922" s="7">
        <f t="shared" si="431"/>
        <v>1682.64</v>
      </c>
      <c r="S3922" s="7">
        <f t="shared" si="432"/>
        <v>186.96</v>
      </c>
      <c r="T3922" s="6">
        <f t="shared" si="433"/>
        <v>2.0547945205479451E-2</v>
      </c>
      <c r="V3922" t="s">
        <v>29</v>
      </c>
    </row>
    <row r="3923" spans="1:22">
      <c r="A3923" s="3">
        <v>45821</v>
      </c>
      <c r="B3923" t="str">
        <f t="shared" si="427"/>
        <v>yyyy-06</v>
      </c>
      <c r="C3923">
        <f t="shared" si="428"/>
        <v>24</v>
      </c>
      <c r="D3923" t="s">
        <v>42</v>
      </c>
      <c r="E3923" t="s">
        <v>43</v>
      </c>
      <c r="F3923" t="s">
        <v>44</v>
      </c>
      <c r="G3923" t="s">
        <v>36</v>
      </c>
      <c r="H3923" t="s">
        <v>37</v>
      </c>
      <c r="I3923" s="5">
        <v>674</v>
      </c>
      <c r="J3923" s="5">
        <v>507</v>
      </c>
      <c r="K3923" s="5">
        <v>54</v>
      </c>
      <c r="L3923" s="5">
        <v>14</v>
      </c>
      <c r="M3923" s="5">
        <v>14</v>
      </c>
      <c r="N3923" s="7">
        <v>1306.3399999999999</v>
      </c>
      <c r="O3923" s="7">
        <f t="shared" si="429"/>
        <v>18288.759999999998</v>
      </c>
      <c r="P3923" s="4">
        <v>0.11</v>
      </c>
      <c r="Q3923" s="7">
        <f t="shared" si="430"/>
        <v>2011.7635999999998</v>
      </c>
      <c r="R3923" s="7">
        <f t="shared" si="431"/>
        <v>16276.996399999998</v>
      </c>
      <c r="S3923" s="7">
        <f t="shared" si="432"/>
        <v>1162.6425999999999</v>
      </c>
      <c r="T3923" s="6">
        <f t="shared" si="433"/>
        <v>2.0771513353115726E-2</v>
      </c>
      <c r="U3923" t="s">
        <v>99</v>
      </c>
      <c r="V3923" t="s">
        <v>29</v>
      </c>
    </row>
    <row r="3924" spans="1:22">
      <c r="A3924" s="3">
        <v>45821</v>
      </c>
      <c r="B3924" t="str">
        <f t="shared" si="427"/>
        <v>yyyy-06</v>
      </c>
      <c r="C3924">
        <f t="shared" si="428"/>
        <v>24</v>
      </c>
      <c r="D3924" t="s">
        <v>42</v>
      </c>
      <c r="E3924" t="s">
        <v>43</v>
      </c>
      <c r="F3924" t="s">
        <v>46</v>
      </c>
      <c r="G3924" t="s">
        <v>27</v>
      </c>
      <c r="H3924" t="s">
        <v>63</v>
      </c>
      <c r="I3924" s="5">
        <v>459</v>
      </c>
      <c r="J3924" s="5">
        <v>261</v>
      </c>
      <c r="K3924" s="5">
        <v>29</v>
      </c>
      <c r="L3924" s="5">
        <v>9</v>
      </c>
      <c r="M3924" s="5">
        <v>9</v>
      </c>
      <c r="N3924" s="7">
        <v>2226.2800000000002</v>
      </c>
      <c r="O3924" s="7">
        <f t="shared" si="429"/>
        <v>20036.52</v>
      </c>
      <c r="P3924" s="4">
        <v>0.11</v>
      </c>
      <c r="Q3924" s="7">
        <f t="shared" si="430"/>
        <v>2204.0172000000002</v>
      </c>
      <c r="R3924" s="7">
        <f t="shared" si="431"/>
        <v>17832.502800000002</v>
      </c>
      <c r="S3924" s="7">
        <f t="shared" si="432"/>
        <v>1981.3892000000003</v>
      </c>
      <c r="T3924" s="6">
        <f t="shared" si="433"/>
        <v>1.9607843137254902E-2</v>
      </c>
      <c r="U3924" t="s">
        <v>99</v>
      </c>
      <c r="V3924" t="s">
        <v>29</v>
      </c>
    </row>
    <row r="3925" spans="1:22">
      <c r="A3925" s="3">
        <v>45821</v>
      </c>
      <c r="B3925" t="str">
        <f t="shared" si="427"/>
        <v>yyyy-06</v>
      </c>
      <c r="C3925">
        <f t="shared" si="428"/>
        <v>24</v>
      </c>
      <c r="D3925" t="s">
        <v>42</v>
      </c>
      <c r="E3925" t="s">
        <v>43</v>
      </c>
      <c r="F3925" t="s">
        <v>47</v>
      </c>
      <c r="G3925" t="s">
        <v>27</v>
      </c>
      <c r="H3925" t="s">
        <v>63</v>
      </c>
      <c r="I3925" s="5">
        <v>422</v>
      </c>
      <c r="J3925" s="5">
        <v>248</v>
      </c>
      <c r="K3925" s="5">
        <v>20</v>
      </c>
      <c r="L3925" s="5">
        <v>7</v>
      </c>
      <c r="M3925" s="5">
        <v>7</v>
      </c>
      <c r="N3925" s="7">
        <v>577.16</v>
      </c>
      <c r="O3925" s="7">
        <f t="shared" si="429"/>
        <v>4040.12</v>
      </c>
      <c r="P3925" s="4">
        <v>0.11</v>
      </c>
      <c r="Q3925" s="7">
        <f t="shared" si="430"/>
        <v>444.41320000000002</v>
      </c>
      <c r="R3925" s="7">
        <f t="shared" si="431"/>
        <v>3595.7067999999999</v>
      </c>
      <c r="S3925" s="7">
        <f t="shared" si="432"/>
        <v>513.67240000000004</v>
      </c>
      <c r="T3925" s="6">
        <f t="shared" si="433"/>
        <v>1.6587677725118485E-2</v>
      </c>
      <c r="U3925" t="s">
        <v>99</v>
      </c>
      <c r="V3925" t="s">
        <v>29</v>
      </c>
    </row>
    <row r="3926" spans="1:22">
      <c r="A3926" s="3">
        <v>45821</v>
      </c>
      <c r="B3926" t="str">
        <f t="shared" si="427"/>
        <v>yyyy-06</v>
      </c>
      <c r="C3926">
        <f t="shared" si="428"/>
        <v>24</v>
      </c>
      <c r="D3926" t="s">
        <v>42</v>
      </c>
      <c r="E3926" t="s">
        <v>49</v>
      </c>
      <c r="F3926" t="s">
        <v>50</v>
      </c>
      <c r="G3926" t="s">
        <v>36</v>
      </c>
      <c r="H3926" t="s">
        <v>37</v>
      </c>
      <c r="I3926" s="5">
        <v>199</v>
      </c>
      <c r="J3926" s="5">
        <v>147</v>
      </c>
      <c r="K3926" s="5">
        <v>11</v>
      </c>
      <c r="L3926" s="5">
        <v>4</v>
      </c>
      <c r="M3926" s="5">
        <v>4</v>
      </c>
      <c r="N3926" s="7">
        <v>1003.38</v>
      </c>
      <c r="O3926" s="7">
        <f t="shared" si="429"/>
        <v>4013.52</v>
      </c>
      <c r="P3926" s="4">
        <v>0</v>
      </c>
      <c r="Q3926" s="7">
        <f t="shared" si="430"/>
        <v>0</v>
      </c>
      <c r="R3926" s="7">
        <f t="shared" si="431"/>
        <v>4013.52</v>
      </c>
      <c r="S3926" s="7">
        <f t="shared" si="432"/>
        <v>1003.38</v>
      </c>
      <c r="T3926" s="6">
        <f t="shared" si="433"/>
        <v>2.0100502512562814E-2</v>
      </c>
      <c r="V3926" t="s">
        <v>29</v>
      </c>
    </row>
    <row r="3927" spans="1:22">
      <c r="A3927" s="3">
        <v>45821</v>
      </c>
      <c r="B3927" t="str">
        <f t="shared" si="427"/>
        <v>yyyy-06</v>
      </c>
      <c r="C3927">
        <f t="shared" si="428"/>
        <v>24</v>
      </c>
      <c r="D3927" t="s">
        <v>42</v>
      </c>
      <c r="E3927" t="s">
        <v>51</v>
      </c>
      <c r="F3927" t="s">
        <v>52</v>
      </c>
      <c r="G3927" t="s">
        <v>36</v>
      </c>
      <c r="H3927" t="s">
        <v>37</v>
      </c>
      <c r="I3927" s="5">
        <v>320</v>
      </c>
      <c r="J3927" s="5">
        <v>236</v>
      </c>
      <c r="K3927" s="5">
        <v>26</v>
      </c>
      <c r="L3927" s="5">
        <v>4</v>
      </c>
      <c r="M3927" s="5">
        <v>4</v>
      </c>
      <c r="N3927" s="7">
        <v>588.52</v>
      </c>
      <c r="O3927" s="7">
        <f t="shared" si="429"/>
        <v>2354.08</v>
      </c>
      <c r="P3927" s="4">
        <v>0</v>
      </c>
      <c r="Q3927" s="7">
        <f t="shared" si="430"/>
        <v>0</v>
      </c>
      <c r="R3927" s="7">
        <f t="shared" si="431"/>
        <v>2354.08</v>
      </c>
      <c r="S3927" s="7">
        <f t="shared" si="432"/>
        <v>588.52</v>
      </c>
      <c r="T3927" s="6">
        <f t="shared" si="433"/>
        <v>1.2500000000000001E-2</v>
      </c>
      <c r="V3927" t="s">
        <v>29</v>
      </c>
    </row>
    <row r="3928" spans="1:22">
      <c r="A3928" s="3">
        <v>45821</v>
      </c>
      <c r="B3928" t="str">
        <f t="shared" si="427"/>
        <v>yyyy-06</v>
      </c>
      <c r="C3928">
        <f t="shared" si="428"/>
        <v>24</v>
      </c>
      <c r="D3928" t="s">
        <v>53</v>
      </c>
      <c r="E3928" t="s">
        <v>54</v>
      </c>
      <c r="F3928" t="s">
        <v>55</v>
      </c>
      <c r="G3928" t="s">
        <v>31</v>
      </c>
      <c r="H3928" t="s">
        <v>32</v>
      </c>
      <c r="I3928" s="5">
        <v>213</v>
      </c>
      <c r="J3928" s="5">
        <v>138</v>
      </c>
      <c r="K3928" s="5">
        <v>14</v>
      </c>
      <c r="L3928" s="5">
        <v>2</v>
      </c>
      <c r="M3928" s="5">
        <v>2</v>
      </c>
      <c r="N3928" s="7">
        <v>1248.74</v>
      </c>
      <c r="O3928" s="7">
        <f t="shared" si="429"/>
        <v>2497.48</v>
      </c>
      <c r="P3928" s="4">
        <v>0</v>
      </c>
      <c r="Q3928" s="7">
        <f t="shared" si="430"/>
        <v>0</v>
      </c>
      <c r="R3928" s="7">
        <f t="shared" si="431"/>
        <v>2497.48</v>
      </c>
      <c r="S3928" s="7">
        <f t="shared" si="432"/>
        <v>1248.74</v>
      </c>
      <c r="T3928" s="6">
        <f t="shared" si="433"/>
        <v>9.3896713615023476E-3</v>
      </c>
      <c r="V3928" t="s">
        <v>29</v>
      </c>
    </row>
    <row r="3929" spans="1:22">
      <c r="A3929" s="3">
        <v>45821</v>
      </c>
      <c r="B3929" t="str">
        <f t="shared" si="427"/>
        <v>yyyy-06</v>
      </c>
      <c r="C3929">
        <f t="shared" si="428"/>
        <v>24</v>
      </c>
      <c r="D3929" t="s">
        <v>53</v>
      </c>
      <c r="E3929" t="s">
        <v>56</v>
      </c>
      <c r="F3929" t="s">
        <v>57</v>
      </c>
      <c r="G3929" t="s">
        <v>31</v>
      </c>
      <c r="H3929" t="s">
        <v>32</v>
      </c>
      <c r="I3929" s="5">
        <v>257</v>
      </c>
      <c r="J3929" s="5">
        <v>154</v>
      </c>
      <c r="K3929" s="5">
        <v>14</v>
      </c>
      <c r="L3929" s="5">
        <v>3</v>
      </c>
      <c r="M3929" s="5">
        <v>3</v>
      </c>
      <c r="N3929" s="7">
        <v>742.66</v>
      </c>
      <c r="O3929" s="7">
        <f t="shared" si="429"/>
        <v>2227.98</v>
      </c>
      <c r="P3929" s="4">
        <v>0</v>
      </c>
      <c r="Q3929" s="7">
        <f t="shared" si="430"/>
        <v>0</v>
      </c>
      <c r="R3929" s="7">
        <f t="shared" si="431"/>
        <v>2227.98</v>
      </c>
      <c r="S3929" s="7">
        <f t="shared" si="432"/>
        <v>742.66</v>
      </c>
      <c r="T3929" s="6">
        <f t="shared" si="433"/>
        <v>1.1673151750972763E-2</v>
      </c>
      <c r="V3929" t="s">
        <v>29</v>
      </c>
    </row>
    <row r="3930" spans="1:22">
      <c r="A3930" s="3">
        <v>45821</v>
      </c>
      <c r="B3930" t="str">
        <f t="shared" si="427"/>
        <v>yyyy-06</v>
      </c>
      <c r="C3930">
        <f t="shared" si="428"/>
        <v>24</v>
      </c>
      <c r="D3930" t="s">
        <v>53</v>
      </c>
      <c r="E3930" t="s">
        <v>56</v>
      </c>
      <c r="F3930" t="s">
        <v>58</v>
      </c>
      <c r="G3930" t="s">
        <v>31</v>
      </c>
      <c r="H3930" t="s">
        <v>32</v>
      </c>
      <c r="I3930" s="5">
        <v>301</v>
      </c>
      <c r="J3930" s="5">
        <v>217</v>
      </c>
      <c r="K3930" s="5">
        <v>24</v>
      </c>
      <c r="L3930" s="5">
        <v>4</v>
      </c>
      <c r="M3930" s="5">
        <v>4</v>
      </c>
      <c r="N3930" s="7">
        <v>873.21</v>
      </c>
      <c r="O3930" s="7">
        <f t="shared" si="429"/>
        <v>3492.84</v>
      </c>
      <c r="P3930" s="4">
        <v>0</v>
      </c>
      <c r="Q3930" s="7">
        <f t="shared" si="430"/>
        <v>0</v>
      </c>
      <c r="R3930" s="7">
        <f t="shared" si="431"/>
        <v>3492.84</v>
      </c>
      <c r="S3930" s="7">
        <f t="shared" si="432"/>
        <v>873.21</v>
      </c>
      <c r="T3930" s="6">
        <f t="shared" si="433"/>
        <v>1.3289036544850499E-2</v>
      </c>
      <c r="V3930" t="s">
        <v>29</v>
      </c>
    </row>
    <row r="3931" spans="1:22">
      <c r="A3931" s="3">
        <v>45821</v>
      </c>
      <c r="B3931" t="str">
        <f t="shared" si="427"/>
        <v>yyyy-06</v>
      </c>
      <c r="C3931">
        <f t="shared" si="428"/>
        <v>24</v>
      </c>
      <c r="D3931" t="s">
        <v>53</v>
      </c>
      <c r="E3931" t="s">
        <v>59</v>
      </c>
      <c r="F3931" t="s">
        <v>60</v>
      </c>
      <c r="G3931" t="s">
        <v>31</v>
      </c>
      <c r="H3931" t="s">
        <v>32</v>
      </c>
      <c r="I3931" s="5">
        <v>269</v>
      </c>
      <c r="J3931" s="5">
        <v>145</v>
      </c>
      <c r="K3931" s="5">
        <v>10</v>
      </c>
      <c r="L3931" s="5">
        <v>2</v>
      </c>
      <c r="M3931" s="5">
        <v>2</v>
      </c>
      <c r="N3931" s="7">
        <v>712.66</v>
      </c>
      <c r="O3931" s="7">
        <f t="shared" si="429"/>
        <v>1425.32</v>
      </c>
      <c r="P3931" s="4">
        <v>0.03</v>
      </c>
      <c r="Q3931" s="7">
        <f t="shared" si="430"/>
        <v>42.759599999999999</v>
      </c>
      <c r="R3931" s="7">
        <f t="shared" si="431"/>
        <v>1382.5603999999998</v>
      </c>
      <c r="S3931" s="7">
        <f t="shared" si="432"/>
        <v>691.28019999999992</v>
      </c>
      <c r="T3931" s="6">
        <f t="shared" si="433"/>
        <v>7.4349442379182153E-3</v>
      </c>
      <c r="V3931" t="s">
        <v>78</v>
      </c>
    </row>
    <row r="3932" spans="1:22">
      <c r="A3932" s="3">
        <v>45821</v>
      </c>
      <c r="B3932" t="str">
        <f t="shared" si="427"/>
        <v>yyyy-06</v>
      </c>
      <c r="C3932">
        <f t="shared" si="428"/>
        <v>24</v>
      </c>
      <c r="D3932" t="s">
        <v>53</v>
      </c>
      <c r="E3932" t="s">
        <v>61</v>
      </c>
      <c r="F3932" t="s">
        <v>62</v>
      </c>
      <c r="G3932" t="s">
        <v>31</v>
      </c>
      <c r="H3932" t="s">
        <v>32</v>
      </c>
      <c r="I3932" s="5">
        <v>276</v>
      </c>
      <c r="J3932" s="5">
        <v>163</v>
      </c>
      <c r="K3932" s="5">
        <v>10</v>
      </c>
      <c r="L3932" s="5">
        <v>3</v>
      </c>
      <c r="M3932" s="5">
        <v>3</v>
      </c>
      <c r="N3932" s="7">
        <v>494.88</v>
      </c>
      <c r="O3932" s="7">
        <f t="shared" si="429"/>
        <v>1484.6399999999999</v>
      </c>
      <c r="P3932" s="4">
        <v>0.05</v>
      </c>
      <c r="Q3932" s="7">
        <f t="shared" si="430"/>
        <v>74.231999999999999</v>
      </c>
      <c r="R3932" s="7">
        <f t="shared" si="431"/>
        <v>1410.4079999999999</v>
      </c>
      <c r="S3932" s="7">
        <f t="shared" si="432"/>
        <v>470.13599999999997</v>
      </c>
      <c r="T3932" s="6">
        <f t="shared" si="433"/>
        <v>1.0869565217391304E-2</v>
      </c>
      <c r="V3932" t="s">
        <v>29</v>
      </c>
    </row>
    <row r="3933" spans="1:22">
      <c r="A3933" s="3">
        <v>45821</v>
      </c>
      <c r="B3933" t="str">
        <f t="shared" si="427"/>
        <v>yyyy-06</v>
      </c>
      <c r="C3933">
        <f t="shared" si="428"/>
        <v>24</v>
      </c>
      <c r="D3933" t="s">
        <v>53</v>
      </c>
      <c r="E3933" t="s">
        <v>64</v>
      </c>
      <c r="F3933" t="s">
        <v>65</v>
      </c>
      <c r="G3933" t="s">
        <v>36</v>
      </c>
      <c r="H3933" t="s">
        <v>37</v>
      </c>
      <c r="I3933" s="5">
        <v>268</v>
      </c>
      <c r="J3933" s="5">
        <v>154</v>
      </c>
      <c r="K3933" s="5">
        <v>9</v>
      </c>
      <c r="L3933" s="5">
        <v>2</v>
      </c>
      <c r="M3933" s="5">
        <v>2</v>
      </c>
      <c r="N3933" s="7">
        <v>777.71</v>
      </c>
      <c r="O3933" s="7">
        <f t="shared" si="429"/>
        <v>1555.42</v>
      </c>
      <c r="P3933" s="4">
        <v>0</v>
      </c>
      <c r="Q3933" s="7">
        <f t="shared" si="430"/>
        <v>0</v>
      </c>
      <c r="R3933" s="7">
        <f t="shared" si="431"/>
        <v>1555.42</v>
      </c>
      <c r="S3933" s="7">
        <f t="shared" si="432"/>
        <v>777.71</v>
      </c>
      <c r="T3933" s="6">
        <f t="shared" si="433"/>
        <v>7.462686567164179E-3</v>
      </c>
      <c r="V3933" t="s">
        <v>29</v>
      </c>
    </row>
    <row r="3934" spans="1:22">
      <c r="A3934" s="3">
        <v>45821</v>
      </c>
      <c r="B3934" t="str">
        <f t="shared" si="427"/>
        <v>yyyy-06</v>
      </c>
      <c r="C3934">
        <f t="shared" si="428"/>
        <v>24</v>
      </c>
      <c r="D3934" t="s">
        <v>66</v>
      </c>
      <c r="E3934" t="s">
        <v>67</v>
      </c>
      <c r="F3934" t="s">
        <v>68</v>
      </c>
      <c r="G3934" t="s">
        <v>27</v>
      </c>
      <c r="H3934" t="s">
        <v>48</v>
      </c>
      <c r="I3934" s="5">
        <v>313</v>
      </c>
      <c r="J3934" s="5">
        <v>178</v>
      </c>
      <c r="K3934" s="5">
        <v>11</v>
      </c>
      <c r="L3934" s="5">
        <v>5</v>
      </c>
      <c r="M3934" s="5">
        <v>5</v>
      </c>
      <c r="N3934" s="7">
        <v>688.47</v>
      </c>
      <c r="O3934" s="7">
        <f t="shared" si="429"/>
        <v>3442.3500000000004</v>
      </c>
      <c r="P3934" s="4">
        <v>0.03</v>
      </c>
      <c r="Q3934" s="7">
        <f t="shared" si="430"/>
        <v>103.27050000000001</v>
      </c>
      <c r="R3934" s="7">
        <f t="shared" si="431"/>
        <v>3339.0795000000003</v>
      </c>
      <c r="S3934" s="7">
        <f t="shared" si="432"/>
        <v>667.81590000000006</v>
      </c>
      <c r="T3934" s="6">
        <f t="shared" si="433"/>
        <v>1.5974440894568689E-2</v>
      </c>
      <c r="V3934" t="s">
        <v>78</v>
      </c>
    </row>
    <row r="3935" spans="1:22">
      <c r="A3935" s="3">
        <v>45821</v>
      </c>
      <c r="B3935" t="str">
        <f t="shared" si="427"/>
        <v>yyyy-06</v>
      </c>
      <c r="C3935">
        <f t="shared" si="428"/>
        <v>24</v>
      </c>
      <c r="D3935" t="s">
        <v>66</v>
      </c>
      <c r="E3935" t="s">
        <v>67</v>
      </c>
      <c r="F3935" t="s">
        <v>69</v>
      </c>
      <c r="G3935" t="s">
        <v>27</v>
      </c>
      <c r="H3935" t="s">
        <v>45</v>
      </c>
      <c r="I3935" s="5">
        <v>314</v>
      </c>
      <c r="J3935" s="5">
        <v>208</v>
      </c>
      <c r="K3935" s="5">
        <v>21</v>
      </c>
      <c r="L3935" s="5">
        <v>5</v>
      </c>
      <c r="M3935" s="5">
        <v>5</v>
      </c>
      <c r="N3935" s="7">
        <v>393.96</v>
      </c>
      <c r="O3935" s="7">
        <f t="shared" si="429"/>
        <v>1969.8</v>
      </c>
      <c r="P3935" s="4">
        <v>0.05</v>
      </c>
      <c r="Q3935" s="7">
        <f t="shared" si="430"/>
        <v>98.490000000000009</v>
      </c>
      <c r="R3935" s="7">
        <f t="shared" si="431"/>
        <v>1871.31</v>
      </c>
      <c r="S3935" s="7">
        <f t="shared" si="432"/>
        <v>374.262</v>
      </c>
      <c r="T3935" s="6">
        <f t="shared" si="433"/>
        <v>1.5923566878980892E-2</v>
      </c>
      <c r="V3935" t="s">
        <v>29</v>
      </c>
    </row>
    <row r="3936" spans="1:22">
      <c r="A3936" s="3">
        <v>45821</v>
      </c>
      <c r="B3936" t="str">
        <f t="shared" si="427"/>
        <v>yyyy-06</v>
      </c>
      <c r="C3936">
        <f t="shared" si="428"/>
        <v>24</v>
      </c>
      <c r="D3936" t="s">
        <v>66</v>
      </c>
      <c r="E3936" t="s">
        <v>67</v>
      </c>
      <c r="F3936" t="s">
        <v>70</v>
      </c>
      <c r="G3936" t="s">
        <v>36</v>
      </c>
      <c r="H3936" t="s">
        <v>37</v>
      </c>
      <c r="I3936" s="5">
        <v>456</v>
      </c>
      <c r="J3936" s="5">
        <v>324</v>
      </c>
      <c r="K3936" s="5">
        <v>38</v>
      </c>
      <c r="L3936" s="5">
        <v>6</v>
      </c>
      <c r="M3936" s="5">
        <v>6</v>
      </c>
      <c r="N3936" s="7">
        <v>337.36</v>
      </c>
      <c r="O3936" s="7">
        <f t="shared" si="429"/>
        <v>2024.16</v>
      </c>
      <c r="P3936" s="4">
        <v>0</v>
      </c>
      <c r="Q3936" s="7">
        <f t="shared" si="430"/>
        <v>0</v>
      </c>
      <c r="R3936" s="7">
        <f t="shared" si="431"/>
        <v>2024.16</v>
      </c>
      <c r="S3936" s="7">
        <f t="shared" si="432"/>
        <v>337.36</v>
      </c>
      <c r="T3936" s="6">
        <f t="shared" si="433"/>
        <v>1.3157894736842105E-2</v>
      </c>
      <c r="V3936" t="s">
        <v>29</v>
      </c>
    </row>
    <row r="3937" spans="1:22">
      <c r="A3937" s="3">
        <v>45821</v>
      </c>
      <c r="B3937" t="str">
        <f t="shared" si="427"/>
        <v>yyyy-06</v>
      </c>
      <c r="C3937">
        <f t="shared" si="428"/>
        <v>24</v>
      </c>
      <c r="D3937" t="s">
        <v>66</v>
      </c>
      <c r="E3937" t="s">
        <v>71</v>
      </c>
      <c r="F3937" t="s">
        <v>72</v>
      </c>
      <c r="G3937" t="s">
        <v>36</v>
      </c>
      <c r="H3937" t="s">
        <v>37</v>
      </c>
      <c r="I3937" s="5">
        <v>345</v>
      </c>
      <c r="J3937" s="5">
        <v>191</v>
      </c>
      <c r="K3937" s="5">
        <v>19</v>
      </c>
      <c r="L3937" s="5">
        <v>8</v>
      </c>
      <c r="M3937" s="5">
        <v>10</v>
      </c>
      <c r="N3937" s="7">
        <v>126.72</v>
      </c>
      <c r="O3937" s="7">
        <f t="shared" si="429"/>
        <v>1267.2</v>
      </c>
      <c r="P3937" s="4">
        <v>0.05</v>
      </c>
      <c r="Q3937" s="7">
        <f t="shared" si="430"/>
        <v>63.360000000000007</v>
      </c>
      <c r="R3937" s="7">
        <f t="shared" si="431"/>
        <v>1203.8400000000001</v>
      </c>
      <c r="S3937" s="7">
        <f t="shared" si="432"/>
        <v>150.48000000000002</v>
      </c>
      <c r="T3937" s="6">
        <f t="shared" si="433"/>
        <v>2.318840579710145E-2</v>
      </c>
      <c r="V3937" t="s">
        <v>29</v>
      </c>
    </row>
    <row r="3938" spans="1:22">
      <c r="A3938" s="3">
        <v>45821</v>
      </c>
      <c r="B3938" t="str">
        <f t="shared" si="427"/>
        <v>yyyy-06</v>
      </c>
      <c r="C3938">
        <f t="shared" si="428"/>
        <v>24</v>
      </c>
      <c r="D3938" t="s">
        <v>66</v>
      </c>
      <c r="E3938" t="s">
        <v>73</v>
      </c>
      <c r="F3938" t="s">
        <v>74</v>
      </c>
      <c r="G3938" t="s">
        <v>31</v>
      </c>
      <c r="H3938" t="s">
        <v>32</v>
      </c>
      <c r="I3938" s="5">
        <v>341</v>
      </c>
      <c r="J3938" s="5">
        <v>254</v>
      </c>
      <c r="K3938" s="5">
        <v>20</v>
      </c>
      <c r="L3938" s="5">
        <v>5</v>
      </c>
      <c r="M3938" s="5">
        <v>5</v>
      </c>
      <c r="N3938" s="7">
        <v>1219.1099999999999</v>
      </c>
      <c r="O3938" s="7">
        <f t="shared" si="429"/>
        <v>6095.5499999999993</v>
      </c>
      <c r="P3938" s="4">
        <v>0</v>
      </c>
      <c r="Q3938" s="7">
        <f t="shared" si="430"/>
        <v>0</v>
      </c>
      <c r="R3938" s="7">
        <f t="shared" si="431"/>
        <v>6095.5499999999993</v>
      </c>
      <c r="S3938" s="7">
        <f t="shared" si="432"/>
        <v>1219.1099999999999</v>
      </c>
      <c r="T3938" s="6">
        <f t="shared" si="433"/>
        <v>1.466275659824047E-2</v>
      </c>
      <c r="V3938" t="s">
        <v>29</v>
      </c>
    </row>
    <row r="3939" spans="1:22">
      <c r="A3939" s="3">
        <v>45821</v>
      </c>
      <c r="B3939" t="str">
        <f t="shared" si="427"/>
        <v>yyyy-06</v>
      </c>
      <c r="C3939">
        <f t="shared" si="428"/>
        <v>24</v>
      </c>
      <c r="D3939" t="s">
        <v>66</v>
      </c>
      <c r="E3939" t="s">
        <v>71</v>
      </c>
      <c r="F3939" t="s">
        <v>75</v>
      </c>
      <c r="G3939" t="s">
        <v>31</v>
      </c>
      <c r="H3939" t="s">
        <v>32</v>
      </c>
      <c r="I3939" s="5">
        <v>500</v>
      </c>
      <c r="J3939" s="5">
        <v>361</v>
      </c>
      <c r="K3939" s="5">
        <v>34</v>
      </c>
      <c r="L3939" s="5">
        <v>8</v>
      </c>
      <c r="M3939" s="5">
        <v>8</v>
      </c>
      <c r="N3939" s="7">
        <v>38.32</v>
      </c>
      <c r="O3939" s="7">
        <f t="shared" si="429"/>
        <v>306.56</v>
      </c>
      <c r="P3939" s="4">
        <v>0</v>
      </c>
      <c r="Q3939" s="7">
        <f t="shared" si="430"/>
        <v>0</v>
      </c>
      <c r="R3939" s="7">
        <f t="shared" si="431"/>
        <v>306.56</v>
      </c>
      <c r="S3939" s="7">
        <f t="shared" si="432"/>
        <v>38.32</v>
      </c>
      <c r="T3939" s="6">
        <f t="shared" si="433"/>
        <v>1.6E-2</v>
      </c>
      <c r="V3939" t="s">
        <v>29</v>
      </c>
    </row>
    <row r="3940" spans="1:22">
      <c r="A3940" s="3">
        <v>45821</v>
      </c>
      <c r="B3940" t="str">
        <f t="shared" si="427"/>
        <v>yyyy-06</v>
      </c>
      <c r="C3940">
        <f t="shared" si="428"/>
        <v>24</v>
      </c>
      <c r="D3940" t="s">
        <v>24</v>
      </c>
      <c r="E3940" t="s">
        <v>76</v>
      </c>
      <c r="F3940" t="s">
        <v>77</v>
      </c>
      <c r="G3940" t="s">
        <v>31</v>
      </c>
      <c r="H3940" t="s">
        <v>32</v>
      </c>
      <c r="I3940" s="5">
        <v>747</v>
      </c>
      <c r="J3940" s="5">
        <v>486</v>
      </c>
      <c r="K3940" s="5">
        <v>40</v>
      </c>
      <c r="L3940" s="5">
        <v>14</v>
      </c>
      <c r="M3940" s="5">
        <v>17</v>
      </c>
      <c r="N3940" s="7">
        <v>192.51</v>
      </c>
      <c r="O3940" s="7">
        <f t="shared" si="429"/>
        <v>3272.67</v>
      </c>
      <c r="P3940" s="4">
        <v>0</v>
      </c>
      <c r="Q3940" s="7">
        <f t="shared" si="430"/>
        <v>0</v>
      </c>
      <c r="R3940" s="7">
        <f t="shared" si="431"/>
        <v>3272.67</v>
      </c>
      <c r="S3940" s="7">
        <f t="shared" si="432"/>
        <v>233.76214285714286</v>
      </c>
      <c r="T3940" s="6">
        <f t="shared" si="433"/>
        <v>1.8741633199464525E-2</v>
      </c>
      <c r="V3940" t="s">
        <v>29</v>
      </c>
    </row>
    <row r="3941" spans="1:22">
      <c r="A3941" s="3">
        <v>45822</v>
      </c>
      <c r="B3941" t="str">
        <f t="shared" si="427"/>
        <v>yyyy-06</v>
      </c>
      <c r="C3941">
        <f t="shared" si="428"/>
        <v>24</v>
      </c>
      <c r="D3941" t="s">
        <v>24</v>
      </c>
      <c r="E3941" t="s">
        <v>25</v>
      </c>
      <c r="F3941" t="s">
        <v>26</v>
      </c>
      <c r="G3941" t="s">
        <v>27</v>
      </c>
      <c r="H3941" t="s">
        <v>48</v>
      </c>
      <c r="I3941" s="5">
        <v>1386</v>
      </c>
      <c r="J3941" s="5">
        <v>1121</v>
      </c>
      <c r="K3941" s="5">
        <v>114</v>
      </c>
      <c r="L3941" s="5">
        <v>35</v>
      </c>
      <c r="M3941" s="5">
        <v>35</v>
      </c>
      <c r="N3941" s="7">
        <v>1018.03</v>
      </c>
      <c r="O3941" s="7">
        <f t="shared" si="429"/>
        <v>35631.049999999996</v>
      </c>
      <c r="P3941" s="4">
        <v>0</v>
      </c>
      <c r="Q3941" s="7">
        <f t="shared" si="430"/>
        <v>0</v>
      </c>
      <c r="R3941" s="7">
        <f t="shared" si="431"/>
        <v>35631.049999999996</v>
      </c>
      <c r="S3941" s="7">
        <f t="shared" si="432"/>
        <v>1018.0299999999999</v>
      </c>
      <c r="T3941" s="6">
        <f t="shared" si="433"/>
        <v>2.5252525252525252E-2</v>
      </c>
      <c r="V3941" t="s">
        <v>29</v>
      </c>
    </row>
    <row r="3942" spans="1:22">
      <c r="A3942" s="3">
        <v>45822</v>
      </c>
      <c r="B3942" t="str">
        <f t="shared" si="427"/>
        <v>yyyy-06</v>
      </c>
      <c r="C3942">
        <f t="shared" si="428"/>
        <v>24</v>
      </c>
      <c r="D3942" t="s">
        <v>24</v>
      </c>
      <c r="E3942" t="s">
        <v>25</v>
      </c>
      <c r="F3942" t="s">
        <v>30</v>
      </c>
      <c r="G3942" t="s">
        <v>27</v>
      </c>
      <c r="H3942" t="s">
        <v>45</v>
      </c>
      <c r="I3942" s="5">
        <v>1780</v>
      </c>
      <c r="J3942" s="5">
        <v>1175</v>
      </c>
      <c r="K3942" s="5">
        <v>206</v>
      </c>
      <c r="L3942" s="5">
        <v>44</v>
      </c>
      <c r="M3942" s="5">
        <v>44</v>
      </c>
      <c r="N3942" s="7">
        <v>384.35</v>
      </c>
      <c r="O3942" s="7">
        <f t="shared" si="429"/>
        <v>16911.400000000001</v>
      </c>
      <c r="P3942" s="4">
        <v>0</v>
      </c>
      <c r="Q3942" s="7">
        <f t="shared" si="430"/>
        <v>0</v>
      </c>
      <c r="R3942" s="7">
        <f t="shared" si="431"/>
        <v>16911.400000000001</v>
      </c>
      <c r="S3942" s="7">
        <f t="shared" si="432"/>
        <v>384.35</v>
      </c>
      <c r="T3942" s="6">
        <f t="shared" si="433"/>
        <v>2.4719101123595506E-2</v>
      </c>
      <c r="V3942" t="s">
        <v>29</v>
      </c>
    </row>
    <row r="3943" spans="1:22">
      <c r="A3943" s="3">
        <v>45822</v>
      </c>
      <c r="B3943" t="str">
        <f t="shared" si="427"/>
        <v>yyyy-06</v>
      </c>
      <c r="C3943">
        <f t="shared" si="428"/>
        <v>24</v>
      </c>
      <c r="D3943" t="s">
        <v>24</v>
      </c>
      <c r="E3943" t="s">
        <v>25</v>
      </c>
      <c r="F3943" t="s">
        <v>33</v>
      </c>
      <c r="G3943" t="s">
        <v>27</v>
      </c>
      <c r="H3943" t="s">
        <v>28</v>
      </c>
      <c r="I3943" s="5">
        <v>1788</v>
      </c>
      <c r="J3943" s="5">
        <v>1023</v>
      </c>
      <c r="K3943" s="5">
        <v>63</v>
      </c>
      <c r="L3943" s="5">
        <v>30</v>
      </c>
      <c r="M3943" s="5">
        <v>30</v>
      </c>
      <c r="N3943" s="7">
        <v>1813.13</v>
      </c>
      <c r="O3943" s="7">
        <f t="shared" si="429"/>
        <v>54393.9</v>
      </c>
      <c r="P3943" s="4">
        <v>0</v>
      </c>
      <c r="Q3943" s="7">
        <f t="shared" si="430"/>
        <v>0</v>
      </c>
      <c r="R3943" s="7">
        <f t="shared" si="431"/>
        <v>54393.9</v>
      </c>
      <c r="S3943" s="7">
        <f t="shared" si="432"/>
        <v>1813.13</v>
      </c>
      <c r="T3943" s="6">
        <f t="shared" si="433"/>
        <v>1.6778523489932886E-2</v>
      </c>
      <c r="V3943" t="s">
        <v>29</v>
      </c>
    </row>
    <row r="3944" spans="1:22">
      <c r="A3944" s="3">
        <v>45822</v>
      </c>
      <c r="B3944" t="str">
        <f t="shared" si="427"/>
        <v>yyyy-06</v>
      </c>
      <c r="C3944">
        <f t="shared" si="428"/>
        <v>24</v>
      </c>
      <c r="D3944" t="s">
        <v>24</v>
      </c>
      <c r="E3944" t="s">
        <v>34</v>
      </c>
      <c r="F3944" t="s">
        <v>35</v>
      </c>
      <c r="G3944" t="s">
        <v>27</v>
      </c>
      <c r="H3944" t="s">
        <v>63</v>
      </c>
      <c r="I3944" s="5">
        <v>1012</v>
      </c>
      <c r="J3944" s="5">
        <v>668</v>
      </c>
      <c r="K3944" s="5">
        <v>60</v>
      </c>
      <c r="L3944" s="5">
        <v>24</v>
      </c>
      <c r="M3944" s="5">
        <v>24</v>
      </c>
      <c r="N3944" s="7">
        <v>892.01</v>
      </c>
      <c r="O3944" s="7">
        <f t="shared" si="429"/>
        <v>21408.239999999998</v>
      </c>
      <c r="P3944" s="4">
        <v>0.03</v>
      </c>
      <c r="Q3944" s="7">
        <f t="shared" si="430"/>
        <v>642.24719999999991</v>
      </c>
      <c r="R3944" s="7">
        <f t="shared" si="431"/>
        <v>20765.992799999996</v>
      </c>
      <c r="S3944" s="7">
        <f t="shared" si="432"/>
        <v>865.24969999999985</v>
      </c>
      <c r="T3944" s="6">
        <f t="shared" si="433"/>
        <v>2.3715415019762844E-2</v>
      </c>
      <c r="V3944" t="s">
        <v>29</v>
      </c>
    </row>
    <row r="3945" spans="1:22">
      <c r="A3945" s="3">
        <v>45822</v>
      </c>
      <c r="B3945" t="str">
        <f t="shared" si="427"/>
        <v>yyyy-06</v>
      </c>
      <c r="C3945">
        <f t="shared" si="428"/>
        <v>24</v>
      </c>
      <c r="D3945" t="s">
        <v>24</v>
      </c>
      <c r="E3945" t="s">
        <v>38</v>
      </c>
      <c r="F3945" t="s">
        <v>39</v>
      </c>
      <c r="G3945" t="s">
        <v>27</v>
      </c>
      <c r="H3945" t="s">
        <v>28</v>
      </c>
      <c r="I3945" s="5">
        <v>1236</v>
      </c>
      <c r="J3945" s="5">
        <v>959</v>
      </c>
      <c r="K3945" s="5">
        <v>132</v>
      </c>
      <c r="L3945" s="5">
        <v>27</v>
      </c>
      <c r="M3945" s="5">
        <v>27</v>
      </c>
      <c r="N3945" s="7">
        <v>322.91000000000003</v>
      </c>
      <c r="O3945" s="7">
        <f t="shared" si="429"/>
        <v>8718.5700000000015</v>
      </c>
      <c r="P3945" s="4">
        <v>0.03</v>
      </c>
      <c r="Q3945" s="7">
        <f t="shared" si="430"/>
        <v>261.55710000000005</v>
      </c>
      <c r="R3945" s="7">
        <f t="shared" si="431"/>
        <v>8457.0129000000015</v>
      </c>
      <c r="S3945" s="7">
        <f t="shared" si="432"/>
        <v>313.22270000000003</v>
      </c>
      <c r="T3945" s="6">
        <f t="shared" si="433"/>
        <v>2.1844660194174758E-2</v>
      </c>
      <c r="V3945" t="s">
        <v>29</v>
      </c>
    </row>
    <row r="3946" spans="1:22">
      <c r="A3946" s="3">
        <v>45822</v>
      </c>
      <c r="B3946" t="str">
        <f t="shared" si="427"/>
        <v>yyyy-06</v>
      </c>
      <c r="C3946">
        <f t="shared" si="428"/>
        <v>24</v>
      </c>
      <c r="D3946" t="s">
        <v>24</v>
      </c>
      <c r="E3946" t="s">
        <v>40</v>
      </c>
      <c r="F3946" t="s">
        <v>41</v>
      </c>
      <c r="G3946" t="s">
        <v>31</v>
      </c>
      <c r="H3946" t="s">
        <v>32</v>
      </c>
      <c r="I3946" s="5">
        <v>1202</v>
      </c>
      <c r="J3946" s="5">
        <v>857</v>
      </c>
      <c r="K3946" s="5">
        <v>78</v>
      </c>
      <c r="L3946" s="5">
        <v>19</v>
      </c>
      <c r="M3946" s="5">
        <v>22</v>
      </c>
      <c r="N3946" s="7">
        <v>180.61</v>
      </c>
      <c r="O3946" s="7">
        <f t="shared" si="429"/>
        <v>3973.42</v>
      </c>
      <c r="P3946" s="4">
        <v>0.05</v>
      </c>
      <c r="Q3946" s="7">
        <f t="shared" si="430"/>
        <v>198.67100000000002</v>
      </c>
      <c r="R3946" s="7">
        <f t="shared" si="431"/>
        <v>3774.7490000000003</v>
      </c>
      <c r="S3946" s="7">
        <f t="shared" si="432"/>
        <v>198.67100000000002</v>
      </c>
      <c r="T3946" s="6">
        <f t="shared" si="433"/>
        <v>1.5806988352745424E-2</v>
      </c>
      <c r="V3946" t="s">
        <v>29</v>
      </c>
    </row>
    <row r="3947" spans="1:22">
      <c r="A3947" s="3">
        <v>45822</v>
      </c>
      <c r="B3947" t="str">
        <f t="shared" si="427"/>
        <v>yyyy-06</v>
      </c>
      <c r="C3947">
        <f t="shared" si="428"/>
        <v>24</v>
      </c>
      <c r="D3947" t="s">
        <v>42</v>
      </c>
      <c r="E3947" t="s">
        <v>43</v>
      </c>
      <c r="F3947" t="s">
        <v>44</v>
      </c>
      <c r="G3947" t="s">
        <v>27</v>
      </c>
      <c r="H3947" t="s">
        <v>28</v>
      </c>
      <c r="I3947" s="5">
        <v>608</v>
      </c>
      <c r="J3947" s="5">
        <v>376</v>
      </c>
      <c r="K3947" s="5">
        <v>34</v>
      </c>
      <c r="L3947" s="5">
        <v>9</v>
      </c>
      <c r="M3947" s="5">
        <v>9</v>
      </c>
      <c r="N3947" s="7">
        <v>1252.69</v>
      </c>
      <c r="O3947" s="7">
        <f t="shared" si="429"/>
        <v>11274.210000000001</v>
      </c>
      <c r="P3947" s="4">
        <v>0.11</v>
      </c>
      <c r="Q3947" s="7">
        <f t="shared" si="430"/>
        <v>1240.1631000000002</v>
      </c>
      <c r="R3947" s="7">
        <f t="shared" si="431"/>
        <v>10034.046900000001</v>
      </c>
      <c r="S3947" s="7">
        <f t="shared" si="432"/>
        <v>1114.8941000000002</v>
      </c>
      <c r="T3947" s="6">
        <f t="shared" si="433"/>
        <v>1.4802631578947368E-2</v>
      </c>
      <c r="U3947" t="s">
        <v>99</v>
      </c>
      <c r="V3947" t="s">
        <v>29</v>
      </c>
    </row>
    <row r="3948" spans="1:22">
      <c r="A3948" s="3">
        <v>45822</v>
      </c>
      <c r="B3948" t="str">
        <f t="shared" si="427"/>
        <v>yyyy-06</v>
      </c>
      <c r="C3948">
        <f t="shared" si="428"/>
        <v>24</v>
      </c>
      <c r="D3948" t="s">
        <v>42</v>
      </c>
      <c r="E3948" t="s">
        <v>43</v>
      </c>
      <c r="F3948" t="s">
        <v>46</v>
      </c>
      <c r="G3948" t="s">
        <v>36</v>
      </c>
      <c r="H3948" t="s">
        <v>37</v>
      </c>
      <c r="I3948" s="5">
        <v>765</v>
      </c>
      <c r="J3948" s="5">
        <v>434</v>
      </c>
      <c r="K3948" s="5">
        <v>73</v>
      </c>
      <c r="L3948" s="5">
        <v>16</v>
      </c>
      <c r="M3948" s="5">
        <v>16</v>
      </c>
      <c r="N3948" s="7">
        <v>2176.42</v>
      </c>
      <c r="O3948" s="7">
        <f t="shared" si="429"/>
        <v>34822.720000000001</v>
      </c>
      <c r="P3948" s="4">
        <v>0.11</v>
      </c>
      <c r="Q3948" s="7">
        <f t="shared" si="430"/>
        <v>3830.4992000000002</v>
      </c>
      <c r="R3948" s="7">
        <f t="shared" si="431"/>
        <v>30992.220800000003</v>
      </c>
      <c r="S3948" s="7">
        <f t="shared" si="432"/>
        <v>1937.0138000000002</v>
      </c>
      <c r="T3948" s="6">
        <f t="shared" si="433"/>
        <v>2.0915032679738561E-2</v>
      </c>
      <c r="U3948" t="s">
        <v>99</v>
      </c>
      <c r="V3948" t="s">
        <v>29</v>
      </c>
    </row>
    <row r="3949" spans="1:22">
      <c r="A3949" s="3">
        <v>45822</v>
      </c>
      <c r="B3949" t="str">
        <f t="shared" si="427"/>
        <v>yyyy-06</v>
      </c>
      <c r="C3949">
        <f t="shared" si="428"/>
        <v>24</v>
      </c>
      <c r="D3949" t="s">
        <v>42</v>
      </c>
      <c r="E3949" t="s">
        <v>43</v>
      </c>
      <c r="F3949" t="s">
        <v>47</v>
      </c>
      <c r="G3949" t="s">
        <v>36</v>
      </c>
      <c r="H3949" t="s">
        <v>37</v>
      </c>
      <c r="I3949" s="5">
        <v>831</v>
      </c>
      <c r="J3949" s="5">
        <v>561</v>
      </c>
      <c r="K3949" s="5">
        <v>53</v>
      </c>
      <c r="L3949" s="5">
        <v>14</v>
      </c>
      <c r="M3949" s="5">
        <v>14</v>
      </c>
      <c r="N3949" s="7">
        <v>602.52</v>
      </c>
      <c r="O3949" s="7">
        <f t="shared" si="429"/>
        <v>8435.2799999999988</v>
      </c>
      <c r="P3949" s="4">
        <v>0.11</v>
      </c>
      <c r="Q3949" s="7">
        <f t="shared" si="430"/>
        <v>927.88079999999991</v>
      </c>
      <c r="R3949" s="7">
        <f t="shared" si="431"/>
        <v>7507.3991999999989</v>
      </c>
      <c r="S3949" s="7">
        <f t="shared" si="432"/>
        <v>536.24279999999987</v>
      </c>
      <c r="T3949" s="6">
        <f t="shared" si="433"/>
        <v>1.684717208182912E-2</v>
      </c>
      <c r="U3949" t="s">
        <v>99</v>
      </c>
      <c r="V3949" t="s">
        <v>29</v>
      </c>
    </row>
    <row r="3950" spans="1:22">
      <c r="A3950" s="3">
        <v>45822</v>
      </c>
      <c r="B3950" t="str">
        <f t="shared" si="427"/>
        <v>yyyy-06</v>
      </c>
      <c r="C3950">
        <f t="shared" si="428"/>
        <v>24</v>
      </c>
      <c r="D3950" t="s">
        <v>42</v>
      </c>
      <c r="E3950" t="s">
        <v>49</v>
      </c>
      <c r="F3950" t="s">
        <v>50</v>
      </c>
      <c r="G3950" t="s">
        <v>31</v>
      </c>
      <c r="H3950" t="s">
        <v>32</v>
      </c>
      <c r="I3950" s="5">
        <v>198</v>
      </c>
      <c r="J3950" s="5">
        <v>130</v>
      </c>
      <c r="K3950" s="5">
        <v>12</v>
      </c>
      <c r="L3950" s="5">
        <v>2</v>
      </c>
      <c r="M3950" s="5">
        <v>2</v>
      </c>
      <c r="N3950" s="7">
        <v>972.74</v>
      </c>
      <c r="O3950" s="7">
        <f t="shared" si="429"/>
        <v>1945.48</v>
      </c>
      <c r="P3950" s="4">
        <v>0.05</v>
      </c>
      <c r="Q3950" s="7">
        <f t="shared" si="430"/>
        <v>97.274000000000001</v>
      </c>
      <c r="R3950" s="7">
        <f t="shared" si="431"/>
        <v>1848.2060000000001</v>
      </c>
      <c r="S3950" s="7">
        <f t="shared" si="432"/>
        <v>924.10300000000007</v>
      </c>
      <c r="T3950" s="6">
        <f t="shared" si="433"/>
        <v>1.0101010101010102E-2</v>
      </c>
      <c r="V3950" t="s">
        <v>29</v>
      </c>
    </row>
    <row r="3951" spans="1:22">
      <c r="A3951" s="3">
        <v>45822</v>
      </c>
      <c r="B3951" t="str">
        <f t="shared" si="427"/>
        <v>yyyy-06</v>
      </c>
      <c r="C3951">
        <f t="shared" si="428"/>
        <v>24</v>
      </c>
      <c r="D3951" t="s">
        <v>42</v>
      </c>
      <c r="E3951" t="s">
        <v>51</v>
      </c>
      <c r="F3951" t="s">
        <v>52</v>
      </c>
      <c r="G3951" t="s">
        <v>27</v>
      </c>
      <c r="H3951" t="s">
        <v>28</v>
      </c>
      <c r="I3951" s="5">
        <v>413</v>
      </c>
      <c r="J3951" s="5">
        <v>330</v>
      </c>
      <c r="K3951" s="5">
        <v>31</v>
      </c>
      <c r="L3951" s="5">
        <v>7</v>
      </c>
      <c r="M3951" s="5">
        <v>7</v>
      </c>
      <c r="N3951" s="7">
        <v>598.98</v>
      </c>
      <c r="O3951" s="7">
        <f t="shared" si="429"/>
        <v>4192.8600000000006</v>
      </c>
      <c r="P3951" s="4">
        <v>0.05</v>
      </c>
      <c r="Q3951" s="7">
        <f t="shared" si="430"/>
        <v>209.64300000000003</v>
      </c>
      <c r="R3951" s="7">
        <f t="shared" si="431"/>
        <v>3983.2170000000006</v>
      </c>
      <c r="S3951" s="7">
        <f t="shared" si="432"/>
        <v>569.03100000000006</v>
      </c>
      <c r="T3951" s="6">
        <f t="shared" si="433"/>
        <v>1.6949152542372881E-2</v>
      </c>
      <c r="V3951" t="s">
        <v>29</v>
      </c>
    </row>
    <row r="3952" spans="1:22">
      <c r="A3952" s="3">
        <v>45822</v>
      </c>
      <c r="B3952" t="str">
        <f t="shared" si="427"/>
        <v>yyyy-06</v>
      </c>
      <c r="C3952">
        <f t="shared" si="428"/>
        <v>24</v>
      </c>
      <c r="D3952" t="s">
        <v>53</v>
      </c>
      <c r="E3952" t="s">
        <v>54</v>
      </c>
      <c r="F3952" t="s">
        <v>55</v>
      </c>
      <c r="G3952" t="s">
        <v>36</v>
      </c>
      <c r="H3952" t="s">
        <v>37</v>
      </c>
      <c r="I3952" s="5">
        <v>216</v>
      </c>
      <c r="J3952" s="5">
        <v>154</v>
      </c>
      <c r="K3952" s="5">
        <v>11</v>
      </c>
      <c r="L3952" s="5">
        <v>2</v>
      </c>
      <c r="M3952" s="5">
        <v>2</v>
      </c>
      <c r="N3952" s="7">
        <v>1299.49</v>
      </c>
      <c r="O3952" s="7">
        <f t="shared" si="429"/>
        <v>2598.98</v>
      </c>
      <c r="P3952" s="4">
        <v>0.05</v>
      </c>
      <c r="Q3952" s="7">
        <f t="shared" si="430"/>
        <v>129.94900000000001</v>
      </c>
      <c r="R3952" s="7">
        <f t="shared" si="431"/>
        <v>2469.0309999999999</v>
      </c>
      <c r="S3952" s="7">
        <f t="shared" si="432"/>
        <v>1234.5155</v>
      </c>
      <c r="T3952" s="6">
        <f t="shared" si="433"/>
        <v>9.2592592592592587E-3</v>
      </c>
      <c r="V3952" t="s">
        <v>78</v>
      </c>
    </row>
    <row r="3953" spans="1:22">
      <c r="A3953" s="3">
        <v>45822</v>
      </c>
      <c r="B3953" t="str">
        <f t="shared" si="427"/>
        <v>yyyy-06</v>
      </c>
      <c r="C3953">
        <f t="shared" si="428"/>
        <v>24</v>
      </c>
      <c r="D3953" t="s">
        <v>53</v>
      </c>
      <c r="E3953" t="s">
        <v>56</v>
      </c>
      <c r="F3953" t="s">
        <v>57</v>
      </c>
      <c r="G3953" t="s">
        <v>31</v>
      </c>
      <c r="H3953" t="s">
        <v>32</v>
      </c>
      <c r="I3953" s="5">
        <v>293</v>
      </c>
      <c r="J3953" s="5">
        <v>205</v>
      </c>
      <c r="K3953" s="5">
        <v>12</v>
      </c>
      <c r="L3953" s="5">
        <v>3</v>
      </c>
      <c r="M3953" s="5">
        <v>3</v>
      </c>
      <c r="N3953" s="7">
        <v>758.82</v>
      </c>
      <c r="O3953" s="7">
        <f t="shared" si="429"/>
        <v>2276.46</v>
      </c>
      <c r="P3953" s="4">
        <v>0</v>
      </c>
      <c r="Q3953" s="7">
        <f t="shared" si="430"/>
        <v>0</v>
      </c>
      <c r="R3953" s="7">
        <f t="shared" si="431"/>
        <v>2276.46</v>
      </c>
      <c r="S3953" s="7">
        <f t="shared" si="432"/>
        <v>758.82</v>
      </c>
      <c r="T3953" s="6">
        <f t="shared" si="433"/>
        <v>1.0238907849829351E-2</v>
      </c>
      <c r="V3953" t="s">
        <v>29</v>
      </c>
    </row>
    <row r="3954" spans="1:22">
      <c r="A3954" s="3">
        <v>45822</v>
      </c>
      <c r="B3954" t="str">
        <f t="shared" si="427"/>
        <v>yyyy-06</v>
      </c>
      <c r="C3954">
        <f t="shared" si="428"/>
        <v>24</v>
      </c>
      <c r="D3954" t="s">
        <v>53</v>
      </c>
      <c r="E3954" t="s">
        <v>56</v>
      </c>
      <c r="F3954" t="s">
        <v>58</v>
      </c>
      <c r="G3954" t="s">
        <v>36</v>
      </c>
      <c r="H3954" t="s">
        <v>37</v>
      </c>
      <c r="I3954" s="5">
        <v>360</v>
      </c>
      <c r="J3954" s="5">
        <v>241</v>
      </c>
      <c r="K3954" s="5">
        <v>19</v>
      </c>
      <c r="L3954" s="5">
        <v>4</v>
      </c>
      <c r="M3954" s="5">
        <v>4</v>
      </c>
      <c r="N3954" s="7">
        <v>912.75</v>
      </c>
      <c r="O3954" s="7">
        <f t="shared" si="429"/>
        <v>3651</v>
      </c>
      <c r="P3954" s="4">
        <v>0</v>
      </c>
      <c r="Q3954" s="7">
        <f t="shared" si="430"/>
        <v>0</v>
      </c>
      <c r="R3954" s="7">
        <f t="shared" si="431"/>
        <v>3651</v>
      </c>
      <c r="S3954" s="7">
        <f t="shared" si="432"/>
        <v>912.75</v>
      </c>
      <c r="T3954" s="6">
        <f t="shared" si="433"/>
        <v>1.1111111111111112E-2</v>
      </c>
      <c r="V3954" t="s">
        <v>29</v>
      </c>
    </row>
    <row r="3955" spans="1:22">
      <c r="A3955" s="3">
        <v>45822</v>
      </c>
      <c r="B3955" t="str">
        <f t="shared" si="427"/>
        <v>yyyy-06</v>
      </c>
      <c r="C3955">
        <f t="shared" si="428"/>
        <v>24</v>
      </c>
      <c r="D3955" t="s">
        <v>53</v>
      </c>
      <c r="E3955" t="s">
        <v>59</v>
      </c>
      <c r="F3955" t="s">
        <v>60</v>
      </c>
      <c r="G3955" t="s">
        <v>27</v>
      </c>
      <c r="H3955" t="s">
        <v>48</v>
      </c>
      <c r="I3955" s="5">
        <v>153</v>
      </c>
      <c r="J3955" s="5">
        <v>122</v>
      </c>
      <c r="K3955" s="5">
        <v>8</v>
      </c>
      <c r="L3955" s="5">
        <v>2</v>
      </c>
      <c r="M3955" s="5">
        <v>2</v>
      </c>
      <c r="N3955" s="7">
        <v>673.23</v>
      </c>
      <c r="O3955" s="7">
        <f t="shared" si="429"/>
        <v>1346.46</v>
      </c>
      <c r="P3955" s="4">
        <v>0</v>
      </c>
      <c r="Q3955" s="7">
        <f t="shared" si="430"/>
        <v>0</v>
      </c>
      <c r="R3955" s="7">
        <f t="shared" si="431"/>
        <v>1346.46</v>
      </c>
      <c r="S3955" s="7">
        <f t="shared" si="432"/>
        <v>673.23</v>
      </c>
      <c r="T3955" s="6">
        <f t="shared" si="433"/>
        <v>1.3071895424836602E-2</v>
      </c>
      <c r="V3955" t="s">
        <v>29</v>
      </c>
    </row>
    <row r="3956" spans="1:22">
      <c r="A3956" s="3">
        <v>45822</v>
      </c>
      <c r="B3956" t="str">
        <f t="shared" si="427"/>
        <v>yyyy-06</v>
      </c>
      <c r="C3956">
        <f t="shared" si="428"/>
        <v>24</v>
      </c>
      <c r="D3956" t="s">
        <v>53</v>
      </c>
      <c r="E3956" t="s">
        <v>61</v>
      </c>
      <c r="F3956" t="s">
        <v>62</v>
      </c>
      <c r="G3956" t="s">
        <v>27</v>
      </c>
      <c r="H3956" t="s">
        <v>48</v>
      </c>
      <c r="I3956" s="5">
        <v>137</v>
      </c>
      <c r="J3956" s="5">
        <v>92</v>
      </c>
      <c r="K3956" s="5">
        <v>4</v>
      </c>
      <c r="L3956" s="5">
        <v>1</v>
      </c>
      <c r="M3956" s="5">
        <v>1</v>
      </c>
      <c r="N3956" s="7">
        <v>488.77</v>
      </c>
      <c r="O3956" s="7">
        <f t="shared" si="429"/>
        <v>488.77</v>
      </c>
      <c r="P3956" s="4">
        <v>0</v>
      </c>
      <c r="Q3956" s="7">
        <f t="shared" si="430"/>
        <v>0</v>
      </c>
      <c r="R3956" s="7">
        <f t="shared" si="431"/>
        <v>488.77</v>
      </c>
      <c r="S3956" s="7">
        <f t="shared" si="432"/>
        <v>488.77</v>
      </c>
      <c r="T3956" s="6">
        <f t="shared" si="433"/>
        <v>7.2992700729927005E-3</v>
      </c>
      <c r="V3956" t="s">
        <v>29</v>
      </c>
    </row>
    <row r="3957" spans="1:22">
      <c r="A3957" s="3">
        <v>45822</v>
      </c>
      <c r="B3957" t="str">
        <f t="shared" si="427"/>
        <v>yyyy-06</v>
      </c>
      <c r="C3957">
        <f t="shared" si="428"/>
        <v>24</v>
      </c>
      <c r="D3957" t="s">
        <v>53</v>
      </c>
      <c r="E3957" t="s">
        <v>64</v>
      </c>
      <c r="F3957" t="s">
        <v>65</v>
      </c>
      <c r="G3957" t="s">
        <v>27</v>
      </c>
      <c r="H3957" t="s">
        <v>48</v>
      </c>
      <c r="I3957" s="5">
        <v>228</v>
      </c>
      <c r="J3957" s="5">
        <v>188</v>
      </c>
      <c r="K3957" s="5">
        <v>16</v>
      </c>
      <c r="L3957" s="5">
        <v>3</v>
      </c>
      <c r="M3957" s="5">
        <v>3</v>
      </c>
      <c r="N3957" s="7">
        <v>787.2</v>
      </c>
      <c r="O3957" s="7">
        <f t="shared" si="429"/>
        <v>2361.6000000000004</v>
      </c>
      <c r="P3957" s="4">
        <v>0.05</v>
      </c>
      <c r="Q3957" s="7">
        <f t="shared" si="430"/>
        <v>118.08000000000003</v>
      </c>
      <c r="R3957" s="7">
        <f t="shared" si="431"/>
        <v>2243.5200000000004</v>
      </c>
      <c r="S3957" s="7">
        <f t="shared" si="432"/>
        <v>747.84000000000015</v>
      </c>
      <c r="T3957" s="6">
        <f t="shared" si="433"/>
        <v>1.3157894736842105E-2</v>
      </c>
      <c r="V3957" t="s">
        <v>29</v>
      </c>
    </row>
    <row r="3958" spans="1:22">
      <c r="A3958" s="3">
        <v>45822</v>
      </c>
      <c r="B3958" t="str">
        <f t="shared" si="427"/>
        <v>yyyy-06</v>
      </c>
      <c r="C3958">
        <f t="shared" si="428"/>
        <v>24</v>
      </c>
      <c r="D3958" t="s">
        <v>66</v>
      </c>
      <c r="E3958" t="s">
        <v>67</v>
      </c>
      <c r="F3958" t="s">
        <v>68</v>
      </c>
      <c r="G3958" t="s">
        <v>27</v>
      </c>
      <c r="H3958" t="s">
        <v>45</v>
      </c>
      <c r="I3958" s="5">
        <v>371</v>
      </c>
      <c r="J3958" s="5">
        <v>266</v>
      </c>
      <c r="K3958" s="5">
        <v>28</v>
      </c>
      <c r="L3958" s="5">
        <v>6</v>
      </c>
      <c r="M3958" s="5">
        <v>6</v>
      </c>
      <c r="N3958" s="7">
        <v>700.21</v>
      </c>
      <c r="O3958" s="7">
        <f t="shared" si="429"/>
        <v>4201.26</v>
      </c>
      <c r="P3958" s="4">
        <v>0</v>
      </c>
      <c r="Q3958" s="7">
        <f t="shared" si="430"/>
        <v>0</v>
      </c>
      <c r="R3958" s="7">
        <f t="shared" si="431"/>
        <v>4201.26</v>
      </c>
      <c r="S3958" s="7">
        <f t="shared" si="432"/>
        <v>700.21</v>
      </c>
      <c r="T3958" s="6">
        <f t="shared" si="433"/>
        <v>1.6172506738544475E-2</v>
      </c>
      <c r="V3958" t="s">
        <v>29</v>
      </c>
    </row>
    <row r="3959" spans="1:22">
      <c r="A3959" s="3">
        <v>45822</v>
      </c>
      <c r="B3959" t="str">
        <f t="shared" si="427"/>
        <v>yyyy-06</v>
      </c>
      <c r="C3959">
        <f t="shared" si="428"/>
        <v>24</v>
      </c>
      <c r="D3959" t="s">
        <v>66</v>
      </c>
      <c r="E3959" t="s">
        <v>67</v>
      </c>
      <c r="F3959" t="s">
        <v>69</v>
      </c>
      <c r="G3959" t="s">
        <v>31</v>
      </c>
      <c r="H3959" t="s">
        <v>32</v>
      </c>
      <c r="I3959" s="5">
        <v>481</v>
      </c>
      <c r="J3959" s="5">
        <v>278</v>
      </c>
      <c r="K3959" s="5">
        <v>33</v>
      </c>
      <c r="L3959" s="5">
        <v>7</v>
      </c>
      <c r="M3959" s="5">
        <v>7</v>
      </c>
      <c r="N3959" s="7">
        <v>395.27</v>
      </c>
      <c r="O3959" s="7">
        <f t="shared" si="429"/>
        <v>2766.89</v>
      </c>
      <c r="P3959" s="4">
        <v>0</v>
      </c>
      <c r="Q3959" s="7">
        <f t="shared" si="430"/>
        <v>0</v>
      </c>
      <c r="R3959" s="7">
        <f t="shared" si="431"/>
        <v>2766.89</v>
      </c>
      <c r="S3959" s="7">
        <f t="shared" si="432"/>
        <v>395.27</v>
      </c>
      <c r="T3959" s="6">
        <f t="shared" si="433"/>
        <v>1.4553014553014554E-2</v>
      </c>
      <c r="V3959" t="s">
        <v>29</v>
      </c>
    </row>
    <row r="3960" spans="1:22">
      <c r="A3960" s="3">
        <v>45822</v>
      </c>
      <c r="B3960" t="str">
        <f t="shared" si="427"/>
        <v>yyyy-06</v>
      </c>
      <c r="C3960">
        <f t="shared" si="428"/>
        <v>24</v>
      </c>
      <c r="D3960" t="s">
        <v>66</v>
      </c>
      <c r="E3960" t="s">
        <v>67</v>
      </c>
      <c r="F3960" t="s">
        <v>70</v>
      </c>
      <c r="G3960" t="s">
        <v>36</v>
      </c>
      <c r="H3960" t="s">
        <v>37</v>
      </c>
      <c r="I3960" s="5">
        <v>469</v>
      </c>
      <c r="J3960" s="5">
        <v>330</v>
      </c>
      <c r="K3960" s="5">
        <v>32</v>
      </c>
      <c r="L3960" s="5">
        <v>7</v>
      </c>
      <c r="M3960" s="5">
        <v>7</v>
      </c>
      <c r="N3960" s="7">
        <v>353.96</v>
      </c>
      <c r="O3960" s="7">
        <f t="shared" si="429"/>
        <v>2477.7199999999998</v>
      </c>
      <c r="P3960" s="4">
        <v>0.03</v>
      </c>
      <c r="Q3960" s="7">
        <f t="shared" si="430"/>
        <v>74.331599999999995</v>
      </c>
      <c r="R3960" s="7">
        <f t="shared" si="431"/>
        <v>2403.3883999999998</v>
      </c>
      <c r="S3960" s="7">
        <f t="shared" si="432"/>
        <v>343.34119999999996</v>
      </c>
      <c r="T3960" s="6">
        <f t="shared" si="433"/>
        <v>1.4925373134328358E-2</v>
      </c>
      <c r="V3960" t="s">
        <v>29</v>
      </c>
    </row>
    <row r="3961" spans="1:22">
      <c r="A3961" s="3">
        <v>45822</v>
      </c>
      <c r="B3961" t="str">
        <f t="shared" si="427"/>
        <v>yyyy-06</v>
      </c>
      <c r="C3961">
        <f t="shared" si="428"/>
        <v>24</v>
      </c>
      <c r="D3961" t="s">
        <v>66</v>
      </c>
      <c r="E3961" t="s">
        <v>71</v>
      </c>
      <c r="F3961" t="s">
        <v>72</v>
      </c>
      <c r="G3961" t="s">
        <v>36</v>
      </c>
      <c r="H3961" t="s">
        <v>37</v>
      </c>
      <c r="I3961" s="5">
        <v>348</v>
      </c>
      <c r="J3961" s="5">
        <v>275</v>
      </c>
      <c r="K3961" s="5">
        <v>26</v>
      </c>
      <c r="L3961" s="5">
        <v>7</v>
      </c>
      <c r="M3961" s="5">
        <v>9</v>
      </c>
      <c r="N3961" s="7">
        <v>130.24</v>
      </c>
      <c r="O3961" s="7">
        <f t="shared" si="429"/>
        <v>1172.1600000000001</v>
      </c>
      <c r="P3961" s="4">
        <v>0.05</v>
      </c>
      <c r="Q3961" s="7">
        <f t="shared" si="430"/>
        <v>58.608000000000004</v>
      </c>
      <c r="R3961" s="7">
        <f t="shared" si="431"/>
        <v>1113.5520000000001</v>
      </c>
      <c r="S3961" s="7">
        <f t="shared" si="432"/>
        <v>159.07885714285717</v>
      </c>
      <c r="T3961" s="6">
        <f t="shared" si="433"/>
        <v>2.0114942528735632E-2</v>
      </c>
      <c r="V3961" t="s">
        <v>29</v>
      </c>
    </row>
    <row r="3962" spans="1:22">
      <c r="A3962" s="3">
        <v>45822</v>
      </c>
      <c r="B3962" t="str">
        <f t="shared" si="427"/>
        <v>yyyy-06</v>
      </c>
      <c r="C3962">
        <f t="shared" si="428"/>
        <v>24</v>
      </c>
      <c r="D3962" t="s">
        <v>66</v>
      </c>
      <c r="E3962" t="s">
        <v>73</v>
      </c>
      <c r="F3962" t="s">
        <v>74</v>
      </c>
      <c r="G3962" t="s">
        <v>27</v>
      </c>
      <c r="H3962" t="s">
        <v>28</v>
      </c>
      <c r="I3962" s="5">
        <v>245</v>
      </c>
      <c r="J3962" s="5">
        <v>133</v>
      </c>
      <c r="K3962" s="5">
        <v>11</v>
      </c>
      <c r="L3962" s="5">
        <v>4</v>
      </c>
      <c r="M3962" s="5">
        <v>4</v>
      </c>
      <c r="N3962" s="7">
        <v>1186.6300000000001</v>
      </c>
      <c r="O3962" s="7">
        <f t="shared" si="429"/>
        <v>4746.5200000000004</v>
      </c>
      <c r="P3962" s="4">
        <v>0</v>
      </c>
      <c r="Q3962" s="7">
        <f t="shared" si="430"/>
        <v>0</v>
      </c>
      <c r="R3962" s="7">
        <f t="shared" si="431"/>
        <v>4746.5200000000004</v>
      </c>
      <c r="S3962" s="7">
        <f t="shared" si="432"/>
        <v>1186.6300000000001</v>
      </c>
      <c r="T3962" s="6">
        <f t="shared" si="433"/>
        <v>1.6326530612244899E-2</v>
      </c>
      <c r="V3962" t="s">
        <v>29</v>
      </c>
    </row>
    <row r="3963" spans="1:22">
      <c r="A3963" s="3">
        <v>45822</v>
      </c>
      <c r="B3963" t="str">
        <f t="shared" si="427"/>
        <v>yyyy-06</v>
      </c>
      <c r="C3963">
        <f t="shared" si="428"/>
        <v>24</v>
      </c>
      <c r="D3963" t="s">
        <v>66</v>
      </c>
      <c r="E3963" t="s">
        <v>71</v>
      </c>
      <c r="F3963" t="s">
        <v>75</v>
      </c>
      <c r="G3963" t="s">
        <v>31</v>
      </c>
      <c r="H3963" t="s">
        <v>32</v>
      </c>
      <c r="I3963" s="5">
        <v>370</v>
      </c>
      <c r="J3963" s="5">
        <v>213</v>
      </c>
      <c r="K3963" s="5">
        <v>36</v>
      </c>
      <c r="L3963" s="5">
        <v>8</v>
      </c>
      <c r="M3963" s="5">
        <v>9</v>
      </c>
      <c r="N3963" s="7">
        <v>37.75</v>
      </c>
      <c r="O3963" s="7">
        <f t="shared" si="429"/>
        <v>339.75</v>
      </c>
      <c r="P3963" s="4">
        <v>0.05</v>
      </c>
      <c r="Q3963" s="7">
        <f t="shared" si="430"/>
        <v>16.987500000000001</v>
      </c>
      <c r="R3963" s="7">
        <f t="shared" si="431"/>
        <v>322.76249999999999</v>
      </c>
      <c r="S3963" s="7">
        <f t="shared" si="432"/>
        <v>40.345312499999999</v>
      </c>
      <c r="T3963" s="6">
        <f t="shared" si="433"/>
        <v>2.1621621621621623E-2</v>
      </c>
      <c r="V3963" t="s">
        <v>29</v>
      </c>
    </row>
    <row r="3964" spans="1:22">
      <c r="A3964" s="3">
        <v>45822</v>
      </c>
      <c r="B3964" t="str">
        <f t="shared" si="427"/>
        <v>yyyy-06</v>
      </c>
      <c r="C3964">
        <f t="shared" si="428"/>
        <v>24</v>
      </c>
      <c r="D3964" t="s">
        <v>24</v>
      </c>
      <c r="E3964" t="s">
        <v>76</v>
      </c>
      <c r="F3964" t="s">
        <v>77</v>
      </c>
      <c r="G3964" t="s">
        <v>31</v>
      </c>
      <c r="H3964" t="s">
        <v>32</v>
      </c>
      <c r="I3964" s="5">
        <v>745</v>
      </c>
      <c r="J3964" s="5">
        <v>452</v>
      </c>
      <c r="K3964" s="5">
        <v>66</v>
      </c>
      <c r="L3964" s="5">
        <v>16</v>
      </c>
      <c r="M3964" s="5">
        <v>19</v>
      </c>
      <c r="N3964" s="7">
        <v>193.47</v>
      </c>
      <c r="O3964" s="7">
        <f t="shared" si="429"/>
        <v>3675.93</v>
      </c>
      <c r="P3964" s="4">
        <v>0</v>
      </c>
      <c r="Q3964" s="7">
        <f t="shared" si="430"/>
        <v>0</v>
      </c>
      <c r="R3964" s="7">
        <f t="shared" si="431"/>
        <v>3675.93</v>
      </c>
      <c r="S3964" s="7">
        <f t="shared" si="432"/>
        <v>229.74562499999999</v>
      </c>
      <c r="T3964" s="6">
        <f t="shared" si="433"/>
        <v>2.1476510067114093E-2</v>
      </c>
      <c r="V3964" t="s">
        <v>29</v>
      </c>
    </row>
    <row r="3965" spans="1:22">
      <c r="A3965" s="3">
        <v>45823</v>
      </c>
      <c r="B3965" t="str">
        <f t="shared" si="427"/>
        <v>yyyy-06</v>
      </c>
      <c r="C3965">
        <f t="shared" si="428"/>
        <v>24</v>
      </c>
      <c r="D3965" t="s">
        <v>24</v>
      </c>
      <c r="E3965" t="s">
        <v>25</v>
      </c>
      <c r="F3965" t="s">
        <v>26</v>
      </c>
      <c r="G3965" t="s">
        <v>31</v>
      </c>
      <c r="H3965" t="s">
        <v>32</v>
      </c>
      <c r="I3965" s="5">
        <v>2629</v>
      </c>
      <c r="J3965" s="5">
        <v>1565</v>
      </c>
      <c r="K3965" s="5">
        <v>269</v>
      </c>
      <c r="L3965" s="5">
        <v>68</v>
      </c>
      <c r="M3965" s="5">
        <v>68</v>
      </c>
      <c r="N3965" s="7">
        <v>980.79</v>
      </c>
      <c r="O3965" s="7">
        <f t="shared" si="429"/>
        <v>66693.72</v>
      </c>
      <c r="P3965" s="4">
        <v>0.03</v>
      </c>
      <c r="Q3965" s="7">
        <f t="shared" si="430"/>
        <v>2000.8116</v>
      </c>
      <c r="R3965" s="7">
        <f t="shared" si="431"/>
        <v>64692.9084</v>
      </c>
      <c r="S3965" s="7">
        <f t="shared" si="432"/>
        <v>951.36630000000002</v>
      </c>
      <c r="T3965" s="6">
        <f t="shared" si="433"/>
        <v>2.5865348041080257E-2</v>
      </c>
      <c r="V3965" t="s">
        <v>29</v>
      </c>
    </row>
    <row r="3966" spans="1:22">
      <c r="A3966" s="3">
        <v>45823</v>
      </c>
      <c r="B3966" t="str">
        <f t="shared" si="427"/>
        <v>yyyy-06</v>
      </c>
      <c r="C3966">
        <f t="shared" si="428"/>
        <v>24</v>
      </c>
      <c r="D3966" t="s">
        <v>24</v>
      </c>
      <c r="E3966" t="s">
        <v>25</v>
      </c>
      <c r="F3966" t="s">
        <v>30</v>
      </c>
      <c r="G3966" t="s">
        <v>36</v>
      </c>
      <c r="H3966" t="s">
        <v>37</v>
      </c>
      <c r="I3966" s="5">
        <v>978</v>
      </c>
      <c r="J3966" s="5">
        <v>561</v>
      </c>
      <c r="K3966" s="5">
        <v>16</v>
      </c>
      <c r="L3966" s="5">
        <v>0</v>
      </c>
      <c r="M3966" s="5">
        <v>0</v>
      </c>
      <c r="N3966" s="7">
        <v>387.97</v>
      </c>
      <c r="O3966" s="7">
        <f t="shared" si="429"/>
        <v>0</v>
      </c>
      <c r="P3966" s="4">
        <v>0</v>
      </c>
      <c r="Q3966" s="7">
        <f t="shared" si="430"/>
        <v>0</v>
      </c>
      <c r="R3966" s="7">
        <f t="shared" si="431"/>
        <v>0</v>
      </c>
      <c r="S3966" s="7">
        <f t="shared" si="432"/>
        <v>0</v>
      </c>
      <c r="T3966" s="6">
        <f t="shared" si="433"/>
        <v>0</v>
      </c>
      <c r="V3966" t="s">
        <v>81</v>
      </c>
    </row>
    <row r="3967" spans="1:22">
      <c r="A3967" s="3">
        <v>45823</v>
      </c>
      <c r="B3967" t="str">
        <f t="shared" si="427"/>
        <v>yyyy-06</v>
      </c>
      <c r="C3967">
        <f t="shared" si="428"/>
        <v>24</v>
      </c>
      <c r="D3967" t="s">
        <v>24</v>
      </c>
      <c r="E3967" t="s">
        <v>25</v>
      </c>
      <c r="F3967" t="s">
        <v>33</v>
      </c>
      <c r="G3967" t="s">
        <v>27</v>
      </c>
      <c r="H3967" t="s">
        <v>45</v>
      </c>
      <c r="I3967" s="5">
        <v>1426</v>
      </c>
      <c r="J3967" s="5">
        <v>814</v>
      </c>
      <c r="K3967" s="5">
        <v>91</v>
      </c>
      <c r="L3967" s="5">
        <v>31</v>
      </c>
      <c r="M3967" s="5">
        <v>31</v>
      </c>
      <c r="N3967" s="7">
        <v>1813.31</v>
      </c>
      <c r="O3967" s="7">
        <f t="shared" si="429"/>
        <v>56212.61</v>
      </c>
      <c r="P3967" s="4">
        <v>0</v>
      </c>
      <c r="Q3967" s="7">
        <f t="shared" si="430"/>
        <v>0</v>
      </c>
      <c r="R3967" s="7">
        <f t="shared" si="431"/>
        <v>56212.61</v>
      </c>
      <c r="S3967" s="7">
        <f t="shared" si="432"/>
        <v>1813.31</v>
      </c>
      <c r="T3967" s="6">
        <f t="shared" si="433"/>
        <v>2.1739130434782608E-2</v>
      </c>
      <c r="V3967" t="s">
        <v>29</v>
      </c>
    </row>
    <row r="3968" spans="1:22">
      <c r="A3968" s="3">
        <v>45823</v>
      </c>
      <c r="B3968" t="str">
        <f t="shared" si="427"/>
        <v>yyyy-06</v>
      </c>
      <c r="C3968">
        <f t="shared" si="428"/>
        <v>24</v>
      </c>
      <c r="D3968" t="s">
        <v>24</v>
      </c>
      <c r="E3968" t="s">
        <v>34</v>
      </c>
      <c r="F3968" t="s">
        <v>35</v>
      </c>
      <c r="G3968" t="s">
        <v>27</v>
      </c>
      <c r="H3968" t="s">
        <v>48</v>
      </c>
      <c r="I3968" s="5">
        <v>1108</v>
      </c>
      <c r="J3968" s="5">
        <v>869</v>
      </c>
      <c r="K3968" s="5">
        <v>50</v>
      </c>
      <c r="L3968" s="5">
        <v>14</v>
      </c>
      <c r="M3968" s="5">
        <v>14</v>
      </c>
      <c r="N3968" s="7">
        <v>869.92</v>
      </c>
      <c r="O3968" s="7">
        <f t="shared" si="429"/>
        <v>12178.88</v>
      </c>
      <c r="P3968" s="4">
        <v>0.05</v>
      </c>
      <c r="Q3968" s="7">
        <f t="shared" si="430"/>
        <v>608.94399999999996</v>
      </c>
      <c r="R3968" s="7">
        <f t="shared" si="431"/>
        <v>11569.936</v>
      </c>
      <c r="S3968" s="7">
        <f t="shared" si="432"/>
        <v>826.42399999999998</v>
      </c>
      <c r="T3968" s="6">
        <f t="shared" si="433"/>
        <v>1.263537906137184E-2</v>
      </c>
      <c r="V3968" t="s">
        <v>78</v>
      </c>
    </row>
    <row r="3969" spans="1:22">
      <c r="A3969" s="3">
        <v>45823</v>
      </c>
      <c r="B3969" t="str">
        <f t="shared" si="427"/>
        <v>yyyy-06</v>
      </c>
      <c r="C3969">
        <f t="shared" si="428"/>
        <v>24</v>
      </c>
      <c r="D3969" t="s">
        <v>24</v>
      </c>
      <c r="E3969" t="s">
        <v>38</v>
      </c>
      <c r="F3969" t="s">
        <v>39</v>
      </c>
      <c r="G3969" t="s">
        <v>27</v>
      </c>
      <c r="H3969" t="s">
        <v>45</v>
      </c>
      <c r="I3969" s="5">
        <v>865</v>
      </c>
      <c r="J3969" s="5">
        <v>551</v>
      </c>
      <c r="K3969" s="5">
        <v>59</v>
      </c>
      <c r="L3969" s="5">
        <v>20</v>
      </c>
      <c r="M3969" s="5">
        <v>20</v>
      </c>
      <c r="N3969" s="7">
        <v>320.37</v>
      </c>
      <c r="O3969" s="7">
        <f t="shared" si="429"/>
        <v>6407.4</v>
      </c>
      <c r="P3969" s="4">
        <v>0</v>
      </c>
      <c r="Q3969" s="7">
        <f t="shared" si="430"/>
        <v>0</v>
      </c>
      <c r="R3969" s="7">
        <f t="shared" si="431"/>
        <v>6407.4</v>
      </c>
      <c r="S3969" s="7">
        <f t="shared" si="432"/>
        <v>320.37</v>
      </c>
      <c r="T3969" s="6">
        <f t="shared" si="433"/>
        <v>2.3121387283236993E-2</v>
      </c>
      <c r="V3969" t="s">
        <v>29</v>
      </c>
    </row>
    <row r="3970" spans="1:22">
      <c r="A3970" s="3">
        <v>45823</v>
      </c>
      <c r="B3970" t="str">
        <f t="shared" si="427"/>
        <v>yyyy-06</v>
      </c>
      <c r="C3970">
        <f t="shared" si="428"/>
        <v>24</v>
      </c>
      <c r="D3970" t="s">
        <v>24</v>
      </c>
      <c r="E3970" t="s">
        <v>40</v>
      </c>
      <c r="F3970" t="s">
        <v>41</v>
      </c>
      <c r="G3970" t="s">
        <v>36</v>
      </c>
      <c r="H3970" t="s">
        <v>37</v>
      </c>
      <c r="I3970" s="5">
        <v>1209</v>
      </c>
      <c r="J3970" s="5">
        <v>837</v>
      </c>
      <c r="K3970" s="5">
        <v>98</v>
      </c>
      <c r="L3970" s="5">
        <v>27</v>
      </c>
      <c r="M3970" s="5">
        <v>35</v>
      </c>
      <c r="N3970" s="7">
        <v>177.64</v>
      </c>
      <c r="O3970" s="7">
        <f t="shared" si="429"/>
        <v>6217.4</v>
      </c>
      <c r="P3970" s="4">
        <v>0</v>
      </c>
      <c r="Q3970" s="7">
        <f t="shared" si="430"/>
        <v>0</v>
      </c>
      <c r="R3970" s="7">
        <f t="shared" si="431"/>
        <v>6217.4</v>
      </c>
      <c r="S3970" s="7">
        <f t="shared" si="432"/>
        <v>230.27407407407406</v>
      </c>
      <c r="T3970" s="6">
        <f t="shared" si="433"/>
        <v>2.2332506203473945E-2</v>
      </c>
      <c r="V3970" t="s">
        <v>29</v>
      </c>
    </row>
    <row r="3971" spans="1:22">
      <c r="A3971" s="3">
        <v>45823</v>
      </c>
      <c r="B3971" t="str">
        <f t="shared" si="427"/>
        <v>yyyy-06</v>
      </c>
      <c r="C3971">
        <f t="shared" si="428"/>
        <v>24</v>
      </c>
      <c r="D3971" t="s">
        <v>42</v>
      </c>
      <c r="E3971" t="s">
        <v>43</v>
      </c>
      <c r="F3971" t="s">
        <v>44</v>
      </c>
      <c r="G3971" t="s">
        <v>27</v>
      </c>
      <c r="H3971" t="s">
        <v>45</v>
      </c>
      <c r="I3971" s="5">
        <v>630</v>
      </c>
      <c r="J3971" s="5">
        <v>441</v>
      </c>
      <c r="K3971" s="5">
        <v>55</v>
      </c>
      <c r="L3971" s="5">
        <v>11</v>
      </c>
      <c r="M3971" s="5">
        <v>11</v>
      </c>
      <c r="N3971" s="7">
        <v>1298.58</v>
      </c>
      <c r="O3971" s="7">
        <f t="shared" si="429"/>
        <v>14284.38</v>
      </c>
      <c r="P3971" s="4">
        <v>0.11</v>
      </c>
      <c r="Q3971" s="7">
        <f t="shared" si="430"/>
        <v>1571.2818</v>
      </c>
      <c r="R3971" s="7">
        <f t="shared" si="431"/>
        <v>12713.098199999999</v>
      </c>
      <c r="S3971" s="7">
        <f t="shared" si="432"/>
        <v>1155.7361999999998</v>
      </c>
      <c r="T3971" s="6">
        <f t="shared" si="433"/>
        <v>1.7460317460317461E-2</v>
      </c>
      <c r="U3971" t="s">
        <v>99</v>
      </c>
      <c r="V3971" t="s">
        <v>29</v>
      </c>
    </row>
    <row r="3972" spans="1:22">
      <c r="A3972" s="3">
        <v>45823</v>
      </c>
      <c r="B3972" t="str">
        <f t="shared" si="427"/>
        <v>yyyy-06</v>
      </c>
      <c r="C3972">
        <f t="shared" si="428"/>
        <v>24</v>
      </c>
      <c r="D3972" t="s">
        <v>42</v>
      </c>
      <c r="E3972" t="s">
        <v>43</v>
      </c>
      <c r="F3972" t="s">
        <v>46</v>
      </c>
      <c r="G3972" t="s">
        <v>27</v>
      </c>
      <c r="H3972" t="s">
        <v>28</v>
      </c>
      <c r="I3972" s="5">
        <v>498</v>
      </c>
      <c r="J3972" s="5">
        <v>359</v>
      </c>
      <c r="K3972" s="5">
        <v>20</v>
      </c>
      <c r="L3972" s="5">
        <v>9</v>
      </c>
      <c r="M3972" s="5">
        <v>9</v>
      </c>
      <c r="N3972" s="7">
        <v>2197.5700000000002</v>
      </c>
      <c r="O3972" s="7">
        <f t="shared" si="429"/>
        <v>19778.13</v>
      </c>
      <c r="P3972" s="4">
        <v>0.11</v>
      </c>
      <c r="Q3972" s="7">
        <f t="shared" si="430"/>
        <v>2175.5943000000002</v>
      </c>
      <c r="R3972" s="7">
        <f t="shared" si="431"/>
        <v>17602.5357</v>
      </c>
      <c r="S3972" s="7">
        <f t="shared" si="432"/>
        <v>1955.8373000000001</v>
      </c>
      <c r="T3972" s="6">
        <f t="shared" si="433"/>
        <v>1.8072289156626505E-2</v>
      </c>
      <c r="U3972" t="s">
        <v>99</v>
      </c>
      <c r="V3972" t="s">
        <v>29</v>
      </c>
    </row>
    <row r="3973" spans="1:22">
      <c r="A3973" s="3">
        <v>45823</v>
      </c>
      <c r="B3973" t="str">
        <f t="shared" ref="B3973:B4036" si="434">TEXT(A3973,"yyyy-mm")</f>
        <v>yyyy-06</v>
      </c>
      <c r="C3973">
        <f t="shared" ref="C3973:C4036" si="435">WEEKNUM(A3973,2)</f>
        <v>24</v>
      </c>
      <c r="D3973" t="s">
        <v>42</v>
      </c>
      <c r="E3973" t="s">
        <v>43</v>
      </c>
      <c r="F3973" t="s">
        <v>47</v>
      </c>
      <c r="G3973" t="s">
        <v>31</v>
      </c>
      <c r="H3973" t="s">
        <v>32</v>
      </c>
      <c r="I3973" s="5">
        <v>554</v>
      </c>
      <c r="J3973" s="5">
        <v>293</v>
      </c>
      <c r="K3973" s="5">
        <v>47</v>
      </c>
      <c r="L3973" s="5">
        <v>12</v>
      </c>
      <c r="M3973" s="5">
        <v>12</v>
      </c>
      <c r="N3973" s="7">
        <v>589.16999999999996</v>
      </c>
      <c r="O3973" s="7">
        <f t="shared" ref="O3973:O4036" si="436">M3973*N3973</f>
        <v>7070.0399999999991</v>
      </c>
      <c r="P3973" s="4">
        <v>0.11</v>
      </c>
      <c r="Q3973" s="7">
        <f t="shared" ref="Q3973:Q4036" si="437">O3973*P3973</f>
        <v>777.70439999999985</v>
      </c>
      <c r="R3973" s="7">
        <f t="shared" ref="R3973:R4036" si="438">O3973-Q3973</f>
        <v>6292.3355999999994</v>
      </c>
      <c r="S3973" s="7">
        <f t="shared" ref="S3973:S4036" si="439">IFERROR(R3973/L3973,0)</f>
        <v>524.36129999999991</v>
      </c>
      <c r="T3973" s="6">
        <f t="shared" ref="T3973:T4036" si="440">IFERROR(L3973/I3973,0)</f>
        <v>2.1660649819494584E-2</v>
      </c>
      <c r="U3973" t="s">
        <v>99</v>
      </c>
      <c r="V3973" t="s">
        <v>29</v>
      </c>
    </row>
    <row r="3974" spans="1:22">
      <c r="A3974" s="3">
        <v>45823</v>
      </c>
      <c r="B3974" t="str">
        <f t="shared" si="434"/>
        <v>yyyy-06</v>
      </c>
      <c r="C3974">
        <f t="shared" si="435"/>
        <v>24</v>
      </c>
      <c r="D3974" t="s">
        <v>42</v>
      </c>
      <c r="E3974" t="s">
        <v>49</v>
      </c>
      <c r="F3974" t="s">
        <v>50</v>
      </c>
      <c r="G3974" t="s">
        <v>36</v>
      </c>
      <c r="H3974" t="s">
        <v>37</v>
      </c>
      <c r="I3974" s="5">
        <v>231</v>
      </c>
      <c r="J3974" s="5">
        <v>141</v>
      </c>
      <c r="K3974" s="5">
        <v>8</v>
      </c>
      <c r="L3974" s="5">
        <v>3</v>
      </c>
      <c r="M3974" s="5">
        <v>3</v>
      </c>
      <c r="N3974" s="7">
        <v>983.86</v>
      </c>
      <c r="O3974" s="7">
        <f t="shared" si="436"/>
        <v>2951.58</v>
      </c>
      <c r="P3974" s="4">
        <v>0.05</v>
      </c>
      <c r="Q3974" s="7">
        <f t="shared" si="437"/>
        <v>147.57900000000001</v>
      </c>
      <c r="R3974" s="7">
        <f t="shared" si="438"/>
        <v>2804.0009999999997</v>
      </c>
      <c r="S3974" s="7">
        <f t="shared" si="439"/>
        <v>934.66699999999992</v>
      </c>
      <c r="T3974" s="6">
        <f t="shared" si="440"/>
        <v>1.2987012987012988E-2</v>
      </c>
      <c r="V3974" t="s">
        <v>29</v>
      </c>
    </row>
    <row r="3975" spans="1:22">
      <c r="A3975" s="3">
        <v>45823</v>
      </c>
      <c r="B3975" t="str">
        <f t="shared" si="434"/>
        <v>yyyy-06</v>
      </c>
      <c r="C3975">
        <f t="shared" si="435"/>
        <v>24</v>
      </c>
      <c r="D3975" t="s">
        <v>42</v>
      </c>
      <c r="E3975" t="s">
        <v>51</v>
      </c>
      <c r="F3975" t="s">
        <v>52</v>
      </c>
      <c r="G3975" t="s">
        <v>27</v>
      </c>
      <c r="H3975" t="s">
        <v>48</v>
      </c>
      <c r="I3975" s="5">
        <v>254</v>
      </c>
      <c r="J3975" s="5">
        <v>209</v>
      </c>
      <c r="K3975" s="5">
        <v>11</v>
      </c>
      <c r="L3975" s="5">
        <v>4</v>
      </c>
      <c r="M3975" s="5">
        <v>4</v>
      </c>
      <c r="N3975" s="7">
        <v>598.9</v>
      </c>
      <c r="O3975" s="7">
        <f t="shared" si="436"/>
        <v>2395.6</v>
      </c>
      <c r="P3975" s="4">
        <v>0.03</v>
      </c>
      <c r="Q3975" s="7">
        <f t="shared" si="437"/>
        <v>71.867999999999995</v>
      </c>
      <c r="R3975" s="7">
        <f t="shared" si="438"/>
        <v>2323.732</v>
      </c>
      <c r="S3975" s="7">
        <f t="shared" si="439"/>
        <v>580.93299999999999</v>
      </c>
      <c r="T3975" s="6">
        <f t="shared" si="440"/>
        <v>1.5748031496062992E-2</v>
      </c>
      <c r="V3975" t="s">
        <v>29</v>
      </c>
    </row>
    <row r="3976" spans="1:22">
      <c r="A3976" s="3">
        <v>45823</v>
      </c>
      <c r="B3976" t="str">
        <f t="shared" si="434"/>
        <v>yyyy-06</v>
      </c>
      <c r="C3976">
        <f t="shared" si="435"/>
        <v>24</v>
      </c>
      <c r="D3976" t="s">
        <v>53</v>
      </c>
      <c r="E3976" t="s">
        <v>54</v>
      </c>
      <c r="F3976" t="s">
        <v>55</v>
      </c>
      <c r="G3976" t="s">
        <v>36</v>
      </c>
      <c r="H3976" t="s">
        <v>37</v>
      </c>
      <c r="I3976" s="5">
        <v>273</v>
      </c>
      <c r="J3976" s="5">
        <v>183</v>
      </c>
      <c r="K3976" s="5">
        <v>12</v>
      </c>
      <c r="L3976" s="5">
        <v>3</v>
      </c>
      <c r="M3976" s="5">
        <v>3</v>
      </c>
      <c r="N3976" s="7">
        <v>1304.8900000000001</v>
      </c>
      <c r="O3976" s="7">
        <f t="shared" si="436"/>
        <v>3914.67</v>
      </c>
      <c r="P3976" s="4">
        <v>0</v>
      </c>
      <c r="Q3976" s="7">
        <f t="shared" si="437"/>
        <v>0</v>
      </c>
      <c r="R3976" s="7">
        <f t="shared" si="438"/>
        <v>3914.67</v>
      </c>
      <c r="S3976" s="7">
        <f t="shared" si="439"/>
        <v>1304.8900000000001</v>
      </c>
      <c r="T3976" s="6">
        <f t="shared" si="440"/>
        <v>1.098901098901099E-2</v>
      </c>
      <c r="V3976" t="s">
        <v>29</v>
      </c>
    </row>
    <row r="3977" spans="1:22">
      <c r="A3977" s="3">
        <v>45823</v>
      </c>
      <c r="B3977" t="str">
        <f t="shared" si="434"/>
        <v>yyyy-06</v>
      </c>
      <c r="C3977">
        <f t="shared" si="435"/>
        <v>24</v>
      </c>
      <c r="D3977" t="s">
        <v>53</v>
      </c>
      <c r="E3977" t="s">
        <v>56</v>
      </c>
      <c r="F3977" t="s">
        <v>57</v>
      </c>
      <c r="G3977" t="s">
        <v>27</v>
      </c>
      <c r="H3977" t="s">
        <v>45</v>
      </c>
      <c r="I3977" s="5">
        <v>239</v>
      </c>
      <c r="J3977" s="5">
        <v>175</v>
      </c>
      <c r="K3977" s="5">
        <v>13</v>
      </c>
      <c r="L3977" s="5">
        <v>3</v>
      </c>
      <c r="M3977" s="5">
        <v>3</v>
      </c>
      <c r="N3977" s="7">
        <v>723.45</v>
      </c>
      <c r="O3977" s="7">
        <f t="shared" si="436"/>
        <v>2170.3500000000004</v>
      </c>
      <c r="P3977" s="4">
        <v>0</v>
      </c>
      <c r="Q3977" s="7">
        <f t="shared" si="437"/>
        <v>0</v>
      </c>
      <c r="R3977" s="7">
        <f t="shared" si="438"/>
        <v>2170.3500000000004</v>
      </c>
      <c r="S3977" s="7">
        <f t="shared" si="439"/>
        <v>723.45000000000016</v>
      </c>
      <c r="T3977" s="6">
        <f t="shared" si="440"/>
        <v>1.2552301255230125E-2</v>
      </c>
      <c r="V3977" t="s">
        <v>29</v>
      </c>
    </row>
    <row r="3978" spans="1:22">
      <c r="A3978" s="3">
        <v>45823</v>
      </c>
      <c r="B3978" t="str">
        <f t="shared" si="434"/>
        <v>yyyy-06</v>
      </c>
      <c r="C3978">
        <f t="shared" si="435"/>
        <v>24</v>
      </c>
      <c r="D3978" t="s">
        <v>53</v>
      </c>
      <c r="E3978" t="s">
        <v>56</v>
      </c>
      <c r="F3978" t="s">
        <v>58</v>
      </c>
      <c r="G3978" t="s">
        <v>27</v>
      </c>
      <c r="H3978" t="s">
        <v>28</v>
      </c>
      <c r="I3978" s="5">
        <v>245</v>
      </c>
      <c r="J3978" s="5">
        <v>190</v>
      </c>
      <c r="K3978" s="5">
        <v>14</v>
      </c>
      <c r="L3978" s="5">
        <v>3</v>
      </c>
      <c r="M3978" s="5">
        <v>3</v>
      </c>
      <c r="N3978" s="7">
        <v>887.57</v>
      </c>
      <c r="O3978" s="7">
        <f t="shared" si="436"/>
        <v>2662.71</v>
      </c>
      <c r="P3978" s="4">
        <v>0</v>
      </c>
      <c r="Q3978" s="7">
        <f t="shared" si="437"/>
        <v>0</v>
      </c>
      <c r="R3978" s="7">
        <f t="shared" si="438"/>
        <v>2662.71</v>
      </c>
      <c r="S3978" s="7">
        <f t="shared" si="439"/>
        <v>887.57</v>
      </c>
      <c r="T3978" s="6">
        <f t="shared" si="440"/>
        <v>1.2244897959183673E-2</v>
      </c>
      <c r="V3978" t="s">
        <v>29</v>
      </c>
    </row>
    <row r="3979" spans="1:22">
      <c r="A3979" s="3">
        <v>45823</v>
      </c>
      <c r="B3979" t="str">
        <f t="shared" si="434"/>
        <v>yyyy-06</v>
      </c>
      <c r="C3979">
        <f t="shared" si="435"/>
        <v>24</v>
      </c>
      <c r="D3979" t="s">
        <v>53</v>
      </c>
      <c r="E3979" t="s">
        <v>59</v>
      </c>
      <c r="F3979" t="s">
        <v>60</v>
      </c>
      <c r="G3979" t="s">
        <v>31</v>
      </c>
      <c r="H3979" t="s">
        <v>32</v>
      </c>
      <c r="I3979" s="5">
        <v>254</v>
      </c>
      <c r="J3979" s="5">
        <v>144</v>
      </c>
      <c r="K3979" s="5">
        <v>15</v>
      </c>
      <c r="L3979" s="5">
        <v>3</v>
      </c>
      <c r="M3979" s="5">
        <v>3</v>
      </c>
      <c r="N3979" s="7">
        <v>696.36</v>
      </c>
      <c r="O3979" s="7">
        <f t="shared" si="436"/>
        <v>2089.08</v>
      </c>
      <c r="P3979" s="4">
        <v>0</v>
      </c>
      <c r="Q3979" s="7">
        <f t="shared" si="437"/>
        <v>0</v>
      </c>
      <c r="R3979" s="7">
        <f t="shared" si="438"/>
        <v>2089.08</v>
      </c>
      <c r="S3979" s="7">
        <f t="shared" si="439"/>
        <v>696.36</v>
      </c>
      <c r="T3979" s="6">
        <f t="shared" si="440"/>
        <v>1.1811023622047244E-2</v>
      </c>
      <c r="V3979" t="s">
        <v>29</v>
      </c>
    </row>
    <row r="3980" spans="1:22">
      <c r="A3980" s="3">
        <v>45823</v>
      </c>
      <c r="B3980" t="str">
        <f t="shared" si="434"/>
        <v>yyyy-06</v>
      </c>
      <c r="C3980">
        <f t="shared" si="435"/>
        <v>24</v>
      </c>
      <c r="D3980" t="s">
        <v>53</v>
      </c>
      <c r="E3980" t="s">
        <v>61</v>
      </c>
      <c r="F3980" t="s">
        <v>62</v>
      </c>
      <c r="G3980" t="s">
        <v>27</v>
      </c>
      <c r="H3980" t="s">
        <v>28</v>
      </c>
      <c r="I3980" s="5">
        <v>187</v>
      </c>
      <c r="J3980" s="5">
        <v>131</v>
      </c>
      <c r="K3980" s="5">
        <v>15</v>
      </c>
      <c r="L3980" s="5">
        <v>2</v>
      </c>
      <c r="M3980" s="5">
        <v>2</v>
      </c>
      <c r="N3980" s="7">
        <v>506.27</v>
      </c>
      <c r="O3980" s="7">
        <f t="shared" si="436"/>
        <v>1012.54</v>
      </c>
      <c r="P3980" s="4">
        <v>0</v>
      </c>
      <c r="Q3980" s="7">
        <f t="shared" si="437"/>
        <v>0</v>
      </c>
      <c r="R3980" s="7">
        <f t="shared" si="438"/>
        <v>1012.54</v>
      </c>
      <c r="S3980" s="7">
        <f t="shared" si="439"/>
        <v>506.27</v>
      </c>
      <c r="T3980" s="6">
        <f t="shared" si="440"/>
        <v>1.06951871657754E-2</v>
      </c>
      <c r="V3980" t="s">
        <v>29</v>
      </c>
    </row>
    <row r="3981" spans="1:22">
      <c r="A3981" s="3">
        <v>45823</v>
      </c>
      <c r="B3981" t="str">
        <f t="shared" si="434"/>
        <v>yyyy-06</v>
      </c>
      <c r="C3981">
        <f t="shared" si="435"/>
        <v>24</v>
      </c>
      <c r="D3981" t="s">
        <v>53</v>
      </c>
      <c r="E3981" t="s">
        <v>64</v>
      </c>
      <c r="F3981" t="s">
        <v>65</v>
      </c>
      <c r="G3981" t="s">
        <v>27</v>
      </c>
      <c r="H3981" t="s">
        <v>48</v>
      </c>
      <c r="I3981" s="5">
        <v>201</v>
      </c>
      <c r="J3981" s="5">
        <v>135</v>
      </c>
      <c r="K3981" s="5">
        <v>10</v>
      </c>
      <c r="L3981" s="5">
        <v>2</v>
      </c>
      <c r="M3981" s="5">
        <v>2</v>
      </c>
      <c r="N3981" s="7">
        <v>771.11</v>
      </c>
      <c r="O3981" s="7">
        <f t="shared" si="436"/>
        <v>1542.22</v>
      </c>
      <c r="P3981" s="4">
        <v>0</v>
      </c>
      <c r="Q3981" s="7">
        <f t="shared" si="437"/>
        <v>0</v>
      </c>
      <c r="R3981" s="7">
        <f t="shared" si="438"/>
        <v>1542.22</v>
      </c>
      <c r="S3981" s="7">
        <f t="shared" si="439"/>
        <v>771.11</v>
      </c>
      <c r="T3981" s="6">
        <f t="shared" si="440"/>
        <v>9.9502487562189053E-3</v>
      </c>
      <c r="V3981" t="s">
        <v>29</v>
      </c>
    </row>
    <row r="3982" spans="1:22">
      <c r="A3982" s="3">
        <v>45823</v>
      </c>
      <c r="B3982" t="str">
        <f t="shared" si="434"/>
        <v>yyyy-06</v>
      </c>
      <c r="C3982">
        <f t="shared" si="435"/>
        <v>24</v>
      </c>
      <c r="D3982" t="s">
        <v>66</v>
      </c>
      <c r="E3982" t="s">
        <v>67</v>
      </c>
      <c r="F3982" t="s">
        <v>68</v>
      </c>
      <c r="G3982" t="s">
        <v>27</v>
      </c>
      <c r="H3982" t="s">
        <v>48</v>
      </c>
      <c r="I3982" s="5">
        <v>424</v>
      </c>
      <c r="J3982" s="5">
        <v>266</v>
      </c>
      <c r="K3982" s="5">
        <v>40</v>
      </c>
      <c r="L3982" s="5">
        <v>8</v>
      </c>
      <c r="M3982" s="5">
        <v>8</v>
      </c>
      <c r="N3982" s="7">
        <v>700.53</v>
      </c>
      <c r="O3982" s="7">
        <f t="shared" si="436"/>
        <v>5604.24</v>
      </c>
      <c r="P3982" s="4">
        <v>0</v>
      </c>
      <c r="Q3982" s="7">
        <f t="shared" si="437"/>
        <v>0</v>
      </c>
      <c r="R3982" s="7">
        <f t="shared" si="438"/>
        <v>5604.24</v>
      </c>
      <c r="S3982" s="7">
        <f t="shared" si="439"/>
        <v>700.53</v>
      </c>
      <c r="T3982" s="6">
        <f t="shared" si="440"/>
        <v>1.8867924528301886E-2</v>
      </c>
      <c r="V3982" t="s">
        <v>29</v>
      </c>
    </row>
    <row r="3983" spans="1:22">
      <c r="A3983" s="3">
        <v>45823</v>
      </c>
      <c r="B3983" t="str">
        <f t="shared" si="434"/>
        <v>yyyy-06</v>
      </c>
      <c r="C3983">
        <f t="shared" si="435"/>
        <v>24</v>
      </c>
      <c r="D3983" t="s">
        <v>66</v>
      </c>
      <c r="E3983" t="s">
        <v>67</v>
      </c>
      <c r="F3983" t="s">
        <v>69</v>
      </c>
      <c r="G3983" t="s">
        <v>27</v>
      </c>
      <c r="H3983" t="s">
        <v>45</v>
      </c>
      <c r="I3983" s="5">
        <v>370</v>
      </c>
      <c r="J3983" s="5">
        <v>223</v>
      </c>
      <c r="K3983" s="5">
        <v>32</v>
      </c>
      <c r="L3983" s="5">
        <v>8</v>
      </c>
      <c r="M3983" s="5">
        <v>8</v>
      </c>
      <c r="N3983" s="7">
        <v>403.57</v>
      </c>
      <c r="O3983" s="7">
        <f t="shared" si="436"/>
        <v>3228.56</v>
      </c>
      <c r="P3983" s="4">
        <v>0</v>
      </c>
      <c r="Q3983" s="7">
        <f t="shared" si="437"/>
        <v>0</v>
      </c>
      <c r="R3983" s="7">
        <f t="shared" si="438"/>
        <v>3228.56</v>
      </c>
      <c r="S3983" s="7">
        <f t="shared" si="439"/>
        <v>403.57</v>
      </c>
      <c r="T3983" s="6">
        <f t="shared" si="440"/>
        <v>2.1621621621621623E-2</v>
      </c>
      <c r="V3983" t="s">
        <v>29</v>
      </c>
    </row>
    <row r="3984" spans="1:22">
      <c r="A3984" s="3">
        <v>45823</v>
      </c>
      <c r="B3984" t="str">
        <f t="shared" si="434"/>
        <v>yyyy-06</v>
      </c>
      <c r="C3984">
        <f t="shared" si="435"/>
        <v>24</v>
      </c>
      <c r="D3984" t="s">
        <v>66</v>
      </c>
      <c r="E3984" t="s">
        <v>67</v>
      </c>
      <c r="F3984" t="s">
        <v>70</v>
      </c>
      <c r="G3984" t="s">
        <v>31</v>
      </c>
      <c r="H3984" t="s">
        <v>32</v>
      </c>
      <c r="I3984" s="5">
        <v>524</v>
      </c>
      <c r="J3984" s="5">
        <v>315</v>
      </c>
      <c r="K3984" s="5">
        <v>34</v>
      </c>
      <c r="L3984" s="5">
        <v>11</v>
      </c>
      <c r="M3984" s="5">
        <v>11</v>
      </c>
      <c r="N3984" s="7">
        <v>352.09</v>
      </c>
      <c r="O3984" s="7">
        <f t="shared" si="436"/>
        <v>3872.99</v>
      </c>
      <c r="P3984" s="4">
        <v>0</v>
      </c>
      <c r="Q3984" s="7">
        <f t="shared" si="437"/>
        <v>0</v>
      </c>
      <c r="R3984" s="7">
        <f t="shared" si="438"/>
        <v>3872.99</v>
      </c>
      <c r="S3984" s="7">
        <f t="shared" si="439"/>
        <v>352.09</v>
      </c>
      <c r="T3984" s="6">
        <f t="shared" si="440"/>
        <v>2.0992366412213741E-2</v>
      </c>
      <c r="V3984" t="s">
        <v>29</v>
      </c>
    </row>
    <row r="3985" spans="1:22">
      <c r="A3985" s="3">
        <v>45823</v>
      </c>
      <c r="B3985" t="str">
        <f t="shared" si="434"/>
        <v>yyyy-06</v>
      </c>
      <c r="C3985">
        <f t="shared" si="435"/>
        <v>24</v>
      </c>
      <c r="D3985" t="s">
        <v>66</v>
      </c>
      <c r="E3985" t="s">
        <v>71</v>
      </c>
      <c r="F3985" t="s">
        <v>72</v>
      </c>
      <c r="G3985" t="s">
        <v>27</v>
      </c>
      <c r="H3985" t="s">
        <v>45</v>
      </c>
      <c r="I3985" s="5">
        <v>461</v>
      </c>
      <c r="J3985" s="5">
        <v>363</v>
      </c>
      <c r="K3985" s="5">
        <v>41</v>
      </c>
      <c r="L3985" s="5">
        <v>7</v>
      </c>
      <c r="M3985" s="5">
        <v>8</v>
      </c>
      <c r="N3985" s="7">
        <v>127.22</v>
      </c>
      <c r="O3985" s="7">
        <f t="shared" si="436"/>
        <v>1017.76</v>
      </c>
      <c r="P3985" s="4">
        <v>0</v>
      </c>
      <c r="Q3985" s="7">
        <f t="shared" si="437"/>
        <v>0</v>
      </c>
      <c r="R3985" s="7">
        <f t="shared" si="438"/>
        <v>1017.76</v>
      </c>
      <c r="S3985" s="7">
        <f t="shared" si="439"/>
        <v>145.3942857142857</v>
      </c>
      <c r="T3985" s="6">
        <f t="shared" si="440"/>
        <v>1.5184381778741865E-2</v>
      </c>
      <c r="V3985" t="s">
        <v>29</v>
      </c>
    </row>
    <row r="3986" spans="1:22">
      <c r="A3986" s="3">
        <v>45823</v>
      </c>
      <c r="B3986" t="str">
        <f t="shared" si="434"/>
        <v>yyyy-06</v>
      </c>
      <c r="C3986">
        <f t="shared" si="435"/>
        <v>24</v>
      </c>
      <c r="D3986" t="s">
        <v>66</v>
      </c>
      <c r="E3986" t="s">
        <v>73</v>
      </c>
      <c r="F3986" t="s">
        <v>74</v>
      </c>
      <c r="G3986" t="s">
        <v>27</v>
      </c>
      <c r="H3986" t="s">
        <v>28</v>
      </c>
      <c r="I3986" s="5">
        <v>167</v>
      </c>
      <c r="J3986" s="5">
        <v>136</v>
      </c>
      <c r="K3986" s="5">
        <v>16</v>
      </c>
      <c r="L3986" s="5">
        <v>4</v>
      </c>
      <c r="M3986" s="5">
        <v>4</v>
      </c>
      <c r="N3986" s="7">
        <v>1157.54</v>
      </c>
      <c r="O3986" s="7">
        <f t="shared" si="436"/>
        <v>4630.16</v>
      </c>
      <c r="P3986" s="4">
        <v>0</v>
      </c>
      <c r="Q3986" s="7">
        <f t="shared" si="437"/>
        <v>0</v>
      </c>
      <c r="R3986" s="7">
        <f t="shared" si="438"/>
        <v>4630.16</v>
      </c>
      <c r="S3986" s="7">
        <f t="shared" si="439"/>
        <v>1157.54</v>
      </c>
      <c r="T3986" s="6">
        <f t="shared" si="440"/>
        <v>2.3952095808383235E-2</v>
      </c>
      <c r="V3986" t="s">
        <v>29</v>
      </c>
    </row>
    <row r="3987" spans="1:22">
      <c r="A3987" s="3">
        <v>45823</v>
      </c>
      <c r="B3987" t="str">
        <f t="shared" si="434"/>
        <v>yyyy-06</v>
      </c>
      <c r="C3987">
        <f t="shared" si="435"/>
        <v>24</v>
      </c>
      <c r="D3987" t="s">
        <v>66</v>
      </c>
      <c r="E3987" t="s">
        <v>71</v>
      </c>
      <c r="F3987" t="s">
        <v>75</v>
      </c>
      <c r="G3987" t="s">
        <v>36</v>
      </c>
      <c r="H3987" t="s">
        <v>37</v>
      </c>
      <c r="I3987" s="5">
        <v>454</v>
      </c>
      <c r="J3987" s="5">
        <v>256</v>
      </c>
      <c r="K3987" s="5">
        <v>30</v>
      </c>
      <c r="L3987" s="5">
        <v>7</v>
      </c>
      <c r="M3987" s="5">
        <v>9</v>
      </c>
      <c r="N3987" s="7">
        <v>38.29</v>
      </c>
      <c r="O3987" s="7">
        <f t="shared" si="436"/>
        <v>344.61</v>
      </c>
      <c r="P3987" s="4">
        <v>0</v>
      </c>
      <c r="Q3987" s="7">
        <f t="shared" si="437"/>
        <v>0</v>
      </c>
      <c r="R3987" s="7">
        <f t="shared" si="438"/>
        <v>344.61</v>
      </c>
      <c r="S3987" s="7">
        <f t="shared" si="439"/>
        <v>49.230000000000004</v>
      </c>
      <c r="T3987" s="6">
        <f t="shared" si="440"/>
        <v>1.5418502202643172E-2</v>
      </c>
      <c r="V3987" t="s">
        <v>29</v>
      </c>
    </row>
    <row r="3988" spans="1:22">
      <c r="A3988" s="3">
        <v>45823</v>
      </c>
      <c r="B3988" t="str">
        <f t="shared" si="434"/>
        <v>yyyy-06</v>
      </c>
      <c r="C3988">
        <f t="shared" si="435"/>
        <v>24</v>
      </c>
      <c r="D3988" t="s">
        <v>24</v>
      </c>
      <c r="E3988" t="s">
        <v>76</v>
      </c>
      <c r="F3988" t="s">
        <v>77</v>
      </c>
      <c r="G3988" t="s">
        <v>27</v>
      </c>
      <c r="H3988" t="s">
        <v>63</v>
      </c>
      <c r="I3988" s="5">
        <v>417</v>
      </c>
      <c r="J3988" s="5">
        <v>266</v>
      </c>
      <c r="K3988" s="5">
        <v>27</v>
      </c>
      <c r="L3988" s="5">
        <v>6</v>
      </c>
      <c r="M3988" s="5">
        <v>6</v>
      </c>
      <c r="N3988" s="7">
        <v>198.65</v>
      </c>
      <c r="O3988" s="7">
        <f t="shared" si="436"/>
        <v>1191.9000000000001</v>
      </c>
      <c r="P3988" s="4">
        <v>0.03</v>
      </c>
      <c r="Q3988" s="7">
        <f t="shared" si="437"/>
        <v>35.756999999999998</v>
      </c>
      <c r="R3988" s="7">
        <f t="shared" si="438"/>
        <v>1156.143</v>
      </c>
      <c r="S3988" s="7">
        <f t="shared" si="439"/>
        <v>192.69050000000001</v>
      </c>
      <c r="T3988" s="6">
        <f t="shared" si="440"/>
        <v>1.4388489208633094E-2</v>
      </c>
      <c r="V3988" t="s">
        <v>29</v>
      </c>
    </row>
    <row r="3989" spans="1:22">
      <c r="A3989" s="3">
        <v>45824</v>
      </c>
      <c r="B3989" t="str">
        <f t="shared" si="434"/>
        <v>yyyy-06</v>
      </c>
      <c r="C3989">
        <f t="shared" si="435"/>
        <v>25</v>
      </c>
      <c r="D3989" t="s">
        <v>24</v>
      </c>
      <c r="E3989" t="s">
        <v>25</v>
      </c>
      <c r="F3989" t="s">
        <v>26</v>
      </c>
      <c r="G3989" t="s">
        <v>31</v>
      </c>
      <c r="H3989" t="s">
        <v>32</v>
      </c>
      <c r="I3989" s="5">
        <v>2138</v>
      </c>
      <c r="J3989" s="5">
        <v>1383</v>
      </c>
      <c r="K3989" s="5">
        <v>170</v>
      </c>
      <c r="L3989" s="5">
        <v>49</v>
      </c>
      <c r="M3989" s="5">
        <v>49</v>
      </c>
      <c r="N3989" s="7">
        <v>1015.15</v>
      </c>
      <c r="O3989" s="7">
        <f t="shared" si="436"/>
        <v>49742.35</v>
      </c>
      <c r="P3989" s="4">
        <v>0</v>
      </c>
      <c r="Q3989" s="7">
        <f t="shared" si="437"/>
        <v>0</v>
      </c>
      <c r="R3989" s="7">
        <f t="shared" si="438"/>
        <v>49742.35</v>
      </c>
      <c r="S3989" s="7">
        <f t="shared" si="439"/>
        <v>1015.15</v>
      </c>
      <c r="T3989" s="6">
        <f t="shared" si="440"/>
        <v>2.2918615528531337E-2</v>
      </c>
      <c r="V3989" t="s">
        <v>29</v>
      </c>
    </row>
    <row r="3990" spans="1:22">
      <c r="A3990" s="3">
        <v>45824</v>
      </c>
      <c r="B3990" t="str">
        <f t="shared" si="434"/>
        <v>yyyy-06</v>
      </c>
      <c r="C3990">
        <f t="shared" si="435"/>
        <v>25</v>
      </c>
      <c r="D3990" t="s">
        <v>24</v>
      </c>
      <c r="E3990" t="s">
        <v>25</v>
      </c>
      <c r="F3990" t="s">
        <v>30</v>
      </c>
      <c r="G3990" t="s">
        <v>31</v>
      </c>
      <c r="H3990" t="s">
        <v>32</v>
      </c>
      <c r="I3990" s="5">
        <v>1609</v>
      </c>
      <c r="J3990" s="5">
        <v>1286</v>
      </c>
      <c r="K3990" s="5">
        <v>191</v>
      </c>
      <c r="L3990" s="5">
        <v>40</v>
      </c>
      <c r="M3990" s="5">
        <v>40</v>
      </c>
      <c r="N3990" s="7">
        <v>396.22</v>
      </c>
      <c r="O3990" s="7">
        <f t="shared" si="436"/>
        <v>15848.800000000001</v>
      </c>
      <c r="P3990" s="4">
        <v>0.05</v>
      </c>
      <c r="Q3990" s="7">
        <f t="shared" si="437"/>
        <v>792.44</v>
      </c>
      <c r="R3990" s="7">
        <f t="shared" si="438"/>
        <v>15056.36</v>
      </c>
      <c r="S3990" s="7">
        <f t="shared" si="439"/>
        <v>376.40899999999999</v>
      </c>
      <c r="T3990" s="6">
        <f t="shared" si="440"/>
        <v>2.4860161591050343E-2</v>
      </c>
      <c r="V3990" t="s">
        <v>29</v>
      </c>
    </row>
    <row r="3991" spans="1:22">
      <c r="A3991" s="3">
        <v>45824</v>
      </c>
      <c r="B3991" t="str">
        <f t="shared" si="434"/>
        <v>yyyy-06</v>
      </c>
      <c r="C3991">
        <f t="shared" si="435"/>
        <v>25</v>
      </c>
      <c r="D3991" t="s">
        <v>24</v>
      </c>
      <c r="E3991" t="s">
        <v>25</v>
      </c>
      <c r="F3991" t="s">
        <v>33</v>
      </c>
      <c r="G3991" t="s">
        <v>27</v>
      </c>
      <c r="H3991" t="s">
        <v>28</v>
      </c>
      <c r="I3991" s="5">
        <v>1753</v>
      </c>
      <c r="J3991" s="5">
        <v>1143</v>
      </c>
      <c r="K3991" s="5">
        <v>141</v>
      </c>
      <c r="L3991" s="5">
        <v>43</v>
      </c>
      <c r="M3991" s="5">
        <v>43</v>
      </c>
      <c r="N3991" s="7">
        <v>1744.73</v>
      </c>
      <c r="O3991" s="7">
        <f t="shared" si="436"/>
        <v>75023.39</v>
      </c>
      <c r="P3991" s="4">
        <v>0</v>
      </c>
      <c r="Q3991" s="7">
        <f t="shared" si="437"/>
        <v>0</v>
      </c>
      <c r="R3991" s="7">
        <f t="shared" si="438"/>
        <v>75023.39</v>
      </c>
      <c r="S3991" s="7">
        <f t="shared" si="439"/>
        <v>1744.73</v>
      </c>
      <c r="T3991" s="6">
        <f t="shared" si="440"/>
        <v>2.4529378208784942E-2</v>
      </c>
      <c r="V3991" t="s">
        <v>29</v>
      </c>
    </row>
    <row r="3992" spans="1:22">
      <c r="A3992" s="3">
        <v>45824</v>
      </c>
      <c r="B3992" t="str">
        <f t="shared" si="434"/>
        <v>yyyy-06</v>
      </c>
      <c r="C3992">
        <f t="shared" si="435"/>
        <v>25</v>
      </c>
      <c r="D3992" t="s">
        <v>24</v>
      </c>
      <c r="E3992" t="s">
        <v>34</v>
      </c>
      <c r="F3992" t="s">
        <v>35</v>
      </c>
      <c r="G3992" t="s">
        <v>31</v>
      </c>
      <c r="H3992" t="s">
        <v>32</v>
      </c>
      <c r="I3992" s="5">
        <v>1051</v>
      </c>
      <c r="J3992" s="5">
        <v>642</v>
      </c>
      <c r="K3992" s="5">
        <v>72</v>
      </c>
      <c r="L3992" s="5">
        <v>19</v>
      </c>
      <c r="M3992" s="5">
        <v>19</v>
      </c>
      <c r="N3992" s="7">
        <v>882.54</v>
      </c>
      <c r="O3992" s="7">
        <f t="shared" si="436"/>
        <v>16768.259999999998</v>
      </c>
      <c r="P3992" s="4">
        <v>0.05</v>
      </c>
      <c r="Q3992" s="7">
        <f t="shared" si="437"/>
        <v>838.41300000000001</v>
      </c>
      <c r="R3992" s="7">
        <f t="shared" si="438"/>
        <v>15929.846999999998</v>
      </c>
      <c r="S3992" s="7">
        <f t="shared" si="439"/>
        <v>838.4129999999999</v>
      </c>
      <c r="T3992" s="6">
        <f t="shared" si="440"/>
        <v>1.8078020932445291E-2</v>
      </c>
      <c r="V3992" t="s">
        <v>29</v>
      </c>
    </row>
    <row r="3993" spans="1:22">
      <c r="A3993" s="3">
        <v>45824</v>
      </c>
      <c r="B3993" t="str">
        <f t="shared" si="434"/>
        <v>yyyy-06</v>
      </c>
      <c r="C3993">
        <f t="shared" si="435"/>
        <v>25</v>
      </c>
      <c r="D3993" t="s">
        <v>24</v>
      </c>
      <c r="E3993" t="s">
        <v>38</v>
      </c>
      <c r="F3993" t="s">
        <v>39</v>
      </c>
      <c r="G3993" t="s">
        <v>27</v>
      </c>
      <c r="H3993" t="s">
        <v>28</v>
      </c>
      <c r="I3993" s="5">
        <v>737</v>
      </c>
      <c r="J3993" s="5">
        <v>462</v>
      </c>
      <c r="K3993" s="5">
        <v>48</v>
      </c>
      <c r="L3993" s="5">
        <v>16</v>
      </c>
      <c r="M3993" s="5">
        <v>16</v>
      </c>
      <c r="N3993" s="7">
        <v>332.4</v>
      </c>
      <c r="O3993" s="7">
        <f t="shared" si="436"/>
        <v>5318.4</v>
      </c>
      <c r="P3993" s="4">
        <v>0</v>
      </c>
      <c r="Q3993" s="7">
        <f t="shared" si="437"/>
        <v>0</v>
      </c>
      <c r="R3993" s="7">
        <f t="shared" si="438"/>
        <v>5318.4</v>
      </c>
      <c r="S3993" s="7">
        <f t="shared" si="439"/>
        <v>332.4</v>
      </c>
      <c r="T3993" s="6">
        <f t="shared" si="440"/>
        <v>2.1709633649932156E-2</v>
      </c>
      <c r="V3993" t="s">
        <v>29</v>
      </c>
    </row>
    <row r="3994" spans="1:22">
      <c r="A3994" s="3">
        <v>45824</v>
      </c>
      <c r="B3994" t="str">
        <f t="shared" si="434"/>
        <v>yyyy-06</v>
      </c>
      <c r="C3994">
        <f t="shared" si="435"/>
        <v>25</v>
      </c>
      <c r="D3994" t="s">
        <v>24</v>
      </c>
      <c r="E3994" t="s">
        <v>40</v>
      </c>
      <c r="F3994" t="s">
        <v>41</v>
      </c>
      <c r="G3994" t="s">
        <v>27</v>
      </c>
      <c r="H3994" t="s">
        <v>48</v>
      </c>
      <c r="I3994" s="5">
        <v>562</v>
      </c>
      <c r="J3994" s="5">
        <v>375</v>
      </c>
      <c r="K3994" s="5">
        <v>32</v>
      </c>
      <c r="L3994" s="5">
        <v>10</v>
      </c>
      <c r="M3994" s="5">
        <v>12</v>
      </c>
      <c r="N3994" s="7">
        <v>172.66</v>
      </c>
      <c r="O3994" s="7">
        <f t="shared" si="436"/>
        <v>2071.92</v>
      </c>
      <c r="P3994" s="4">
        <v>0.03</v>
      </c>
      <c r="Q3994" s="7">
        <f t="shared" si="437"/>
        <v>62.157600000000002</v>
      </c>
      <c r="R3994" s="7">
        <f t="shared" si="438"/>
        <v>2009.7624000000001</v>
      </c>
      <c r="S3994" s="7">
        <f t="shared" si="439"/>
        <v>200.97624000000002</v>
      </c>
      <c r="T3994" s="6">
        <f t="shared" si="440"/>
        <v>1.7793594306049824E-2</v>
      </c>
      <c r="V3994" t="s">
        <v>29</v>
      </c>
    </row>
    <row r="3995" spans="1:22">
      <c r="A3995" s="3">
        <v>45824</v>
      </c>
      <c r="B3995" t="str">
        <f t="shared" si="434"/>
        <v>yyyy-06</v>
      </c>
      <c r="C3995">
        <f t="shared" si="435"/>
        <v>25</v>
      </c>
      <c r="D3995" t="s">
        <v>42</v>
      </c>
      <c r="E3995" t="s">
        <v>43</v>
      </c>
      <c r="F3995" t="s">
        <v>44</v>
      </c>
      <c r="G3995" t="s">
        <v>36</v>
      </c>
      <c r="H3995" t="s">
        <v>37</v>
      </c>
      <c r="I3995" s="5">
        <v>399</v>
      </c>
      <c r="J3995" s="5">
        <v>260</v>
      </c>
      <c r="K3995" s="5">
        <v>7</v>
      </c>
      <c r="L3995" s="5">
        <v>0</v>
      </c>
      <c r="M3995" s="5">
        <v>0</v>
      </c>
      <c r="N3995" s="7">
        <v>1265.83</v>
      </c>
      <c r="O3995" s="7">
        <f t="shared" si="436"/>
        <v>0</v>
      </c>
      <c r="P3995" s="4">
        <v>0.03</v>
      </c>
      <c r="Q3995" s="7">
        <f t="shared" si="437"/>
        <v>0</v>
      </c>
      <c r="R3995" s="7">
        <f t="shared" si="438"/>
        <v>0</v>
      </c>
      <c r="S3995" s="7">
        <f t="shared" si="439"/>
        <v>0</v>
      </c>
      <c r="T3995" s="6">
        <f t="shared" si="440"/>
        <v>0</v>
      </c>
      <c r="V3995" t="s">
        <v>81</v>
      </c>
    </row>
    <row r="3996" spans="1:22">
      <c r="A3996" s="3">
        <v>45824</v>
      </c>
      <c r="B3996" t="str">
        <f t="shared" si="434"/>
        <v>yyyy-06</v>
      </c>
      <c r="C3996">
        <f t="shared" si="435"/>
        <v>25</v>
      </c>
      <c r="D3996" t="s">
        <v>42</v>
      </c>
      <c r="E3996" t="s">
        <v>43</v>
      </c>
      <c r="F3996" t="s">
        <v>46</v>
      </c>
      <c r="G3996" t="s">
        <v>27</v>
      </c>
      <c r="H3996" t="s">
        <v>45</v>
      </c>
      <c r="I3996" s="5">
        <v>427</v>
      </c>
      <c r="J3996" s="5">
        <v>288</v>
      </c>
      <c r="K3996" s="5">
        <v>15</v>
      </c>
      <c r="L3996" s="5">
        <v>6</v>
      </c>
      <c r="M3996" s="5">
        <v>6</v>
      </c>
      <c r="N3996" s="7">
        <v>2139.06</v>
      </c>
      <c r="O3996" s="7">
        <f t="shared" si="436"/>
        <v>12834.36</v>
      </c>
      <c r="P3996" s="4">
        <v>0</v>
      </c>
      <c r="Q3996" s="7">
        <f t="shared" si="437"/>
        <v>0</v>
      </c>
      <c r="R3996" s="7">
        <f t="shared" si="438"/>
        <v>12834.36</v>
      </c>
      <c r="S3996" s="7">
        <f t="shared" si="439"/>
        <v>2139.06</v>
      </c>
      <c r="T3996" s="6">
        <f t="shared" si="440"/>
        <v>1.405152224824356E-2</v>
      </c>
      <c r="V3996" t="s">
        <v>29</v>
      </c>
    </row>
    <row r="3997" spans="1:22">
      <c r="A3997" s="3">
        <v>45824</v>
      </c>
      <c r="B3997" t="str">
        <f t="shared" si="434"/>
        <v>yyyy-06</v>
      </c>
      <c r="C3997">
        <f t="shared" si="435"/>
        <v>25</v>
      </c>
      <c r="D3997" t="s">
        <v>42</v>
      </c>
      <c r="E3997" t="s">
        <v>43</v>
      </c>
      <c r="F3997" t="s">
        <v>47</v>
      </c>
      <c r="G3997" t="s">
        <v>31</v>
      </c>
      <c r="H3997" t="s">
        <v>32</v>
      </c>
      <c r="I3997" s="5">
        <v>486</v>
      </c>
      <c r="J3997" s="5">
        <v>271</v>
      </c>
      <c r="K3997" s="5">
        <v>22</v>
      </c>
      <c r="L3997" s="5">
        <v>6</v>
      </c>
      <c r="M3997" s="5">
        <v>6</v>
      </c>
      <c r="N3997" s="7">
        <v>576.79</v>
      </c>
      <c r="O3997" s="7">
        <f t="shared" si="436"/>
        <v>3460.74</v>
      </c>
      <c r="P3997" s="4">
        <v>0.03</v>
      </c>
      <c r="Q3997" s="7">
        <f t="shared" si="437"/>
        <v>103.8222</v>
      </c>
      <c r="R3997" s="7">
        <f t="shared" si="438"/>
        <v>3356.9177999999997</v>
      </c>
      <c r="S3997" s="7">
        <f t="shared" si="439"/>
        <v>559.48629999999991</v>
      </c>
      <c r="T3997" s="6">
        <f t="shared" si="440"/>
        <v>1.2345679012345678E-2</v>
      </c>
      <c r="V3997" t="s">
        <v>29</v>
      </c>
    </row>
    <row r="3998" spans="1:22">
      <c r="A3998" s="3">
        <v>45824</v>
      </c>
      <c r="B3998" t="str">
        <f t="shared" si="434"/>
        <v>yyyy-06</v>
      </c>
      <c r="C3998">
        <f t="shared" si="435"/>
        <v>25</v>
      </c>
      <c r="D3998" t="s">
        <v>42</v>
      </c>
      <c r="E3998" t="s">
        <v>49</v>
      </c>
      <c r="F3998" t="s">
        <v>50</v>
      </c>
      <c r="G3998" t="s">
        <v>31</v>
      </c>
      <c r="H3998" t="s">
        <v>32</v>
      </c>
      <c r="I3998" s="5">
        <v>244</v>
      </c>
      <c r="J3998" s="5">
        <v>150</v>
      </c>
      <c r="K3998" s="5">
        <v>17</v>
      </c>
      <c r="L3998" s="5">
        <v>4</v>
      </c>
      <c r="M3998" s="5">
        <v>4</v>
      </c>
      <c r="N3998" s="7">
        <v>1008.91</v>
      </c>
      <c r="O3998" s="7">
        <f t="shared" si="436"/>
        <v>4035.64</v>
      </c>
      <c r="P3998" s="4">
        <v>0</v>
      </c>
      <c r="Q3998" s="7">
        <f t="shared" si="437"/>
        <v>0</v>
      </c>
      <c r="R3998" s="7">
        <f t="shared" si="438"/>
        <v>4035.64</v>
      </c>
      <c r="S3998" s="7">
        <f t="shared" si="439"/>
        <v>1008.91</v>
      </c>
      <c r="T3998" s="6">
        <f t="shared" si="440"/>
        <v>1.6393442622950821E-2</v>
      </c>
      <c r="V3998" t="s">
        <v>29</v>
      </c>
    </row>
    <row r="3999" spans="1:22">
      <c r="A3999" s="3">
        <v>45824</v>
      </c>
      <c r="B3999" t="str">
        <f t="shared" si="434"/>
        <v>yyyy-06</v>
      </c>
      <c r="C3999">
        <f t="shared" si="435"/>
        <v>25</v>
      </c>
      <c r="D3999" t="s">
        <v>42</v>
      </c>
      <c r="E3999" t="s">
        <v>51</v>
      </c>
      <c r="F3999" t="s">
        <v>52</v>
      </c>
      <c r="G3999" t="s">
        <v>27</v>
      </c>
      <c r="H3999" t="s">
        <v>28</v>
      </c>
      <c r="I3999" s="5">
        <v>317</v>
      </c>
      <c r="J3999" s="5">
        <v>254</v>
      </c>
      <c r="K3999" s="5">
        <v>29</v>
      </c>
      <c r="L3999" s="5">
        <v>5</v>
      </c>
      <c r="M3999" s="5">
        <v>5</v>
      </c>
      <c r="N3999" s="7">
        <v>591.24</v>
      </c>
      <c r="O3999" s="7">
        <f t="shared" si="436"/>
        <v>2956.2</v>
      </c>
      <c r="P3999" s="4">
        <v>0</v>
      </c>
      <c r="Q3999" s="7">
        <f t="shared" si="437"/>
        <v>0</v>
      </c>
      <c r="R3999" s="7">
        <f t="shared" si="438"/>
        <v>2956.2</v>
      </c>
      <c r="S3999" s="7">
        <f t="shared" si="439"/>
        <v>591.24</v>
      </c>
      <c r="T3999" s="6">
        <f t="shared" si="440"/>
        <v>1.5772870662460567E-2</v>
      </c>
      <c r="V3999" t="s">
        <v>29</v>
      </c>
    </row>
    <row r="4000" spans="1:22">
      <c r="A4000" s="3">
        <v>45824</v>
      </c>
      <c r="B4000" t="str">
        <f t="shared" si="434"/>
        <v>yyyy-06</v>
      </c>
      <c r="C4000">
        <f t="shared" si="435"/>
        <v>25</v>
      </c>
      <c r="D4000" t="s">
        <v>53</v>
      </c>
      <c r="E4000" t="s">
        <v>54</v>
      </c>
      <c r="F4000" t="s">
        <v>55</v>
      </c>
      <c r="G4000" t="s">
        <v>27</v>
      </c>
      <c r="H4000" t="s">
        <v>28</v>
      </c>
      <c r="I4000" s="5">
        <v>206</v>
      </c>
      <c r="J4000" s="5">
        <v>135</v>
      </c>
      <c r="K4000" s="5">
        <v>9</v>
      </c>
      <c r="L4000" s="5">
        <v>3</v>
      </c>
      <c r="M4000" s="5">
        <v>3</v>
      </c>
      <c r="N4000" s="7">
        <v>1285.71</v>
      </c>
      <c r="O4000" s="7">
        <f t="shared" si="436"/>
        <v>3857.13</v>
      </c>
      <c r="P4000" s="4">
        <v>0</v>
      </c>
      <c r="Q4000" s="7">
        <f t="shared" si="437"/>
        <v>0</v>
      </c>
      <c r="R4000" s="7">
        <f t="shared" si="438"/>
        <v>3857.13</v>
      </c>
      <c r="S4000" s="7">
        <f t="shared" si="439"/>
        <v>1285.71</v>
      </c>
      <c r="T4000" s="6">
        <f t="shared" si="440"/>
        <v>1.4563106796116505E-2</v>
      </c>
      <c r="V4000" t="s">
        <v>29</v>
      </c>
    </row>
    <row r="4001" spans="1:22">
      <c r="A4001" s="3">
        <v>45824</v>
      </c>
      <c r="B4001" t="str">
        <f t="shared" si="434"/>
        <v>yyyy-06</v>
      </c>
      <c r="C4001">
        <f t="shared" si="435"/>
        <v>25</v>
      </c>
      <c r="D4001" t="s">
        <v>53</v>
      </c>
      <c r="E4001" t="s">
        <v>56</v>
      </c>
      <c r="F4001" t="s">
        <v>57</v>
      </c>
      <c r="G4001" t="s">
        <v>31</v>
      </c>
      <c r="H4001" t="s">
        <v>32</v>
      </c>
      <c r="I4001" s="5">
        <v>289</v>
      </c>
      <c r="J4001" s="5">
        <v>237</v>
      </c>
      <c r="K4001" s="5">
        <v>13</v>
      </c>
      <c r="L4001" s="5">
        <v>3</v>
      </c>
      <c r="M4001" s="5">
        <v>3</v>
      </c>
      <c r="N4001" s="7">
        <v>744.85</v>
      </c>
      <c r="O4001" s="7">
        <f t="shared" si="436"/>
        <v>2234.5500000000002</v>
      </c>
      <c r="P4001" s="4">
        <v>0</v>
      </c>
      <c r="Q4001" s="7">
        <f t="shared" si="437"/>
        <v>0</v>
      </c>
      <c r="R4001" s="7">
        <f t="shared" si="438"/>
        <v>2234.5500000000002</v>
      </c>
      <c r="S4001" s="7">
        <f t="shared" si="439"/>
        <v>744.85</v>
      </c>
      <c r="T4001" s="6">
        <f t="shared" si="440"/>
        <v>1.0380622837370242E-2</v>
      </c>
      <c r="V4001" t="s">
        <v>29</v>
      </c>
    </row>
    <row r="4002" spans="1:22">
      <c r="A4002" s="3">
        <v>45824</v>
      </c>
      <c r="B4002" t="str">
        <f t="shared" si="434"/>
        <v>yyyy-06</v>
      </c>
      <c r="C4002">
        <f t="shared" si="435"/>
        <v>25</v>
      </c>
      <c r="D4002" t="s">
        <v>53</v>
      </c>
      <c r="E4002" t="s">
        <v>56</v>
      </c>
      <c r="F4002" t="s">
        <v>58</v>
      </c>
      <c r="G4002" t="s">
        <v>36</v>
      </c>
      <c r="H4002" t="s">
        <v>37</v>
      </c>
      <c r="I4002" s="5">
        <v>310</v>
      </c>
      <c r="J4002" s="5">
        <v>167</v>
      </c>
      <c r="K4002" s="5">
        <v>19</v>
      </c>
      <c r="L4002" s="5">
        <v>3</v>
      </c>
      <c r="M4002" s="5">
        <v>3</v>
      </c>
      <c r="N4002" s="7">
        <v>881.93</v>
      </c>
      <c r="O4002" s="7">
        <f t="shared" si="436"/>
        <v>2645.79</v>
      </c>
      <c r="P4002" s="4">
        <v>0.03</v>
      </c>
      <c r="Q4002" s="7">
        <f t="shared" si="437"/>
        <v>79.373699999999999</v>
      </c>
      <c r="R4002" s="7">
        <f t="shared" si="438"/>
        <v>2566.4162999999999</v>
      </c>
      <c r="S4002" s="7">
        <f t="shared" si="439"/>
        <v>855.47209999999995</v>
      </c>
      <c r="T4002" s="6">
        <f t="shared" si="440"/>
        <v>9.6774193548387101E-3</v>
      </c>
      <c r="V4002" t="s">
        <v>29</v>
      </c>
    </row>
    <row r="4003" spans="1:22">
      <c r="A4003" s="3">
        <v>45824</v>
      </c>
      <c r="B4003" t="str">
        <f t="shared" si="434"/>
        <v>yyyy-06</v>
      </c>
      <c r="C4003">
        <f t="shared" si="435"/>
        <v>25</v>
      </c>
      <c r="D4003" t="s">
        <v>53</v>
      </c>
      <c r="E4003" t="s">
        <v>59</v>
      </c>
      <c r="F4003" t="s">
        <v>60</v>
      </c>
      <c r="G4003" t="s">
        <v>31</v>
      </c>
      <c r="H4003" t="s">
        <v>32</v>
      </c>
      <c r="I4003" s="5">
        <v>206</v>
      </c>
      <c r="J4003" s="5">
        <v>118</v>
      </c>
      <c r="K4003" s="5">
        <v>14</v>
      </c>
      <c r="L4003" s="5">
        <v>2</v>
      </c>
      <c r="M4003" s="5">
        <v>2</v>
      </c>
      <c r="N4003" s="7">
        <v>695.49</v>
      </c>
      <c r="O4003" s="7">
        <f t="shared" si="436"/>
        <v>1390.98</v>
      </c>
      <c r="P4003" s="4">
        <v>0.05</v>
      </c>
      <c r="Q4003" s="7">
        <f t="shared" si="437"/>
        <v>69.549000000000007</v>
      </c>
      <c r="R4003" s="7">
        <f t="shared" si="438"/>
        <v>1321.431</v>
      </c>
      <c r="S4003" s="7">
        <f t="shared" si="439"/>
        <v>660.71550000000002</v>
      </c>
      <c r="T4003" s="6">
        <f t="shared" si="440"/>
        <v>9.7087378640776691E-3</v>
      </c>
      <c r="V4003" t="s">
        <v>29</v>
      </c>
    </row>
    <row r="4004" spans="1:22">
      <c r="A4004" s="3">
        <v>45824</v>
      </c>
      <c r="B4004" t="str">
        <f t="shared" si="434"/>
        <v>yyyy-06</v>
      </c>
      <c r="C4004">
        <f t="shared" si="435"/>
        <v>25</v>
      </c>
      <c r="D4004" t="s">
        <v>53</v>
      </c>
      <c r="E4004" t="s">
        <v>61</v>
      </c>
      <c r="F4004" t="s">
        <v>62</v>
      </c>
      <c r="G4004" t="s">
        <v>31</v>
      </c>
      <c r="H4004" t="s">
        <v>32</v>
      </c>
      <c r="I4004" s="5">
        <v>286</v>
      </c>
      <c r="J4004" s="5">
        <v>224</v>
      </c>
      <c r="K4004" s="5">
        <v>21</v>
      </c>
      <c r="L4004" s="5">
        <v>2</v>
      </c>
      <c r="M4004" s="5">
        <v>2</v>
      </c>
      <c r="N4004" s="7">
        <v>487.5</v>
      </c>
      <c r="O4004" s="7">
        <f t="shared" si="436"/>
        <v>975</v>
      </c>
      <c r="P4004" s="4">
        <v>0</v>
      </c>
      <c r="Q4004" s="7">
        <f t="shared" si="437"/>
        <v>0</v>
      </c>
      <c r="R4004" s="7">
        <f t="shared" si="438"/>
        <v>975</v>
      </c>
      <c r="S4004" s="7">
        <f t="shared" si="439"/>
        <v>487.5</v>
      </c>
      <c r="T4004" s="6">
        <f t="shared" si="440"/>
        <v>6.993006993006993E-3</v>
      </c>
      <c r="V4004" t="s">
        <v>29</v>
      </c>
    </row>
    <row r="4005" spans="1:22">
      <c r="A4005" s="3">
        <v>45824</v>
      </c>
      <c r="B4005" t="str">
        <f t="shared" si="434"/>
        <v>yyyy-06</v>
      </c>
      <c r="C4005">
        <f t="shared" si="435"/>
        <v>25</v>
      </c>
      <c r="D4005" t="s">
        <v>53</v>
      </c>
      <c r="E4005" t="s">
        <v>64</v>
      </c>
      <c r="F4005" t="s">
        <v>65</v>
      </c>
      <c r="G4005" t="s">
        <v>27</v>
      </c>
      <c r="H4005" t="s">
        <v>48</v>
      </c>
      <c r="I4005" s="5">
        <v>152</v>
      </c>
      <c r="J4005" s="5">
        <v>106</v>
      </c>
      <c r="K4005" s="5">
        <v>11</v>
      </c>
      <c r="L4005" s="5">
        <v>2</v>
      </c>
      <c r="M4005" s="5">
        <v>2</v>
      </c>
      <c r="N4005" s="7">
        <v>778.88</v>
      </c>
      <c r="O4005" s="7">
        <f t="shared" si="436"/>
        <v>1557.76</v>
      </c>
      <c r="P4005" s="4">
        <v>0</v>
      </c>
      <c r="Q4005" s="7">
        <f t="shared" si="437"/>
        <v>0</v>
      </c>
      <c r="R4005" s="7">
        <f t="shared" si="438"/>
        <v>1557.76</v>
      </c>
      <c r="S4005" s="7">
        <f t="shared" si="439"/>
        <v>778.88</v>
      </c>
      <c r="T4005" s="6">
        <f t="shared" si="440"/>
        <v>1.3157894736842105E-2</v>
      </c>
      <c r="V4005" t="s">
        <v>29</v>
      </c>
    </row>
    <row r="4006" spans="1:22">
      <c r="A4006" s="3">
        <v>45824</v>
      </c>
      <c r="B4006" t="str">
        <f t="shared" si="434"/>
        <v>yyyy-06</v>
      </c>
      <c r="C4006">
        <f t="shared" si="435"/>
        <v>25</v>
      </c>
      <c r="D4006" t="s">
        <v>66</v>
      </c>
      <c r="E4006" t="s">
        <v>67</v>
      </c>
      <c r="F4006" t="s">
        <v>68</v>
      </c>
      <c r="G4006" t="s">
        <v>27</v>
      </c>
      <c r="H4006" t="s">
        <v>28</v>
      </c>
      <c r="I4006" s="5">
        <v>345</v>
      </c>
      <c r="J4006" s="5">
        <v>284</v>
      </c>
      <c r="K4006" s="5">
        <v>34</v>
      </c>
      <c r="L4006" s="5">
        <v>6</v>
      </c>
      <c r="M4006" s="5">
        <v>6</v>
      </c>
      <c r="N4006" s="7">
        <v>687.28</v>
      </c>
      <c r="O4006" s="7">
        <f t="shared" si="436"/>
        <v>4123.68</v>
      </c>
      <c r="P4006" s="4">
        <v>0</v>
      </c>
      <c r="Q4006" s="7">
        <f t="shared" si="437"/>
        <v>0</v>
      </c>
      <c r="R4006" s="7">
        <f t="shared" si="438"/>
        <v>4123.68</v>
      </c>
      <c r="S4006" s="7">
        <f t="shared" si="439"/>
        <v>687.28000000000009</v>
      </c>
      <c r="T4006" s="6">
        <f t="shared" si="440"/>
        <v>1.7391304347826087E-2</v>
      </c>
      <c r="V4006" t="s">
        <v>29</v>
      </c>
    </row>
    <row r="4007" spans="1:22">
      <c r="A4007" s="3">
        <v>45824</v>
      </c>
      <c r="B4007" t="str">
        <f t="shared" si="434"/>
        <v>yyyy-06</v>
      </c>
      <c r="C4007">
        <f t="shared" si="435"/>
        <v>25</v>
      </c>
      <c r="D4007" t="s">
        <v>66</v>
      </c>
      <c r="E4007" t="s">
        <v>67</v>
      </c>
      <c r="F4007" t="s">
        <v>69</v>
      </c>
      <c r="G4007" t="s">
        <v>31</v>
      </c>
      <c r="H4007" t="s">
        <v>32</v>
      </c>
      <c r="I4007" s="5">
        <v>642</v>
      </c>
      <c r="J4007" s="5">
        <v>500</v>
      </c>
      <c r="K4007" s="5">
        <v>61</v>
      </c>
      <c r="L4007" s="5">
        <v>14</v>
      </c>
      <c r="M4007" s="5">
        <v>14</v>
      </c>
      <c r="N4007" s="7">
        <v>383.44</v>
      </c>
      <c r="O4007" s="7">
        <f t="shared" si="436"/>
        <v>5368.16</v>
      </c>
      <c r="P4007" s="4">
        <v>0.05</v>
      </c>
      <c r="Q4007" s="7">
        <f t="shared" si="437"/>
        <v>268.40800000000002</v>
      </c>
      <c r="R4007" s="7">
        <f t="shared" si="438"/>
        <v>5099.7519999999995</v>
      </c>
      <c r="S4007" s="7">
        <f t="shared" si="439"/>
        <v>364.26799999999997</v>
      </c>
      <c r="T4007" s="6">
        <f t="shared" si="440"/>
        <v>2.1806853582554516E-2</v>
      </c>
      <c r="V4007" t="s">
        <v>29</v>
      </c>
    </row>
    <row r="4008" spans="1:22">
      <c r="A4008" s="3">
        <v>45824</v>
      </c>
      <c r="B4008" t="str">
        <f t="shared" si="434"/>
        <v>yyyy-06</v>
      </c>
      <c r="C4008">
        <f t="shared" si="435"/>
        <v>25</v>
      </c>
      <c r="D4008" t="s">
        <v>66</v>
      </c>
      <c r="E4008" t="s">
        <v>67</v>
      </c>
      <c r="F4008" t="s">
        <v>70</v>
      </c>
      <c r="G4008" t="s">
        <v>31</v>
      </c>
      <c r="H4008" t="s">
        <v>32</v>
      </c>
      <c r="I4008" s="5">
        <v>435</v>
      </c>
      <c r="J4008" s="5">
        <v>289</v>
      </c>
      <c r="K4008" s="5">
        <v>24</v>
      </c>
      <c r="L4008" s="5">
        <v>7</v>
      </c>
      <c r="M4008" s="5">
        <v>7</v>
      </c>
      <c r="N4008" s="7">
        <v>349.69</v>
      </c>
      <c r="O4008" s="7">
        <f t="shared" si="436"/>
        <v>2447.83</v>
      </c>
      <c r="P4008" s="4">
        <v>0.03</v>
      </c>
      <c r="Q4008" s="7">
        <f t="shared" si="437"/>
        <v>73.434899999999999</v>
      </c>
      <c r="R4008" s="7">
        <f t="shared" si="438"/>
        <v>2374.3950999999997</v>
      </c>
      <c r="S4008" s="7">
        <f t="shared" si="439"/>
        <v>339.19929999999994</v>
      </c>
      <c r="T4008" s="6">
        <f t="shared" si="440"/>
        <v>1.6091954022988506E-2</v>
      </c>
      <c r="V4008" t="s">
        <v>29</v>
      </c>
    </row>
    <row r="4009" spans="1:22">
      <c r="A4009" s="3">
        <v>45824</v>
      </c>
      <c r="B4009" t="str">
        <f t="shared" si="434"/>
        <v>yyyy-06</v>
      </c>
      <c r="C4009">
        <f t="shared" si="435"/>
        <v>25</v>
      </c>
      <c r="D4009" t="s">
        <v>66</v>
      </c>
      <c r="E4009" t="s">
        <v>71</v>
      </c>
      <c r="F4009" t="s">
        <v>72</v>
      </c>
      <c r="G4009" t="s">
        <v>31</v>
      </c>
      <c r="H4009" t="s">
        <v>32</v>
      </c>
      <c r="I4009" s="5">
        <v>459</v>
      </c>
      <c r="J4009" s="5">
        <v>336</v>
      </c>
      <c r="K4009" s="5">
        <v>30</v>
      </c>
      <c r="L4009" s="5">
        <v>9</v>
      </c>
      <c r="M4009" s="5">
        <v>11</v>
      </c>
      <c r="N4009" s="7">
        <v>127.31</v>
      </c>
      <c r="O4009" s="7">
        <f t="shared" si="436"/>
        <v>1400.41</v>
      </c>
      <c r="P4009" s="4">
        <v>0.03</v>
      </c>
      <c r="Q4009" s="7">
        <f t="shared" si="437"/>
        <v>42.012300000000003</v>
      </c>
      <c r="R4009" s="7">
        <f t="shared" si="438"/>
        <v>1358.3977</v>
      </c>
      <c r="S4009" s="7">
        <f t="shared" si="439"/>
        <v>150.93307777777778</v>
      </c>
      <c r="T4009" s="6">
        <f t="shared" si="440"/>
        <v>1.9607843137254902E-2</v>
      </c>
      <c r="V4009" t="s">
        <v>29</v>
      </c>
    </row>
    <row r="4010" spans="1:22">
      <c r="A4010" s="3">
        <v>45824</v>
      </c>
      <c r="B4010" t="str">
        <f t="shared" si="434"/>
        <v>yyyy-06</v>
      </c>
      <c r="C4010">
        <f t="shared" si="435"/>
        <v>25</v>
      </c>
      <c r="D4010" t="s">
        <v>66</v>
      </c>
      <c r="E4010" t="s">
        <v>73</v>
      </c>
      <c r="F4010" t="s">
        <v>74</v>
      </c>
      <c r="G4010" t="s">
        <v>31</v>
      </c>
      <c r="H4010" t="s">
        <v>32</v>
      </c>
      <c r="I4010" s="5">
        <v>317</v>
      </c>
      <c r="J4010" s="5">
        <v>188</v>
      </c>
      <c r="K4010" s="5">
        <v>10</v>
      </c>
      <c r="L4010" s="5">
        <v>5</v>
      </c>
      <c r="M4010" s="5">
        <v>5</v>
      </c>
      <c r="N4010" s="7">
        <v>1218.19</v>
      </c>
      <c r="O4010" s="7">
        <f t="shared" si="436"/>
        <v>6090.9500000000007</v>
      </c>
      <c r="P4010" s="4">
        <v>0</v>
      </c>
      <c r="Q4010" s="7">
        <f t="shared" si="437"/>
        <v>0</v>
      </c>
      <c r="R4010" s="7">
        <f t="shared" si="438"/>
        <v>6090.9500000000007</v>
      </c>
      <c r="S4010" s="7">
        <f t="shared" si="439"/>
        <v>1218.19</v>
      </c>
      <c r="T4010" s="6">
        <f t="shared" si="440"/>
        <v>1.5772870662460567E-2</v>
      </c>
      <c r="V4010" t="s">
        <v>29</v>
      </c>
    </row>
    <row r="4011" spans="1:22">
      <c r="A4011" s="3">
        <v>45824</v>
      </c>
      <c r="B4011" t="str">
        <f t="shared" si="434"/>
        <v>yyyy-06</v>
      </c>
      <c r="C4011">
        <f t="shared" si="435"/>
        <v>25</v>
      </c>
      <c r="D4011" t="s">
        <v>66</v>
      </c>
      <c r="E4011" t="s">
        <v>71</v>
      </c>
      <c r="F4011" t="s">
        <v>75</v>
      </c>
      <c r="G4011" t="s">
        <v>27</v>
      </c>
      <c r="H4011" t="s">
        <v>28</v>
      </c>
      <c r="I4011" s="5">
        <v>390</v>
      </c>
      <c r="J4011" s="5">
        <v>215</v>
      </c>
      <c r="K4011" s="5">
        <v>28</v>
      </c>
      <c r="L4011" s="5">
        <v>8</v>
      </c>
      <c r="M4011" s="5">
        <v>9</v>
      </c>
      <c r="N4011" s="7">
        <v>38.49</v>
      </c>
      <c r="O4011" s="7">
        <f t="shared" si="436"/>
        <v>346.41</v>
      </c>
      <c r="P4011" s="4">
        <v>0.03</v>
      </c>
      <c r="Q4011" s="7">
        <f t="shared" si="437"/>
        <v>10.392300000000001</v>
      </c>
      <c r="R4011" s="7">
        <f t="shared" si="438"/>
        <v>336.01770000000005</v>
      </c>
      <c r="S4011" s="7">
        <f t="shared" si="439"/>
        <v>42.002212500000006</v>
      </c>
      <c r="T4011" s="6">
        <f t="shared" si="440"/>
        <v>2.0512820512820513E-2</v>
      </c>
      <c r="V4011" t="s">
        <v>29</v>
      </c>
    </row>
    <row r="4012" spans="1:22">
      <c r="A4012" s="3">
        <v>45824</v>
      </c>
      <c r="B4012" t="str">
        <f t="shared" si="434"/>
        <v>yyyy-06</v>
      </c>
      <c r="C4012">
        <f t="shared" si="435"/>
        <v>25</v>
      </c>
      <c r="D4012" t="s">
        <v>24</v>
      </c>
      <c r="E4012" t="s">
        <v>76</v>
      </c>
      <c r="F4012" t="s">
        <v>77</v>
      </c>
      <c r="G4012" t="s">
        <v>27</v>
      </c>
      <c r="H4012" t="s">
        <v>48</v>
      </c>
      <c r="I4012" s="5">
        <v>634</v>
      </c>
      <c r="J4012" s="5">
        <v>356</v>
      </c>
      <c r="K4012" s="5">
        <v>51</v>
      </c>
      <c r="L4012" s="5">
        <v>11</v>
      </c>
      <c r="M4012" s="5">
        <v>13</v>
      </c>
      <c r="N4012" s="7">
        <v>192.65</v>
      </c>
      <c r="O4012" s="7">
        <f t="shared" si="436"/>
        <v>2504.4500000000003</v>
      </c>
      <c r="P4012" s="4">
        <v>0</v>
      </c>
      <c r="Q4012" s="7">
        <f t="shared" si="437"/>
        <v>0</v>
      </c>
      <c r="R4012" s="7">
        <f t="shared" si="438"/>
        <v>2504.4500000000003</v>
      </c>
      <c r="S4012" s="7">
        <f t="shared" si="439"/>
        <v>227.67727272727276</v>
      </c>
      <c r="T4012" s="6">
        <f t="shared" si="440"/>
        <v>1.7350157728706624E-2</v>
      </c>
      <c r="V4012" t="s">
        <v>78</v>
      </c>
    </row>
    <row r="4013" spans="1:22">
      <c r="A4013" s="3">
        <v>45825</v>
      </c>
      <c r="B4013" t="str">
        <f t="shared" si="434"/>
        <v>yyyy-06</v>
      </c>
      <c r="C4013">
        <f t="shared" si="435"/>
        <v>25</v>
      </c>
      <c r="D4013" t="s">
        <v>24</v>
      </c>
      <c r="E4013" t="s">
        <v>25</v>
      </c>
      <c r="F4013" t="s">
        <v>26</v>
      </c>
      <c r="G4013" t="s">
        <v>31</v>
      </c>
      <c r="H4013" t="s">
        <v>32</v>
      </c>
      <c r="I4013" s="5">
        <v>2523</v>
      </c>
      <c r="J4013" s="5">
        <v>2087</v>
      </c>
      <c r="K4013" s="5">
        <v>116</v>
      </c>
      <c r="L4013" s="5">
        <v>35</v>
      </c>
      <c r="M4013" s="5">
        <v>35</v>
      </c>
      <c r="N4013" s="7">
        <v>989.22</v>
      </c>
      <c r="O4013" s="7">
        <f t="shared" si="436"/>
        <v>34622.700000000004</v>
      </c>
      <c r="P4013" s="4">
        <v>0</v>
      </c>
      <c r="Q4013" s="7">
        <f t="shared" si="437"/>
        <v>0</v>
      </c>
      <c r="R4013" s="7">
        <f t="shared" si="438"/>
        <v>34622.700000000004</v>
      </c>
      <c r="S4013" s="7">
        <f t="shared" si="439"/>
        <v>989.22000000000014</v>
      </c>
      <c r="T4013" s="6">
        <f t="shared" si="440"/>
        <v>1.3872374157748711E-2</v>
      </c>
      <c r="V4013" t="s">
        <v>78</v>
      </c>
    </row>
    <row r="4014" spans="1:22">
      <c r="A4014" s="3">
        <v>45825</v>
      </c>
      <c r="B4014" t="str">
        <f t="shared" si="434"/>
        <v>yyyy-06</v>
      </c>
      <c r="C4014">
        <f t="shared" si="435"/>
        <v>25</v>
      </c>
      <c r="D4014" t="s">
        <v>24</v>
      </c>
      <c r="E4014" t="s">
        <v>25</v>
      </c>
      <c r="F4014" t="s">
        <v>30</v>
      </c>
      <c r="G4014" t="s">
        <v>27</v>
      </c>
      <c r="H4014" t="s">
        <v>45</v>
      </c>
      <c r="I4014" s="5">
        <v>2088</v>
      </c>
      <c r="J4014" s="5">
        <v>1626</v>
      </c>
      <c r="K4014" s="5">
        <v>122</v>
      </c>
      <c r="L4014" s="5">
        <v>36</v>
      </c>
      <c r="M4014" s="5">
        <v>36</v>
      </c>
      <c r="N4014" s="7">
        <v>395.72</v>
      </c>
      <c r="O4014" s="7">
        <f t="shared" si="436"/>
        <v>14245.920000000002</v>
      </c>
      <c r="P4014" s="4">
        <v>0</v>
      </c>
      <c r="Q4014" s="7">
        <f t="shared" si="437"/>
        <v>0</v>
      </c>
      <c r="R4014" s="7">
        <f t="shared" si="438"/>
        <v>14245.920000000002</v>
      </c>
      <c r="S4014" s="7">
        <f t="shared" si="439"/>
        <v>395.72</v>
      </c>
      <c r="T4014" s="6">
        <f t="shared" si="440"/>
        <v>1.7241379310344827E-2</v>
      </c>
      <c r="V4014" t="s">
        <v>29</v>
      </c>
    </row>
    <row r="4015" spans="1:22">
      <c r="A4015" s="3">
        <v>45825</v>
      </c>
      <c r="B4015" t="str">
        <f t="shared" si="434"/>
        <v>yyyy-06</v>
      </c>
      <c r="C4015">
        <f t="shared" si="435"/>
        <v>25</v>
      </c>
      <c r="D4015" t="s">
        <v>24</v>
      </c>
      <c r="E4015" t="s">
        <v>25</v>
      </c>
      <c r="F4015" t="s">
        <v>33</v>
      </c>
      <c r="G4015" t="s">
        <v>31</v>
      </c>
      <c r="H4015" t="s">
        <v>32</v>
      </c>
      <c r="I4015" s="5">
        <v>2087</v>
      </c>
      <c r="J4015" s="5">
        <v>1686</v>
      </c>
      <c r="K4015" s="5">
        <v>186</v>
      </c>
      <c r="L4015" s="5">
        <v>40</v>
      </c>
      <c r="M4015" s="5">
        <v>40</v>
      </c>
      <c r="N4015" s="7">
        <v>1733.96</v>
      </c>
      <c r="O4015" s="7">
        <f t="shared" si="436"/>
        <v>69358.399999999994</v>
      </c>
      <c r="P4015" s="4">
        <v>0.05</v>
      </c>
      <c r="Q4015" s="7">
        <f t="shared" si="437"/>
        <v>3467.92</v>
      </c>
      <c r="R4015" s="7">
        <f t="shared" si="438"/>
        <v>65890.48</v>
      </c>
      <c r="S4015" s="7">
        <f t="shared" si="439"/>
        <v>1647.2619999999999</v>
      </c>
      <c r="T4015" s="6">
        <f t="shared" si="440"/>
        <v>1.9166267369429803E-2</v>
      </c>
      <c r="V4015" t="s">
        <v>29</v>
      </c>
    </row>
    <row r="4016" spans="1:22">
      <c r="A4016" s="3">
        <v>45825</v>
      </c>
      <c r="B4016" t="str">
        <f t="shared" si="434"/>
        <v>yyyy-06</v>
      </c>
      <c r="C4016">
        <f t="shared" si="435"/>
        <v>25</v>
      </c>
      <c r="D4016" t="s">
        <v>24</v>
      </c>
      <c r="E4016" t="s">
        <v>34</v>
      </c>
      <c r="F4016" t="s">
        <v>35</v>
      </c>
      <c r="G4016" t="s">
        <v>27</v>
      </c>
      <c r="H4016" t="s">
        <v>63</v>
      </c>
      <c r="I4016" s="5">
        <v>652</v>
      </c>
      <c r="J4016" s="5">
        <v>422</v>
      </c>
      <c r="K4016" s="5">
        <v>70</v>
      </c>
      <c r="L4016" s="5">
        <v>17</v>
      </c>
      <c r="M4016" s="5">
        <v>17</v>
      </c>
      <c r="N4016" s="7">
        <v>903.23</v>
      </c>
      <c r="O4016" s="7">
        <f t="shared" si="436"/>
        <v>15354.91</v>
      </c>
      <c r="P4016" s="4">
        <v>0</v>
      </c>
      <c r="Q4016" s="7">
        <f t="shared" si="437"/>
        <v>0</v>
      </c>
      <c r="R4016" s="7">
        <f t="shared" si="438"/>
        <v>15354.91</v>
      </c>
      <c r="S4016" s="7">
        <f t="shared" si="439"/>
        <v>903.23</v>
      </c>
      <c r="T4016" s="6">
        <f t="shared" si="440"/>
        <v>2.6073619631901839E-2</v>
      </c>
      <c r="V4016" t="s">
        <v>29</v>
      </c>
    </row>
    <row r="4017" spans="1:22">
      <c r="A4017" s="3">
        <v>45825</v>
      </c>
      <c r="B4017" t="str">
        <f t="shared" si="434"/>
        <v>yyyy-06</v>
      </c>
      <c r="C4017">
        <f t="shared" si="435"/>
        <v>25</v>
      </c>
      <c r="D4017" t="s">
        <v>24</v>
      </c>
      <c r="E4017" t="s">
        <v>38</v>
      </c>
      <c r="F4017" t="s">
        <v>39</v>
      </c>
      <c r="G4017" t="s">
        <v>36</v>
      </c>
      <c r="H4017" t="s">
        <v>37</v>
      </c>
      <c r="I4017" s="5">
        <v>1086</v>
      </c>
      <c r="J4017" s="5">
        <v>665</v>
      </c>
      <c r="K4017" s="5">
        <v>105</v>
      </c>
      <c r="L4017" s="5">
        <v>26</v>
      </c>
      <c r="M4017" s="5">
        <v>26</v>
      </c>
      <c r="N4017" s="7">
        <v>326.07</v>
      </c>
      <c r="O4017" s="7">
        <f t="shared" si="436"/>
        <v>8477.82</v>
      </c>
      <c r="P4017" s="4">
        <v>0</v>
      </c>
      <c r="Q4017" s="7">
        <f t="shared" si="437"/>
        <v>0</v>
      </c>
      <c r="R4017" s="7">
        <f t="shared" si="438"/>
        <v>8477.82</v>
      </c>
      <c r="S4017" s="7">
        <f t="shared" si="439"/>
        <v>326.07</v>
      </c>
      <c r="T4017" s="6">
        <f t="shared" si="440"/>
        <v>2.3941068139963169E-2</v>
      </c>
      <c r="V4017" t="s">
        <v>29</v>
      </c>
    </row>
    <row r="4018" spans="1:22">
      <c r="A4018" s="3">
        <v>45825</v>
      </c>
      <c r="B4018" t="str">
        <f t="shared" si="434"/>
        <v>yyyy-06</v>
      </c>
      <c r="C4018">
        <f t="shared" si="435"/>
        <v>25</v>
      </c>
      <c r="D4018" t="s">
        <v>24</v>
      </c>
      <c r="E4018" t="s">
        <v>40</v>
      </c>
      <c r="F4018" t="s">
        <v>41</v>
      </c>
      <c r="G4018" t="s">
        <v>31</v>
      </c>
      <c r="H4018" t="s">
        <v>32</v>
      </c>
      <c r="I4018" s="5">
        <v>1104</v>
      </c>
      <c r="J4018" s="5">
        <v>717</v>
      </c>
      <c r="K4018" s="5">
        <v>103</v>
      </c>
      <c r="L4018" s="5">
        <v>27</v>
      </c>
      <c r="M4018" s="5">
        <v>34</v>
      </c>
      <c r="N4018" s="7">
        <v>180.61</v>
      </c>
      <c r="O4018" s="7">
        <f t="shared" si="436"/>
        <v>6140.7400000000007</v>
      </c>
      <c r="P4018" s="4">
        <v>0</v>
      </c>
      <c r="Q4018" s="7">
        <f t="shared" si="437"/>
        <v>0</v>
      </c>
      <c r="R4018" s="7">
        <f t="shared" si="438"/>
        <v>6140.7400000000007</v>
      </c>
      <c r="S4018" s="7">
        <f t="shared" si="439"/>
        <v>227.43481481481484</v>
      </c>
      <c r="T4018" s="6">
        <f t="shared" si="440"/>
        <v>2.4456521739130436E-2</v>
      </c>
      <c r="V4018" t="s">
        <v>29</v>
      </c>
    </row>
    <row r="4019" spans="1:22">
      <c r="A4019" s="3">
        <v>45825</v>
      </c>
      <c r="B4019" t="str">
        <f t="shared" si="434"/>
        <v>yyyy-06</v>
      </c>
      <c r="C4019">
        <f t="shared" si="435"/>
        <v>25</v>
      </c>
      <c r="D4019" t="s">
        <v>42</v>
      </c>
      <c r="E4019" t="s">
        <v>43</v>
      </c>
      <c r="F4019" t="s">
        <v>44</v>
      </c>
      <c r="G4019" t="s">
        <v>36</v>
      </c>
      <c r="H4019" t="s">
        <v>37</v>
      </c>
      <c r="I4019" s="5">
        <v>652</v>
      </c>
      <c r="J4019" s="5">
        <v>487</v>
      </c>
      <c r="K4019" s="5">
        <v>29</v>
      </c>
      <c r="L4019" s="5">
        <v>9</v>
      </c>
      <c r="M4019" s="5">
        <v>9</v>
      </c>
      <c r="N4019" s="7">
        <v>1314.43</v>
      </c>
      <c r="O4019" s="7">
        <f t="shared" si="436"/>
        <v>11829.87</v>
      </c>
      <c r="P4019" s="4">
        <v>0</v>
      </c>
      <c r="Q4019" s="7">
        <f t="shared" si="437"/>
        <v>0</v>
      </c>
      <c r="R4019" s="7">
        <f t="shared" si="438"/>
        <v>11829.87</v>
      </c>
      <c r="S4019" s="7">
        <f t="shared" si="439"/>
        <v>1314.43</v>
      </c>
      <c r="T4019" s="6">
        <f t="shared" si="440"/>
        <v>1.3803680981595092E-2</v>
      </c>
      <c r="V4019" t="s">
        <v>29</v>
      </c>
    </row>
    <row r="4020" spans="1:22">
      <c r="A4020" s="3">
        <v>45825</v>
      </c>
      <c r="B4020" t="str">
        <f t="shared" si="434"/>
        <v>yyyy-06</v>
      </c>
      <c r="C4020">
        <f t="shared" si="435"/>
        <v>25</v>
      </c>
      <c r="D4020" t="s">
        <v>42</v>
      </c>
      <c r="E4020" t="s">
        <v>43</v>
      </c>
      <c r="F4020" t="s">
        <v>46</v>
      </c>
      <c r="G4020" t="s">
        <v>31</v>
      </c>
      <c r="H4020" t="s">
        <v>32</v>
      </c>
      <c r="I4020" s="5">
        <v>699</v>
      </c>
      <c r="J4020" s="5">
        <v>522</v>
      </c>
      <c r="K4020" s="5">
        <v>36</v>
      </c>
      <c r="L4020" s="5">
        <v>10</v>
      </c>
      <c r="M4020" s="5">
        <v>10</v>
      </c>
      <c r="N4020" s="7">
        <v>2198.25</v>
      </c>
      <c r="O4020" s="7">
        <f t="shared" si="436"/>
        <v>21982.5</v>
      </c>
      <c r="P4020" s="4">
        <v>0</v>
      </c>
      <c r="Q4020" s="7">
        <f t="shared" si="437"/>
        <v>0</v>
      </c>
      <c r="R4020" s="7">
        <f t="shared" si="438"/>
        <v>21982.5</v>
      </c>
      <c r="S4020" s="7">
        <f t="shared" si="439"/>
        <v>2198.25</v>
      </c>
      <c r="T4020" s="6">
        <f t="shared" si="440"/>
        <v>1.4306151645207439E-2</v>
      </c>
      <c r="V4020" t="s">
        <v>29</v>
      </c>
    </row>
    <row r="4021" spans="1:22">
      <c r="A4021" s="3">
        <v>45825</v>
      </c>
      <c r="B4021" t="str">
        <f t="shared" si="434"/>
        <v>yyyy-06</v>
      </c>
      <c r="C4021">
        <f t="shared" si="435"/>
        <v>25</v>
      </c>
      <c r="D4021" t="s">
        <v>42</v>
      </c>
      <c r="E4021" t="s">
        <v>43</v>
      </c>
      <c r="F4021" t="s">
        <v>47</v>
      </c>
      <c r="G4021" t="s">
        <v>27</v>
      </c>
      <c r="H4021" t="s">
        <v>45</v>
      </c>
      <c r="I4021" s="5">
        <v>284</v>
      </c>
      <c r="J4021" s="5">
        <v>235</v>
      </c>
      <c r="K4021" s="5">
        <v>7</v>
      </c>
      <c r="L4021" s="5">
        <v>0</v>
      </c>
      <c r="M4021" s="5">
        <v>0</v>
      </c>
      <c r="N4021" s="7">
        <v>600.29</v>
      </c>
      <c r="O4021" s="7">
        <f t="shared" si="436"/>
        <v>0</v>
      </c>
      <c r="P4021" s="4">
        <v>0.03</v>
      </c>
      <c r="Q4021" s="7">
        <f t="shared" si="437"/>
        <v>0</v>
      </c>
      <c r="R4021" s="7">
        <f t="shared" si="438"/>
        <v>0</v>
      </c>
      <c r="S4021" s="7">
        <f t="shared" si="439"/>
        <v>0</v>
      </c>
      <c r="T4021" s="6">
        <f t="shared" si="440"/>
        <v>0</v>
      </c>
      <c r="V4021" t="s">
        <v>81</v>
      </c>
    </row>
    <row r="4022" spans="1:22">
      <c r="A4022" s="3">
        <v>45825</v>
      </c>
      <c r="B4022" t="str">
        <f t="shared" si="434"/>
        <v>yyyy-06</v>
      </c>
      <c r="C4022">
        <f t="shared" si="435"/>
        <v>25</v>
      </c>
      <c r="D4022" t="s">
        <v>42</v>
      </c>
      <c r="E4022" t="s">
        <v>49</v>
      </c>
      <c r="F4022" t="s">
        <v>50</v>
      </c>
      <c r="G4022" t="s">
        <v>31</v>
      </c>
      <c r="H4022" t="s">
        <v>32</v>
      </c>
      <c r="I4022" s="5">
        <v>199</v>
      </c>
      <c r="J4022" s="5">
        <v>162</v>
      </c>
      <c r="K4022" s="5">
        <v>10</v>
      </c>
      <c r="L4022" s="5">
        <v>2</v>
      </c>
      <c r="M4022" s="5">
        <v>2</v>
      </c>
      <c r="N4022" s="7">
        <v>1003.73</v>
      </c>
      <c r="O4022" s="7">
        <f t="shared" si="436"/>
        <v>2007.46</v>
      </c>
      <c r="P4022" s="4">
        <v>0</v>
      </c>
      <c r="Q4022" s="7">
        <f t="shared" si="437"/>
        <v>0</v>
      </c>
      <c r="R4022" s="7">
        <f t="shared" si="438"/>
        <v>2007.46</v>
      </c>
      <c r="S4022" s="7">
        <f t="shared" si="439"/>
        <v>1003.73</v>
      </c>
      <c r="T4022" s="6">
        <f t="shared" si="440"/>
        <v>1.0050251256281407E-2</v>
      </c>
      <c r="V4022" t="s">
        <v>29</v>
      </c>
    </row>
    <row r="4023" spans="1:22">
      <c r="A4023" s="3">
        <v>45825</v>
      </c>
      <c r="B4023" t="str">
        <f t="shared" si="434"/>
        <v>yyyy-06</v>
      </c>
      <c r="C4023">
        <f t="shared" si="435"/>
        <v>25</v>
      </c>
      <c r="D4023" t="s">
        <v>42</v>
      </c>
      <c r="E4023" t="s">
        <v>51</v>
      </c>
      <c r="F4023" t="s">
        <v>52</v>
      </c>
      <c r="G4023" t="s">
        <v>36</v>
      </c>
      <c r="H4023" t="s">
        <v>37</v>
      </c>
      <c r="I4023" s="5">
        <v>389</v>
      </c>
      <c r="J4023" s="5">
        <v>271</v>
      </c>
      <c r="K4023" s="5">
        <v>30</v>
      </c>
      <c r="L4023" s="5">
        <v>5</v>
      </c>
      <c r="M4023" s="5">
        <v>5</v>
      </c>
      <c r="N4023" s="7">
        <v>580.01</v>
      </c>
      <c r="O4023" s="7">
        <f t="shared" si="436"/>
        <v>2900.05</v>
      </c>
      <c r="P4023" s="4">
        <v>0</v>
      </c>
      <c r="Q4023" s="7">
        <f t="shared" si="437"/>
        <v>0</v>
      </c>
      <c r="R4023" s="7">
        <f t="shared" si="438"/>
        <v>2900.05</v>
      </c>
      <c r="S4023" s="7">
        <f t="shared" si="439"/>
        <v>580.01</v>
      </c>
      <c r="T4023" s="6">
        <f t="shared" si="440"/>
        <v>1.2853470437017995E-2</v>
      </c>
      <c r="V4023" t="s">
        <v>29</v>
      </c>
    </row>
    <row r="4024" spans="1:22">
      <c r="A4024" s="3">
        <v>45825</v>
      </c>
      <c r="B4024" t="str">
        <f t="shared" si="434"/>
        <v>yyyy-06</v>
      </c>
      <c r="C4024">
        <f t="shared" si="435"/>
        <v>25</v>
      </c>
      <c r="D4024" t="s">
        <v>53</v>
      </c>
      <c r="E4024" t="s">
        <v>54</v>
      </c>
      <c r="F4024" t="s">
        <v>55</v>
      </c>
      <c r="G4024" t="s">
        <v>27</v>
      </c>
      <c r="H4024" t="s">
        <v>45</v>
      </c>
      <c r="I4024" s="5">
        <v>147</v>
      </c>
      <c r="J4024" s="5">
        <v>79</v>
      </c>
      <c r="K4024" s="5">
        <v>8</v>
      </c>
      <c r="L4024" s="5">
        <v>1</v>
      </c>
      <c r="M4024" s="5">
        <v>1</v>
      </c>
      <c r="N4024" s="7">
        <v>1313.54</v>
      </c>
      <c r="O4024" s="7">
        <f t="shared" si="436"/>
        <v>1313.54</v>
      </c>
      <c r="P4024" s="4">
        <v>0</v>
      </c>
      <c r="Q4024" s="7">
        <f t="shared" si="437"/>
        <v>0</v>
      </c>
      <c r="R4024" s="7">
        <f t="shared" si="438"/>
        <v>1313.54</v>
      </c>
      <c r="S4024" s="7">
        <f t="shared" si="439"/>
        <v>1313.54</v>
      </c>
      <c r="T4024" s="6">
        <f t="shared" si="440"/>
        <v>6.8027210884353739E-3</v>
      </c>
      <c r="V4024" t="s">
        <v>78</v>
      </c>
    </row>
    <row r="4025" spans="1:22">
      <c r="A4025" s="3">
        <v>45825</v>
      </c>
      <c r="B4025" t="str">
        <f t="shared" si="434"/>
        <v>yyyy-06</v>
      </c>
      <c r="C4025">
        <f t="shared" si="435"/>
        <v>25</v>
      </c>
      <c r="D4025" t="s">
        <v>53</v>
      </c>
      <c r="E4025" t="s">
        <v>56</v>
      </c>
      <c r="F4025" t="s">
        <v>57</v>
      </c>
      <c r="G4025" t="s">
        <v>27</v>
      </c>
      <c r="H4025" t="s">
        <v>63</v>
      </c>
      <c r="I4025" s="5">
        <v>180</v>
      </c>
      <c r="J4025" s="5">
        <v>139</v>
      </c>
      <c r="K4025" s="5">
        <v>9</v>
      </c>
      <c r="L4025" s="5">
        <v>2</v>
      </c>
      <c r="M4025" s="5">
        <v>2</v>
      </c>
      <c r="N4025" s="7">
        <v>749.47</v>
      </c>
      <c r="O4025" s="7">
        <f t="shared" si="436"/>
        <v>1498.94</v>
      </c>
      <c r="P4025" s="4">
        <v>0.05</v>
      </c>
      <c r="Q4025" s="7">
        <f t="shared" si="437"/>
        <v>74.947000000000003</v>
      </c>
      <c r="R4025" s="7">
        <f t="shared" si="438"/>
        <v>1423.9929999999999</v>
      </c>
      <c r="S4025" s="7">
        <f t="shared" si="439"/>
        <v>711.99649999999997</v>
      </c>
      <c r="T4025" s="6">
        <f t="shared" si="440"/>
        <v>1.1111111111111112E-2</v>
      </c>
      <c r="V4025" t="s">
        <v>29</v>
      </c>
    </row>
    <row r="4026" spans="1:22">
      <c r="A4026" s="3">
        <v>45825</v>
      </c>
      <c r="B4026" t="str">
        <f t="shared" si="434"/>
        <v>yyyy-06</v>
      </c>
      <c r="C4026">
        <f t="shared" si="435"/>
        <v>25</v>
      </c>
      <c r="D4026" t="s">
        <v>53</v>
      </c>
      <c r="E4026" t="s">
        <v>56</v>
      </c>
      <c r="F4026" t="s">
        <v>58</v>
      </c>
      <c r="G4026" t="s">
        <v>27</v>
      </c>
      <c r="H4026" t="s">
        <v>48</v>
      </c>
      <c r="I4026" s="5">
        <v>218</v>
      </c>
      <c r="J4026" s="5">
        <v>138</v>
      </c>
      <c r="K4026" s="5">
        <v>13</v>
      </c>
      <c r="L4026" s="5">
        <v>3</v>
      </c>
      <c r="M4026" s="5">
        <v>3</v>
      </c>
      <c r="N4026" s="7">
        <v>871.71</v>
      </c>
      <c r="O4026" s="7">
        <f t="shared" si="436"/>
        <v>2615.13</v>
      </c>
      <c r="P4026" s="4">
        <v>0</v>
      </c>
      <c r="Q4026" s="7">
        <f t="shared" si="437"/>
        <v>0</v>
      </c>
      <c r="R4026" s="7">
        <f t="shared" si="438"/>
        <v>2615.13</v>
      </c>
      <c r="S4026" s="7">
        <f t="shared" si="439"/>
        <v>871.71</v>
      </c>
      <c r="T4026" s="6">
        <f t="shared" si="440"/>
        <v>1.3761467889908258E-2</v>
      </c>
      <c r="V4026" t="s">
        <v>29</v>
      </c>
    </row>
    <row r="4027" spans="1:22">
      <c r="A4027" s="3">
        <v>45825</v>
      </c>
      <c r="B4027" t="str">
        <f t="shared" si="434"/>
        <v>yyyy-06</v>
      </c>
      <c r="C4027">
        <f t="shared" si="435"/>
        <v>25</v>
      </c>
      <c r="D4027" t="s">
        <v>53</v>
      </c>
      <c r="E4027" t="s">
        <v>59</v>
      </c>
      <c r="F4027" t="s">
        <v>60</v>
      </c>
      <c r="G4027" t="s">
        <v>27</v>
      </c>
      <c r="H4027" t="s">
        <v>63</v>
      </c>
      <c r="I4027" s="5">
        <v>92</v>
      </c>
      <c r="J4027" s="5">
        <v>75</v>
      </c>
      <c r="K4027" s="5">
        <v>8</v>
      </c>
      <c r="L4027" s="5">
        <v>1</v>
      </c>
      <c r="M4027" s="5">
        <v>1</v>
      </c>
      <c r="N4027" s="7">
        <v>711</v>
      </c>
      <c r="O4027" s="7">
        <f t="shared" si="436"/>
        <v>711</v>
      </c>
      <c r="P4027" s="4">
        <v>0.03</v>
      </c>
      <c r="Q4027" s="7">
        <f t="shared" si="437"/>
        <v>21.33</v>
      </c>
      <c r="R4027" s="7">
        <f t="shared" si="438"/>
        <v>689.67</v>
      </c>
      <c r="S4027" s="7">
        <f t="shared" si="439"/>
        <v>689.67</v>
      </c>
      <c r="T4027" s="6">
        <f t="shared" si="440"/>
        <v>1.0869565217391304E-2</v>
      </c>
      <c r="V4027" t="s">
        <v>29</v>
      </c>
    </row>
    <row r="4028" spans="1:22">
      <c r="A4028" s="3">
        <v>45825</v>
      </c>
      <c r="B4028" t="str">
        <f t="shared" si="434"/>
        <v>yyyy-06</v>
      </c>
      <c r="C4028">
        <f t="shared" si="435"/>
        <v>25</v>
      </c>
      <c r="D4028" t="s">
        <v>53</v>
      </c>
      <c r="E4028" t="s">
        <v>61</v>
      </c>
      <c r="F4028" t="s">
        <v>62</v>
      </c>
      <c r="G4028" t="s">
        <v>27</v>
      </c>
      <c r="H4028" t="s">
        <v>63</v>
      </c>
      <c r="I4028" s="5">
        <v>168</v>
      </c>
      <c r="J4028" s="5">
        <v>98</v>
      </c>
      <c r="K4028" s="5">
        <v>8</v>
      </c>
      <c r="L4028" s="5">
        <v>2</v>
      </c>
      <c r="M4028" s="5">
        <v>2</v>
      </c>
      <c r="N4028" s="7">
        <v>495.81</v>
      </c>
      <c r="O4028" s="7">
        <f t="shared" si="436"/>
        <v>991.62</v>
      </c>
      <c r="P4028" s="4">
        <v>0.05</v>
      </c>
      <c r="Q4028" s="7">
        <f t="shared" si="437"/>
        <v>49.581000000000003</v>
      </c>
      <c r="R4028" s="7">
        <f t="shared" si="438"/>
        <v>942.03899999999999</v>
      </c>
      <c r="S4028" s="7">
        <f t="shared" si="439"/>
        <v>471.01949999999999</v>
      </c>
      <c r="T4028" s="6">
        <f t="shared" si="440"/>
        <v>1.1904761904761904E-2</v>
      </c>
      <c r="V4028" t="s">
        <v>29</v>
      </c>
    </row>
    <row r="4029" spans="1:22">
      <c r="A4029" s="3">
        <v>45825</v>
      </c>
      <c r="B4029" t="str">
        <f t="shared" si="434"/>
        <v>yyyy-06</v>
      </c>
      <c r="C4029">
        <f t="shared" si="435"/>
        <v>25</v>
      </c>
      <c r="D4029" t="s">
        <v>53</v>
      </c>
      <c r="E4029" t="s">
        <v>64</v>
      </c>
      <c r="F4029" t="s">
        <v>65</v>
      </c>
      <c r="G4029" t="s">
        <v>36</v>
      </c>
      <c r="H4029" t="s">
        <v>37</v>
      </c>
      <c r="I4029" s="5">
        <v>210</v>
      </c>
      <c r="J4029" s="5">
        <v>165</v>
      </c>
      <c r="K4029" s="5">
        <v>13</v>
      </c>
      <c r="L4029" s="5">
        <v>3</v>
      </c>
      <c r="M4029" s="5">
        <v>3</v>
      </c>
      <c r="N4029" s="7">
        <v>801.74</v>
      </c>
      <c r="O4029" s="7">
        <f t="shared" si="436"/>
        <v>2405.2200000000003</v>
      </c>
      <c r="P4029" s="4">
        <v>0.05</v>
      </c>
      <c r="Q4029" s="7">
        <f t="shared" si="437"/>
        <v>120.26100000000002</v>
      </c>
      <c r="R4029" s="7">
        <f t="shared" si="438"/>
        <v>2284.9590000000003</v>
      </c>
      <c r="S4029" s="7">
        <f t="shared" si="439"/>
        <v>761.65300000000013</v>
      </c>
      <c r="T4029" s="6">
        <f t="shared" si="440"/>
        <v>1.4285714285714285E-2</v>
      </c>
      <c r="V4029" t="s">
        <v>29</v>
      </c>
    </row>
    <row r="4030" spans="1:22">
      <c r="A4030" s="3">
        <v>45825</v>
      </c>
      <c r="B4030" t="str">
        <f t="shared" si="434"/>
        <v>yyyy-06</v>
      </c>
      <c r="C4030">
        <f t="shared" si="435"/>
        <v>25</v>
      </c>
      <c r="D4030" t="s">
        <v>66</v>
      </c>
      <c r="E4030" t="s">
        <v>67</v>
      </c>
      <c r="F4030" t="s">
        <v>68</v>
      </c>
      <c r="G4030" t="s">
        <v>27</v>
      </c>
      <c r="H4030" t="s">
        <v>63</v>
      </c>
      <c r="I4030" s="5">
        <v>287</v>
      </c>
      <c r="J4030" s="5">
        <v>212</v>
      </c>
      <c r="K4030" s="5">
        <v>20</v>
      </c>
      <c r="L4030" s="5">
        <v>4</v>
      </c>
      <c r="M4030" s="5">
        <v>4</v>
      </c>
      <c r="N4030" s="7">
        <v>692.45</v>
      </c>
      <c r="O4030" s="7">
        <f t="shared" si="436"/>
        <v>2769.8</v>
      </c>
      <c r="P4030" s="4">
        <v>0</v>
      </c>
      <c r="Q4030" s="7">
        <f t="shared" si="437"/>
        <v>0</v>
      </c>
      <c r="R4030" s="7">
        <f t="shared" si="438"/>
        <v>2769.8</v>
      </c>
      <c r="S4030" s="7">
        <f t="shared" si="439"/>
        <v>692.45</v>
      </c>
      <c r="T4030" s="6">
        <f t="shared" si="440"/>
        <v>1.3937282229965157E-2</v>
      </c>
      <c r="V4030" t="s">
        <v>29</v>
      </c>
    </row>
    <row r="4031" spans="1:22">
      <c r="A4031" s="3">
        <v>45825</v>
      </c>
      <c r="B4031" t="str">
        <f t="shared" si="434"/>
        <v>yyyy-06</v>
      </c>
      <c r="C4031">
        <f t="shared" si="435"/>
        <v>25</v>
      </c>
      <c r="D4031" t="s">
        <v>66</v>
      </c>
      <c r="E4031" t="s">
        <v>67</v>
      </c>
      <c r="F4031" t="s">
        <v>69</v>
      </c>
      <c r="G4031" t="s">
        <v>27</v>
      </c>
      <c r="H4031" t="s">
        <v>45</v>
      </c>
      <c r="I4031" s="5">
        <v>381</v>
      </c>
      <c r="J4031" s="5">
        <v>300</v>
      </c>
      <c r="K4031" s="5">
        <v>21</v>
      </c>
      <c r="L4031" s="5">
        <v>6</v>
      </c>
      <c r="M4031" s="5">
        <v>6</v>
      </c>
      <c r="N4031" s="7">
        <v>391.85</v>
      </c>
      <c r="O4031" s="7">
        <f t="shared" si="436"/>
        <v>2351.1000000000004</v>
      </c>
      <c r="P4031" s="4">
        <v>0</v>
      </c>
      <c r="Q4031" s="7">
        <f t="shared" si="437"/>
        <v>0</v>
      </c>
      <c r="R4031" s="7">
        <f t="shared" si="438"/>
        <v>2351.1000000000004</v>
      </c>
      <c r="S4031" s="7">
        <f t="shared" si="439"/>
        <v>391.85000000000008</v>
      </c>
      <c r="T4031" s="6">
        <f t="shared" si="440"/>
        <v>1.5748031496062992E-2</v>
      </c>
      <c r="V4031" t="s">
        <v>29</v>
      </c>
    </row>
    <row r="4032" spans="1:22">
      <c r="A4032" s="3">
        <v>45825</v>
      </c>
      <c r="B4032" t="str">
        <f t="shared" si="434"/>
        <v>yyyy-06</v>
      </c>
      <c r="C4032">
        <f t="shared" si="435"/>
        <v>25</v>
      </c>
      <c r="D4032" t="s">
        <v>66</v>
      </c>
      <c r="E4032" t="s">
        <v>67</v>
      </c>
      <c r="F4032" t="s">
        <v>70</v>
      </c>
      <c r="G4032" t="s">
        <v>31</v>
      </c>
      <c r="H4032" t="s">
        <v>32</v>
      </c>
      <c r="I4032" s="5">
        <v>593</v>
      </c>
      <c r="J4032" s="5">
        <v>366</v>
      </c>
      <c r="K4032" s="5">
        <v>61</v>
      </c>
      <c r="L4032" s="5">
        <v>13</v>
      </c>
      <c r="M4032" s="5">
        <v>13</v>
      </c>
      <c r="N4032" s="7">
        <v>336.83</v>
      </c>
      <c r="O4032" s="7">
        <f t="shared" si="436"/>
        <v>4378.79</v>
      </c>
      <c r="P4032" s="4">
        <v>0.03</v>
      </c>
      <c r="Q4032" s="7">
        <f t="shared" si="437"/>
        <v>131.36369999999999</v>
      </c>
      <c r="R4032" s="7">
        <f t="shared" si="438"/>
        <v>4247.4263000000001</v>
      </c>
      <c r="S4032" s="7">
        <f t="shared" si="439"/>
        <v>326.7251</v>
      </c>
      <c r="T4032" s="6">
        <f t="shared" si="440"/>
        <v>2.1922428330522766E-2</v>
      </c>
      <c r="V4032" t="s">
        <v>29</v>
      </c>
    </row>
    <row r="4033" spans="1:22">
      <c r="A4033" s="3">
        <v>45825</v>
      </c>
      <c r="B4033" t="str">
        <f t="shared" si="434"/>
        <v>yyyy-06</v>
      </c>
      <c r="C4033">
        <f t="shared" si="435"/>
        <v>25</v>
      </c>
      <c r="D4033" t="s">
        <v>66</v>
      </c>
      <c r="E4033" t="s">
        <v>71</v>
      </c>
      <c r="F4033" t="s">
        <v>72</v>
      </c>
      <c r="G4033" t="s">
        <v>27</v>
      </c>
      <c r="H4033" t="s">
        <v>45</v>
      </c>
      <c r="I4033" s="5">
        <v>316</v>
      </c>
      <c r="J4033" s="5">
        <v>184</v>
      </c>
      <c r="K4033" s="5">
        <v>25</v>
      </c>
      <c r="L4033" s="5">
        <v>7</v>
      </c>
      <c r="M4033" s="5">
        <v>8</v>
      </c>
      <c r="N4033" s="7">
        <v>129.01</v>
      </c>
      <c r="O4033" s="7">
        <f t="shared" si="436"/>
        <v>1032.08</v>
      </c>
      <c r="P4033" s="4">
        <v>0</v>
      </c>
      <c r="Q4033" s="7">
        <f t="shared" si="437"/>
        <v>0</v>
      </c>
      <c r="R4033" s="7">
        <f t="shared" si="438"/>
        <v>1032.08</v>
      </c>
      <c r="S4033" s="7">
        <f t="shared" si="439"/>
        <v>147.44</v>
      </c>
      <c r="T4033" s="6">
        <f t="shared" si="440"/>
        <v>2.2151898734177215E-2</v>
      </c>
      <c r="V4033" t="s">
        <v>29</v>
      </c>
    </row>
    <row r="4034" spans="1:22">
      <c r="A4034" s="3">
        <v>45825</v>
      </c>
      <c r="B4034" t="str">
        <f t="shared" si="434"/>
        <v>yyyy-06</v>
      </c>
      <c r="C4034">
        <f t="shared" si="435"/>
        <v>25</v>
      </c>
      <c r="D4034" t="s">
        <v>66</v>
      </c>
      <c r="E4034" t="s">
        <v>73</v>
      </c>
      <c r="F4034" t="s">
        <v>74</v>
      </c>
      <c r="G4034" t="s">
        <v>27</v>
      </c>
      <c r="H4034" t="s">
        <v>48</v>
      </c>
      <c r="I4034" s="5">
        <v>204</v>
      </c>
      <c r="J4034" s="5">
        <v>134</v>
      </c>
      <c r="K4034" s="5">
        <v>15</v>
      </c>
      <c r="L4034" s="5">
        <v>4</v>
      </c>
      <c r="M4034" s="5">
        <v>4</v>
      </c>
      <c r="N4034" s="7">
        <v>1182.9100000000001</v>
      </c>
      <c r="O4034" s="7">
        <f t="shared" si="436"/>
        <v>4731.6400000000003</v>
      </c>
      <c r="P4034" s="4">
        <v>0</v>
      </c>
      <c r="Q4034" s="7">
        <f t="shared" si="437"/>
        <v>0</v>
      </c>
      <c r="R4034" s="7">
        <f t="shared" si="438"/>
        <v>4731.6400000000003</v>
      </c>
      <c r="S4034" s="7">
        <f t="shared" si="439"/>
        <v>1182.9100000000001</v>
      </c>
      <c r="T4034" s="6">
        <f t="shared" si="440"/>
        <v>1.9607843137254902E-2</v>
      </c>
      <c r="V4034" t="s">
        <v>29</v>
      </c>
    </row>
    <row r="4035" spans="1:22">
      <c r="A4035" s="3">
        <v>45825</v>
      </c>
      <c r="B4035" t="str">
        <f t="shared" si="434"/>
        <v>yyyy-06</v>
      </c>
      <c r="C4035">
        <f t="shared" si="435"/>
        <v>25</v>
      </c>
      <c r="D4035" t="s">
        <v>66</v>
      </c>
      <c r="E4035" t="s">
        <v>71</v>
      </c>
      <c r="F4035" t="s">
        <v>75</v>
      </c>
      <c r="G4035" t="s">
        <v>36</v>
      </c>
      <c r="H4035" t="s">
        <v>37</v>
      </c>
      <c r="I4035" s="5">
        <v>377</v>
      </c>
      <c r="J4035" s="5">
        <v>218</v>
      </c>
      <c r="K4035" s="5">
        <v>35</v>
      </c>
      <c r="L4035" s="5">
        <v>8</v>
      </c>
      <c r="M4035" s="5">
        <v>9</v>
      </c>
      <c r="N4035" s="7">
        <v>39.43</v>
      </c>
      <c r="O4035" s="7">
        <f t="shared" si="436"/>
        <v>354.87</v>
      </c>
      <c r="P4035" s="4">
        <v>0.03</v>
      </c>
      <c r="Q4035" s="7">
        <f t="shared" si="437"/>
        <v>10.646100000000001</v>
      </c>
      <c r="R4035" s="7">
        <f t="shared" si="438"/>
        <v>344.22390000000001</v>
      </c>
      <c r="S4035" s="7">
        <f t="shared" si="439"/>
        <v>43.027987500000002</v>
      </c>
      <c r="T4035" s="6">
        <f t="shared" si="440"/>
        <v>2.1220159151193633E-2</v>
      </c>
      <c r="V4035" t="s">
        <v>29</v>
      </c>
    </row>
    <row r="4036" spans="1:22">
      <c r="A4036" s="3">
        <v>45825</v>
      </c>
      <c r="B4036" t="str">
        <f t="shared" si="434"/>
        <v>yyyy-06</v>
      </c>
      <c r="C4036">
        <f t="shared" si="435"/>
        <v>25</v>
      </c>
      <c r="D4036" t="s">
        <v>24</v>
      </c>
      <c r="E4036" t="s">
        <v>76</v>
      </c>
      <c r="F4036" t="s">
        <v>77</v>
      </c>
      <c r="G4036" t="s">
        <v>36</v>
      </c>
      <c r="H4036" t="s">
        <v>37</v>
      </c>
      <c r="I4036" s="5">
        <v>719</v>
      </c>
      <c r="J4036" s="5">
        <v>439</v>
      </c>
      <c r="K4036" s="5">
        <v>46</v>
      </c>
      <c r="L4036" s="5">
        <v>16</v>
      </c>
      <c r="M4036" s="5">
        <v>20</v>
      </c>
      <c r="N4036" s="7">
        <v>197.29</v>
      </c>
      <c r="O4036" s="7">
        <f t="shared" si="436"/>
        <v>3945.7999999999997</v>
      </c>
      <c r="P4036" s="4">
        <v>0.03</v>
      </c>
      <c r="Q4036" s="7">
        <f t="shared" si="437"/>
        <v>118.37399999999998</v>
      </c>
      <c r="R4036" s="7">
        <f t="shared" si="438"/>
        <v>3827.4259999999999</v>
      </c>
      <c r="S4036" s="7">
        <f t="shared" si="439"/>
        <v>239.214125</v>
      </c>
      <c r="T4036" s="6">
        <f t="shared" si="440"/>
        <v>2.2253129346314324E-2</v>
      </c>
      <c r="V4036" t="s">
        <v>29</v>
      </c>
    </row>
    <row r="4037" spans="1:22">
      <c r="A4037" s="3">
        <v>45826</v>
      </c>
      <c r="B4037" t="str">
        <f t="shared" ref="B4037:B4100" si="441">TEXT(A4037,"yyyy-mm")</f>
        <v>yyyy-06</v>
      </c>
      <c r="C4037">
        <f t="shared" ref="C4037:C4100" si="442">WEEKNUM(A4037,2)</f>
        <v>25</v>
      </c>
      <c r="D4037" t="s">
        <v>24</v>
      </c>
      <c r="E4037" t="s">
        <v>25</v>
      </c>
      <c r="F4037" t="s">
        <v>26</v>
      </c>
      <c r="G4037" t="s">
        <v>27</v>
      </c>
      <c r="H4037" t="s">
        <v>48</v>
      </c>
      <c r="I4037" s="5">
        <v>1478</v>
      </c>
      <c r="J4037" s="5">
        <v>934</v>
      </c>
      <c r="K4037" s="5">
        <v>103</v>
      </c>
      <c r="L4037" s="5">
        <v>29</v>
      </c>
      <c r="M4037" s="5">
        <v>29</v>
      </c>
      <c r="N4037" s="7">
        <v>997.39</v>
      </c>
      <c r="O4037" s="7">
        <f t="shared" ref="O4037:O4100" si="443">M4037*N4037</f>
        <v>28924.31</v>
      </c>
      <c r="P4037" s="4">
        <v>0.03</v>
      </c>
      <c r="Q4037" s="7">
        <f t="shared" ref="Q4037:Q4100" si="444">O4037*P4037</f>
        <v>867.72929999999997</v>
      </c>
      <c r="R4037" s="7">
        <f t="shared" ref="R4037:R4100" si="445">O4037-Q4037</f>
        <v>28056.580700000002</v>
      </c>
      <c r="S4037" s="7">
        <f t="shared" ref="S4037:S4100" si="446">IFERROR(R4037/L4037,0)</f>
        <v>967.46830000000011</v>
      </c>
      <c r="T4037" s="6">
        <f t="shared" ref="T4037:T4100" si="447">IFERROR(L4037/I4037,0)</f>
        <v>1.9621109607577809E-2</v>
      </c>
      <c r="V4037" t="s">
        <v>29</v>
      </c>
    </row>
    <row r="4038" spans="1:22">
      <c r="A4038" s="3">
        <v>45826</v>
      </c>
      <c r="B4038" t="str">
        <f t="shared" si="441"/>
        <v>yyyy-06</v>
      </c>
      <c r="C4038">
        <f t="shared" si="442"/>
        <v>25</v>
      </c>
      <c r="D4038" t="s">
        <v>24</v>
      </c>
      <c r="E4038" t="s">
        <v>25</v>
      </c>
      <c r="F4038" t="s">
        <v>30</v>
      </c>
      <c r="G4038" t="s">
        <v>36</v>
      </c>
      <c r="H4038" t="s">
        <v>37</v>
      </c>
      <c r="I4038" s="5">
        <v>1923</v>
      </c>
      <c r="J4038" s="5">
        <v>1124</v>
      </c>
      <c r="K4038" s="5">
        <v>122</v>
      </c>
      <c r="L4038" s="5">
        <v>37</v>
      </c>
      <c r="M4038" s="5">
        <v>37</v>
      </c>
      <c r="N4038" s="7">
        <v>390.07</v>
      </c>
      <c r="O4038" s="7">
        <f t="shared" si="443"/>
        <v>14432.59</v>
      </c>
      <c r="P4038" s="4">
        <v>0.05</v>
      </c>
      <c r="Q4038" s="7">
        <f t="shared" si="444"/>
        <v>721.62950000000001</v>
      </c>
      <c r="R4038" s="7">
        <f t="shared" si="445"/>
        <v>13710.960500000001</v>
      </c>
      <c r="S4038" s="7">
        <f t="shared" si="446"/>
        <v>370.56650000000002</v>
      </c>
      <c r="T4038" s="6">
        <f t="shared" si="447"/>
        <v>1.9240769630785231E-2</v>
      </c>
      <c r="V4038" t="s">
        <v>29</v>
      </c>
    </row>
    <row r="4039" spans="1:22">
      <c r="A4039" s="3">
        <v>45826</v>
      </c>
      <c r="B4039" t="str">
        <f t="shared" si="441"/>
        <v>yyyy-06</v>
      </c>
      <c r="C4039">
        <f t="shared" si="442"/>
        <v>25</v>
      </c>
      <c r="D4039" t="s">
        <v>24</v>
      </c>
      <c r="E4039" t="s">
        <v>25</v>
      </c>
      <c r="F4039" t="s">
        <v>33</v>
      </c>
      <c r="G4039" t="s">
        <v>31</v>
      </c>
      <c r="H4039" t="s">
        <v>32</v>
      </c>
      <c r="I4039" s="5">
        <v>1551</v>
      </c>
      <c r="J4039" s="5">
        <v>1053</v>
      </c>
      <c r="K4039" s="5">
        <v>116</v>
      </c>
      <c r="L4039" s="5">
        <v>24</v>
      </c>
      <c r="M4039" s="5">
        <v>24</v>
      </c>
      <c r="N4039" s="7">
        <v>1770.78</v>
      </c>
      <c r="O4039" s="7">
        <f t="shared" si="443"/>
        <v>42498.720000000001</v>
      </c>
      <c r="P4039" s="4">
        <v>0</v>
      </c>
      <c r="Q4039" s="7">
        <f t="shared" si="444"/>
        <v>0</v>
      </c>
      <c r="R4039" s="7">
        <f t="shared" si="445"/>
        <v>42498.720000000001</v>
      </c>
      <c r="S4039" s="7">
        <f t="shared" si="446"/>
        <v>1770.78</v>
      </c>
      <c r="T4039" s="6">
        <f t="shared" si="447"/>
        <v>1.5473887814313346E-2</v>
      </c>
      <c r="V4039" t="s">
        <v>29</v>
      </c>
    </row>
    <row r="4040" spans="1:22">
      <c r="A4040" s="3">
        <v>45826</v>
      </c>
      <c r="B4040" t="str">
        <f t="shared" si="441"/>
        <v>yyyy-06</v>
      </c>
      <c r="C4040">
        <f t="shared" si="442"/>
        <v>25</v>
      </c>
      <c r="D4040" t="s">
        <v>24</v>
      </c>
      <c r="E4040" t="s">
        <v>34</v>
      </c>
      <c r="F4040" t="s">
        <v>35</v>
      </c>
      <c r="G4040" t="s">
        <v>27</v>
      </c>
      <c r="H4040" t="s">
        <v>28</v>
      </c>
      <c r="I4040" s="5">
        <v>1314</v>
      </c>
      <c r="J4040" s="5">
        <v>798</v>
      </c>
      <c r="K4040" s="5">
        <v>115</v>
      </c>
      <c r="L4040" s="5">
        <v>33</v>
      </c>
      <c r="M4040" s="5">
        <v>33</v>
      </c>
      <c r="N4040" s="7">
        <v>897.11</v>
      </c>
      <c r="O4040" s="7">
        <f t="shared" si="443"/>
        <v>29604.63</v>
      </c>
      <c r="P4040" s="4">
        <v>0.03</v>
      </c>
      <c r="Q4040" s="7">
        <f t="shared" si="444"/>
        <v>888.13890000000004</v>
      </c>
      <c r="R4040" s="7">
        <f t="shared" si="445"/>
        <v>28716.491099999999</v>
      </c>
      <c r="S4040" s="7">
        <f t="shared" si="446"/>
        <v>870.19669999999996</v>
      </c>
      <c r="T4040" s="6">
        <f t="shared" si="447"/>
        <v>2.5114155251141551E-2</v>
      </c>
      <c r="V4040" t="s">
        <v>29</v>
      </c>
    </row>
    <row r="4041" spans="1:22">
      <c r="A4041" s="3">
        <v>45826</v>
      </c>
      <c r="B4041" t="str">
        <f t="shared" si="441"/>
        <v>yyyy-06</v>
      </c>
      <c r="C4041">
        <f t="shared" si="442"/>
        <v>25</v>
      </c>
      <c r="D4041" t="s">
        <v>24</v>
      </c>
      <c r="E4041" t="s">
        <v>38</v>
      </c>
      <c r="F4041" t="s">
        <v>39</v>
      </c>
      <c r="G4041" t="s">
        <v>36</v>
      </c>
      <c r="H4041" t="s">
        <v>37</v>
      </c>
      <c r="I4041" s="5">
        <v>951</v>
      </c>
      <c r="J4041" s="5">
        <v>788</v>
      </c>
      <c r="K4041" s="5">
        <v>72</v>
      </c>
      <c r="L4041" s="5">
        <v>15</v>
      </c>
      <c r="M4041" s="5">
        <v>15</v>
      </c>
      <c r="N4041" s="7">
        <v>334.61</v>
      </c>
      <c r="O4041" s="7">
        <f t="shared" si="443"/>
        <v>5019.1500000000005</v>
      </c>
      <c r="P4041" s="4">
        <v>0</v>
      </c>
      <c r="Q4041" s="7">
        <f t="shared" si="444"/>
        <v>0</v>
      </c>
      <c r="R4041" s="7">
        <f t="shared" si="445"/>
        <v>5019.1500000000005</v>
      </c>
      <c r="S4041" s="7">
        <f t="shared" si="446"/>
        <v>334.61</v>
      </c>
      <c r="T4041" s="6">
        <f t="shared" si="447"/>
        <v>1.5772870662460567E-2</v>
      </c>
      <c r="V4041" t="s">
        <v>29</v>
      </c>
    </row>
    <row r="4042" spans="1:22">
      <c r="A4042" s="3">
        <v>45826</v>
      </c>
      <c r="B4042" t="str">
        <f t="shared" si="441"/>
        <v>yyyy-06</v>
      </c>
      <c r="C4042">
        <f t="shared" si="442"/>
        <v>25</v>
      </c>
      <c r="D4042" t="s">
        <v>24</v>
      </c>
      <c r="E4042" t="s">
        <v>40</v>
      </c>
      <c r="F4042" t="s">
        <v>41</v>
      </c>
      <c r="G4042" t="s">
        <v>31</v>
      </c>
      <c r="H4042" t="s">
        <v>32</v>
      </c>
      <c r="I4042" s="5">
        <v>880</v>
      </c>
      <c r="J4042" s="5">
        <v>559</v>
      </c>
      <c r="K4042" s="5">
        <v>64</v>
      </c>
      <c r="L4042" s="5">
        <v>15</v>
      </c>
      <c r="M4042" s="5">
        <v>17</v>
      </c>
      <c r="N4042" s="7">
        <v>180.83</v>
      </c>
      <c r="O4042" s="7">
        <f t="shared" si="443"/>
        <v>3074.11</v>
      </c>
      <c r="P4042" s="4">
        <v>0</v>
      </c>
      <c r="Q4042" s="7">
        <f t="shared" si="444"/>
        <v>0</v>
      </c>
      <c r="R4042" s="7">
        <f t="shared" si="445"/>
        <v>3074.11</v>
      </c>
      <c r="S4042" s="7">
        <f t="shared" si="446"/>
        <v>204.94066666666669</v>
      </c>
      <c r="T4042" s="6">
        <f t="shared" si="447"/>
        <v>1.7045454545454544E-2</v>
      </c>
      <c r="V4042" t="s">
        <v>29</v>
      </c>
    </row>
    <row r="4043" spans="1:22">
      <c r="A4043" s="3">
        <v>45826</v>
      </c>
      <c r="B4043" t="str">
        <f t="shared" si="441"/>
        <v>yyyy-06</v>
      </c>
      <c r="C4043">
        <f t="shared" si="442"/>
        <v>25</v>
      </c>
      <c r="D4043" t="s">
        <v>42</v>
      </c>
      <c r="E4043" t="s">
        <v>43</v>
      </c>
      <c r="F4043" t="s">
        <v>44</v>
      </c>
      <c r="G4043" t="s">
        <v>36</v>
      </c>
      <c r="H4043" t="s">
        <v>37</v>
      </c>
      <c r="I4043" s="5">
        <v>535</v>
      </c>
      <c r="J4043" s="5">
        <v>380</v>
      </c>
      <c r="K4043" s="5">
        <v>44</v>
      </c>
      <c r="L4043" s="5">
        <v>9</v>
      </c>
      <c r="M4043" s="5">
        <v>9</v>
      </c>
      <c r="N4043" s="7">
        <v>1316.8</v>
      </c>
      <c r="O4043" s="7">
        <f t="shared" si="443"/>
        <v>11851.199999999999</v>
      </c>
      <c r="P4043" s="4">
        <v>0</v>
      </c>
      <c r="Q4043" s="7">
        <f t="shared" si="444"/>
        <v>0</v>
      </c>
      <c r="R4043" s="7">
        <f t="shared" si="445"/>
        <v>11851.199999999999</v>
      </c>
      <c r="S4043" s="7">
        <f t="shared" si="446"/>
        <v>1316.8</v>
      </c>
      <c r="T4043" s="6">
        <f t="shared" si="447"/>
        <v>1.6822429906542057E-2</v>
      </c>
      <c r="V4043" t="s">
        <v>29</v>
      </c>
    </row>
    <row r="4044" spans="1:22">
      <c r="A4044" s="3">
        <v>45826</v>
      </c>
      <c r="B4044" t="str">
        <f t="shared" si="441"/>
        <v>yyyy-06</v>
      </c>
      <c r="C4044">
        <f t="shared" si="442"/>
        <v>25</v>
      </c>
      <c r="D4044" t="s">
        <v>42</v>
      </c>
      <c r="E4044" t="s">
        <v>43</v>
      </c>
      <c r="F4044" t="s">
        <v>46</v>
      </c>
      <c r="G4044" t="s">
        <v>36</v>
      </c>
      <c r="H4044" t="s">
        <v>37</v>
      </c>
      <c r="I4044" s="5">
        <v>599</v>
      </c>
      <c r="J4044" s="5">
        <v>406</v>
      </c>
      <c r="K4044" s="5">
        <v>29</v>
      </c>
      <c r="L4044" s="5">
        <v>9</v>
      </c>
      <c r="M4044" s="5">
        <v>9</v>
      </c>
      <c r="N4044" s="7">
        <v>2240.66</v>
      </c>
      <c r="O4044" s="7">
        <f t="shared" si="443"/>
        <v>20165.939999999999</v>
      </c>
      <c r="P4044" s="4">
        <v>0</v>
      </c>
      <c r="Q4044" s="7">
        <f t="shared" si="444"/>
        <v>0</v>
      </c>
      <c r="R4044" s="7">
        <f t="shared" si="445"/>
        <v>20165.939999999999</v>
      </c>
      <c r="S4044" s="7">
        <f t="shared" si="446"/>
        <v>2240.66</v>
      </c>
      <c r="T4044" s="6">
        <f t="shared" si="447"/>
        <v>1.5025041736227046E-2</v>
      </c>
      <c r="V4044" t="s">
        <v>29</v>
      </c>
    </row>
    <row r="4045" spans="1:22">
      <c r="A4045" s="3">
        <v>45826</v>
      </c>
      <c r="B4045" t="str">
        <f t="shared" si="441"/>
        <v>yyyy-06</v>
      </c>
      <c r="C4045">
        <f t="shared" si="442"/>
        <v>25</v>
      </c>
      <c r="D4045" t="s">
        <v>42</v>
      </c>
      <c r="E4045" t="s">
        <v>43</v>
      </c>
      <c r="F4045" t="s">
        <v>47</v>
      </c>
      <c r="G4045" t="s">
        <v>36</v>
      </c>
      <c r="H4045" t="s">
        <v>37</v>
      </c>
      <c r="I4045" s="5">
        <v>631</v>
      </c>
      <c r="J4045" s="5">
        <v>404</v>
      </c>
      <c r="K4045" s="5">
        <v>23</v>
      </c>
      <c r="L4045" s="5">
        <v>7</v>
      </c>
      <c r="M4045" s="5">
        <v>7</v>
      </c>
      <c r="N4045" s="7">
        <v>578.77</v>
      </c>
      <c r="O4045" s="7">
        <f t="shared" si="443"/>
        <v>4051.39</v>
      </c>
      <c r="P4045" s="4">
        <v>0</v>
      </c>
      <c r="Q4045" s="7">
        <f t="shared" si="444"/>
        <v>0</v>
      </c>
      <c r="R4045" s="7">
        <f t="shared" si="445"/>
        <v>4051.39</v>
      </c>
      <c r="S4045" s="7">
        <f t="shared" si="446"/>
        <v>578.77</v>
      </c>
      <c r="T4045" s="6">
        <f t="shared" si="447"/>
        <v>1.1093502377179081E-2</v>
      </c>
      <c r="V4045" t="s">
        <v>29</v>
      </c>
    </row>
    <row r="4046" spans="1:22">
      <c r="A4046" s="3">
        <v>45826</v>
      </c>
      <c r="B4046" t="str">
        <f t="shared" si="441"/>
        <v>yyyy-06</v>
      </c>
      <c r="C4046">
        <f t="shared" si="442"/>
        <v>25</v>
      </c>
      <c r="D4046" t="s">
        <v>42</v>
      </c>
      <c r="E4046" t="s">
        <v>49</v>
      </c>
      <c r="F4046" t="s">
        <v>50</v>
      </c>
      <c r="G4046" t="s">
        <v>36</v>
      </c>
      <c r="H4046" t="s">
        <v>37</v>
      </c>
      <c r="I4046" s="5">
        <v>178</v>
      </c>
      <c r="J4046" s="5">
        <v>120</v>
      </c>
      <c r="K4046" s="5">
        <v>13</v>
      </c>
      <c r="L4046" s="5">
        <v>3</v>
      </c>
      <c r="M4046" s="5">
        <v>3</v>
      </c>
      <c r="N4046" s="7">
        <v>981.8</v>
      </c>
      <c r="O4046" s="7">
        <f t="shared" si="443"/>
        <v>2945.3999999999996</v>
      </c>
      <c r="P4046" s="4">
        <v>0.05</v>
      </c>
      <c r="Q4046" s="7">
        <f t="shared" si="444"/>
        <v>147.26999999999998</v>
      </c>
      <c r="R4046" s="7">
        <f t="shared" si="445"/>
        <v>2798.1299999999997</v>
      </c>
      <c r="S4046" s="7">
        <f t="shared" si="446"/>
        <v>932.70999999999992</v>
      </c>
      <c r="T4046" s="6">
        <f t="shared" si="447"/>
        <v>1.6853932584269662E-2</v>
      </c>
      <c r="V4046" t="s">
        <v>29</v>
      </c>
    </row>
    <row r="4047" spans="1:22">
      <c r="A4047" s="3">
        <v>45826</v>
      </c>
      <c r="B4047" t="str">
        <f t="shared" si="441"/>
        <v>yyyy-06</v>
      </c>
      <c r="C4047">
        <f t="shared" si="442"/>
        <v>25</v>
      </c>
      <c r="D4047" t="s">
        <v>42</v>
      </c>
      <c r="E4047" t="s">
        <v>51</v>
      </c>
      <c r="F4047" t="s">
        <v>52</v>
      </c>
      <c r="G4047" t="s">
        <v>27</v>
      </c>
      <c r="H4047" t="s">
        <v>48</v>
      </c>
      <c r="I4047" s="5">
        <v>276</v>
      </c>
      <c r="J4047" s="5">
        <v>197</v>
      </c>
      <c r="K4047" s="5">
        <v>23</v>
      </c>
      <c r="L4047" s="5">
        <v>4</v>
      </c>
      <c r="M4047" s="5">
        <v>4</v>
      </c>
      <c r="N4047" s="7">
        <v>606.44000000000005</v>
      </c>
      <c r="O4047" s="7">
        <f t="shared" si="443"/>
        <v>2425.7600000000002</v>
      </c>
      <c r="P4047" s="4">
        <v>0</v>
      </c>
      <c r="Q4047" s="7">
        <f t="shared" si="444"/>
        <v>0</v>
      </c>
      <c r="R4047" s="7">
        <f t="shared" si="445"/>
        <v>2425.7600000000002</v>
      </c>
      <c r="S4047" s="7">
        <f t="shared" si="446"/>
        <v>606.44000000000005</v>
      </c>
      <c r="T4047" s="6">
        <f t="shared" si="447"/>
        <v>1.4492753623188406E-2</v>
      </c>
      <c r="V4047" t="s">
        <v>29</v>
      </c>
    </row>
    <row r="4048" spans="1:22">
      <c r="A4048" s="3">
        <v>45826</v>
      </c>
      <c r="B4048" t="str">
        <f t="shared" si="441"/>
        <v>yyyy-06</v>
      </c>
      <c r="C4048">
        <f t="shared" si="442"/>
        <v>25</v>
      </c>
      <c r="D4048" t="s">
        <v>53</v>
      </c>
      <c r="E4048" t="s">
        <v>54</v>
      </c>
      <c r="F4048" t="s">
        <v>55</v>
      </c>
      <c r="G4048" t="s">
        <v>31</v>
      </c>
      <c r="H4048" t="s">
        <v>32</v>
      </c>
      <c r="I4048" s="5">
        <v>236</v>
      </c>
      <c r="J4048" s="5">
        <v>154</v>
      </c>
      <c r="K4048" s="5">
        <v>15</v>
      </c>
      <c r="L4048" s="5">
        <v>2</v>
      </c>
      <c r="M4048" s="5">
        <v>2</v>
      </c>
      <c r="N4048" s="7">
        <v>1258.96</v>
      </c>
      <c r="O4048" s="7">
        <f t="shared" si="443"/>
        <v>2517.92</v>
      </c>
      <c r="P4048" s="4">
        <v>0</v>
      </c>
      <c r="Q4048" s="7">
        <f t="shared" si="444"/>
        <v>0</v>
      </c>
      <c r="R4048" s="7">
        <f t="shared" si="445"/>
        <v>2517.92</v>
      </c>
      <c r="S4048" s="7">
        <f t="shared" si="446"/>
        <v>1258.96</v>
      </c>
      <c r="T4048" s="6">
        <f t="shared" si="447"/>
        <v>8.4745762711864406E-3</v>
      </c>
      <c r="V4048" t="s">
        <v>29</v>
      </c>
    </row>
    <row r="4049" spans="1:22">
      <c r="A4049" s="3">
        <v>45826</v>
      </c>
      <c r="B4049" t="str">
        <f t="shared" si="441"/>
        <v>yyyy-06</v>
      </c>
      <c r="C4049">
        <f t="shared" si="442"/>
        <v>25</v>
      </c>
      <c r="D4049" t="s">
        <v>53</v>
      </c>
      <c r="E4049" t="s">
        <v>56</v>
      </c>
      <c r="F4049" t="s">
        <v>57</v>
      </c>
      <c r="G4049" t="s">
        <v>31</v>
      </c>
      <c r="H4049" t="s">
        <v>32</v>
      </c>
      <c r="I4049" s="5">
        <v>242</v>
      </c>
      <c r="J4049" s="5">
        <v>189</v>
      </c>
      <c r="K4049" s="5">
        <v>9</v>
      </c>
      <c r="L4049" s="5">
        <v>2</v>
      </c>
      <c r="M4049" s="5">
        <v>2</v>
      </c>
      <c r="N4049" s="7">
        <v>760.61</v>
      </c>
      <c r="O4049" s="7">
        <f t="shared" si="443"/>
        <v>1521.22</v>
      </c>
      <c r="P4049" s="4">
        <v>0.03</v>
      </c>
      <c r="Q4049" s="7">
        <f t="shared" si="444"/>
        <v>45.636600000000001</v>
      </c>
      <c r="R4049" s="7">
        <f t="shared" si="445"/>
        <v>1475.5834</v>
      </c>
      <c r="S4049" s="7">
        <f t="shared" si="446"/>
        <v>737.79169999999999</v>
      </c>
      <c r="T4049" s="6">
        <f t="shared" si="447"/>
        <v>8.2644628099173556E-3</v>
      </c>
      <c r="V4049" t="s">
        <v>29</v>
      </c>
    </row>
    <row r="4050" spans="1:22">
      <c r="A4050" s="3">
        <v>45826</v>
      </c>
      <c r="B4050" t="str">
        <f t="shared" si="441"/>
        <v>yyyy-06</v>
      </c>
      <c r="C4050">
        <f t="shared" si="442"/>
        <v>25</v>
      </c>
      <c r="D4050" t="s">
        <v>53</v>
      </c>
      <c r="E4050" t="s">
        <v>56</v>
      </c>
      <c r="F4050" t="s">
        <v>58</v>
      </c>
      <c r="G4050" t="s">
        <v>27</v>
      </c>
      <c r="H4050" t="s">
        <v>45</v>
      </c>
      <c r="I4050" s="5">
        <v>258</v>
      </c>
      <c r="J4050" s="5">
        <v>164</v>
      </c>
      <c r="K4050" s="5">
        <v>8</v>
      </c>
      <c r="L4050" s="5">
        <v>2</v>
      </c>
      <c r="M4050" s="5">
        <v>2</v>
      </c>
      <c r="N4050" s="7">
        <v>881.71</v>
      </c>
      <c r="O4050" s="7">
        <f t="shared" si="443"/>
        <v>1763.42</v>
      </c>
      <c r="P4050" s="4">
        <v>0</v>
      </c>
      <c r="Q4050" s="7">
        <f t="shared" si="444"/>
        <v>0</v>
      </c>
      <c r="R4050" s="7">
        <f t="shared" si="445"/>
        <v>1763.42</v>
      </c>
      <c r="S4050" s="7">
        <f t="shared" si="446"/>
        <v>881.71</v>
      </c>
      <c r="T4050" s="6">
        <f t="shared" si="447"/>
        <v>7.7519379844961239E-3</v>
      </c>
      <c r="V4050" t="s">
        <v>29</v>
      </c>
    </row>
    <row r="4051" spans="1:22">
      <c r="A4051" s="3">
        <v>45826</v>
      </c>
      <c r="B4051" t="str">
        <f t="shared" si="441"/>
        <v>yyyy-06</v>
      </c>
      <c r="C4051">
        <f t="shared" si="442"/>
        <v>25</v>
      </c>
      <c r="D4051" t="s">
        <v>53</v>
      </c>
      <c r="E4051" t="s">
        <v>59</v>
      </c>
      <c r="F4051" t="s">
        <v>60</v>
      </c>
      <c r="G4051" t="s">
        <v>27</v>
      </c>
      <c r="H4051" t="s">
        <v>63</v>
      </c>
      <c r="I4051" s="5">
        <v>116</v>
      </c>
      <c r="J4051" s="5">
        <v>79</v>
      </c>
      <c r="K4051" s="5">
        <v>4</v>
      </c>
      <c r="L4051" s="5">
        <v>1</v>
      </c>
      <c r="M4051" s="5">
        <v>1</v>
      </c>
      <c r="N4051" s="7">
        <v>676.16</v>
      </c>
      <c r="O4051" s="7">
        <f t="shared" si="443"/>
        <v>676.16</v>
      </c>
      <c r="P4051" s="4">
        <v>0</v>
      </c>
      <c r="Q4051" s="7">
        <f t="shared" si="444"/>
        <v>0</v>
      </c>
      <c r="R4051" s="7">
        <f t="shared" si="445"/>
        <v>676.16</v>
      </c>
      <c r="S4051" s="7">
        <f t="shared" si="446"/>
        <v>676.16</v>
      </c>
      <c r="T4051" s="6">
        <f t="shared" si="447"/>
        <v>8.6206896551724137E-3</v>
      </c>
      <c r="V4051" t="s">
        <v>29</v>
      </c>
    </row>
    <row r="4052" spans="1:22">
      <c r="A4052" s="3">
        <v>45826</v>
      </c>
      <c r="B4052" t="str">
        <f t="shared" si="441"/>
        <v>yyyy-06</v>
      </c>
      <c r="C4052">
        <f t="shared" si="442"/>
        <v>25</v>
      </c>
      <c r="D4052" t="s">
        <v>53</v>
      </c>
      <c r="E4052" t="s">
        <v>61</v>
      </c>
      <c r="F4052" t="s">
        <v>62</v>
      </c>
      <c r="G4052" t="s">
        <v>27</v>
      </c>
      <c r="H4052" t="s">
        <v>45</v>
      </c>
      <c r="I4052" s="5">
        <v>176</v>
      </c>
      <c r="J4052" s="5">
        <v>133</v>
      </c>
      <c r="K4052" s="5">
        <v>8</v>
      </c>
      <c r="L4052" s="5">
        <v>2</v>
      </c>
      <c r="M4052" s="5">
        <v>2</v>
      </c>
      <c r="N4052" s="7">
        <v>495.89</v>
      </c>
      <c r="O4052" s="7">
        <f t="shared" si="443"/>
        <v>991.78</v>
      </c>
      <c r="P4052" s="4">
        <v>0</v>
      </c>
      <c r="Q4052" s="7">
        <f t="shared" si="444"/>
        <v>0</v>
      </c>
      <c r="R4052" s="7">
        <f t="shared" si="445"/>
        <v>991.78</v>
      </c>
      <c r="S4052" s="7">
        <f t="shared" si="446"/>
        <v>495.89</v>
      </c>
      <c r="T4052" s="6">
        <f t="shared" si="447"/>
        <v>1.1363636363636364E-2</v>
      </c>
      <c r="V4052" t="s">
        <v>29</v>
      </c>
    </row>
    <row r="4053" spans="1:22">
      <c r="A4053" s="3">
        <v>45826</v>
      </c>
      <c r="B4053" t="str">
        <f t="shared" si="441"/>
        <v>yyyy-06</v>
      </c>
      <c r="C4053">
        <f t="shared" si="442"/>
        <v>25</v>
      </c>
      <c r="D4053" t="s">
        <v>53</v>
      </c>
      <c r="E4053" t="s">
        <v>64</v>
      </c>
      <c r="F4053" t="s">
        <v>65</v>
      </c>
      <c r="G4053" t="s">
        <v>27</v>
      </c>
      <c r="H4053" t="s">
        <v>45</v>
      </c>
      <c r="I4053" s="5">
        <v>200</v>
      </c>
      <c r="J4053" s="5">
        <v>115</v>
      </c>
      <c r="K4053" s="5">
        <v>9</v>
      </c>
      <c r="L4053" s="5">
        <v>2</v>
      </c>
      <c r="M4053" s="5">
        <v>2</v>
      </c>
      <c r="N4053" s="7">
        <v>799.23</v>
      </c>
      <c r="O4053" s="7">
        <f t="shared" si="443"/>
        <v>1598.46</v>
      </c>
      <c r="P4053" s="4">
        <v>0.03</v>
      </c>
      <c r="Q4053" s="7">
        <f t="shared" si="444"/>
        <v>47.953800000000001</v>
      </c>
      <c r="R4053" s="7">
        <f t="shared" si="445"/>
        <v>1550.5062</v>
      </c>
      <c r="S4053" s="7">
        <f t="shared" si="446"/>
        <v>775.25310000000002</v>
      </c>
      <c r="T4053" s="6">
        <f t="shared" si="447"/>
        <v>0.01</v>
      </c>
      <c r="V4053" t="s">
        <v>29</v>
      </c>
    </row>
    <row r="4054" spans="1:22">
      <c r="A4054" s="3">
        <v>45826</v>
      </c>
      <c r="B4054" t="str">
        <f t="shared" si="441"/>
        <v>yyyy-06</v>
      </c>
      <c r="C4054">
        <f t="shared" si="442"/>
        <v>25</v>
      </c>
      <c r="D4054" t="s">
        <v>66</v>
      </c>
      <c r="E4054" t="s">
        <v>67</v>
      </c>
      <c r="F4054" t="s">
        <v>68</v>
      </c>
      <c r="G4054" t="s">
        <v>27</v>
      </c>
      <c r="H4054" t="s">
        <v>28</v>
      </c>
      <c r="I4054" s="5">
        <v>518</v>
      </c>
      <c r="J4054" s="5">
        <v>298</v>
      </c>
      <c r="K4054" s="5">
        <v>46</v>
      </c>
      <c r="L4054" s="5">
        <v>10</v>
      </c>
      <c r="M4054" s="5">
        <v>10</v>
      </c>
      <c r="N4054" s="7">
        <v>676.86</v>
      </c>
      <c r="O4054" s="7">
        <f t="shared" si="443"/>
        <v>6768.6</v>
      </c>
      <c r="P4054" s="4">
        <v>0</v>
      </c>
      <c r="Q4054" s="7">
        <f t="shared" si="444"/>
        <v>0</v>
      </c>
      <c r="R4054" s="7">
        <f t="shared" si="445"/>
        <v>6768.6</v>
      </c>
      <c r="S4054" s="7">
        <f t="shared" si="446"/>
        <v>676.86</v>
      </c>
      <c r="T4054" s="6">
        <f t="shared" si="447"/>
        <v>1.9305019305019305E-2</v>
      </c>
      <c r="V4054" t="s">
        <v>29</v>
      </c>
    </row>
    <row r="4055" spans="1:22">
      <c r="A4055" s="3">
        <v>45826</v>
      </c>
      <c r="B4055" t="str">
        <f t="shared" si="441"/>
        <v>yyyy-06</v>
      </c>
      <c r="C4055">
        <f t="shared" si="442"/>
        <v>25</v>
      </c>
      <c r="D4055" t="s">
        <v>66</v>
      </c>
      <c r="E4055" t="s">
        <v>67</v>
      </c>
      <c r="F4055" t="s">
        <v>69</v>
      </c>
      <c r="G4055" t="s">
        <v>27</v>
      </c>
      <c r="H4055" t="s">
        <v>48</v>
      </c>
      <c r="I4055" s="5">
        <v>390</v>
      </c>
      <c r="J4055" s="5">
        <v>253</v>
      </c>
      <c r="K4055" s="5">
        <v>21</v>
      </c>
      <c r="L4055" s="5">
        <v>7</v>
      </c>
      <c r="M4055" s="5">
        <v>7</v>
      </c>
      <c r="N4055" s="7">
        <v>390.88</v>
      </c>
      <c r="O4055" s="7">
        <f t="shared" si="443"/>
        <v>2736.16</v>
      </c>
      <c r="P4055" s="4">
        <v>0</v>
      </c>
      <c r="Q4055" s="7">
        <f t="shared" si="444"/>
        <v>0</v>
      </c>
      <c r="R4055" s="7">
        <f t="shared" si="445"/>
        <v>2736.16</v>
      </c>
      <c r="S4055" s="7">
        <f t="shared" si="446"/>
        <v>390.88</v>
      </c>
      <c r="T4055" s="6">
        <f t="shared" si="447"/>
        <v>1.7948717948717947E-2</v>
      </c>
      <c r="V4055" t="s">
        <v>29</v>
      </c>
    </row>
    <row r="4056" spans="1:22">
      <c r="A4056" s="3">
        <v>45826</v>
      </c>
      <c r="B4056" t="str">
        <f t="shared" si="441"/>
        <v>yyyy-06</v>
      </c>
      <c r="C4056">
        <f t="shared" si="442"/>
        <v>25</v>
      </c>
      <c r="D4056" t="s">
        <v>66</v>
      </c>
      <c r="E4056" t="s">
        <v>67</v>
      </c>
      <c r="F4056" t="s">
        <v>70</v>
      </c>
      <c r="G4056" t="s">
        <v>31</v>
      </c>
      <c r="H4056" t="s">
        <v>32</v>
      </c>
      <c r="I4056" s="5">
        <v>589</v>
      </c>
      <c r="J4056" s="5">
        <v>436</v>
      </c>
      <c r="K4056" s="5">
        <v>48</v>
      </c>
      <c r="L4056" s="5">
        <v>10</v>
      </c>
      <c r="M4056" s="5">
        <v>10</v>
      </c>
      <c r="N4056" s="7">
        <v>353.62</v>
      </c>
      <c r="O4056" s="7">
        <f t="shared" si="443"/>
        <v>3536.2</v>
      </c>
      <c r="P4056" s="4">
        <v>0.05</v>
      </c>
      <c r="Q4056" s="7">
        <f t="shared" si="444"/>
        <v>176.81</v>
      </c>
      <c r="R4056" s="7">
        <f t="shared" si="445"/>
        <v>3359.39</v>
      </c>
      <c r="S4056" s="7">
        <f t="shared" si="446"/>
        <v>335.93899999999996</v>
      </c>
      <c r="T4056" s="6">
        <f t="shared" si="447"/>
        <v>1.6977928692699491E-2</v>
      </c>
      <c r="V4056" t="s">
        <v>29</v>
      </c>
    </row>
    <row r="4057" spans="1:22">
      <c r="A4057" s="3">
        <v>45826</v>
      </c>
      <c r="B4057" t="str">
        <f t="shared" si="441"/>
        <v>yyyy-06</v>
      </c>
      <c r="C4057">
        <f t="shared" si="442"/>
        <v>25</v>
      </c>
      <c r="D4057" t="s">
        <v>66</v>
      </c>
      <c r="E4057" t="s">
        <v>71</v>
      </c>
      <c r="F4057" t="s">
        <v>72</v>
      </c>
      <c r="G4057" t="s">
        <v>36</v>
      </c>
      <c r="H4057" t="s">
        <v>37</v>
      </c>
      <c r="I4057" s="5">
        <v>507</v>
      </c>
      <c r="J4057" s="5">
        <v>321</v>
      </c>
      <c r="K4057" s="5">
        <v>28</v>
      </c>
      <c r="L4057" s="5">
        <v>11</v>
      </c>
      <c r="M4057" s="5">
        <v>13</v>
      </c>
      <c r="N4057" s="7">
        <v>125.02</v>
      </c>
      <c r="O4057" s="7">
        <f t="shared" si="443"/>
        <v>1625.26</v>
      </c>
      <c r="P4057" s="4">
        <v>0</v>
      </c>
      <c r="Q4057" s="7">
        <f t="shared" si="444"/>
        <v>0</v>
      </c>
      <c r="R4057" s="7">
        <f t="shared" si="445"/>
        <v>1625.26</v>
      </c>
      <c r="S4057" s="7">
        <f t="shared" si="446"/>
        <v>147.75090909090909</v>
      </c>
      <c r="T4057" s="6">
        <f t="shared" si="447"/>
        <v>2.1696252465483234E-2</v>
      </c>
      <c r="V4057" t="s">
        <v>29</v>
      </c>
    </row>
    <row r="4058" spans="1:22">
      <c r="A4058" s="3">
        <v>45826</v>
      </c>
      <c r="B4058" t="str">
        <f t="shared" si="441"/>
        <v>yyyy-06</v>
      </c>
      <c r="C4058">
        <f t="shared" si="442"/>
        <v>25</v>
      </c>
      <c r="D4058" t="s">
        <v>66</v>
      </c>
      <c r="E4058" t="s">
        <v>73</v>
      </c>
      <c r="F4058" t="s">
        <v>74</v>
      </c>
      <c r="G4058" t="s">
        <v>27</v>
      </c>
      <c r="H4058" t="s">
        <v>63</v>
      </c>
      <c r="I4058" s="5">
        <v>162</v>
      </c>
      <c r="J4058" s="5">
        <v>132</v>
      </c>
      <c r="K4058" s="5">
        <v>15</v>
      </c>
      <c r="L4058" s="5">
        <v>3</v>
      </c>
      <c r="M4058" s="5">
        <v>3</v>
      </c>
      <c r="N4058" s="7">
        <v>1221.03</v>
      </c>
      <c r="O4058" s="7">
        <f t="shared" si="443"/>
        <v>3663.09</v>
      </c>
      <c r="P4058" s="4">
        <v>0.03</v>
      </c>
      <c r="Q4058" s="7">
        <f t="shared" si="444"/>
        <v>109.8927</v>
      </c>
      <c r="R4058" s="7">
        <f t="shared" si="445"/>
        <v>3553.1973000000003</v>
      </c>
      <c r="S4058" s="7">
        <f t="shared" si="446"/>
        <v>1184.3991000000001</v>
      </c>
      <c r="T4058" s="6">
        <f t="shared" si="447"/>
        <v>1.8518518518518517E-2</v>
      </c>
      <c r="V4058" t="s">
        <v>29</v>
      </c>
    </row>
    <row r="4059" spans="1:22">
      <c r="A4059" s="3">
        <v>45826</v>
      </c>
      <c r="B4059" t="str">
        <f t="shared" si="441"/>
        <v>yyyy-06</v>
      </c>
      <c r="C4059">
        <f t="shared" si="442"/>
        <v>25</v>
      </c>
      <c r="D4059" t="s">
        <v>66</v>
      </c>
      <c r="E4059" t="s">
        <v>71</v>
      </c>
      <c r="F4059" t="s">
        <v>75</v>
      </c>
      <c r="G4059" t="s">
        <v>27</v>
      </c>
      <c r="H4059" t="s">
        <v>45</v>
      </c>
      <c r="I4059" s="5">
        <v>306</v>
      </c>
      <c r="J4059" s="5">
        <v>215</v>
      </c>
      <c r="K4059" s="5">
        <v>21</v>
      </c>
      <c r="L4059" s="5">
        <v>6</v>
      </c>
      <c r="M4059" s="5">
        <v>8</v>
      </c>
      <c r="N4059" s="7">
        <v>39.17</v>
      </c>
      <c r="O4059" s="7">
        <f t="shared" si="443"/>
        <v>313.36</v>
      </c>
      <c r="P4059" s="4">
        <v>0</v>
      </c>
      <c r="Q4059" s="7">
        <f t="shared" si="444"/>
        <v>0</v>
      </c>
      <c r="R4059" s="7">
        <f t="shared" si="445"/>
        <v>313.36</v>
      </c>
      <c r="S4059" s="7">
        <f t="shared" si="446"/>
        <v>52.226666666666667</v>
      </c>
      <c r="T4059" s="6">
        <f t="shared" si="447"/>
        <v>1.9607843137254902E-2</v>
      </c>
      <c r="V4059" t="s">
        <v>29</v>
      </c>
    </row>
    <row r="4060" spans="1:22">
      <c r="A4060" s="3">
        <v>45826</v>
      </c>
      <c r="B4060" t="str">
        <f t="shared" si="441"/>
        <v>yyyy-06</v>
      </c>
      <c r="C4060">
        <f t="shared" si="442"/>
        <v>25</v>
      </c>
      <c r="D4060" t="s">
        <v>24</v>
      </c>
      <c r="E4060" t="s">
        <v>76</v>
      </c>
      <c r="F4060" t="s">
        <v>77</v>
      </c>
      <c r="G4060" t="s">
        <v>31</v>
      </c>
      <c r="H4060" t="s">
        <v>32</v>
      </c>
      <c r="I4060" s="5">
        <v>812</v>
      </c>
      <c r="J4060" s="5">
        <v>553</v>
      </c>
      <c r="K4060" s="5">
        <v>80</v>
      </c>
      <c r="L4060" s="5">
        <v>18</v>
      </c>
      <c r="M4060" s="5">
        <v>21</v>
      </c>
      <c r="N4060" s="7">
        <v>193.97</v>
      </c>
      <c r="O4060" s="7">
        <f t="shared" si="443"/>
        <v>4073.37</v>
      </c>
      <c r="P4060" s="4">
        <v>0</v>
      </c>
      <c r="Q4060" s="7">
        <f t="shared" si="444"/>
        <v>0</v>
      </c>
      <c r="R4060" s="7">
        <f t="shared" si="445"/>
        <v>4073.37</v>
      </c>
      <c r="S4060" s="7">
        <f t="shared" si="446"/>
        <v>226.29833333333332</v>
      </c>
      <c r="T4060" s="6">
        <f t="shared" si="447"/>
        <v>2.2167487684729065E-2</v>
      </c>
      <c r="V4060" t="s">
        <v>29</v>
      </c>
    </row>
    <row r="4061" spans="1:22">
      <c r="A4061" s="3">
        <v>45827</v>
      </c>
      <c r="B4061" t="str">
        <f t="shared" si="441"/>
        <v>yyyy-06</v>
      </c>
      <c r="C4061">
        <f t="shared" si="442"/>
        <v>25</v>
      </c>
      <c r="D4061" t="s">
        <v>24</v>
      </c>
      <c r="E4061" t="s">
        <v>25</v>
      </c>
      <c r="F4061" t="s">
        <v>26</v>
      </c>
      <c r="G4061" t="s">
        <v>31</v>
      </c>
      <c r="H4061" t="s">
        <v>32</v>
      </c>
      <c r="I4061" s="5">
        <v>2039</v>
      </c>
      <c r="J4061" s="5">
        <v>1676</v>
      </c>
      <c r="K4061" s="5">
        <v>157</v>
      </c>
      <c r="L4061" s="5">
        <v>36</v>
      </c>
      <c r="M4061" s="5">
        <v>36</v>
      </c>
      <c r="N4061" s="7">
        <v>1010.29</v>
      </c>
      <c r="O4061" s="7">
        <f t="shared" si="443"/>
        <v>36370.44</v>
      </c>
      <c r="P4061" s="4">
        <v>0.05</v>
      </c>
      <c r="Q4061" s="7">
        <f t="shared" si="444"/>
        <v>1818.5220000000002</v>
      </c>
      <c r="R4061" s="7">
        <f t="shared" si="445"/>
        <v>34551.918000000005</v>
      </c>
      <c r="S4061" s="7">
        <f t="shared" si="446"/>
        <v>959.77550000000019</v>
      </c>
      <c r="T4061" s="6">
        <f t="shared" si="447"/>
        <v>1.7655713585090729E-2</v>
      </c>
      <c r="V4061" t="s">
        <v>78</v>
      </c>
    </row>
    <row r="4062" spans="1:22">
      <c r="A4062" s="3">
        <v>45827</v>
      </c>
      <c r="B4062" t="str">
        <f t="shared" si="441"/>
        <v>yyyy-06</v>
      </c>
      <c r="C4062">
        <f t="shared" si="442"/>
        <v>25</v>
      </c>
      <c r="D4062" t="s">
        <v>24</v>
      </c>
      <c r="E4062" t="s">
        <v>25</v>
      </c>
      <c r="F4062" t="s">
        <v>30</v>
      </c>
      <c r="G4062" t="s">
        <v>27</v>
      </c>
      <c r="H4062" t="s">
        <v>45</v>
      </c>
      <c r="I4062" s="5">
        <v>1613</v>
      </c>
      <c r="J4062" s="5">
        <v>1256</v>
      </c>
      <c r="K4062" s="5">
        <v>71</v>
      </c>
      <c r="L4062" s="5">
        <v>26</v>
      </c>
      <c r="M4062" s="5">
        <v>26</v>
      </c>
      <c r="N4062" s="7">
        <v>394.73</v>
      </c>
      <c r="O4062" s="7">
        <f t="shared" si="443"/>
        <v>10262.98</v>
      </c>
      <c r="P4062" s="4">
        <v>0</v>
      </c>
      <c r="Q4062" s="7">
        <f t="shared" si="444"/>
        <v>0</v>
      </c>
      <c r="R4062" s="7">
        <f t="shared" si="445"/>
        <v>10262.98</v>
      </c>
      <c r="S4062" s="7">
        <f t="shared" si="446"/>
        <v>394.72999999999996</v>
      </c>
      <c r="T4062" s="6">
        <f t="shared" si="447"/>
        <v>1.6119032858028518E-2</v>
      </c>
      <c r="V4062" t="s">
        <v>29</v>
      </c>
    </row>
    <row r="4063" spans="1:22">
      <c r="A4063" s="3">
        <v>45827</v>
      </c>
      <c r="B4063" t="str">
        <f t="shared" si="441"/>
        <v>yyyy-06</v>
      </c>
      <c r="C4063">
        <f t="shared" si="442"/>
        <v>25</v>
      </c>
      <c r="D4063" t="s">
        <v>24</v>
      </c>
      <c r="E4063" t="s">
        <v>25</v>
      </c>
      <c r="F4063" t="s">
        <v>33</v>
      </c>
      <c r="G4063" t="s">
        <v>31</v>
      </c>
      <c r="H4063" t="s">
        <v>32</v>
      </c>
      <c r="I4063" s="5">
        <v>2061</v>
      </c>
      <c r="J4063" s="5">
        <v>1437</v>
      </c>
      <c r="K4063" s="5">
        <v>66</v>
      </c>
      <c r="L4063" s="5">
        <v>27</v>
      </c>
      <c r="M4063" s="5">
        <v>27</v>
      </c>
      <c r="N4063" s="7">
        <v>1740.52</v>
      </c>
      <c r="O4063" s="7">
        <f t="shared" si="443"/>
        <v>46994.04</v>
      </c>
      <c r="P4063" s="4">
        <v>0.03</v>
      </c>
      <c r="Q4063" s="7">
        <f t="shared" si="444"/>
        <v>1409.8211999999999</v>
      </c>
      <c r="R4063" s="7">
        <f t="shared" si="445"/>
        <v>45584.218800000002</v>
      </c>
      <c r="S4063" s="7">
        <f t="shared" si="446"/>
        <v>1688.3044</v>
      </c>
      <c r="T4063" s="6">
        <f t="shared" si="447"/>
        <v>1.3100436681222707E-2</v>
      </c>
      <c r="V4063" t="s">
        <v>78</v>
      </c>
    </row>
    <row r="4064" spans="1:22">
      <c r="A4064" s="3">
        <v>45827</v>
      </c>
      <c r="B4064" t="str">
        <f t="shared" si="441"/>
        <v>yyyy-06</v>
      </c>
      <c r="C4064">
        <f t="shared" si="442"/>
        <v>25</v>
      </c>
      <c r="D4064" t="s">
        <v>24</v>
      </c>
      <c r="E4064" t="s">
        <v>34</v>
      </c>
      <c r="F4064" t="s">
        <v>35</v>
      </c>
      <c r="G4064" t="s">
        <v>27</v>
      </c>
      <c r="H4064" t="s">
        <v>63</v>
      </c>
      <c r="I4064" s="5">
        <v>367</v>
      </c>
      <c r="J4064" s="5">
        <v>219</v>
      </c>
      <c r="K4064" s="5">
        <v>6</v>
      </c>
      <c r="L4064" s="5">
        <v>0</v>
      </c>
      <c r="M4064" s="5">
        <v>0</v>
      </c>
      <c r="N4064" s="7">
        <v>877.98</v>
      </c>
      <c r="O4064" s="7">
        <f t="shared" si="443"/>
        <v>0</v>
      </c>
      <c r="P4064" s="4">
        <v>0.05</v>
      </c>
      <c r="Q4064" s="7">
        <f t="shared" si="444"/>
        <v>0</v>
      </c>
      <c r="R4064" s="7">
        <f t="shared" si="445"/>
        <v>0</v>
      </c>
      <c r="S4064" s="7">
        <f t="shared" si="446"/>
        <v>0</v>
      </c>
      <c r="T4064" s="6">
        <f t="shared" si="447"/>
        <v>0</v>
      </c>
      <c r="V4064" t="s">
        <v>81</v>
      </c>
    </row>
    <row r="4065" spans="1:22">
      <c r="A4065" s="3">
        <v>45827</v>
      </c>
      <c r="B4065" t="str">
        <f t="shared" si="441"/>
        <v>yyyy-06</v>
      </c>
      <c r="C4065">
        <f t="shared" si="442"/>
        <v>25</v>
      </c>
      <c r="D4065" t="s">
        <v>24</v>
      </c>
      <c r="E4065" t="s">
        <v>38</v>
      </c>
      <c r="F4065" t="s">
        <v>39</v>
      </c>
      <c r="G4065" t="s">
        <v>27</v>
      </c>
      <c r="H4065" t="s">
        <v>63</v>
      </c>
      <c r="I4065" s="5">
        <v>813</v>
      </c>
      <c r="J4065" s="5">
        <v>543</v>
      </c>
      <c r="K4065" s="5">
        <v>72</v>
      </c>
      <c r="L4065" s="5">
        <v>19</v>
      </c>
      <c r="M4065" s="5">
        <v>19</v>
      </c>
      <c r="N4065" s="7">
        <v>334.51</v>
      </c>
      <c r="O4065" s="7">
        <f t="shared" si="443"/>
        <v>6355.69</v>
      </c>
      <c r="P4065" s="4">
        <v>0</v>
      </c>
      <c r="Q4065" s="7">
        <f t="shared" si="444"/>
        <v>0</v>
      </c>
      <c r="R4065" s="7">
        <f t="shared" si="445"/>
        <v>6355.69</v>
      </c>
      <c r="S4065" s="7">
        <f t="shared" si="446"/>
        <v>334.51</v>
      </c>
      <c r="T4065" s="6">
        <f t="shared" si="447"/>
        <v>2.3370233702337023E-2</v>
      </c>
      <c r="V4065" t="s">
        <v>29</v>
      </c>
    </row>
    <row r="4066" spans="1:22">
      <c r="A4066" s="3">
        <v>45827</v>
      </c>
      <c r="B4066" t="str">
        <f t="shared" si="441"/>
        <v>yyyy-06</v>
      </c>
      <c r="C4066">
        <f t="shared" si="442"/>
        <v>25</v>
      </c>
      <c r="D4066" t="s">
        <v>24</v>
      </c>
      <c r="E4066" t="s">
        <v>40</v>
      </c>
      <c r="F4066" t="s">
        <v>41</v>
      </c>
      <c r="G4066" t="s">
        <v>36</v>
      </c>
      <c r="H4066" t="s">
        <v>37</v>
      </c>
      <c r="I4066" s="5">
        <v>796</v>
      </c>
      <c r="J4066" s="5">
        <v>593</v>
      </c>
      <c r="K4066" s="5">
        <v>87</v>
      </c>
      <c r="L4066" s="5">
        <v>19</v>
      </c>
      <c r="M4066" s="5">
        <v>21</v>
      </c>
      <c r="N4066" s="7">
        <v>173.43</v>
      </c>
      <c r="O4066" s="7">
        <f t="shared" si="443"/>
        <v>3642.03</v>
      </c>
      <c r="P4066" s="4">
        <v>0</v>
      </c>
      <c r="Q4066" s="7">
        <f t="shared" si="444"/>
        <v>0</v>
      </c>
      <c r="R4066" s="7">
        <f t="shared" si="445"/>
        <v>3642.03</v>
      </c>
      <c r="S4066" s="7">
        <f t="shared" si="446"/>
        <v>191.68578947368422</v>
      </c>
      <c r="T4066" s="6">
        <f t="shared" si="447"/>
        <v>2.3869346733668341E-2</v>
      </c>
      <c r="V4066" t="s">
        <v>29</v>
      </c>
    </row>
    <row r="4067" spans="1:22">
      <c r="A4067" s="3">
        <v>45827</v>
      </c>
      <c r="B4067" t="str">
        <f t="shared" si="441"/>
        <v>yyyy-06</v>
      </c>
      <c r="C4067">
        <f t="shared" si="442"/>
        <v>25</v>
      </c>
      <c r="D4067" t="s">
        <v>42</v>
      </c>
      <c r="E4067" t="s">
        <v>43</v>
      </c>
      <c r="F4067" t="s">
        <v>44</v>
      </c>
      <c r="G4067" t="s">
        <v>27</v>
      </c>
      <c r="H4067" t="s">
        <v>28</v>
      </c>
      <c r="I4067" s="5">
        <v>240</v>
      </c>
      <c r="J4067" s="5">
        <v>136</v>
      </c>
      <c r="K4067" s="5">
        <v>4</v>
      </c>
      <c r="L4067" s="5">
        <v>0</v>
      </c>
      <c r="M4067" s="5">
        <v>0</v>
      </c>
      <c r="N4067" s="7">
        <v>1320.62</v>
      </c>
      <c r="O4067" s="7">
        <f t="shared" si="443"/>
        <v>0</v>
      </c>
      <c r="P4067" s="4">
        <v>0.03</v>
      </c>
      <c r="Q4067" s="7">
        <f t="shared" si="444"/>
        <v>0</v>
      </c>
      <c r="R4067" s="7">
        <f t="shared" si="445"/>
        <v>0</v>
      </c>
      <c r="S4067" s="7">
        <f t="shared" si="446"/>
        <v>0</v>
      </c>
      <c r="T4067" s="6">
        <f t="shared" si="447"/>
        <v>0</v>
      </c>
      <c r="V4067" t="s">
        <v>81</v>
      </c>
    </row>
    <row r="4068" spans="1:22">
      <c r="A4068" s="3">
        <v>45827</v>
      </c>
      <c r="B4068" t="str">
        <f t="shared" si="441"/>
        <v>yyyy-06</v>
      </c>
      <c r="C4068">
        <f t="shared" si="442"/>
        <v>25</v>
      </c>
      <c r="D4068" t="s">
        <v>42</v>
      </c>
      <c r="E4068" t="s">
        <v>43</v>
      </c>
      <c r="F4068" t="s">
        <v>46</v>
      </c>
      <c r="G4068" t="s">
        <v>27</v>
      </c>
      <c r="H4068" t="s">
        <v>28</v>
      </c>
      <c r="I4068" s="5">
        <v>606</v>
      </c>
      <c r="J4068" s="5">
        <v>424</v>
      </c>
      <c r="K4068" s="5">
        <v>24</v>
      </c>
      <c r="L4068" s="5">
        <v>10</v>
      </c>
      <c r="M4068" s="5">
        <v>10</v>
      </c>
      <c r="N4068" s="7">
        <v>2163.2800000000002</v>
      </c>
      <c r="O4068" s="7">
        <f t="shared" si="443"/>
        <v>21632.800000000003</v>
      </c>
      <c r="P4068" s="4">
        <v>0</v>
      </c>
      <c r="Q4068" s="7">
        <f t="shared" si="444"/>
        <v>0</v>
      </c>
      <c r="R4068" s="7">
        <f t="shared" si="445"/>
        <v>21632.800000000003</v>
      </c>
      <c r="S4068" s="7">
        <f t="shared" si="446"/>
        <v>2163.2800000000002</v>
      </c>
      <c r="T4068" s="6">
        <f t="shared" si="447"/>
        <v>1.65016501650165E-2</v>
      </c>
      <c r="V4068" t="s">
        <v>29</v>
      </c>
    </row>
    <row r="4069" spans="1:22">
      <c r="A4069" s="3">
        <v>45827</v>
      </c>
      <c r="B4069" t="str">
        <f t="shared" si="441"/>
        <v>yyyy-06</v>
      </c>
      <c r="C4069">
        <f t="shared" si="442"/>
        <v>25</v>
      </c>
      <c r="D4069" t="s">
        <v>42</v>
      </c>
      <c r="E4069" t="s">
        <v>43</v>
      </c>
      <c r="F4069" t="s">
        <v>47</v>
      </c>
      <c r="G4069" t="s">
        <v>27</v>
      </c>
      <c r="H4069" t="s">
        <v>45</v>
      </c>
      <c r="I4069" s="5">
        <v>471</v>
      </c>
      <c r="J4069" s="5">
        <v>378</v>
      </c>
      <c r="K4069" s="5">
        <v>32</v>
      </c>
      <c r="L4069" s="5">
        <v>6</v>
      </c>
      <c r="M4069" s="5">
        <v>6</v>
      </c>
      <c r="N4069" s="7">
        <v>576.88</v>
      </c>
      <c r="O4069" s="7">
        <f t="shared" si="443"/>
        <v>3461.2799999999997</v>
      </c>
      <c r="P4069" s="4">
        <v>0</v>
      </c>
      <c r="Q4069" s="7">
        <f t="shared" si="444"/>
        <v>0</v>
      </c>
      <c r="R4069" s="7">
        <f t="shared" si="445"/>
        <v>3461.2799999999997</v>
      </c>
      <c r="S4069" s="7">
        <f t="shared" si="446"/>
        <v>576.88</v>
      </c>
      <c r="T4069" s="6">
        <f t="shared" si="447"/>
        <v>1.2738853503184714E-2</v>
      </c>
      <c r="V4069" t="s">
        <v>29</v>
      </c>
    </row>
    <row r="4070" spans="1:22">
      <c r="A4070" s="3">
        <v>45827</v>
      </c>
      <c r="B4070" t="str">
        <f t="shared" si="441"/>
        <v>yyyy-06</v>
      </c>
      <c r="C4070">
        <f t="shared" si="442"/>
        <v>25</v>
      </c>
      <c r="D4070" t="s">
        <v>42</v>
      </c>
      <c r="E4070" t="s">
        <v>49</v>
      </c>
      <c r="F4070" t="s">
        <v>50</v>
      </c>
      <c r="G4070" t="s">
        <v>27</v>
      </c>
      <c r="H4070" t="s">
        <v>45</v>
      </c>
      <c r="I4070" s="5">
        <v>166</v>
      </c>
      <c r="J4070" s="5">
        <v>106</v>
      </c>
      <c r="K4070" s="5">
        <v>7</v>
      </c>
      <c r="L4070" s="5">
        <v>2</v>
      </c>
      <c r="M4070" s="5">
        <v>2</v>
      </c>
      <c r="N4070" s="7">
        <v>1009.04</v>
      </c>
      <c r="O4070" s="7">
        <f t="shared" si="443"/>
        <v>2018.08</v>
      </c>
      <c r="P4070" s="4">
        <v>0</v>
      </c>
      <c r="Q4070" s="7">
        <f t="shared" si="444"/>
        <v>0</v>
      </c>
      <c r="R4070" s="7">
        <f t="shared" si="445"/>
        <v>2018.08</v>
      </c>
      <c r="S4070" s="7">
        <f t="shared" si="446"/>
        <v>1009.04</v>
      </c>
      <c r="T4070" s="6">
        <f t="shared" si="447"/>
        <v>1.2048192771084338E-2</v>
      </c>
      <c r="V4070" t="s">
        <v>29</v>
      </c>
    </row>
    <row r="4071" spans="1:22">
      <c r="A4071" s="3">
        <v>45827</v>
      </c>
      <c r="B4071" t="str">
        <f t="shared" si="441"/>
        <v>yyyy-06</v>
      </c>
      <c r="C4071">
        <f t="shared" si="442"/>
        <v>25</v>
      </c>
      <c r="D4071" t="s">
        <v>42</v>
      </c>
      <c r="E4071" t="s">
        <v>51</v>
      </c>
      <c r="F4071" t="s">
        <v>52</v>
      </c>
      <c r="G4071" t="s">
        <v>27</v>
      </c>
      <c r="H4071" t="s">
        <v>28</v>
      </c>
      <c r="I4071" s="5">
        <v>211</v>
      </c>
      <c r="J4071" s="5">
        <v>119</v>
      </c>
      <c r="K4071" s="5">
        <v>19</v>
      </c>
      <c r="L4071" s="5">
        <v>4</v>
      </c>
      <c r="M4071" s="5">
        <v>4</v>
      </c>
      <c r="N4071" s="7">
        <v>597.08000000000004</v>
      </c>
      <c r="O4071" s="7">
        <f t="shared" si="443"/>
        <v>2388.3200000000002</v>
      </c>
      <c r="P4071" s="4">
        <v>0</v>
      </c>
      <c r="Q4071" s="7">
        <f t="shared" si="444"/>
        <v>0</v>
      </c>
      <c r="R4071" s="7">
        <f t="shared" si="445"/>
        <v>2388.3200000000002</v>
      </c>
      <c r="S4071" s="7">
        <f t="shared" si="446"/>
        <v>597.08000000000004</v>
      </c>
      <c r="T4071" s="6">
        <f t="shared" si="447"/>
        <v>1.8957345971563982E-2</v>
      </c>
      <c r="V4071" t="s">
        <v>29</v>
      </c>
    </row>
    <row r="4072" spans="1:22">
      <c r="A4072" s="3">
        <v>45827</v>
      </c>
      <c r="B4072" t="str">
        <f t="shared" si="441"/>
        <v>yyyy-06</v>
      </c>
      <c r="C4072">
        <f t="shared" si="442"/>
        <v>25</v>
      </c>
      <c r="D4072" t="s">
        <v>53</v>
      </c>
      <c r="E4072" t="s">
        <v>54</v>
      </c>
      <c r="F4072" t="s">
        <v>55</v>
      </c>
      <c r="G4072" t="s">
        <v>31</v>
      </c>
      <c r="H4072" t="s">
        <v>32</v>
      </c>
      <c r="I4072" s="5">
        <v>251</v>
      </c>
      <c r="J4072" s="5">
        <v>158</v>
      </c>
      <c r="K4072" s="5">
        <v>15</v>
      </c>
      <c r="L4072" s="5">
        <v>3</v>
      </c>
      <c r="M4072" s="5">
        <v>3</v>
      </c>
      <c r="N4072" s="7">
        <v>1313.23</v>
      </c>
      <c r="O4072" s="7">
        <f t="shared" si="443"/>
        <v>3939.69</v>
      </c>
      <c r="P4072" s="4">
        <v>0.03</v>
      </c>
      <c r="Q4072" s="7">
        <f t="shared" si="444"/>
        <v>118.19069999999999</v>
      </c>
      <c r="R4072" s="7">
        <f t="shared" si="445"/>
        <v>3821.4992999999999</v>
      </c>
      <c r="S4072" s="7">
        <f t="shared" si="446"/>
        <v>1273.8331000000001</v>
      </c>
      <c r="T4072" s="6">
        <f t="shared" si="447"/>
        <v>1.1952191235059761E-2</v>
      </c>
      <c r="V4072" t="s">
        <v>29</v>
      </c>
    </row>
    <row r="4073" spans="1:22">
      <c r="A4073" s="3">
        <v>45827</v>
      </c>
      <c r="B4073" t="str">
        <f t="shared" si="441"/>
        <v>yyyy-06</v>
      </c>
      <c r="C4073">
        <f t="shared" si="442"/>
        <v>25</v>
      </c>
      <c r="D4073" t="s">
        <v>53</v>
      </c>
      <c r="E4073" t="s">
        <v>56</v>
      </c>
      <c r="F4073" t="s">
        <v>57</v>
      </c>
      <c r="G4073" t="s">
        <v>31</v>
      </c>
      <c r="H4073" t="s">
        <v>32</v>
      </c>
      <c r="I4073" s="5">
        <v>267</v>
      </c>
      <c r="J4073" s="5">
        <v>205</v>
      </c>
      <c r="K4073" s="5">
        <v>19</v>
      </c>
      <c r="L4073" s="5">
        <v>4</v>
      </c>
      <c r="M4073" s="5">
        <v>4</v>
      </c>
      <c r="N4073" s="7">
        <v>757.92</v>
      </c>
      <c r="O4073" s="7">
        <f t="shared" si="443"/>
        <v>3031.68</v>
      </c>
      <c r="P4073" s="4">
        <v>0.05</v>
      </c>
      <c r="Q4073" s="7">
        <f t="shared" si="444"/>
        <v>151.584</v>
      </c>
      <c r="R4073" s="7">
        <f t="shared" si="445"/>
        <v>2880.096</v>
      </c>
      <c r="S4073" s="7">
        <f t="shared" si="446"/>
        <v>720.024</v>
      </c>
      <c r="T4073" s="6">
        <f t="shared" si="447"/>
        <v>1.4981273408239701E-2</v>
      </c>
      <c r="V4073" t="s">
        <v>29</v>
      </c>
    </row>
    <row r="4074" spans="1:22">
      <c r="A4074" s="3">
        <v>45827</v>
      </c>
      <c r="B4074" t="str">
        <f t="shared" si="441"/>
        <v>yyyy-06</v>
      </c>
      <c r="C4074">
        <f t="shared" si="442"/>
        <v>25</v>
      </c>
      <c r="D4074" t="s">
        <v>53</v>
      </c>
      <c r="E4074" t="s">
        <v>56</v>
      </c>
      <c r="F4074" t="s">
        <v>58</v>
      </c>
      <c r="G4074" t="s">
        <v>31</v>
      </c>
      <c r="H4074" t="s">
        <v>32</v>
      </c>
      <c r="I4074" s="5">
        <v>304</v>
      </c>
      <c r="J4074" s="5">
        <v>214</v>
      </c>
      <c r="K4074" s="5">
        <v>25</v>
      </c>
      <c r="L4074" s="5">
        <v>4</v>
      </c>
      <c r="M4074" s="5">
        <v>4</v>
      </c>
      <c r="N4074" s="7">
        <v>877.73</v>
      </c>
      <c r="O4074" s="7">
        <f t="shared" si="443"/>
        <v>3510.92</v>
      </c>
      <c r="P4074" s="4">
        <v>0</v>
      </c>
      <c r="Q4074" s="7">
        <f t="shared" si="444"/>
        <v>0</v>
      </c>
      <c r="R4074" s="7">
        <f t="shared" si="445"/>
        <v>3510.92</v>
      </c>
      <c r="S4074" s="7">
        <f t="shared" si="446"/>
        <v>877.73</v>
      </c>
      <c r="T4074" s="6">
        <f t="shared" si="447"/>
        <v>1.3157894736842105E-2</v>
      </c>
      <c r="V4074" t="s">
        <v>29</v>
      </c>
    </row>
    <row r="4075" spans="1:22">
      <c r="A4075" s="3">
        <v>45827</v>
      </c>
      <c r="B4075" t="str">
        <f t="shared" si="441"/>
        <v>yyyy-06</v>
      </c>
      <c r="C4075">
        <f t="shared" si="442"/>
        <v>25</v>
      </c>
      <c r="D4075" t="s">
        <v>53</v>
      </c>
      <c r="E4075" t="s">
        <v>59</v>
      </c>
      <c r="F4075" t="s">
        <v>60</v>
      </c>
      <c r="G4075" t="s">
        <v>27</v>
      </c>
      <c r="H4075" t="s">
        <v>28</v>
      </c>
      <c r="I4075" s="5">
        <v>146</v>
      </c>
      <c r="J4075" s="5">
        <v>88</v>
      </c>
      <c r="K4075" s="5">
        <v>8</v>
      </c>
      <c r="L4075" s="5">
        <v>2</v>
      </c>
      <c r="M4075" s="5">
        <v>2</v>
      </c>
      <c r="N4075" s="7">
        <v>688.53</v>
      </c>
      <c r="O4075" s="7">
        <f t="shared" si="443"/>
        <v>1377.06</v>
      </c>
      <c r="P4075" s="4">
        <v>0.05</v>
      </c>
      <c r="Q4075" s="7">
        <f t="shared" si="444"/>
        <v>68.852999999999994</v>
      </c>
      <c r="R4075" s="7">
        <f t="shared" si="445"/>
        <v>1308.2069999999999</v>
      </c>
      <c r="S4075" s="7">
        <f t="shared" si="446"/>
        <v>654.10349999999994</v>
      </c>
      <c r="T4075" s="6">
        <f t="shared" si="447"/>
        <v>1.3698630136986301E-2</v>
      </c>
      <c r="V4075" t="s">
        <v>29</v>
      </c>
    </row>
    <row r="4076" spans="1:22">
      <c r="A4076" s="3">
        <v>45827</v>
      </c>
      <c r="B4076" t="str">
        <f t="shared" si="441"/>
        <v>yyyy-06</v>
      </c>
      <c r="C4076">
        <f t="shared" si="442"/>
        <v>25</v>
      </c>
      <c r="D4076" t="s">
        <v>53</v>
      </c>
      <c r="E4076" t="s">
        <v>61</v>
      </c>
      <c r="F4076" t="s">
        <v>62</v>
      </c>
      <c r="G4076" t="s">
        <v>27</v>
      </c>
      <c r="H4076" t="s">
        <v>28</v>
      </c>
      <c r="I4076" s="5">
        <v>199</v>
      </c>
      <c r="J4076" s="5">
        <v>154</v>
      </c>
      <c r="K4076" s="5">
        <v>13</v>
      </c>
      <c r="L4076" s="5">
        <v>2</v>
      </c>
      <c r="M4076" s="5">
        <v>2</v>
      </c>
      <c r="N4076" s="7">
        <v>507.36</v>
      </c>
      <c r="O4076" s="7">
        <f t="shared" si="443"/>
        <v>1014.72</v>
      </c>
      <c r="P4076" s="4">
        <v>0.03</v>
      </c>
      <c r="Q4076" s="7">
        <f t="shared" si="444"/>
        <v>30.441600000000001</v>
      </c>
      <c r="R4076" s="7">
        <f t="shared" si="445"/>
        <v>984.27840000000003</v>
      </c>
      <c r="S4076" s="7">
        <f t="shared" si="446"/>
        <v>492.13920000000002</v>
      </c>
      <c r="T4076" s="6">
        <f t="shared" si="447"/>
        <v>1.0050251256281407E-2</v>
      </c>
      <c r="V4076" t="s">
        <v>29</v>
      </c>
    </row>
    <row r="4077" spans="1:22">
      <c r="A4077" s="3">
        <v>45827</v>
      </c>
      <c r="B4077" t="str">
        <f t="shared" si="441"/>
        <v>yyyy-06</v>
      </c>
      <c r="C4077">
        <f t="shared" si="442"/>
        <v>25</v>
      </c>
      <c r="D4077" t="s">
        <v>53</v>
      </c>
      <c r="E4077" t="s">
        <v>64</v>
      </c>
      <c r="F4077" t="s">
        <v>65</v>
      </c>
      <c r="G4077" t="s">
        <v>31</v>
      </c>
      <c r="H4077" t="s">
        <v>32</v>
      </c>
      <c r="I4077" s="5">
        <v>339</v>
      </c>
      <c r="J4077" s="5">
        <v>257</v>
      </c>
      <c r="K4077" s="5">
        <v>15</v>
      </c>
      <c r="L4077" s="5">
        <v>3</v>
      </c>
      <c r="M4077" s="5">
        <v>3</v>
      </c>
      <c r="N4077" s="7">
        <v>810.04</v>
      </c>
      <c r="O4077" s="7">
        <f t="shared" si="443"/>
        <v>2430.12</v>
      </c>
      <c r="P4077" s="4">
        <v>0</v>
      </c>
      <c r="Q4077" s="7">
        <f t="shared" si="444"/>
        <v>0</v>
      </c>
      <c r="R4077" s="7">
        <f t="shared" si="445"/>
        <v>2430.12</v>
      </c>
      <c r="S4077" s="7">
        <f t="shared" si="446"/>
        <v>810.04</v>
      </c>
      <c r="T4077" s="6">
        <f t="shared" si="447"/>
        <v>8.8495575221238937E-3</v>
      </c>
      <c r="V4077" t="s">
        <v>29</v>
      </c>
    </row>
    <row r="4078" spans="1:22">
      <c r="A4078" s="3">
        <v>45827</v>
      </c>
      <c r="B4078" t="str">
        <f t="shared" si="441"/>
        <v>yyyy-06</v>
      </c>
      <c r="C4078">
        <f t="shared" si="442"/>
        <v>25</v>
      </c>
      <c r="D4078" t="s">
        <v>66</v>
      </c>
      <c r="E4078" t="s">
        <v>67</v>
      </c>
      <c r="F4078" t="s">
        <v>68</v>
      </c>
      <c r="G4078" t="s">
        <v>27</v>
      </c>
      <c r="H4078" t="s">
        <v>28</v>
      </c>
      <c r="I4078" s="5">
        <v>377</v>
      </c>
      <c r="J4078" s="5">
        <v>303</v>
      </c>
      <c r="K4078" s="5">
        <v>30</v>
      </c>
      <c r="L4078" s="5">
        <v>7</v>
      </c>
      <c r="M4078" s="5">
        <v>7</v>
      </c>
      <c r="N4078" s="7">
        <v>675.63</v>
      </c>
      <c r="O4078" s="7">
        <f t="shared" si="443"/>
        <v>4729.41</v>
      </c>
      <c r="P4078" s="4">
        <v>0.05</v>
      </c>
      <c r="Q4078" s="7">
        <f t="shared" si="444"/>
        <v>236.47050000000002</v>
      </c>
      <c r="R4078" s="7">
        <f t="shared" si="445"/>
        <v>4492.9394999999995</v>
      </c>
      <c r="S4078" s="7">
        <f t="shared" si="446"/>
        <v>641.84849999999994</v>
      </c>
      <c r="T4078" s="6">
        <f t="shared" si="447"/>
        <v>1.8567639257294429E-2</v>
      </c>
      <c r="V4078" t="s">
        <v>29</v>
      </c>
    </row>
    <row r="4079" spans="1:22">
      <c r="A4079" s="3">
        <v>45827</v>
      </c>
      <c r="B4079" t="str">
        <f t="shared" si="441"/>
        <v>yyyy-06</v>
      </c>
      <c r="C4079">
        <f t="shared" si="442"/>
        <v>25</v>
      </c>
      <c r="D4079" t="s">
        <v>66</v>
      </c>
      <c r="E4079" t="s">
        <v>67</v>
      </c>
      <c r="F4079" t="s">
        <v>69</v>
      </c>
      <c r="G4079" t="s">
        <v>27</v>
      </c>
      <c r="H4079" t="s">
        <v>45</v>
      </c>
      <c r="I4079" s="5">
        <v>300</v>
      </c>
      <c r="J4079" s="5">
        <v>158</v>
      </c>
      <c r="K4079" s="5">
        <v>33</v>
      </c>
      <c r="L4079" s="5">
        <v>7</v>
      </c>
      <c r="M4079" s="5">
        <v>7</v>
      </c>
      <c r="N4079" s="7">
        <v>404.53</v>
      </c>
      <c r="O4079" s="7">
        <f t="shared" si="443"/>
        <v>2831.71</v>
      </c>
      <c r="P4079" s="4">
        <v>0</v>
      </c>
      <c r="Q4079" s="7">
        <f t="shared" si="444"/>
        <v>0</v>
      </c>
      <c r="R4079" s="7">
        <f t="shared" si="445"/>
        <v>2831.71</v>
      </c>
      <c r="S4079" s="7">
        <f t="shared" si="446"/>
        <v>404.53000000000003</v>
      </c>
      <c r="T4079" s="6">
        <f t="shared" si="447"/>
        <v>2.3333333333333334E-2</v>
      </c>
      <c r="V4079" t="s">
        <v>29</v>
      </c>
    </row>
    <row r="4080" spans="1:22">
      <c r="A4080" s="3">
        <v>45827</v>
      </c>
      <c r="B4080" t="str">
        <f t="shared" si="441"/>
        <v>yyyy-06</v>
      </c>
      <c r="C4080">
        <f t="shared" si="442"/>
        <v>25</v>
      </c>
      <c r="D4080" t="s">
        <v>66</v>
      </c>
      <c r="E4080" t="s">
        <v>67</v>
      </c>
      <c r="F4080" t="s">
        <v>70</v>
      </c>
      <c r="G4080" t="s">
        <v>27</v>
      </c>
      <c r="H4080" t="s">
        <v>28</v>
      </c>
      <c r="I4080" s="5">
        <v>315</v>
      </c>
      <c r="J4080" s="5">
        <v>208</v>
      </c>
      <c r="K4080" s="5">
        <v>24</v>
      </c>
      <c r="L4080" s="5">
        <v>4</v>
      </c>
      <c r="M4080" s="5">
        <v>4</v>
      </c>
      <c r="N4080" s="7">
        <v>347.11</v>
      </c>
      <c r="O4080" s="7">
        <f t="shared" si="443"/>
        <v>1388.44</v>
      </c>
      <c r="P4080" s="4">
        <v>0.03</v>
      </c>
      <c r="Q4080" s="7">
        <f t="shared" si="444"/>
        <v>41.653199999999998</v>
      </c>
      <c r="R4080" s="7">
        <f t="shared" si="445"/>
        <v>1346.7868000000001</v>
      </c>
      <c r="S4080" s="7">
        <f t="shared" si="446"/>
        <v>336.69670000000002</v>
      </c>
      <c r="T4080" s="6">
        <f t="shared" si="447"/>
        <v>1.2698412698412698E-2</v>
      </c>
      <c r="V4080" t="s">
        <v>29</v>
      </c>
    </row>
    <row r="4081" spans="1:22">
      <c r="A4081" s="3">
        <v>45827</v>
      </c>
      <c r="B4081" t="str">
        <f t="shared" si="441"/>
        <v>yyyy-06</v>
      </c>
      <c r="C4081">
        <f t="shared" si="442"/>
        <v>25</v>
      </c>
      <c r="D4081" t="s">
        <v>66</v>
      </c>
      <c r="E4081" t="s">
        <v>71</v>
      </c>
      <c r="F4081" t="s">
        <v>72</v>
      </c>
      <c r="G4081" t="s">
        <v>31</v>
      </c>
      <c r="H4081" t="s">
        <v>32</v>
      </c>
      <c r="I4081" s="5">
        <v>472</v>
      </c>
      <c r="J4081" s="5">
        <v>290</v>
      </c>
      <c r="K4081" s="5">
        <v>24</v>
      </c>
      <c r="L4081" s="5">
        <v>7</v>
      </c>
      <c r="M4081" s="5">
        <v>8</v>
      </c>
      <c r="N4081" s="7">
        <v>131.55000000000001</v>
      </c>
      <c r="O4081" s="7">
        <f t="shared" si="443"/>
        <v>1052.4000000000001</v>
      </c>
      <c r="P4081" s="4">
        <v>0</v>
      </c>
      <c r="Q4081" s="7">
        <f t="shared" si="444"/>
        <v>0</v>
      </c>
      <c r="R4081" s="7">
        <f t="shared" si="445"/>
        <v>1052.4000000000001</v>
      </c>
      <c r="S4081" s="7">
        <f t="shared" si="446"/>
        <v>150.34285714285716</v>
      </c>
      <c r="T4081" s="6">
        <f t="shared" si="447"/>
        <v>1.4830508474576272E-2</v>
      </c>
      <c r="V4081" t="s">
        <v>29</v>
      </c>
    </row>
    <row r="4082" spans="1:22">
      <c r="A4082" s="3">
        <v>45827</v>
      </c>
      <c r="B4082" t="str">
        <f t="shared" si="441"/>
        <v>yyyy-06</v>
      </c>
      <c r="C4082">
        <f t="shared" si="442"/>
        <v>25</v>
      </c>
      <c r="D4082" t="s">
        <v>66</v>
      </c>
      <c r="E4082" t="s">
        <v>73</v>
      </c>
      <c r="F4082" t="s">
        <v>74</v>
      </c>
      <c r="G4082" t="s">
        <v>27</v>
      </c>
      <c r="H4082" t="s">
        <v>48</v>
      </c>
      <c r="I4082" s="5">
        <v>214</v>
      </c>
      <c r="J4082" s="5">
        <v>171</v>
      </c>
      <c r="K4082" s="5">
        <v>18</v>
      </c>
      <c r="L4082" s="5">
        <v>5</v>
      </c>
      <c r="M4082" s="5">
        <v>5</v>
      </c>
      <c r="N4082" s="7">
        <v>1200.98</v>
      </c>
      <c r="O4082" s="7">
        <f t="shared" si="443"/>
        <v>6004.9</v>
      </c>
      <c r="P4082" s="4">
        <v>0</v>
      </c>
      <c r="Q4082" s="7">
        <f t="shared" si="444"/>
        <v>0</v>
      </c>
      <c r="R4082" s="7">
        <f t="shared" si="445"/>
        <v>6004.9</v>
      </c>
      <c r="S4082" s="7">
        <f t="shared" si="446"/>
        <v>1200.98</v>
      </c>
      <c r="T4082" s="6">
        <f t="shared" si="447"/>
        <v>2.336448598130841E-2</v>
      </c>
      <c r="V4082" t="s">
        <v>29</v>
      </c>
    </row>
    <row r="4083" spans="1:22">
      <c r="A4083" s="3">
        <v>45827</v>
      </c>
      <c r="B4083" t="str">
        <f t="shared" si="441"/>
        <v>yyyy-06</v>
      </c>
      <c r="C4083">
        <f t="shared" si="442"/>
        <v>25</v>
      </c>
      <c r="D4083" t="s">
        <v>66</v>
      </c>
      <c r="E4083" t="s">
        <v>71</v>
      </c>
      <c r="F4083" t="s">
        <v>75</v>
      </c>
      <c r="G4083" t="s">
        <v>27</v>
      </c>
      <c r="H4083" t="s">
        <v>28</v>
      </c>
      <c r="I4083" s="5">
        <v>432</v>
      </c>
      <c r="J4083" s="5">
        <v>337</v>
      </c>
      <c r="K4083" s="5">
        <v>29</v>
      </c>
      <c r="L4083" s="5">
        <v>7</v>
      </c>
      <c r="M4083" s="5">
        <v>9</v>
      </c>
      <c r="N4083" s="7">
        <v>38.69</v>
      </c>
      <c r="O4083" s="7">
        <f t="shared" si="443"/>
        <v>348.21</v>
      </c>
      <c r="P4083" s="4">
        <v>0</v>
      </c>
      <c r="Q4083" s="7">
        <f t="shared" si="444"/>
        <v>0</v>
      </c>
      <c r="R4083" s="7">
        <f t="shared" si="445"/>
        <v>348.21</v>
      </c>
      <c r="S4083" s="7">
        <f t="shared" si="446"/>
        <v>49.744285714285709</v>
      </c>
      <c r="T4083" s="6">
        <f t="shared" si="447"/>
        <v>1.6203703703703703E-2</v>
      </c>
      <c r="V4083" t="s">
        <v>29</v>
      </c>
    </row>
    <row r="4084" spans="1:22">
      <c r="A4084" s="3">
        <v>45827</v>
      </c>
      <c r="B4084" t="str">
        <f t="shared" si="441"/>
        <v>yyyy-06</v>
      </c>
      <c r="C4084">
        <f t="shared" si="442"/>
        <v>25</v>
      </c>
      <c r="D4084" t="s">
        <v>24</v>
      </c>
      <c r="E4084" t="s">
        <v>76</v>
      </c>
      <c r="F4084" t="s">
        <v>77</v>
      </c>
      <c r="G4084" t="s">
        <v>36</v>
      </c>
      <c r="H4084" t="s">
        <v>37</v>
      </c>
      <c r="I4084" s="5">
        <v>837</v>
      </c>
      <c r="J4084" s="5">
        <v>585</v>
      </c>
      <c r="K4084" s="5">
        <v>65</v>
      </c>
      <c r="L4084" s="5">
        <v>19</v>
      </c>
      <c r="M4084" s="5">
        <v>20</v>
      </c>
      <c r="N4084" s="7">
        <v>197.37</v>
      </c>
      <c r="O4084" s="7">
        <f t="shared" si="443"/>
        <v>3947.4</v>
      </c>
      <c r="P4084" s="4">
        <v>0.05</v>
      </c>
      <c r="Q4084" s="7">
        <f t="shared" si="444"/>
        <v>197.37</v>
      </c>
      <c r="R4084" s="7">
        <f t="shared" si="445"/>
        <v>3750.03</v>
      </c>
      <c r="S4084" s="7">
        <f t="shared" si="446"/>
        <v>197.37</v>
      </c>
      <c r="T4084" s="6">
        <f t="shared" si="447"/>
        <v>2.2700119474313024E-2</v>
      </c>
      <c r="V4084" t="s">
        <v>29</v>
      </c>
    </row>
    <row r="4085" spans="1:22">
      <c r="A4085" s="3">
        <v>45828</v>
      </c>
      <c r="B4085" t="str">
        <f t="shared" si="441"/>
        <v>yyyy-06</v>
      </c>
      <c r="C4085">
        <f t="shared" si="442"/>
        <v>25</v>
      </c>
      <c r="D4085" t="s">
        <v>24</v>
      </c>
      <c r="E4085" t="s">
        <v>25</v>
      </c>
      <c r="F4085" t="s">
        <v>26</v>
      </c>
      <c r="G4085" t="s">
        <v>31</v>
      </c>
      <c r="H4085" t="s">
        <v>32</v>
      </c>
      <c r="I4085" s="5">
        <v>2604</v>
      </c>
      <c r="J4085" s="5">
        <v>2060</v>
      </c>
      <c r="K4085" s="5">
        <v>186</v>
      </c>
      <c r="L4085" s="5">
        <v>45</v>
      </c>
      <c r="M4085" s="5">
        <v>45</v>
      </c>
      <c r="N4085" s="7">
        <v>1006.68</v>
      </c>
      <c r="O4085" s="7">
        <f t="shared" si="443"/>
        <v>45300.6</v>
      </c>
      <c r="P4085" s="4">
        <v>0.05</v>
      </c>
      <c r="Q4085" s="7">
        <f t="shared" si="444"/>
        <v>2265.0300000000002</v>
      </c>
      <c r="R4085" s="7">
        <f t="shared" si="445"/>
        <v>43035.57</v>
      </c>
      <c r="S4085" s="7">
        <f t="shared" si="446"/>
        <v>956.346</v>
      </c>
      <c r="T4085" s="6">
        <f t="shared" si="447"/>
        <v>1.7281105990783412E-2</v>
      </c>
      <c r="V4085" t="s">
        <v>29</v>
      </c>
    </row>
    <row r="4086" spans="1:22">
      <c r="A4086" s="3">
        <v>45828</v>
      </c>
      <c r="B4086" t="str">
        <f t="shared" si="441"/>
        <v>yyyy-06</v>
      </c>
      <c r="C4086">
        <f t="shared" si="442"/>
        <v>25</v>
      </c>
      <c r="D4086" t="s">
        <v>24</v>
      </c>
      <c r="E4086" t="s">
        <v>25</v>
      </c>
      <c r="F4086" t="s">
        <v>30</v>
      </c>
      <c r="G4086" t="s">
        <v>31</v>
      </c>
      <c r="H4086" t="s">
        <v>32</v>
      </c>
      <c r="I4086" s="5">
        <v>2064</v>
      </c>
      <c r="J4086" s="5">
        <v>1412</v>
      </c>
      <c r="K4086" s="5">
        <v>125</v>
      </c>
      <c r="L4086" s="5">
        <v>39</v>
      </c>
      <c r="M4086" s="5">
        <v>39</v>
      </c>
      <c r="N4086" s="7">
        <v>394.84</v>
      </c>
      <c r="O4086" s="7">
        <f t="shared" si="443"/>
        <v>15398.759999999998</v>
      </c>
      <c r="P4086" s="4">
        <v>0</v>
      </c>
      <c r="Q4086" s="7">
        <f t="shared" si="444"/>
        <v>0</v>
      </c>
      <c r="R4086" s="7">
        <f t="shared" si="445"/>
        <v>15398.759999999998</v>
      </c>
      <c r="S4086" s="7">
        <f t="shared" si="446"/>
        <v>394.84</v>
      </c>
      <c r="T4086" s="6">
        <f t="shared" si="447"/>
        <v>1.8895348837209301E-2</v>
      </c>
      <c r="V4086" t="s">
        <v>29</v>
      </c>
    </row>
    <row r="4087" spans="1:22">
      <c r="A4087" s="3">
        <v>45828</v>
      </c>
      <c r="B4087" t="str">
        <f t="shared" si="441"/>
        <v>yyyy-06</v>
      </c>
      <c r="C4087">
        <f t="shared" si="442"/>
        <v>25</v>
      </c>
      <c r="D4087" t="s">
        <v>24</v>
      </c>
      <c r="E4087" t="s">
        <v>25</v>
      </c>
      <c r="F4087" t="s">
        <v>33</v>
      </c>
      <c r="G4087" t="s">
        <v>31</v>
      </c>
      <c r="H4087" t="s">
        <v>32</v>
      </c>
      <c r="I4087" s="5">
        <v>2050</v>
      </c>
      <c r="J4087" s="5">
        <v>1604</v>
      </c>
      <c r="K4087" s="5">
        <v>108</v>
      </c>
      <c r="L4087" s="5">
        <v>37</v>
      </c>
      <c r="M4087" s="5">
        <v>37</v>
      </c>
      <c r="N4087" s="7">
        <v>1807.6</v>
      </c>
      <c r="O4087" s="7">
        <f t="shared" si="443"/>
        <v>66881.2</v>
      </c>
      <c r="P4087" s="4">
        <v>0.03</v>
      </c>
      <c r="Q4087" s="7">
        <f t="shared" si="444"/>
        <v>2006.4359999999999</v>
      </c>
      <c r="R4087" s="7">
        <f t="shared" si="445"/>
        <v>64874.763999999996</v>
      </c>
      <c r="S4087" s="7">
        <f t="shared" si="446"/>
        <v>1753.3719999999998</v>
      </c>
      <c r="T4087" s="6">
        <f t="shared" si="447"/>
        <v>1.8048780487804877E-2</v>
      </c>
      <c r="V4087" t="s">
        <v>29</v>
      </c>
    </row>
    <row r="4088" spans="1:22">
      <c r="A4088" s="3">
        <v>45828</v>
      </c>
      <c r="B4088" t="str">
        <f t="shared" si="441"/>
        <v>yyyy-06</v>
      </c>
      <c r="C4088">
        <f t="shared" si="442"/>
        <v>25</v>
      </c>
      <c r="D4088" t="s">
        <v>24</v>
      </c>
      <c r="E4088" t="s">
        <v>34</v>
      </c>
      <c r="F4088" t="s">
        <v>35</v>
      </c>
      <c r="G4088" t="s">
        <v>36</v>
      </c>
      <c r="H4088" t="s">
        <v>37</v>
      </c>
      <c r="I4088" s="5">
        <v>1487</v>
      </c>
      <c r="J4088" s="5">
        <v>794</v>
      </c>
      <c r="K4088" s="5">
        <v>119</v>
      </c>
      <c r="L4088" s="5">
        <v>26</v>
      </c>
      <c r="M4088" s="5">
        <v>26</v>
      </c>
      <c r="N4088" s="7">
        <v>902.23</v>
      </c>
      <c r="O4088" s="7">
        <f t="shared" si="443"/>
        <v>23457.98</v>
      </c>
      <c r="P4088" s="4">
        <v>0</v>
      </c>
      <c r="Q4088" s="7">
        <f t="shared" si="444"/>
        <v>0</v>
      </c>
      <c r="R4088" s="7">
        <f t="shared" si="445"/>
        <v>23457.98</v>
      </c>
      <c r="S4088" s="7">
        <f t="shared" si="446"/>
        <v>902.23</v>
      </c>
      <c r="T4088" s="6">
        <f t="shared" si="447"/>
        <v>1.7484868863483525E-2</v>
      </c>
      <c r="V4088" t="s">
        <v>29</v>
      </c>
    </row>
    <row r="4089" spans="1:22">
      <c r="A4089" s="3">
        <v>45828</v>
      </c>
      <c r="B4089" t="str">
        <f t="shared" si="441"/>
        <v>yyyy-06</v>
      </c>
      <c r="C4089">
        <f t="shared" si="442"/>
        <v>25</v>
      </c>
      <c r="D4089" t="s">
        <v>24</v>
      </c>
      <c r="E4089" t="s">
        <v>38</v>
      </c>
      <c r="F4089" t="s">
        <v>39</v>
      </c>
      <c r="G4089" t="s">
        <v>36</v>
      </c>
      <c r="H4089" t="s">
        <v>37</v>
      </c>
      <c r="I4089" s="5">
        <v>1189</v>
      </c>
      <c r="J4089" s="5">
        <v>833</v>
      </c>
      <c r="K4089" s="5">
        <v>82</v>
      </c>
      <c r="L4089" s="5">
        <v>25</v>
      </c>
      <c r="M4089" s="5">
        <v>25</v>
      </c>
      <c r="N4089" s="7">
        <v>325.77999999999997</v>
      </c>
      <c r="O4089" s="7">
        <f t="shared" si="443"/>
        <v>8144.4999999999991</v>
      </c>
      <c r="P4089" s="4">
        <v>0</v>
      </c>
      <c r="Q4089" s="7">
        <f t="shared" si="444"/>
        <v>0</v>
      </c>
      <c r="R4089" s="7">
        <f t="shared" si="445"/>
        <v>8144.4999999999991</v>
      </c>
      <c r="S4089" s="7">
        <f t="shared" si="446"/>
        <v>325.77999999999997</v>
      </c>
      <c r="T4089" s="6">
        <f t="shared" si="447"/>
        <v>2.1026072329688814E-2</v>
      </c>
      <c r="V4089" t="s">
        <v>29</v>
      </c>
    </row>
    <row r="4090" spans="1:22">
      <c r="A4090" s="3">
        <v>45828</v>
      </c>
      <c r="B4090" t="str">
        <f t="shared" si="441"/>
        <v>yyyy-06</v>
      </c>
      <c r="C4090">
        <f t="shared" si="442"/>
        <v>25</v>
      </c>
      <c r="D4090" t="s">
        <v>24</v>
      </c>
      <c r="E4090" t="s">
        <v>40</v>
      </c>
      <c r="F4090" t="s">
        <v>41</v>
      </c>
      <c r="G4090" t="s">
        <v>27</v>
      </c>
      <c r="H4090" t="s">
        <v>48</v>
      </c>
      <c r="I4090" s="5">
        <v>626</v>
      </c>
      <c r="J4090" s="5">
        <v>355</v>
      </c>
      <c r="K4090" s="5">
        <v>68</v>
      </c>
      <c r="L4090" s="5">
        <v>16</v>
      </c>
      <c r="M4090" s="5">
        <v>20</v>
      </c>
      <c r="N4090" s="7">
        <v>177.05</v>
      </c>
      <c r="O4090" s="7">
        <f t="shared" si="443"/>
        <v>3541</v>
      </c>
      <c r="P4090" s="4">
        <v>0.05</v>
      </c>
      <c r="Q4090" s="7">
        <f t="shared" si="444"/>
        <v>177.05</v>
      </c>
      <c r="R4090" s="7">
        <f t="shared" si="445"/>
        <v>3363.95</v>
      </c>
      <c r="S4090" s="7">
        <f t="shared" si="446"/>
        <v>210.24687499999999</v>
      </c>
      <c r="T4090" s="6">
        <f t="shared" si="447"/>
        <v>2.5559105431309903E-2</v>
      </c>
      <c r="V4090" t="s">
        <v>29</v>
      </c>
    </row>
    <row r="4091" spans="1:22">
      <c r="A4091" s="3">
        <v>45828</v>
      </c>
      <c r="B4091" t="str">
        <f t="shared" si="441"/>
        <v>yyyy-06</v>
      </c>
      <c r="C4091">
        <f t="shared" si="442"/>
        <v>25</v>
      </c>
      <c r="D4091" t="s">
        <v>42</v>
      </c>
      <c r="E4091" t="s">
        <v>43</v>
      </c>
      <c r="F4091" t="s">
        <v>44</v>
      </c>
      <c r="G4091" t="s">
        <v>27</v>
      </c>
      <c r="H4091" t="s">
        <v>48</v>
      </c>
      <c r="I4091" s="5">
        <v>460</v>
      </c>
      <c r="J4091" s="5">
        <v>360</v>
      </c>
      <c r="K4091" s="5">
        <v>28</v>
      </c>
      <c r="L4091" s="5">
        <v>8</v>
      </c>
      <c r="M4091" s="5">
        <v>8</v>
      </c>
      <c r="N4091" s="7">
        <v>1279.08</v>
      </c>
      <c r="O4091" s="7">
        <f t="shared" si="443"/>
        <v>10232.64</v>
      </c>
      <c r="P4091" s="4">
        <v>0.03</v>
      </c>
      <c r="Q4091" s="7">
        <f t="shared" si="444"/>
        <v>306.97919999999999</v>
      </c>
      <c r="R4091" s="7">
        <f t="shared" si="445"/>
        <v>9925.6607999999997</v>
      </c>
      <c r="S4091" s="7">
        <f t="shared" si="446"/>
        <v>1240.7076</v>
      </c>
      <c r="T4091" s="6">
        <f t="shared" si="447"/>
        <v>1.7391304347826087E-2</v>
      </c>
      <c r="V4091" t="s">
        <v>29</v>
      </c>
    </row>
    <row r="4092" spans="1:22">
      <c r="A4092" s="3">
        <v>45828</v>
      </c>
      <c r="B4092" t="str">
        <f t="shared" si="441"/>
        <v>yyyy-06</v>
      </c>
      <c r="C4092">
        <f t="shared" si="442"/>
        <v>25</v>
      </c>
      <c r="D4092" t="s">
        <v>42</v>
      </c>
      <c r="E4092" t="s">
        <v>43</v>
      </c>
      <c r="F4092" t="s">
        <v>46</v>
      </c>
      <c r="G4092" t="s">
        <v>27</v>
      </c>
      <c r="H4092" t="s">
        <v>28</v>
      </c>
      <c r="I4092" s="5">
        <v>531</v>
      </c>
      <c r="J4092" s="5">
        <v>349</v>
      </c>
      <c r="K4092" s="5">
        <v>37</v>
      </c>
      <c r="L4092" s="5">
        <v>9</v>
      </c>
      <c r="M4092" s="5">
        <v>9</v>
      </c>
      <c r="N4092" s="7">
        <v>2221.38</v>
      </c>
      <c r="O4092" s="7">
        <f t="shared" si="443"/>
        <v>19992.420000000002</v>
      </c>
      <c r="P4092" s="4">
        <v>0</v>
      </c>
      <c r="Q4092" s="7">
        <f t="shared" si="444"/>
        <v>0</v>
      </c>
      <c r="R4092" s="7">
        <f t="shared" si="445"/>
        <v>19992.420000000002</v>
      </c>
      <c r="S4092" s="7">
        <f t="shared" si="446"/>
        <v>2221.38</v>
      </c>
      <c r="T4092" s="6">
        <f t="shared" si="447"/>
        <v>1.6949152542372881E-2</v>
      </c>
      <c r="V4092" t="s">
        <v>29</v>
      </c>
    </row>
    <row r="4093" spans="1:22">
      <c r="A4093" s="3">
        <v>45828</v>
      </c>
      <c r="B4093" t="str">
        <f t="shared" si="441"/>
        <v>yyyy-06</v>
      </c>
      <c r="C4093">
        <f t="shared" si="442"/>
        <v>25</v>
      </c>
      <c r="D4093" t="s">
        <v>42</v>
      </c>
      <c r="E4093" t="s">
        <v>43</v>
      </c>
      <c r="F4093" t="s">
        <v>47</v>
      </c>
      <c r="G4093" t="s">
        <v>27</v>
      </c>
      <c r="H4093" t="s">
        <v>45</v>
      </c>
      <c r="I4093" s="5">
        <v>513</v>
      </c>
      <c r="J4093" s="5">
        <v>411</v>
      </c>
      <c r="K4093" s="5">
        <v>41</v>
      </c>
      <c r="L4093" s="5">
        <v>9</v>
      </c>
      <c r="M4093" s="5">
        <v>9</v>
      </c>
      <c r="N4093" s="7">
        <v>610.04</v>
      </c>
      <c r="O4093" s="7">
        <f t="shared" si="443"/>
        <v>5490.36</v>
      </c>
      <c r="P4093" s="4">
        <v>0.05</v>
      </c>
      <c r="Q4093" s="7">
        <f t="shared" si="444"/>
        <v>274.51799999999997</v>
      </c>
      <c r="R4093" s="7">
        <f t="shared" si="445"/>
        <v>5215.8419999999996</v>
      </c>
      <c r="S4093" s="7">
        <f t="shared" si="446"/>
        <v>579.53800000000001</v>
      </c>
      <c r="T4093" s="6">
        <f t="shared" si="447"/>
        <v>1.7543859649122806E-2</v>
      </c>
      <c r="V4093" t="s">
        <v>29</v>
      </c>
    </row>
    <row r="4094" spans="1:22">
      <c r="A4094" s="3">
        <v>45828</v>
      </c>
      <c r="B4094" t="str">
        <f t="shared" si="441"/>
        <v>yyyy-06</v>
      </c>
      <c r="C4094">
        <f t="shared" si="442"/>
        <v>25</v>
      </c>
      <c r="D4094" t="s">
        <v>42</v>
      </c>
      <c r="E4094" t="s">
        <v>49</v>
      </c>
      <c r="F4094" t="s">
        <v>50</v>
      </c>
      <c r="G4094" t="s">
        <v>27</v>
      </c>
      <c r="H4094" t="s">
        <v>45</v>
      </c>
      <c r="I4094" s="5">
        <v>197</v>
      </c>
      <c r="J4094" s="5">
        <v>146</v>
      </c>
      <c r="K4094" s="5">
        <v>15</v>
      </c>
      <c r="L4094" s="5">
        <v>2</v>
      </c>
      <c r="M4094" s="5">
        <v>2</v>
      </c>
      <c r="N4094" s="7">
        <v>986.59</v>
      </c>
      <c r="O4094" s="7">
        <f t="shared" si="443"/>
        <v>1973.18</v>
      </c>
      <c r="P4094" s="4">
        <v>0</v>
      </c>
      <c r="Q4094" s="7">
        <f t="shared" si="444"/>
        <v>0</v>
      </c>
      <c r="R4094" s="7">
        <f t="shared" si="445"/>
        <v>1973.18</v>
      </c>
      <c r="S4094" s="7">
        <f t="shared" si="446"/>
        <v>986.59</v>
      </c>
      <c r="T4094" s="6">
        <f t="shared" si="447"/>
        <v>1.015228426395939E-2</v>
      </c>
      <c r="V4094" t="s">
        <v>29</v>
      </c>
    </row>
    <row r="4095" spans="1:22">
      <c r="A4095" s="3">
        <v>45828</v>
      </c>
      <c r="B4095" t="str">
        <f t="shared" si="441"/>
        <v>yyyy-06</v>
      </c>
      <c r="C4095">
        <f t="shared" si="442"/>
        <v>25</v>
      </c>
      <c r="D4095" t="s">
        <v>42</v>
      </c>
      <c r="E4095" t="s">
        <v>51</v>
      </c>
      <c r="F4095" t="s">
        <v>52</v>
      </c>
      <c r="G4095" t="s">
        <v>27</v>
      </c>
      <c r="H4095" t="s">
        <v>28</v>
      </c>
      <c r="I4095" s="5">
        <v>372</v>
      </c>
      <c r="J4095" s="5">
        <v>248</v>
      </c>
      <c r="K4095" s="5">
        <v>29</v>
      </c>
      <c r="L4095" s="5">
        <v>7</v>
      </c>
      <c r="M4095" s="5">
        <v>7</v>
      </c>
      <c r="N4095" s="7">
        <v>609.65</v>
      </c>
      <c r="O4095" s="7">
        <f t="shared" si="443"/>
        <v>4267.55</v>
      </c>
      <c r="P4095" s="4">
        <v>0</v>
      </c>
      <c r="Q4095" s="7">
        <f t="shared" si="444"/>
        <v>0</v>
      </c>
      <c r="R4095" s="7">
        <f t="shared" si="445"/>
        <v>4267.55</v>
      </c>
      <c r="S4095" s="7">
        <f t="shared" si="446"/>
        <v>609.65</v>
      </c>
      <c r="T4095" s="6">
        <f t="shared" si="447"/>
        <v>1.8817204301075269E-2</v>
      </c>
      <c r="V4095" t="s">
        <v>29</v>
      </c>
    </row>
    <row r="4096" spans="1:22">
      <c r="A4096" s="3">
        <v>45828</v>
      </c>
      <c r="B4096" t="str">
        <f t="shared" si="441"/>
        <v>yyyy-06</v>
      </c>
      <c r="C4096">
        <f t="shared" si="442"/>
        <v>25</v>
      </c>
      <c r="D4096" t="s">
        <v>53</v>
      </c>
      <c r="E4096" t="s">
        <v>54</v>
      </c>
      <c r="F4096" t="s">
        <v>55</v>
      </c>
      <c r="G4096" t="s">
        <v>31</v>
      </c>
      <c r="H4096" t="s">
        <v>32</v>
      </c>
      <c r="I4096" s="5">
        <v>245</v>
      </c>
      <c r="J4096" s="5">
        <v>131</v>
      </c>
      <c r="K4096" s="5">
        <v>6</v>
      </c>
      <c r="L4096" s="5">
        <v>2</v>
      </c>
      <c r="M4096" s="5">
        <v>2</v>
      </c>
      <c r="N4096" s="7">
        <v>1300.2</v>
      </c>
      <c r="O4096" s="7">
        <f t="shared" si="443"/>
        <v>2600.4</v>
      </c>
      <c r="P4096" s="4">
        <v>0</v>
      </c>
      <c r="Q4096" s="7">
        <f t="shared" si="444"/>
        <v>0</v>
      </c>
      <c r="R4096" s="7">
        <f t="shared" si="445"/>
        <v>2600.4</v>
      </c>
      <c r="S4096" s="7">
        <f t="shared" si="446"/>
        <v>1300.2</v>
      </c>
      <c r="T4096" s="6">
        <f t="shared" si="447"/>
        <v>8.1632653061224497E-3</v>
      </c>
      <c r="V4096" t="s">
        <v>29</v>
      </c>
    </row>
    <row r="4097" spans="1:22">
      <c r="A4097" s="3">
        <v>45828</v>
      </c>
      <c r="B4097" t="str">
        <f t="shared" si="441"/>
        <v>yyyy-06</v>
      </c>
      <c r="C4097">
        <f t="shared" si="442"/>
        <v>25</v>
      </c>
      <c r="D4097" t="s">
        <v>53</v>
      </c>
      <c r="E4097" t="s">
        <v>56</v>
      </c>
      <c r="F4097" t="s">
        <v>57</v>
      </c>
      <c r="G4097" t="s">
        <v>27</v>
      </c>
      <c r="H4097" t="s">
        <v>48</v>
      </c>
      <c r="I4097" s="5">
        <v>75</v>
      </c>
      <c r="J4097" s="5">
        <v>49</v>
      </c>
      <c r="K4097" s="5">
        <v>5</v>
      </c>
      <c r="L4097" s="5">
        <v>1</v>
      </c>
      <c r="M4097" s="5">
        <v>1</v>
      </c>
      <c r="N4097" s="7">
        <v>750.8</v>
      </c>
      <c r="O4097" s="7">
        <f t="shared" si="443"/>
        <v>750.8</v>
      </c>
      <c r="P4097" s="4">
        <v>0</v>
      </c>
      <c r="Q4097" s="7">
        <f t="shared" si="444"/>
        <v>0</v>
      </c>
      <c r="R4097" s="7">
        <f t="shared" si="445"/>
        <v>750.8</v>
      </c>
      <c r="S4097" s="7">
        <f t="shared" si="446"/>
        <v>750.8</v>
      </c>
      <c r="T4097" s="6">
        <f t="shared" si="447"/>
        <v>1.3333333333333334E-2</v>
      </c>
      <c r="V4097" t="s">
        <v>29</v>
      </c>
    </row>
    <row r="4098" spans="1:22">
      <c r="A4098" s="3">
        <v>45828</v>
      </c>
      <c r="B4098" t="str">
        <f t="shared" si="441"/>
        <v>yyyy-06</v>
      </c>
      <c r="C4098">
        <f t="shared" si="442"/>
        <v>25</v>
      </c>
      <c r="D4098" t="s">
        <v>53</v>
      </c>
      <c r="E4098" t="s">
        <v>56</v>
      </c>
      <c r="F4098" t="s">
        <v>58</v>
      </c>
      <c r="G4098" t="s">
        <v>27</v>
      </c>
      <c r="H4098" t="s">
        <v>45</v>
      </c>
      <c r="I4098" s="5">
        <v>230</v>
      </c>
      <c r="J4098" s="5">
        <v>134</v>
      </c>
      <c r="K4098" s="5">
        <v>15</v>
      </c>
      <c r="L4098" s="5">
        <v>3</v>
      </c>
      <c r="M4098" s="5">
        <v>3</v>
      </c>
      <c r="N4098" s="7">
        <v>904.09</v>
      </c>
      <c r="O4098" s="7">
        <f t="shared" si="443"/>
        <v>2712.27</v>
      </c>
      <c r="P4098" s="4">
        <v>0</v>
      </c>
      <c r="Q4098" s="7">
        <f t="shared" si="444"/>
        <v>0</v>
      </c>
      <c r="R4098" s="7">
        <f t="shared" si="445"/>
        <v>2712.27</v>
      </c>
      <c r="S4098" s="7">
        <f t="shared" si="446"/>
        <v>904.09</v>
      </c>
      <c r="T4098" s="6">
        <f t="shared" si="447"/>
        <v>1.3043478260869565E-2</v>
      </c>
      <c r="V4098" t="s">
        <v>29</v>
      </c>
    </row>
    <row r="4099" spans="1:22">
      <c r="A4099" s="3">
        <v>45828</v>
      </c>
      <c r="B4099" t="str">
        <f t="shared" si="441"/>
        <v>yyyy-06</v>
      </c>
      <c r="C4099">
        <f t="shared" si="442"/>
        <v>25</v>
      </c>
      <c r="D4099" t="s">
        <v>53</v>
      </c>
      <c r="E4099" t="s">
        <v>59</v>
      </c>
      <c r="F4099" t="s">
        <v>60</v>
      </c>
      <c r="G4099" t="s">
        <v>31</v>
      </c>
      <c r="H4099" t="s">
        <v>32</v>
      </c>
      <c r="I4099" s="5">
        <v>168</v>
      </c>
      <c r="J4099" s="5">
        <v>88</v>
      </c>
      <c r="K4099" s="5">
        <v>8</v>
      </c>
      <c r="L4099" s="5">
        <v>2</v>
      </c>
      <c r="M4099" s="5">
        <v>2</v>
      </c>
      <c r="N4099" s="7">
        <v>691.47</v>
      </c>
      <c r="O4099" s="7">
        <f t="shared" si="443"/>
        <v>1382.94</v>
      </c>
      <c r="P4099" s="4">
        <v>0.05</v>
      </c>
      <c r="Q4099" s="7">
        <f t="shared" si="444"/>
        <v>69.147000000000006</v>
      </c>
      <c r="R4099" s="7">
        <f t="shared" si="445"/>
        <v>1313.7930000000001</v>
      </c>
      <c r="S4099" s="7">
        <f t="shared" si="446"/>
        <v>656.89650000000006</v>
      </c>
      <c r="T4099" s="6">
        <f t="shared" si="447"/>
        <v>1.1904761904761904E-2</v>
      </c>
      <c r="V4099" t="s">
        <v>29</v>
      </c>
    </row>
    <row r="4100" spans="1:22">
      <c r="A4100" s="3">
        <v>45828</v>
      </c>
      <c r="B4100" t="str">
        <f t="shared" si="441"/>
        <v>yyyy-06</v>
      </c>
      <c r="C4100">
        <f t="shared" si="442"/>
        <v>25</v>
      </c>
      <c r="D4100" t="s">
        <v>53</v>
      </c>
      <c r="E4100" t="s">
        <v>61</v>
      </c>
      <c r="F4100" t="s">
        <v>62</v>
      </c>
      <c r="G4100" t="s">
        <v>27</v>
      </c>
      <c r="H4100" t="s">
        <v>45</v>
      </c>
      <c r="I4100" s="5">
        <v>157</v>
      </c>
      <c r="J4100" s="5">
        <v>127</v>
      </c>
      <c r="K4100" s="5">
        <v>5</v>
      </c>
      <c r="L4100" s="5">
        <v>1</v>
      </c>
      <c r="M4100" s="5">
        <v>1</v>
      </c>
      <c r="N4100" s="7">
        <v>501.14</v>
      </c>
      <c r="O4100" s="7">
        <f t="shared" si="443"/>
        <v>501.14</v>
      </c>
      <c r="P4100" s="4">
        <v>0</v>
      </c>
      <c r="Q4100" s="7">
        <f t="shared" si="444"/>
        <v>0</v>
      </c>
      <c r="R4100" s="7">
        <f t="shared" si="445"/>
        <v>501.14</v>
      </c>
      <c r="S4100" s="7">
        <f t="shared" si="446"/>
        <v>501.14</v>
      </c>
      <c r="T4100" s="6">
        <f t="shared" si="447"/>
        <v>6.369426751592357E-3</v>
      </c>
      <c r="V4100" t="s">
        <v>29</v>
      </c>
    </row>
    <row r="4101" spans="1:22">
      <c r="A4101" s="3">
        <v>45828</v>
      </c>
      <c r="B4101" t="str">
        <f t="shared" ref="B4101:B4164" si="448">TEXT(A4101,"yyyy-mm")</f>
        <v>yyyy-06</v>
      </c>
      <c r="C4101">
        <f t="shared" ref="C4101:C4164" si="449">WEEKNUM(A4101,2)</f>
        <v>25</v>
      </c>
      <c r="D4101" t="s">
        <v>53</v>
      </c>
      <c r="E4101" t="s">
        <v>64</v>
      </c>
      <c r="F4101" t="s">
        <v>65</v>
      </c>
      <c r="G4101" t="s">
        <v>36</v>
      </c>
      <c r="H4101" t="s">
        <v>37</v>
      </c>
      <c r="I4101" s="5">
        <v>288</v>
      </c>
      <c r="J4101" s="5">
        <v>155</v>
      </c>
      <c r="K4101" s="5">
        <v>15</v>
      </c>
      <c r="L4101" s="5">
        <v>3</v>
      </c>
      <c r="M4101" s="5">
        <v>3</v>
      </c>
      <c r="N4101" s="7">
        <v>790.17</v>
      </c>
      <c r="O4101" s="7">
        <f t="shared" ref="O4101:O4164" si="450">M4101*N4101</f>
        <v>2370.5099999999998</v>
      </c>
      <c r="P4101" s="4">
        <v>0</v>
      </c>
      <c r="Q4101" s="7">
        <f t="shared" ref="Q4101:Q4164" si="451">O4101*P4101</f>
        <v>0</v>
      </c>
      <c r="R4101" s="7">
        <f t="shared" ref="R4101:R4164" si="452">O4101-Q4101</f>
        <v>2370.5099999999998</v>
      </c>
      <c r="S4101" s="7">
        <f t="shared" ref="S4101:S4164" si="453">IFERROR(R4101/L4101,0)</f>
        <v>790.17</v>
      </c>
      <c r="T4101" s="6">
        <f t="shared" ref="T4101:T4164" si="454">IFERROR(L4101/I4101,0)</f>
        <v>1.0416666666666666E-2</v>
      </c>
      <c r="V4101" t="s">
        <v>29</v>
      </c>
    </row>
    <row r="4102" spans="1:22">
      <c r="A4102" s="3">
        <v>45828</v>
      </c>
      <c r="B4102" t="str">
        <f t="shared" si="448"/>
        <v>yyyy-06</v>
      </c>
      <c r="C4102">
        <f t="shared" si="449"/>
        <v>25</v>
      </c>
      <c r="D4102" t="s">
        <v>66</v>
      </c>
      <c r="E4102" t="s">
        <v>67</v>
      </c>
      <c r="F4102" t="s">
        <v>68</v>
      </c>
      <c r="G4102" t="s">
        <v>36</v>
      </c>
      <c r="H4102" t="s">
        <v>37</v>
      </c>
      <c r="I4102" s="5">
        <v>451</v>
      </c>
      <c r="J4102" s="5">
        <v>288</v>
      </c>
      <c r="K4102" s="5">
        <v>37</v>
      </c>
      <c r="L4102" s="5">
        <v>8</v>
      </c>
      <c r="M4102" s="5">
        <v>8</v>
      </c>
      <c r="N4102" s="7">
        <v>698.44</v>
      </c>
      <c r="O4102" s="7">
        <f t="shared" si="450"/>
        <v>5587.52</v>
      </c>
      <c r="P4102" s="4">
        <v>0</v>
      </c>
      <c r="Q4102" s="7">
        <f t="shared" si="451"/>
        <v>0</v>
      </c>
      <c r="R4102" s="7">
        <f t="shared" si="452"/>
        <v>5587.52</v>
      </c>
      <c r="S4102" s="7">
        <f t="shared" si="453"/>
        <v>698.44</v>
      </c>
      <c r="T4102" s="6">
        <f t="shared" si="454"/>
        <v>1.7738359201773836E-2</v>
      </c>
      <c r="V4102" t="s">
        <v>29</v>
      </c>
    </row>
    <row r="4103" spans="1:22">
      <c r="A4103" s="3">
        <v>45828</v>
      </c>
      <c r="B4103" t="str">
        <f t="shared" si="448"/>
        <v>yyyy-06</v>
      </c>
      <c r="C4103">
        <f t="shared" si="449"/>
        <v>25</v>
      </c>
      <c r="D4103" t="s">
        <v>66</v>
      </c>
      <c r="E4103" t="s">
        <v>67</v>
      </c>
      <c r="F4103" t="s">
        <v>69</v>
      </c>
      <c r="G4103" t="s">
        <v>27</v>
      </c>
      <c r="H4103" t="s">
        <v>45</v>
      </c>
      <c r="I4103" s="5">
        <v>281</v>
      </c>
      <c r="J4103" s="5">
        <v>174</v>
      </c>
      <c r="K4103" s="5">
        <v>18</v>
      </c>
      <c r="L4103" s="5">
        <v>6</v>
      </c>
      <c r="M4103" s="5">
        <v>6</v>
      </c>
      <c r="N4103" s="7">
        <v>387.46</v>
      </c>
      <c r="O4103" s="7">
        <f t="shared" si="450"/>
        <v>2324.7599999999998</v>
      </c>
      <c r="P4103" s="4">
        <v>0</v>
      </c>
      <c r="Q4103" s="7">
        <f t="shared" si="451"/>
        <v>0</v>
      </c>
      <c r="R4103" s="7">
        <f t="shared" si="452"/>
        <v>2324.7599999999998</v>
      </c>
      <c r="S4103" s="7">
        <f t="shared" si="453"/>
        <v>387.46</v>
      </c>
      <c r="T4103" s="6">
        <f t="shared" si="454"/>
        <v>2.1352313167259787E-2</v>
      </c>
      <c r="V4103" t="s">
        <v>29</v>
      </c>
    </row>
    <row r="4104" spans="1:22">
      <c r="A4104" s="3">
        <v>45828</v>
      </c>
      <c r="B4104" t="str">
        <f t="shared" si="448"/>
        <v>yyyy-06</v>
      </c>
      <c r="C4104">
        <f t="shared" si="449"/>
        <v>25</v>
      </c>
      <c r="D4104" t="s">
        <v>66</v>
      </c>
      <c r="E4104" t="s">
        <v>67</v>
      </c>
      <c r="F4104" t="s">
        <v>70</v>
      </c>
      <c r="G4104" t="s">
        <v>27</v>
      </c>
      <c r="H4104" t="s">
        <v>48</v>
      </c>
      <c r="I4104" s="5">
        <v>392</v>
      </c>
      <c r="J4104" s="5">
        <v>289</v>
      </c>
      <c r="K4104" s="5">
        <v>31</v>
      </c>
      <c r="L4104" s="5">
        <v>9</v>
      </c>
      <c r="M4104" s="5">
        <v>9</v>
      </c>
      <c r="N4104" s="7">
        <v>337.87</v>
      </c>
      <c r="O4104" s="7">
        <f t="shared" si="450"/>
        <v>3040.83</v>
      </c>
      <c r="P4104" s="4">
        <v>0</v>
      </c>
      <c r="Q4104" s="7">
        <f t="shared" si="451"/>
        <v>0</v>
      </c>
      <c r="R4104" s="7">
        <f t="shared" si="452"/>
        <v>3040.83</v>
      </c>
      <c r="S4104" s="7">
        <f t="shared" si="453"/>
        <v>337.87</v>
      </c>
      <c r="T4104" s="6">
        <f t="shared" si="454"/>
        <v>2.2959183673469389E-2</v>
      </c>
      <c r="V4104" t="s">
        <v>29</v>
      </c>
    </row>
    <row r="4105" spans="1:22">
      <c r="A4105" s="3">
        <v>45828</v>
      </c>
      <c r="B4105" t="str">
        <f t="shared" si="448"/>
        <v>yyyy-06</v>
      </c>
      <c r="C4105">
        <f t="shared" si="449"/>
        <v>25</v>
      </c>
      <c r="D4105" t="s">
        <v>66</v>
      </c>
      <c r="E4105" t="s">
        <v>71</v>
      </c>
      <c r="F4105" t="s">
        <v>72</v>
      </c>
      <c r="G4105" t="s">
        <v>27</v>
      </c>
      <c r="H4105" t="s">
        <v>45</v>
      </c>
      <c r="I4105" s="5">
        <v>358</v>
      </c>
      <c r="J4105" s="5">
        <v>234</v>
      </c>
      <c r="K4105" s="5">
        <v>22</v>
      </c>
      <c r="L4105" s="5">
        <v>5</v>
      </c>
      <c r="M4105" s="5">
        <v>6</v>
      </c>
      <c r="N4105" s="7">
        <v>129.54</v>
      </c>
      <c r="O4105" s="7">
        <f t="shared" si="450"/>
        <v>777.24</v>
      </c>
      <c r="P4105" s="4">
        <v>0.05</v>
      </c>
      <c r="Q4105" s="7">
        <f t="shared" si="451"/>
        <v>38.862000000000002</v>
      </c>
      <c r="R4105" s="7">
        <f t="shared" si="452"/>
        <v>738.37800000000004</v>
      </c>
      <c r="S4105" s="7">
        <f t="shared" si="453"/>
        <v>147.6756</v>
      </c>
      <c r="T4105" s="6">
        <f t="shared" si="454"/>
        <v>1.3966480446927373E-2</v>
      </c>
      <c r="V4105" t="s">
        <v>78</v>
      </c>
    </row>
    <row r="4106" spans="1:22">
      <c r="A4106" s="3">
        <v>45828</v>
      </c>
      <c r="B4106" t="str">
        <f t="shared" si="448"/>
        <v>yyyy-06</v>
      </c>
      <c r="C4106">
        <f t="shared" si="449"/>
        <v>25</v>
      </c>
      <c r="D4106" t="s">
        <v>66</v>
      </c>
      <c r="E4106" t="s">
        <v>73</v>
      </c>
      <c r="F4106" t="s">
        <v>74</v>
      </c>
      <c r="G4106" t="s">
        <v>31</v>
      </c>
      <c r="H4106" t="s">
        <v>32</v>
      </c>
      <c r="I4106" s="5">
        <v>244</v>
      </c>
      <c r="J4106" s="5">
        <v>176</v>
      </c>
      <c r="K4106" s="5">
        <v>16</v>
      </c>
      <c r="L4106" s="5">
        <v>5</v>
      </c>
      <c r="M4106" s="5">
        <v>5</v>
      </c>
      <c r="N4106" s="7">
        <v>1166.96</v>
      </c>
      <c r="O4106" s="7">
        <f t="shared" si="450"/>
        <v>5834.8</v>
      </c>
      <c r="P4106" s="4">
        <v>0</v>
      </c>
      <c r="Q4106" s="7">
        <f t="shared" si="451"/>
        <v>0</v>
      </c>
      <c r="R4106" s="7">
        <f t="shared" si="452"/>
        <v>5834.8</v>
      </c>
      <c r="S4106" s="7">
        <f t="shared" si="453"/>
        <v>1166.96</v>
      </c>
      <c r="T4106" s="6">
        <f t="shared" si="454"/>
        <v>2.0491803278688523E-2</v>
      </c>
      <c r="V4106" t="s">
        <v>29</v>
      </c>
    </row>
    <row r="4107" spans="1:22">
      <c r="A4107" s="3">
        <v>45828</v>
      </c>
      <c r="B4107" t="str">
        <f t="shared" si="448"/>
        <v>yyyy-06</v>
      </c>
      <c r="C4107">
        <f t="shared" si="449"/>
        <v>25</v>
      </c>
      <c r="D4107" t="s">
        <v>66</v>
      </c>
      <c r="E4107" t="s">
        <v>71</v>
      </c>
      <c r="F4107" t="s">
        <v>75</v>
      </c>
      <c r="G4107" t="s">
        <v>31</v>
      </c>
      <c r="H4107" t="s">
        <v>32</v>
      </c>
      <c r="I4107" s="5">
        <v>372</v>
      </c>
      <c r="J4107" s="5">
        <v>201</v>
      </c>
      <c r="K4107" s="5">
        <v>17</v>
      </c>
      <c r="L4107" s="5">
        <v>7</v>
      </c>
      <c r="M4107" s="5">
        <v>7</v>
      </c>
      <c r="N4107" s="7">
        <v>39.72</v>
      </c>
      <c r="O4107" s="7">
        <f t="shared" si="450"/>
        <v>278.03999999999996</v>
      </c>
      <c r="P4107" s="4">
        <v>0</v>
      </c>
      <c r="Q4107" s="7">
        <f t="shared" si="451"/>
        <v>0</v>
      </c>
      <c r="R4107" s="7">
        <f t="shared" si="452"/>
        <v>278.03999999999996</v>
      </c>
      <c r="S4107" s="7">
        <f t="shared" si="453"/>
        <v>39.719999999999992</v>
      </c>
      <c r="T4107" s="6">
        <f t="shared" si="454"/>
        <v>1.8817204301075269E-2</v>
      </c>
      <c r="V4107" t="s">
        <v>29</v>
      </c>
    </row>
    <row r="4108" spans="1:22">
      <c r="A4108" s="3">
        <v>45828</v>
      </c>
      <c r="B4108" t="str">
        <f t="shared" si="448"/>
        <v>yyyy-06</v>
      </c>
      <c r="C4108">
        <f t="shared" si="449"/>
        <v>25</v>
      </c>
      <c r="D4108" t="s">
        <v>24</v>
      </c>
      <c r="E4108" t="s">
        <v>76</v>
      </c>
      <c r="F4108" t="s">
        <v>77</v>
      </c>
      <c r="G4108" t="s">
        <v>27</v>
      </c>
      <c r="H4108" t="s">
        <v>28</v>
      </c>
      <c r="I4108" s="5">
        <v>636</v>
      </c>
      <c r="J4108" s="5">
        <v>367</v>
      </c>
      <c r="K4108" s="5">
        <v>48</v>
      </c>
      <c r="L4108" s="5">
        <v>11</v>
      </c>
      <c r="M4108" s="5">
        <v>13</v>
      </c>
      <c r="N4108" s="7">
        <v>202.21</v>
      </c>
      <c r="O4108" s="7">
        <f t="shared" si="450"/>
        <v>2628.73</v>
      </c>
      <c r="P4108" s="4">
        <v>0</v>
      </c>
      <c r="Q4108" s="7">
        <f t="shared" si="451"/>
        <v>0</v>
      </c>
      <c r="R4108" s="7">
        <f t="shared" si="452"/>
        <v>2628.73</v>
      </c>
      <c r="S4108" s="7">
        <f t="shared" si="453"/>
        <v>238.97545454545454</v>
      </c>
      <c r="T4108" s="6">
        <f t="shared" si="454"/>
        <v>1.7295597484276729E-2</v>
      </c>
      <c r="V4108" t="s">
        <v>29</v>
      </c>
    </row>
    <row r="4109" spans="1:22">
      <c r="A4109" s="3">
        <v>45829</v>
      </c>
      <c r="B4109" t="str">
        <f t="shared" si="448"/>
        <v>yyyy-06</v>
      </c>
      <c r="C4109">
        <f t="shared" si="449"/>
        <v>25</v>
      </c>
      <c r="D4109" t="s">
        <v>24</v>
      </c>
      <c r="E4109" t="s">
        <v>25</v>
      </c>
      <c r="F4109" t="s">
        <v>26</v>
      </c>
      <c r="G4109" t="s">
        <v>27</v>
      </c>
      <c r="H4109" t="s">
        <v>28</v>
      </c>
      <c r="I4109" s="5">
        <v>1804</v>
      </c>
      <c r="J4109" s="5">
        <v>1166</v>
      </c>
      <c r="K4109" s="5">
        <v>69</v>
      </c>
      <c r="L4109" s="5">
        <v>33</v>
      </c>
      <c r="M4109" s="5">
        <v>33</v>
      </c>
      <c r="N4109" s="7">
        <v>1003.1</v>
      </c>
      <c r="O4109" s="7">
        <f t="shared" si="450"/>
        <v>33102.300000000003</v>
      </c>
      <c r="P4109" s="4">
        <v>0</v>
      </c>
      <c r="Q4109" s="7">
        <f t="shared" si="451"/>
        <v>0</v>
      </c>
      <c r="R4109" s="7">
        <f t="shared" si="452"/>
        <v>33102.300000000003</v>
      </c>
      <c r="S4109" s="7">
        <f t="shared" si="453"/>
        <v>1003.1000000000001</v>
      </c>
      <c r="T4109" s="6">
        <f t="shared" si="454"/>
        <v>1.8292682926829267E-2</v>
      </c>
      <c r="V4109" t="s">
        <v>29</v>
      </c>
    </row>
    <row r="4110" spans="1:22">
      <c r="A4110" s="3">
        <v>45829</v>
      </c>
      <c r="B4110" t="str">
        <f t="shared" si="448"/>
        <v>yyyy-06</v>
      </c>
      <c r="C4110">
        <f t="shared" si="449"/>
        <v>25</v>
      </c>
      <c r="D4110" t="s">
        <v>24</v>
      </c>
      <c r="E4110" t="s">
        <v>25</v>
      </c>
      <c r="F4110" t="s">
        <v>30</v>
      </c>
      <c r="G4110" t="s">
        <v>27</v>
      </c>
      <c r="H4110" t="s">
        <v>45</v>
      </c>
      <c r="I4110" s="5">
        <v>1361</v>
      </c>
      <c r="J4110" s="5">
        <v>773</v>
      </c>
      <c r="K4110" s="5">
        <v>23</v>
      </c>
      <c r="L4110" s="5">
        <v>0</v>
      </c>
      <c r="M4110" s="5">
        <v>0</v>
      </c>
      <c r="N4110" s="7">
        <v>394.84</v>
      </c>
      <c r="O4110" s="7">
        <f t="shared" si="450"/>
        <v>0</v>
      </c>
      <c r="P4110" s="4">
        <v>0</v>
      </c>
      <c r="Q4110" s="7">
        <f t="shared" si="451"/>
        <v>0</v>
      </c>
      <c r="R4110" s="7">
        <f t="shared" si="452"/>
        <v>0</v>
      </c>
      <c r="S4110" s="7">
        <f t="shared" si="453"/>
        <v>0</v>
      </c>
      <c r="T4110" s="6">
        <f t="shared" si="454"/>
        <v>0</v>
      </c>
      <c r="V4110" t="s">
        <v>81</v>
      </c>
    </row>
    <row r="4111" spans="1:22">
      <c r="A4111" s="3">
        <v>45829</v>
      </c>
      <c r="B4111" t="str">
        <f t="shared" si="448"/>
        <v>yyyy-06</v>
      </c>
      <c r="C4111">
        <f t="shared" si="449"/>
        <v>25</v>
      </c>
      <c r="D4111" t="s">
        <v>24</v>
      </c>
      <c r="E4111" t="s">
        <v>25</v>
      </c>
      <c r="F4111" t="s">
        <v>33</v>
      </c>
      <c r="G4111" t="s">
        <v>27</v>
      </c>
      <c r="H4111" t="s">
        <v>45</v>
      </c>
      <c r="I4111" s="5">
        <v>1792</v>
      </c>
      <c r="J4111" s="5">
        <v>1306</v>
      </c>
      <c r="K4111" s="5">
        <v>173</v>
      </c>
      <c r="L4111" s="5">
        <v>38</v>
      </c>
      <c r="M4111" s="5">
        <v>38</v>
      </c>
      <c r="N4111" s="7">
        <v>1790.65</v>
      </c>
      <c r="O4111" s="7">
        <f t="shared" si="450"/>
        <v>68044.7</v>
      </c>
      <c r="P4111" s="4">
        <v>0</v>
      </c>
      <c r="Q4111" s="7">
        <f t="shared" si="451"/>
        <v>0</v>
      </c>
      <c r="R4111" s="7">
        <f t="shared" si="452"/>
        <v>68044.7</v>
      </c>
      <c r="S4111" s="7">
        <f t="shared" si="453"/>
        <v>1790.6499999999999</v>
      </c>
      <c r="T4111" s="6">
        <f t="shared" si="454"/>
        <v>2.1205357142857144E-2</v>
      </c>
      <c r="V4111" t="s">
        <v>29</v>
      </c>
    </row>
    <row r="4112" spans="1:22">
      <c r="A4112" s="3">
        <v>45829</v>
      </c>
      <c r="B4112" t="str">
        <f t="shared" si="448"/>
        <v>yyyy-06</v>
      </c>
      <c r="C4112">
        <f t="shared" si="449"/>
        <v>25</v>
      </c>
      <c r="D4112" t="s">
        <v>24</v>
      </c>
      <c r="E4112" t="s">
        <v>34</v>
      </c>
      <c r="F4112" t="s">
        <v>35</v>
      </c>
      <c r="G4112" t="s">
        <v>27</v>
      </c>
      <c r="H4112" t="s">
        <v>28</v>
      </c>
      <c r="I4112" s="5">
        <v>1063</v>
      </c>
      <c r="J4112" s="5">
        <v>749</v>
      </c>
      <c r="K4112" s="5">
        <v>71</v>
      </c>
      <c r="L4112" s="5">
        <v>26</v>
      </c>
      <c r="M4112" s="5">
        <v>26</v>
      </c>
      <c r="N4112" s="7">
        <v>864.93</v>
      </c>
      <c r="O4112" s="7">
        <f t="shared" si="450"/>
        <v>22488.18</v>
      </c>
      <c r="P4112" s="4">
        <v>0</v>
      </c>
      <c r="Q4112" s="7">
        <f t="shared" si="451"/>
        <v>0</v>
      </c>
      <c r="R4112" s="7">
        <f t="shared" si="452"/>
        <v>22488.18</v>
      </c>
      <c r="S4112" s="7">
        <f t="shared" si="453"/>
        <v>864.93000000000006</v>
      </c>
      <c r="T4112" s="6">
        <f t="shared" si="454"/>
        <v>2.4459078080903106E-2</v>
      </c>
      <c r="V4112" t="s">
        <v>29</v>
      </c>
    </row>
    <row r="4113" spans="1:22">
      <c r="A4113" s="3">
        <v>45829</v>
      </c>
      <c r="B4113" t="str">
        <f t="shared" si="448"/>
        <v>yyyy-06</v>
      </c>
      <c r="C4113">
        <f t="shared" si="449"/>
        <v>25</v>
      </c>
      <c r="D4113" t="s">
        <v>24</v>
      </c>
      <c r="E4113" t="s">
        <v>38</v>
      </c>
      <c r="F4113" t="s">
        <v>39</v>
      </c>
      <c r="G4113" t="s">
        <v>27</v>
      </c>
      <c r="H4113" t="s">
        <v>28</v>
      </c>
      <c r="I4113" s="5">
        <v>1098</v>
      </c>
      <c r="J4113" s="5">
        <v>843</v>
      </c>
      <c r="K4113" s="5">
        <v>129</v>
      </c>
      <c r="L4113" s="5">
        <v>28</v>
      </c>
      <c r="M4113" s="5">
        <v>28</v>
      </c>
      <c r="N4113" s="7">
        <v>334.63</v>
      </c>
      <c r="O4113" s="7">
        <f t="shared" si="450"/>
        <v>9369.64</v>
      </c>
      <c r="P4113" s="4">
        <v>0</v>
      </c>
      <c r="Q4113" s="7">
        <f t="shared" si="451"/>
        <v>0</v>
      </c>
      <c r="R4113" s="7">
        <f t="shared" si="452"/>
        <v>9369.64</v>
      </c>
      <c r="S4113" s="7">
        <f t="shared" si="453"/>
        <v>334.63</v>
      </c>
      <c r="T4113" s="6">
        <f t="shared" si="454"/>
        <v>2.5500910746812388E-2</v>
      </c>
      <c r="V4113" t="s">
        <v>29</v>
      </c>
    </row>
    <row r="4114" spans="1:22">
      <c r="A4114" s="3">
        <v>45829</v>
      </c>
      <c r="B4114" t="str">
        <f t="shared" si="448"/>
        <v>yyyy-06</v>
      </c>
      <c r="C4114">
        <f t="shared" si="449"/>
        <v>25</v>
      </c>
      <c r="D4114" t="s">
        <v>24</v>
      </c>
      <c r="E4114" t="s">
        <v>40</v>
      </c>
      <c r="F4114" t="s">
        <v>41</v>
      </c>
      <c r="G4114" t="s">
        <v>31</v>
      </c>
      <c r="H4114" t="s">
        <v>32</v>
      </c>
      <c r="I4114" s="5">
        <v>1106</v>
      </c>
      <c r="J4114" s="5">
        <v>875</v>
      </c>
      <c r="K4114" s="5">
        <v>60</v>
      </c>
      <c r="L4114" s="5">
        <v>20</v>
      </c>
      <c r="M4114" s="5">
        <v>27</v>
      </c>
      <c r="N4114" s="7">
        <v>176.72</v>
      </c>
      <c r="O4114" s="7">
        <f t="shared" si="450"/>
        <v>4771.4399999999996</v>
      </c>
      <c r="P4114" s="4">
        <v>0.03</v>
      </c>
      <c r="Q4114" s="7">
        <f t="shared" si="451"/>
        <v>143.14319999999998</v>
      </c>
      <c r="R4114" s="7">
        <f t="shared" si="452"/>
        <v>4628.2968000000001</v>
      </c>
      <c r="S4114" s="7">
        <f t="shared" si="453"/>
        <v>231.41484</v>
      </c>
      <c r="T4114" s="6">
        <f t="shared" si="454"/>
        <v>1.8083182640144666E-2</v>
      </c>
      <c r="V4114" t="s">
        <v>29</v>
      </c>
    </row>
    <row r="4115" spans="1:22">
      <c r="A4115" s="3">
        <v>45829</v>
      </c>
      <c r="B4115" t="str">
        <f t="shared" si="448"/>
        <v>yyyy-06</v>
      </c>
      <c r="C4115">
        <f t="shared" si="449"/>
        <v>25</v>
      </c>
      <c r="D4115" t="s">
        <v>42</v>
      </c>
      <c r="E4115" t="s">
        <v>43</v>
      </c>
      <c r="F4115" t="s">
        <v>44</v>
      </c>
      <c r="G4115" t="s">
        <v>31</v>
      </c>
      <c r="H4115" t="s">
        <v>32</v>
      </c>
      <c r="I4115" s="5">
        <v>668</v>
      </c>
      <c r="J4115" s="5">
        <v>485</v>
      </c>
      <c r="K4115" s="5">
        <v>46</v>
      </c>
      <c r="L4115" s="5">
        <v>10</v>
      </c>
      <c r="M4115" s="5">
        <v>10</v>
      </c>
      <c r="N4115" s="7">
        <v>1255.77</v>
      </c>
      <c r="O4115" s="7">
        <f t="shared" si="450"/>
        <v>12557.7</v>
      </c>
      <c r="P4115" s="4">
        <v>0</v>
      </c>
      <c r="Q4115" s="7">
        <f t="shared" si="451"/>
        <v>0</v>
      </c>
      <c r="R4115" s="7">
        <f t="shared" si="452"/>
        <v>12557.7</v>
      </c>
      <c r="S4115" s="7">
        <f t="shared" si="453"/>
        <v>1255.77</v>
      </c>
      <c r="T4115" s="6">
        <f t="shared" si="454"/>
        <v>1.4970059880239521E-2</v>
      </c>
      <c r="V4115" t="s">
        <v>29</v>
      </c>
    </row>
    <row r="4116" spans="1:22">
      <c r="A4116" s="3">
        <v>45829</v>
      </c>
      <c r="B4116" t="str">
        <f t="shared" si="448"/>
        <v>yyyy-06</v>
      </c>
      <c r="C4116">
        <f t="shared" si="449"/>
        <v>25</v>
      </c>
      <c r="D4116" t="s">
        <v>42</v>
      </c>
      <c r="E4116" t="s">
        <v>43</v>
      </c>
      <c r="F4116" t="s">
        <v>46</v>
      </c>
      <c r="G4116" t="s">
        <v>27</v>
      </c>
      <c r="H4116" t="s">
        <v>63</v>
      </c>
      <c r="I4116" s="5">
        <v>534</v>
      </c>
      <c r="J4116" s="5">
        <v>343</v>
      </c>
      <c r="K4116" s="5">
        <v>18</v>
      </c>
      <c r="L4116" s="5">
        <v>8</v>
      </c>
      <c r="M4116" s="5">
        <v>8</v>
      </c>
      <c r="N4116" s="7">
        <v>2203.39</v>
      </c>
      <c r="O4116" s="7">
        <f t="shared" si="450"/>
        <v>17627.12</v>
      </c>
      <c r="P4116" s="4">
        <v>0</v>
      </c>
      <c r="Q4116" s="7">
        <f t="shared" si="451"/>
        <v>0</v>
      </c>
      <c r="R4116" s="7">
        <f t="shared" si="452"/>
        <v>17627.12</v>
      </c>
      <c r="S4116" s="7">
        <f t="shared" si="453"/>
        <v>2203.39</v>
      </c>
      <c r="T4116" s="6">
        <f t="shared" si="454"/>
        <v>1.4981273408239701E-2</v>
      </c>
      <c r="V4116" t="s">
        <v>29</v>
      </c>
    </row>
    <row r="4117" spans="1:22">
      <c r="A4117" s="3">
        <v>45829</v>
      </c>
      <c r="B4117" t="str">
        <f t="shared" si="448"/>
        <v>yyyy-06</v>
      </c>
      <c r="C4117">
        <f t="shared" si="449"/>
        <v>25</v>
      </c>
      <c r="D4117" t="s">
        <v>42</v>
      </c>
      <c r="E4117" t="s">
        <v>43</v>
      </c>
      <c r="F4117" t="s">
        <v>47</v>
      </c>
      <c r="G4117" t="s">
        <v>27</v>
      </c>
      <c r="H4117" t="s">
        <v>48</v>
      </c>
      <c r="I4117" s="5">
        <v>506</v>
      </c>
      <c r="J4117" s="5">
        <v>369</v>
      </c>
      <c r="K4117" s="5">
        <v>28</v>
      </c>
      <c r="L4117" s="5">
        <v>6</v>
      </c>
      <c r="M4117" s="5">
        <v>6</v>
      </c>
      <c r="N4117" s="7">
        <v>601.69000000000005</v>
      </c>
      <c r="O4117" s="7">
        <f t="shared" si="450"/>
        <v>3610.1400000000003</v>
      </c>
      <c r="P4117" s="4">
        <v>0</v>
      </c>
      <c r="Q4117" s="7">
        <f t="shared" si="451"/>
        <v>0</v>
      </c>
      <c r="R4117" s="7">
        <f t="shared" si="452"/>
        <v>3610.1400000000003</v>
      </c>
      <c r="S4117" s="7">
        <f t="shared" si="453"/>
        <v>601.69000000000005</v>
      </c>
      <c r="T4117" s="6">
        <f t="shared" si="454"/>
        <v>1.1857707509881422E-2</v>
      </c>
      <c r="V4117" t="s">
        <v>29</v>
      </c>
    </row>
    <row r="4118" spans="1:22">
      <c r="A4118" s="3">
        <v>45829</v>
      </c>
      <c r="B4118" t="str">
        <f t="shared" si="448"/>
        <v>yyyy-06</v>
      </c>
      <c r="C4118">
        <f t="shared" si="449"/>
        <v>25</v>
      </c>
      <c r="D4118" t="s">
        <v>42</v>
      </c>
      <c r="E4118" t="s">
        <v>49</v>
      </c>
      <c r="F4118" t="s">
        <v>50</v>
      </c>
      <c r="G4118" t="s">
        <v>27</v>
      </c>
      <c r="H4118" t="s">
        <v>28</v>
      </c>
      <c r="I4118" s="5">
        <v>186</v>
      </c>
      <c r="J4118" s="5">
        <v>127</v>
      </c>
      <c r="K4118" s="5">
        <v>10</v>
      </c>
      <c r="L4118" s="5">
        <v>2</v>
      </c>
      <c r="M4118" s="5">
        <v>2</v>
      </c>
      <c r="N4118" s="7">
        <v>995.93</v>
      </c>
      <c r="O4118" s="7">
        <f t="shared" si="450"/>
        <v>1991.86</v>
      </c>
      <c r="P4118" s="4">
        <v>0</v>
      </c>
      <c r="Q4118" s="7">
        <f t="shared" si="451"/>
        <v>0</v>
      </c>
      <c r="R4118" s="7">
        <f t="shared" si="452"/>
        <v>1991.86</v>
      </c>
      <c r="S4118" s="7">
        <f t="shared" si="453"/>
        <v>995.93</v>
      </c>
      <c r="T4118" s="6">
        <f t="shared" si="454"/>
        <v>1.0752688172043012E-2</v>
      </c>
      <c r="V4118" t="s">
        <v>29</v>
      </c>
    </row>
    <row r="4119" spans="1:22">
      <c r="A4119" s="3">
        <v>45829</v>
      </c>
      <c r="B4119" t="str">
        <f t="shared" si="448"/>
        <v>yyyy-06</v>
      </c>
      <c r="C4119">
        <f t="shared" si="449"/>
        <v>25</v>
      </c>
      <c r="D4119" t="s">
        <v>42</v>
      </c>
      <c r="E4119" t="s">
        <v>51</v>
      </c>
      <c r="F4119" t="s">
        <v>52</v>
      </c>
      <c r="G4119" t="s">
        <v>27</v>
      </c>
      <c r="H4119" t="s">
        <v>28</v>
      </c>
      <c r="I4119" s="5">
        <v>244</v>
      </c>
      <c r="J4119" s="5">
        <v>176</v>
      </c>
      <c r="K4119" s="5">
        <v>20</v>
      </c>
      <c r="L4119" s="5">
        <v>3</v>
      </c>
      <c r="M4119" s="5">
        <v>3</v>
      </c>
      <c r="N4119" s="7">
        <v>594.94000000000005</v>
      </c>
      <c r="O4119" s="7">
        <f t="shared" si="450"/>
        <v>1784.8200000000002</v>
      </c>
      <c r="P4119" s="4">
        <v>0</v>
      </c>
      <c r="Q4119" s="7">
        <f t="shared" si="451"/>
        <v>0</v>
      </c>
      <c r="R4119" s="7">
        <f t="shared" si="452"/>
        <v>1784.8200000000002</v>
      </c>
      <c r="S4119" s="7">
        <f t="shared" si="453"/>
        <v>594.94000000000005</v>
      </c>
      <c r="T4119" s="6">
        <f t="shared" si="454"/>
        <v>1.2295081967213115E-2</v>
      </c>
      <c r="V4119" t="s">
        <v>29</v>
      </c>
    </row>
    <row r="4120" spans="1:22">
      <c r="A4120" s="3">
        <v>45829</v>
      </c>
      <c r="B4120" t="str">
        <f t="shared" si="448"/>
        <v>yyyy-06</v>
      </c>
      <c r="C4120">
        <f t="shared" si="449"/>
        <v>25</v>
      </c>
      <c r="D4120" t="s">
        <v>53</v>
      </c>
      <c r="E4120" t="s">
        <v>54</v>
      </c>
      <c r="F4120" t="s">
        <v>55</v>
      </c>
      <c r="G4120" t="s">
        <v>27</v>
      </c>
      <c r="H4120" t="s">
        <v>45</v>
      </c>
      <c r="I4120" s="5">
        <v>186</v>
      </c>
      <c r="J4120" s="5">
        <v>139</v>
      </c>
      <c r="K4120" s="5">
        <v>10</v>
      </c>
      <c r="L4120" s="5">
        <v>2</v>
      </c>
      <c r="M4120" s="5">
        <v>2</v>
      </c>
      <c r="N4120" s="7">
        <v>1255.6099999999999</v>
      </c>
      <c r="O4120" s="7">
        <f t="shared" si="450"/>
        <v>2511.2199999999998</v>
      </c>
      <c r="P4120" s="4">
        <v>0.05</v>
      </c>
      <c r="Q4120" s="7">
        <f t="shared" si="451"/>
        <v>125.56099999999999</v>
      </c>
      <c r="R4120" s="7">
        <f t="shared" si="452"/>
        <v>2385.6589999999997</v>
      </c>
      <c r="S4120" s="7">
        <f t="shared" si="453"/>
        <v>1192.8294999999998</v>
      </c>
      <c r="T4120" s="6">
        <f t="shared" si="454"/>
        <v>1.0752688172043012E-2</v>
      </c>
      <c r="V4120" t="s">
        <v>29</v>
      </c>
    </row>
    <row r="4121" spans="1:22">
      <c r="A4121" s="3">
        <v>45829</v>
      </c>
      <c r="B4121" t="str">
        <f t="shared" si="448"/>
        <v>yyyy-06</v>
      </c>
      <c r="C4121">
        <f t="shared" si="449"/>
        <v>25</v>
      </c>
      <c r="D4121" t="s">
        <v>53</v>
      </c>
      <c r="E4121" t="s">
        <v>56</v>
      </c>
      <c r="F4121" t="s">
        <v>57</v>
      </c>
      <c r="G4121" t="s">
        <v>27</v>
      </c>
      <c r="H4121" t="s">
        <v>45</v>
      </c>
      <c r="I4121" s="5">
        <v>234</v>
      </c>
      <c r="J4121" s="5">
        <v>122</v>
      </c>
      <c r="K4121" s="5">
        <v>13</v>
      </c>
      <c r="L4121" s="5">
        <v>3</v>
      </c>
      <c r="M4121" s="5">
        <v>3</v>
      </c>
      <c r="N4121" s="7">
        <v>719.58</v>
      </c>
      <c r="O4121" s="7">
        <f t="shared" si="450"/>
        <v>2158.7400000000002</v>
      </c>
      <c r="P4121" s="4">
        <v>0.03</v>
      </c>
      <c r="Q4121" s="7">
        <f t="shared" si="451"/>
        <v>64.762200000000007</v>
      </c>
      <c r="R4121" s="7">
        <f t="shared" si="452"/>
        <v>2093.9778000000001</v>
      </c>
      <c r="S4121" s="7">
        <f t="shared" si="453"/>
        <v>697.99260000000004</v>
      </c>
      <c r="T4121" s="6">
        <f t="shared" si="454"/>
        <v>1.282051282051282E-2</v>
      </c>
      <c r="V4121" t="s">
        <v>29</v>
      </c>
    </row>
    <row r="4122" spans="1:22">
      <c r="A4122" s="3">
        <v>45829</v>
      </c>
      <c r="B4122" t="str">
        <f t="shared" si="448"/>
        <v>yyyy-06</v>
      </c>
      <c r="C4122">
        <f t="shared" si="449"/>
        <v>25</v>
      </c>
      <c r="D4122" t="s">
        <v>53</v>
      </c>
      <c r="E4122" t="s">
        <v>56</v>
      </c>
      <c r="F4122" t="s">
        <v>58</v>
      </c>
      <c r="G4122" t="s">
        <v>27</v>
      </c>
      <c r="H4122" t="s">
        <v>48</v>
      </c>
      <c r="I4122" s="5">
        <v>170</v>
      </c>
      <c r="J4122" s="5">
        <v>94</v>
      </c>
      <c r="K4122" s="5">
        <v>9</v>
      </c>
      <c r="L4122" s="5">
        <v>1</v>
      </c>
      <c r="M4122" s="5">
        <v>1</v>
      </c>
      <c r="N4122" s="7">
        <v>864.4</v>
      </c>
      <c r="O4122" s="7">
        <f t="shared" si="450"/>
        <v>864.4</v>
      </c>
      <c r="P4122" s="4">
        <v>0.03</v>
      </c>
      <c r="Q4122" s="7">
        <f t="shared" si="451"/>
        <v>25.931999999999999</v>
      </c>
      <c r="R4122" s="7">
        <f t="shared" si="452"/>
        <v>838.46799999999996</v>
      </c>
      <c r="S4122" s="7">
        <f t="shared" si="453"/>
        <v>838.46799999999996</v>
      </c>
      <c r="T4122" s="6">
        <f t="shared" si="454"/>
        <v>5.8823529411764705E-3</v>
      </c>
      <c r="V4122" t="s">
        <v>78</v>
      </c>
    </row>
    <row r="4123" spans="1:22">
      <c r="A4123" s="3">
        <v>45829</v>
      </c>
      <c r="B4123" t="str">
        <f t="shared" si="448"/>
        <v>yyyy-06</v>
      </c>
      <c r="C4123">
        <f t="shared" si="449"/>
        <v>25</v>
      </c>
      <c r="D4123" t="s">
        <v>53</v>
      </c>
      <c r="E4123" t="s">
        <v>59</v>
      </c>
      <c r="F4123" t="s">
        <v>60</v>
      </c>
      <c r="G4123" t="s">
        <v>27</v>
      </c>
      <c r="H4123" t="s">
        <v>63</v>
      </c>
      <c r="I4123" s="5">
        <v>164</v>
      </c>
      <c r="J4123" s="5">
        <v>87</v>
      </c>
      <c r="K4123" s="5">
        <v>10</v>
      </c>
      <c r="L4123" s="5">
        <v>2</v>
      </c>
      <c r="M4123" s="5">
        <v>2</v>
      </c>
      <c r="N4123" s="7">
        <v>711.18</v>
      </c>
      <c r="O4123" s="7">
        <f t="shared" si="450"/>
        <v>1422.36</v>
      </c>
      <c r="P4123" s="4">
        <v>0.03</v>
      </c>
      <c r="Q4123" s="7">
        <f t="shared" si="451"/>
        <v>42.670799999999993</v>
      </c>
      <c r="R4123" s="7">
        <f t="shared" si="452"/>
        <v>1379.6891999999998</v>
      </c>
      <c r="S4123" s="7">
        <f t="shared" si="453"/>
        <v>689.8445999999999</v>
      </c>
      <c r="T4123" s="6">
        <f t="shared" si="454"/>
        <v>1.2195121951219513E-2</v>
      </c>
      <c r="V4123" t="s">
        <v>29</v>
      </c>
    </row>
    <row r="4124" spans="1:22">
      <c r="A4124" s="3">
        <v>45829</v>
      </c>
      <c r="B4124" t="str">
        <f t="shared" si="448"/>
        <v>yyyy-06</v>
      </c>
      <c r="C4124">
        <f t="shared" si="449"/>
        <v>25</v>
      </c>
      <c r="D4124" t="s">
        <v>53</v>
      </c>
      <c r="E4124" t="s">
        <v>61</v>
      </c>
      <c r="F4124" t="s">
        <v>62</v>
      </c>
      <c r="G4124" t="s">
        <v>27</v>
      </c>
      <c r="H4124" t="s">
        <v>28</v>
      </c>
      <c r="I4124" s="5">
        <v>245</v>
      </c>
      <c r="J4124" s="5">
        <v>188</v>
      </c>
      <c r="K4124" s="5">
        <v>22</v>
      </c>
      <c r="L4124" s="5">
        <v>3</v>
      </c>
      <c r="M4124" s="5">
        <v>3</v>
      </c>
      <c r="N4124" s="7">
        <v>502.33</v>
      </c>
      <c r="O4124" s="7">
        <f t="shared" si="450"/>
        <v>1506.99</v>
      </c>
      <c r="P4124" s="4">
        <v>0.05</v>
      </c>
      <c r="Q4124" s="7">
        <f t="shared" si="451"/>
        <v>75.349500000000006</v>
      </c>
      <c r="R4124" s="7">
        <f t="shared" si="452"/>
        <v>1431.6405</v>
      </c>
      <c r="S4124" s="7">
        <f t="shared" si="453"/>
        <v>477.21350000000001</v>
      </c>
      <c r="T4124" s="6">
        <f t="shared" si="454"/>
        <v>1.2244897959183673E-2</v>
      </c>
      <c r="V4124" t="s">
        <v>29</v>
      </c>
    </row>
    <row r="4125" spans="1:22">
      <c r="A4125" s="3">
        <v>45829</v>
      </c>
      <c r="B4125" t="str">
        <f t="shared" si="448"/>
        <v>yyyy-06</v>
      </c>
      <c r="C4125">
        <f t="shared" si="449"/>
        <v>25</v>
      </c>
      <c r="D4125" t="s">
        <v>53</v>
      </c>
      <c r="E4125" t="s">
        <v>64</v>
      </c>
      <c r="F4125" t="s">
        <v>65</v>
      </c>
      <c r="G4125" t="s">
        <v>27</v>
      </c>
      <c r="H4125" t="s">
        <v>63</v>
      </c>
      <c r="I4125" s="5">
        <v>169</v>
      </c>
      <c r="J4125" s="5">
        <v>89</v>
      </c>
      <c r="K4125" s="5">
        <v>8</v>
      </c>
      <c r="L4125" s="5">
        <v>2</v>
      </c>
      <c r="M4125" s="5">
        <v>2</v>
      </c>
      <c r="N4125" s="7">
        <v>812.87</v>
      </c>
      <c r="O4125" s="7">
        <f t="shared" si="450"/>
        <v>1625.74</v>
      </c>
      <c r="P4125" s="4">
        <v>0</v>
      </c>
      <c r="Q4125" s="7">
        <f t="shared" si="451"/>
        <v>0</v>
      </c>
      <c r="R4125" s="7">
        <f t="shared" si="452"/>
        <v>1625.74</v>
      </c>
      <c r="S4125" s="7">
        <f t="shared" si="453"/>
        <v>812.87</v>
      </c>
      <c r="T4125" s="6">
        <f t="shared" si="454"/>
        <v>1.1834319526627219E-2</v>
      </c>
      <c r="V4125" t="s">
        <v>29</v>
      </c>
    </row>
    <row r="4126" spans="1:22">
      <c r="A4126" s="3">
        <v>45829</v>
      </c>
      <c r="B4126" t="str">
        <f t="shared" si="448"/>
        <v>yyyy-06</v>
      </c>
      <c r="C4126">
        <f t="shared" si="449"/>
        <v>25</v>
      </c>
      <c r="D4126" t="s">
        <v>66</v>
      </c>
      <c r="E4126" t="s">
        <v>67</v>
      </c>
      <c r="F4126" t="s">
        <v>68</v>
      </c>
      <c r="G4126" t="s">
        <v>36</v>
      </c>
      <c r="H4126" t="s">
        <v>37</v>
      </c>
      <c r="I4126" s="5">
        <v>544</v>
      </c>
      <c r="J4126" s="5">
        <v>422</v>
      </c>
      <c r="K4126" s="5">
        <v>29</v>
      </c>
      <c r="L4126" s="5">
        <v>12</v>
      </c>
      <c r="M4126" s="5">
        <v>12</v>
      </c>
      <c r="N4126" s="7">
        <v>700.64</v>
      </c>
      <c r="O4126" s="7">
        <f t="shared" si="450"/>
        <v>8407.68</v>
      </c>
      <c r="P4126" s="4">
        <v>0</v>
      </c>
      <c r="Q4126" s="7">
        <f t="shared" si="451"/>
        <v>0</v>
      </c>
      <c r="R4126" s="7">
        <f t="shared" si="452"/>
        <v>8407.68</v>
      </c>
      <c r="S4126" s="7">
        <f t="shared" si="453"/>
        <v>700.64</v>
      </c>
      <c r="T4126" s="6">
        <f t="shared" si="454"/>
        <v>2.2058823529411766E-2</v>
      </c>
      <c r="V4126" t="s">
        <v>29</v>
      </c>
    </row>
    <row r="4127" spans="1:22">
      <c r="A4127" s="3">
        <v>45829</v>
      </c>
      <c r="B4127" t="str">
        <f t="shared" si="448"/>
        <v>yyyy-06</v>
      </c>
      <c r="C4127">
        <f t="shared" si="449"/>
        <v>25</v>
      </c>
      <c r="D4127" t="s">
        <v>66</v>
      </c>
      <c r="E4127" t="s">
        <v>67</v>
      </c>
      <c r="F4127" t="s">
        <v>69</v>
      </c>
      <c r="G4127" t="s">
        <v>27</v>
      </c>
      <c r="H4127" t="s">
        <v>45</v>
      </c>
      <c r="I4127" s="5">
        <v>463</v>
      </c>
      <c r="J4127" s="5">
        <v>263</v>
      </c>
      <c r="K4127" s="5">
        <v>35</v>
      </c>
      <c r="L4127" s="5">
        <v>8</v>
      </c>
      <c r="M4127" s="5">
        <v>8</v>
      </c>
      <c r="N4127" s="7">
        <v>402.76</v>
      </c>
      <c r="O4127" s="7">
        <f t="shared" si="450"/>
        <v>3222.08</v>
      </c>
      <c r="P4127" s="4">
        <v>0</v>
      </c>
      <c r="Q4127" s="7">
        <f t="shared" si="451"/>
        <v>0</v>
      </c>
      <c r="R4127" s="7">
        <f t="shared" si="452"/>
        <v>3222.08</v>
      </c>
      <c r="S4127" s="7">
        <f t="shared" si="453"/>
        <v>402.76</v>
      </c>
      <c r="T4127" s="6">
        <f t="shared" si="454"/>
        <v>1.7278617710583154E-2</v>
      </c>
      <c r="V4127" t="s">
        <v>29</v>
      </c>
    </row>
    <row r="4128" spans="1:22">
      <c r="A4128" s="3">
        <v>45829</v>
      </c>
      <c r="B4128" t="str">
        <f t="shared" si="448"/>
        <v>yyyy-06</v>
      </c>
      <c r="C4128">
        <f t="shared" si="449"/>
        <v>25</v>
      </c>
      <c r="D4128" t="s">
        <v>66</v>
      </c>
      <c r="E4128" t="s">
        <v>67</v>
      </c>
      <c r="F4128" t="s">
        <v>70</v>
      </c>
      <c r="G4128" t="s">
        <v>27</v>
      </c>
      <c r="H4128" t="s">
        <v>45</v>
      </c>
      <c r="I4128" s="5">
        <v>374</v>
      </c>
      <c r="J4128" s="5">
        <v>274</v>
      </c>
      <c r="K4128" s="5">
        <v>15</v>
      </c>
      <c r="L4128" s="5">
        <v>6</v>
      </c>
      <c r="M4128" s="5">
        <v>6</v>
      </c>
      <c r="N4128" s="7">
        <v>335.13</v>
      </c>
      <c r="O4128" s="7">
        <f t="shared" si="450"/>
        <v>2010.78</v>
      </c>
      <c r="P4128" s="4">
        <v>0</v>
      </c>
      <c r="Q4128" s="7">
        <f t="shared" si="451"/>
        <v>0</v>
      </c>
      <c r="R4128" s="7">
        <f t="shared" si="452"/>
        <v>2010.78</v>
      </c>
      <c r="S4128" s="7">
        <f t="shared" si="453"/>
        <v>335.13</v>
      </c>
      <c r="T4128" s="6">
        <f t="shared" si="454"/>
        <v>1.6042780748663103E-2</v>
      </c>
      <c r="V4128" t="s">
        <v>29</v>
      </c>
    </row>
    <row r="4129" spans="1:22">
      <c r="A4129" s="3">
        <v>45829</v>
      </c>
      <c r="B4129" t="str">
        <f t="shared" si="448"/>
        <v>yyyy-06</v>
      </c>
      <c r="C4129">
        <f t="shared" si="449"/>
        <v>25</v>
      </c>
      <c r="D4129" t="s">
        <v>66</v>
      </c>
      <c r="E4129" t="s">
        <v>71</v>
      </c>
      <c r="F4129" t="s">
        <v>72</v>
      </c>
      <c r="G4129" t="s">
        <v>27</v>
      </c>
      <c r="H4129" t="s">
        <v>28</v>
      </c>
      <c r="I4129" s="5">
        <v>523</v>
      </c>
      <c r="J4129" s="5">
        <v>392</v>
      </c>
      <c r="K4129" s="5">
        <v>44</v>
      </c>
      <c r="L4129" s="5">
        <v>9</v>
      </c>
      <c r="M4129" s="5">
        <v>11</v>
      </c>
      <c r="N4129" s="7">
        <v>130.59</v>
      </c>
      <c r="O4129" s="7">
        <f t="shared" si="450"/>
        <v>1436.49</v>
      </c>
      <c r="P4129" s="4">
        <v>0</v>
      </c>
      <c r="Q4129" s="7">
        <f t="shared" si="451"/>
        <v>0</v>
      </c>
      <c r="R4129" s="7">
        <f t="shared" si="452"/>
        <v>1436.49</v>
      </c>
      <c r="S4129" s="7">
        <f t="shared" si="453"/>
        <v>159.61000000000001</v>
      </c>
      <c r="T4129" s="6">
        <f t="shared" si="454"/>
        <v>1.7208413001912046E-2</v>
      </c>
      <c r="V4129" t="s">
        <v>29</v>
      </c>
    </row>
    <row r="4130" spans="1:22">
      <c r="A4130" s="3">
        <v>45829</v>
      </c>
      <c r="B4130" t="str">
        <f t="shared" si="448"/>
        <v>yyyy-06</v>
      </c>
      <c r="C4130">
        <f t="shared" si="449"/>
        <v>25</v>
      </c>
      <c r="D4130" t="s">
        <v>66</v>
      </c>
      <c r="E4130" t="s">
        <v>73</v>
      </c>
      <c r="F4130" t="s">
        <v>74</v>
      </c>
      <c r="G4130" t="s">
        <v>27</v>
      </c>
      <c r="H4130" t="s">
        <v>45</v>
      </c>
      <c r="I4130" s="5">
        <v>278</v>
      </c>
      <c r="J4130" s="5">
        <v>217</v>
      </c>
      <c r="K4130" s="5">
        <v>23</v>
      </c>
      <c r="L4130" s="5">
        <v>6</v>
      </c>
      <c r="M4130" s="5">
        <v>6</v>
      </c>
      <c r="N4130" s="7">
        <v>1171.57</v>
      </c>
      <c r="O4130" s="7">
        <f t="shared" si="450"/>
        <v>7029.42</v>
      </c>
      <c r="P4130" s="4">
        <v>0</v>
      </c>
      <c r="Q4130" s="7">
        <f t="shared" si="451"/>
        <v>0</v>
      </c>
      <c r="R4130" s="7">
        <f t="shared" si="452"/>
        <v>7029.42</v>
      </c>
      <c r="S4130" s="7">
        <f t="shared" si="453"/>
        <v>1171.57</v>
      </c>
      <c r="T4130" s="6">
        <f t="shared" si="454"/>
        <v>2.1582733812949641E-2</v>
      </c>
      <c r="V4130" t="s">
        <v>29</v>
      </c>
    </row>
    <row r="4131" spans="1:22">
      <c r="A4131" s="3">
        <v>45829</v>
      </c>
      <c r="B4131" t="str">
        <f t="shared" si="448"/>
        <v>yyyy-06</v>
      </c>
      <c r="C4131">
        <f t="shared" si="449"/>
        <v>25</v>
      </c>
      <c r="D4131" t="s">
        <v>66</v>
      </c>
      <c r="E4131" t="s">
        <v>71</v>
      </c>
      <c r="F4131" t="s">
        <v>75</v>
      </c>
      <c r="G4131" t="s">
        <v>27</v>
      </c>
      <c r="H4131" t="s">
        <v>28</v>
      </c>
      <c r="I4131" s="5">
        <v>370</v>
      </c>
      <c r="J4131" s="5">
        <v>257</v>
      </c>
      <c r="K4131" s="5">
        <v>23</v>
      </c>
      <c r="L4131" s="5">
        <v>8</v>
      </c>
      <c r="M4131" s="5">
        <v>9</v>
      </c>
      <c r="N4131" s="7">
        <v>37.53</v>
      </c>
      <c r="O4131" s="7">
        <f t="shared" si="450"/>
        <v>337.77</v>
      </c>
      <c r="P4131" s="4">
        <v>0</v>
      </c>
      <c r="Q4131" s="7">
        <f t="shared" si="451"/>
        <v>0</v>
      </c>
      <c r="R4131" s="7">
        <f t="shared" si="452"/>
        <v>337.77</v>
      </c>
      <c r="S4131" s="7">
        <f t="shared" si="453"/>
        <v>42.221249999999998</v>
      </c>
      <c r="T4131" s="6">
        <f t="shared" si="454"/>
        <v>2.1621621621621623E-2</v>
      </c>
      <c r="V4131" t="s">
        <v>29</v>
      </c>
    </row>
    <row r="4132" spans="1:22">
      <c r="A4132" s="3">
        <v>45829</v>
      </c>
      <c r="B4132" t="str">
        <f t="shared" si="448"/>
        <v>yyyy-06</v>
      </c>
      <c r="C4132">
        <f t="shared" si="449"/>
        <v>25</v>
      </c>
      <c r="D4132" t="s">
        <v>24</v>
      </c>
      <c r="E4132" t="s">
        <v>76</v>
      </c>
      <c r="F4132" t="s">
        <v>77</v>
      </c>
      <c r="G4132" t="s">
        <v>36</v>
      </c>
      <c r="H4132" t="s">
        <v>37</v>
      </c>
      <c r="I4132" s="5">
        <v>1033</v>
      </c>
      <c r="J4132" s="5">
        <v>717</v>
      </c>
      <c r="K4132" s="5">
        <v>83</v>
      </c>
      <c r="L4132" s="5">
        <v>19</v>
      </c>
      <c r="M4132" s="5">
        <v>21</v>
      </c>
      <c r="N4132" s="7">
        <v>193.74</v>
      </c>
      <c r="O4132" s="7">
        <f t="shared" si="450"/>
        <v>4068.54</v>
      </c>
      <c r="P4132" s="4">
        <v>0.05</v>
      </c>
      <c r="Q4132" s="7">
        <f t="shared" si="451"/>
        <v>203.42700000000002</v>
      </c>
      <c r="R4132" s="7">
        <f t="shared" si="452"/>
        <v>3865.1129999999998</v>
      </c>
      <c r="S4132" s="7">
        <f t="shared" si="453"/>
        <v>203.42699999999999</v>
      </c>
      <c r="T4132" s="6">
        <f t="shared" si="454"/>
        <v>1.8393030009680542E-2</v>
      </c>
      <c r="V4132" t="s">
        <v>29</v>
      </c>
    </row>
    <row r="4133" spans="1:22">
      <c r="A4133" s="3">
        <v>45830</v>
      </c>
      <c r="B4133" t="str">
        <f t="shared" si="448"/>
        <v>yyyy-06</v>
      </c>
      <c r="C4133">
        <f t="shared" si="449"/>
        <v>25</v>
      </c>
      <c r="D4133" t="s">
        <v>24</v>
      </c>
      <c r="E4133" t="s">
        <v>25</v>
      </c>
      <c r="F4133" t="s">
        <v>26</v>
      </c>
      <c r="G4133" t="s">
        <v>36</v>
      </c>
      <c r="H4133" t="s">
        <v>37</v>
      </c>
      <c r="I4133" s="5">
        <v>2824</v>
      </c>
      <c r="J4133" s="5">
        <v>1952</v>
      </c>
      <c r="K4133" s="5">
        <v>221</v>
      </c>
      <c r="L4133" s="5">
        <v>58</v>
      </c>
      <c r="M4133" s="5">
        <v>58</v>
      </c>
      <c r="N4133" s="7">
        <v>983.81</v>
      </c>
      <c r="O4133" s="7">
        <f t="shared" si="450"/>
        <v>57060.979999999996</v>
      </c>
      <c r="P4133" s="4">
        <v>0</v>
      </c>
      <c r="Q4133" s="7">
        <f t="shared" si="451"/>
        <v>0</v>
      </c>
      <c r="R4133" s="7">
        <f t="shared" si="452"/>
        <v>57060.979999999996</v>
      </c>
      <c r="S4133" s="7">
        <f t="shared" si="453"/>
        <v>983.81</v>
      </c>
      <c r="T4133" s="6">
        <f t="shared" si="454"/>
        <v>2.0538243626062325E-2</v>
      </c>
      <c r="V4133" t="s">
        <v>29</v>
      </c>
    </row>
    <row r="4134" spans="1:22">
      <c r="A4134" s="3">
        <v>45830</v>
      </c>
      <c r="B4134" t="str">
        <f t="shared" si="448"/>
        <v>yyyy-06</v>
      </c>
      <c r="C4134">
        <f t="shared" si="449"/>
        <v>25</v>
      </c>
      <c r="D4134" t="s">
        <v>24</v>
      </c>
      <c r="E4134" t="s">
        <v>25</v>
      </c>
      <c r="F4134" t="s">
        <v>30</v>
      </c>
      <c r="G4134" t="s">
        <v>27</v>
      </c>
      <c r="H4134" t="s">
        <v>48</v>
      </c>
      <c r="I4134" s="5">
        <v>1125</v>
      </c>
      <c r="J4134" s="5">
        <v>711</v>
      </c>
      <c r="K4134" s="5">
        <v>117</v>
      </c>
      <c r="L4134" s="5">
        <v>27</v>
      </c>
      <c r="M4134" s="5">
        <v>27</v>
      </c>
      <c r="N4134" s="7">
        <v>390.72</v>
      </c>
      <c r="O4134" s="7">
        <f t="shared" si="450"/>
        <v>10549.44</v>
      </c>
      <c r="P4134" s="4">
        <v>0.05</v>
      </c>
      <c r="Q4134" s="7">
        <f t="shared" si="451"/>
        <v>527.47200000000009</v>
      </c>
      <c r="R4134" s="7">
        <f t="shared" si="452"/>
        <v>10021.968000000001</v>
      </c>
      <c r="S4134" s="7">
        <f t="shared" si="453"/>
        <v>371.18400000000003</v>
      </c>
      <c r="T4134" s="6">
        <f t="shared" si="454"/>
        <v>2.4E-2</v>
      </c>
      <c r="V4134" t="s">
        <v>29</v>
      </c>
    </row>
    <row r="4135" spans="1:22">
      <c r="A4135" s="3">
        <v>45830</v>
      </c>
      <c r="B4135" t="str">
        <f t="shared" si="448"/>
        <v>yyyy-06</v>
      </c>
      <c r="C4135">
        <f t="shared" si="449"/>
        <v>25</v>
      </c>
      <c r="D4135" t="s">
        <v>24</v>
      </c>
      <c r="E4135" t="s">
        <v>25</v>
      </c>
      <c r="F4135" t="s">
        <v>33</v>
      </c>
      <c r="G4135" t="s">
        <v>36</v>
      </c>
      <c r="H4135" t="s">
        <v>37</v>
      </c>
      <c r="I4135" s="5">
        <v>1889</v>
      </c>
      <c r="J4135" s="5">
        <v>1099</v>
      </c>
      <c r="K4135" s="5">
        <v>154</v>
      </c>
      <c r="L4135" s="5">
        <v>33</v>
      </c>
      <c r="M4135" s="5">
        <v>33</v>
      </c>
      <c r="N4135" s="7">
        <v>1750.71</v>
      </c>
      <c r="O4135" s="7">
        <f t="shared" si="450"/>
        <v>57773.43</v>
      </c>
      <c r="P4135" s="4">
        <v>0.03</v>
      </c>
      <c r="Q4135" s="7">
        <f t="shared" si="451"/>
        <v>1733.2029</v>
      </c>
      <c r="R4135" s="7">
        <f t="shared" si="452"/>
        <v>56040.227100000004</v>
      </c>
      <c r="S4135" s="7">
        <f t="shared" si="453"/>
        <v>1698.1887000000002</v>
      </c>
      <c r="T4135" s="6">
        <f t="shared" si="454"/>
        <v>1.7469560614081524E-2</v>
      </c>
      <c r="V4135" t="s">
        <v>29</v>
      </c>
    </row>
    <row r="4136" spans="1:22">
      <c r="A4136" s="3">
        <v>45830</v>
      </c>
      <c r="B4136" t="str">
        <f t="shared" si="448"/>
        <v>yyyy-06</v>
      </c>
      <c r="C4136">
        <f t="shared" si="449"/>
        <v>25</v>
      </c>
      <c r="D4136" t="s">
        <v>24</v>
      </c>
      <c r="E4136" t="s">
        <v>34</v>
      </c>
      <c r="F4136" t="s">
        <v>35</v>
      </c>
      <c r="G4136" t="s">
        <v>36</v>
      </c>
      <c r="H4136" t="s">
        <v>37</v>
      </c>
      <c r="I4136" s="5">
        <v>980</v>
      </c>
      <c r="J4136" s="5">
        <v>714</v>
      </c>
      <c r="K4136" s="5">
        <v>72</v>
      </c>
      <c r="L4136" s="5">
        <v>20</v>
      </c>
      <c r="M4136" s="5">
        <v>20</v>
      </c>
      <c r="N4136" s="7">
        <v>913.09</v>
      </c>
      <c r="O4136" s="7">
        <f t="shared" si="450"/>
        <v>18261.8</v>
      </c>
      <c r="P4136" s="4">
        <v>0</v>
      </c>
      <c r="Q4136" s="7">
        <f t="shared" si="451"/>
        <v>0</v>
      </c>
      <c r="R4136" s="7">
        <f t="shared" si="452"/>
        <v>18261.8</v>
      </c>
      <c r="S4136" s="7">
        <f t="shared" si="453"/>
        <v>913.08999999999992</v>
      </c>
      <c r="T4136" s="6">
        <f t="shared" si="454"/>
        <v>2.0408163265306121E-2</v>
      </c>
      <c r="V4136" t="s">
        <v>29</v>
      </c>
    </row>
    <row r="4137" spans="1:22">
      <c r="A4137" s="3">
        <v>45830</v>
      </c>
      <c r="B4137" t="str">
        <f t="shared" si="448"/>
        <v>yyyy-06</v>
      </c>
      <c r="C4137">
        <f t="shared" si="449"/>
        <v>25</v>
      </c>
      <c r="D4137" t="s">
        <v>24</v>
      </c>
      <c r="E4137" t="s">
        <v>38</v>
      </c>
      <c r="F4137" t="s">
        <v>39</v>
      </c>
      <c r="G4137" t="s">
        <v>31</v>
      </c>
      <c r="H4137" t="s">
        <v>32</v>
      </c>
      <c r="I4137" s="5">
        <v>1097</v>
      </c>
      <c r="J4137" s="5">
        <v>778</v>
      </c>
      <c r="K4137" s="5">
        <v>68</v>
      </c>
      <c r="L4137" s="5">
        <v>14</v>
      </c>
      <c r="M4137" s="5">
        <v>14</v>
      </c>
      <c r="N4137" s="7">
        <v>331.83</v>
      </c>
      <c r="O4137" s="7">
        <f t="shared" si="450"/>
        <v>4645.62</v>
      </c>
      <c r="P4137" s="4">
        <v>0</v>
      </c>
      <c r="Q4137" s="7">
        <f t="shared" si="451"/>
        <v>0</v>
      </c>
      <c r="R4137" s="7">
        <f t="shared" si="452"/>
        <v>4645.62</v>
      </c>
      <c r="S4137" s="7">
        <f t="shared" si="453"/>
        <v>331.83</v>
      </c>
      <c r="T4137" s="6">
        <f t="shared" si="454"/>
        <v>1.276207839562443E-2</v>
      </c>
      <c r="V4137" t="s">
        <v>78</v>
      </c>
    </row>
    <row r="4138" spans="1:22">
      <c r="A4138" s="3">
        <v>45830</v>
      </c>
      <c r="B4138" t="str">
        <f t="shared" si="448"/>
        <v>yyyy-06</v>
      </c>
      <c r="C4138">
        <f t="shared" si="449"/>
        <v>25</v>
      </c>
      <c r="D4138" t="s">
        <v>24</v>
      </c>
      <c r="E4138" t="s">
        <v>40</v>
      </c>
      <c r="F4138" t="s">
        <v>41</v>
      </c>
      <c r="G4138" t="s">
        <v>27</v>
      </c>
      <c r="H4138" t="s">
        <v>63</v>
      </c>
      <c r="I4138" s="5">
        <v>587</v>
      </c>
      <c r="J4138" s="5">
        <v>330</v>
      </c>
      <c r="K4138" s="5">
        <v>34</v>
      </c>
      <c r="L4138" s="5">
        <v>11</v>
      </c>
      <c r="M4138" s="5">
        <v>13</v>
      </c>
      <c r="N4138" s="7">
        <v>174.32</v>
      </c>
      <c r="O4138" s="7">
        <f t="shared" si="450"/>
        <v>2266.16</v>
      </c>
      <c r="P4138" s="4">
        <v>0</v>
      </c>
      <c r="Q4138" s="7">
        <f t="shared" si="451"/>
        <v>0</v>
      </c>
      <c r="R4138" s="7">
        <f t="shared" si="452"/>
        <v>2266.16</v>
      </c>
      <c r="S4138" s="7">
        <f t="shared" si="453"/>
        <v>206.01454545454544</v>
      </c>
      <c r="T4138" s="6">
        <f t="shared" si="454"/>
        <v>1.8739352640545145E-2</v>
      </c>
      <c r="V4138" t="s">
        <v>29</v>
      </c>
    </row>
    <row r="4139" spans="1:22">
      <c r="A4139" s="3">
        <v>45830</v>
      </c>
      <c r="B4139" t="str">
        <f t="shared" si="448"/>
        <v>yyyy-06</v>
      </c>
      <c r="C4139">
        <f t="shared" si="449"/>
        <v>25</v>
      </c>
      <c r="D4139" t="s">
        <v>42</v>
      </c>
      <c r="E4139" t="s">
        <v>43</v>
      </c>
      <c r="F4139" t="s">
        <v>44</v>
      </c>
      <c r="G4139" t="s">
        <v>36</v>
      </c>
      <c r="H4139" t="s">
        <v>37</v>
      </c>
      <c r="I4139" s="5">
        <v>679</v>
      </c>
      <c r="J4139" s="5">
        <v>563</v>
      </c>
      <c r="K4139" s="5">
        <v>47</v>
      </c>
      <c r="L4139" s="5">
        <v>12</v>
      </c>
      <c r="M4139" s="5">
        <v>12</v>
      </c>
      <c r="N4139" s="7">
        <v>1290.77</v>
      </c>
      <c r="O4139" s="7">
        <f t="shared" si="450"/>
        <v>15489.24</v>
      </c>
      <c r="P4139" s="4">
        <v>0.03</v>
      </c>
      <c r="Q4139" s="7">
        <f t="shared" si="451"/>
        <v>464.67719999999997</v>
      </c>
      <c r="R4139" s="7">
        <f t="shared" si="452"/>
        <v>15024.5628</v>
      </c>
      <c r="S4139" s="7">
        <f t="shared" si="453"/>
        <v>1252.0469000000001</v>
      </c>
      <c r="T4139" s="6">
        <f t="shared" si="454"/>
        <v>1.7673048600883652E-2</v>
      </c>
      <c r="V4139" t="s">
        <v>29</v>
      </c>
    </row>
    <row r="4140" spans="1:22">
      <c r="A4140" s="3">
        <v>45830</v>
      </c>
      <c r="B4140" t="str">
        <f t="shared" si="448"/>
        <v>yyyy-06</v>
      </c>
      <c r="C4140">
        <f t="shared" si="449"/>
        <v>25</v>
      </c>
      <c r="D4140" t="s">
        <v>42</v>
      </c>
      <c r="E4140" t="s">
        <v>43</v>
      </c>
      <c r="F4140" t="s">
        <v>46</v>
      </c>
      <c r="G4140" t="s">
        <v>27</v>
      </c>
      <c r="H4140" t="s">
        <v>45</v>
      </c>
      <c r="I4140" s="5">
        <v>437</v>
      </c>
      <c r="J4140" s="5">
        <v>357</v>
      </c>
      <c r="K4140" s="5">
        <v>36</v>
      </c>
      <c r="L4140" s="5">
        <v>8</v>
      </c>
      <c r="M4140" s="5">
        <v>8</v>
      </c>
      <c r="N4140" s="7">
        <v>2178.85</v>
      </c>
      <c r="O4140" s="7">
        <f t="shared" si="450"/>
        <v>17430.8</v>
      </c>
      <c r="P4140" s="4">
        <v>0</v>
      </c>
      <c r="Q4140" s="7">
        <f t="shared" si="451"/>
        <v>0</v>
      </c>
      <c r="R4140" s="7">
        <f t="shared" si="452"/>
        <v>17430.8</v>
      </c>
      <c r="S4140" s="7">
        <f t="shared" si="453"/>
        <v>2178.85</v>
      </c>
      <c r="T4140" s="6">
        <f t="shared" si="454"/>
        <v>1.8306636155606407E-2</v>
      </c>
      <c r="V4140" t="s">
        <v>29</v>
      </c>
    </row>
    <row r="4141" spans="1:22">
      <c r="A4141" s="3">
        <v>45830</v>
      </c>
      <c r="B4141" t="str">
        <f t="shared" si="448"/>
        <v>yyyy-06</v>
      </c>
      <c r="C4141">
        <f t="shared" si="449"/>
        <v>25</v>
      </c>
      <c r="D4141" t="s">
        <v>42</v>
      </c>
      <c r="E4141" t="s">
        <v>43</v>
      </c>
      <c r="F4141" t="s">
        <v>47</v>
      </c>
      <c r="G4141" t="s">
        <v>31</v>
      </c>
      <c r="H4141" t="s">
        <v>32</v>
      </c>
      <c r="I4141" s="5">
        <v>738</v>
      </c>
      <c r="J4141" s="5">
        <v>413</v>
      </c>
      <c r="K4141" s="5">
        <v>41</v>
      </c>
      <c r="L4141" s="5">
        <v>9</v>
      </c>
      <c r="M4141" s="5">
        <v>9</v>
      </c>
      <c r="N4141" s="7">
        <v>601.96</v>
      </c>
      <c r="O4141" s="7">
        <f t="shared" si="450"/>
        <v>5417.64</v>
      </c>
      <c r="P4141" s="4">
        <v>0</v>
      </c>
      <c r="Q4141" s="7">
        <f t="shared" si="451"/>
        <v>0</v>
      </c>
      <c r="R4141" s="7">
        <f t="shared" si="452"/>
        <v>5417.64</v>
      </c>
      <c r="S4141" s="7">
        <f t="shared" si="453"/>
        <v>601.96</v>
      </c>
      <c r="T4141" s="6">
        <f t="shared" si="454"/>
        <v>1.2195121951219513E-2</v>
      </c>
      <c r="V4141" t="s">
        <v>29</v>
      </c>
    </row>
    <row r="4142" spans="1:22">
      <c r="A4142" s="3">
        <v>45830</v>
      </c>
      <c r="B4142" t="str">
        <f t="shared" si="448"/>
        <v>yyyy-06</v>
      </c>
      <c r="C4142">
        <f t="shared" si="449"/>
        <v>25</v>
      </c>
      <c r="D4142" t="s">
        <v>42</v>
      </c>
      <c r="E4142" t="s">
        <v>49</v>
      </c>
      <c r="F4142" t="s">
        <v>50</v>
      </c>
      <c r="G4142" t="s">
        <v>27</v>
      </c>
      <c r="H4142" t="s">
        <v>45</v>
      </c>
      <c r="I4142" s="5">
        <v>175</v>
      </c>
      <c r="J4142" s="5">
        <v>115</v>
      </c>
      <c r="K4142" s="5">
        <v>12</v>
      </c>
      <c r="L4142" s="5">
        <v>3</v>
      </c>
      <c r="M4142" s="5">
        <v>3</v>
      </c>
      <c r="N4142" s="7">
        <v>1018.62</v>
      </c>
      <c r="O4142" s="7">
        <f t="shared" si="450"/>
        <v>3055.86</v>
      </c>
      <c r="P4142" s="4">
        <v>0.03</v>
      </c>
      <c r="Q4142" s="7">
        <f t="shared" si="451"/>
        <v>91.675799999999995</v>
      </c>
      <c r="R4142" s="7">
        <f t="shared" si="452"/>
        <v>2964.1842000000001</v>
      </c>
      <c r="S4142" s="7">
        <f t="shared" si="453"/>
        <v>988.06140000000005</v>
      </c>
      <c r="T4142" s="6">
        <f t="shared" si="454"/>
        <v>1.7142857142857144E-2</v>
      </c>
      <c r="V4142" t="s">
        <v>29</v>
      </c>
    </row>
    <row r="4143" spans="1:22">
      <c r="A4143" s="3">
        <v>45830</v>
      </c>
      <c r="B4143" t="str">
        <f t="shared" si="448"/>
        <v>yyyy-06</v>
      </c>
      <c r="C4143">
        <f t="shared" si="449"/>
        <v>25</v>
      </c>
      <c r="D4143" t="s">
        <v>42</v>
      </c>
      <c r="E4143" t="s">
        <v>51</v>
      </c>
      <c r="F4143" t="s">
        <v>52</v>
      </c>
      <c r="G4143" t="s">
        <v>27</v>
      </c>
      <c r="H4143" t="s">
        <v>48</v>
      </c>
      <c r="I4143" s="5">
        <v>261</v>
      </c>
      <c r="J4143" s="5">
        <v>153</v>
      </c>
      <c r="K4143" s="5">
        <v>21</v>
      </c>
      <c r="L4143" s="5">
        <v>5</v>
      </c>
      <c r="M4143" s="5">
        <v>5</v>
      </c>
      <c r="N4143" s="7">
        <v>594.04</v>
      </c>
      <c r="O4143" s="7">
        <f t="shared" si="450"/>
        <v>2970.2</v>
      </c>
      <c r="P4143" s="4">
        <v>0</v>
      </c>
      <c r="Q4143" s="7">
        <f t="shared" si="451"/>
        <v>0</v>
      </c>
      <c r="R4143" s="7">
        <f t="shared" si="452"/>
        <v>2970.2</v>
      </c>
      <c r="S4143" s="7">
        <f t="shared" si="453"/>
        <v>594.04</v>
      </c>
      <c r="T4143" s="6">
        <f t="shared" si="454"/>
        <v>1.9157088122605363E-2</v>
      </c>
      <c r="V4143" t="s">
        <v>29</v>
      </c>
    </row>
    <row r="4144" spans="1:22">
      <c r="A4144" s="3">
        <v>45830</v>
      </c>
      <c r="B4144" t="str">
        <f t="shared" si="448"/>
        <v>yyyy-06</v>
      </c>
      <c r="C4144">
        <f t="shared" si="449"/>
        <v>25</v>
      </c>
      <c r="D4144" t="s">
        <v>53</v>
      </c>
      <c r="E4144" t="s">
        <v>54</v>
      </c>
      <c r="F4144" t="s">
        <v>55</v>
      </c>
      <c r="G4144" t="s">
        <v>27</v>
      </c>
      <c r="H4144" t="s">
        <v>48</v>
      </c>
      <c r="I4144" s="5">
        <v>175</v>
      </c>
      <c r="J4144" s="5">
        <v>116</v>
      </c>
      <c r="K4144" s="5">
        <v>9</v>
      </c>
      <c r="L4144" s="5">
        <v>2</v>
      </c>
      <c r="M4144" s="5">
        <v>2</v>
      </c>
      <c r="N4144" s="7">
        <v>1296.9000000000001</v>
      </c>
      <c r="O4144" s="7">
        <f t="shared" si="450"/>
        <v>2593.8000000000002</v>
      </c>
      <c r="P4144" s="4">
        <v>0.05</v>
      </c>
      <c r="Q4144" s="7">
        <f t="shared" si="451"/>
        <v>129.69000000000003</v>
      </c>
      <c r="R4144" s="7">
        <f t="shared" si="452"/>
        <v>2464.11</v>
      </c>
      <c r="S4144" s="7">
        <f t="shared" si="453"/>
        <v>1232.0550000000001</v>
      </c>
      <c r="T4144" s="6">
        <f t="shared" si="454"/>
        <v>1.1428571428571429E-2</v>
      </c>
      <c r="V4144" t="s">
        <v>29</v>
      </c>
    </row>
    <row r="4145" spans="1:22">
      <c r="A4145" s="3">
        <v>45830</v>
      </c>
      <c r="B4145" t="str">
        <f t="shared" si="448"/>
        <v>yyyy-06</v>
      </c>
      <c r="C4145">
        <f t="shared" si="449"/>
        <v>25</v>
      </c>
      <c r="D4145" t="s">
        <v>53</v>
      </c>
      <c r="E4145" t="s">
        <v>56</v>
      </c>
      <c r="F4145" t="s">
        <v>57</v>
      </c>
      <c r="G4145" t="s">
        <v>27</v>
      </c>
      <c r="H4145" t="s">
        <v>63</v>
      </c>
      <c r="I4145" s="5">
        <v>180</v>
      </c>
      <c r="J4145" s="5">
        <v>96</v>
      </c>
      <c r="K4145" s="5">
        <v>11</v>
      </c>
      <c r="L4145" s="5">
        <v>2</v>
      </c>
      <c r="M4145" s="5">
        <v>2</v>
      </c>
      <c r="N4145" s="7">
        <v>732.31</v>
      </c>
      <c r="O4145" s="7">
        <f t="shared" si="450"/>
        <v>1464.62</v>
      </c>
      <c r="P4145" s="4">
        <v>0</v>
      </c>
      <c r="Q4145" s="7">
        <f t="shared" si="451"/>
        <v>0</v>
      </c>
      <c r="R4145" s="7">
        <f t="shared" si="452"/>
        <v>1464.62</v>
      </c>
      <c r="S4145" s="7">
        <f t="shared" si="453"/>
        <v>732.31</v>
      </c>
      <c r="T4145" s="6">
        <f t="shared" si="454"/>
        <v>1.1111111111111112E-2</v>
      </c>
      <c r="V4145" t="s">
        <v>29</v>
      </c>
    </row>
    <row r="4146" spans="1:22">
      <c r="A4146" s="3">
        <v>45830</v>
      </c>
      <c r="B4146" t="str">
        <f t="shared" si="448"/>
        <v>yyyy-06</v>
      </c>
      <c r="C4146">
        <f t="shared" si="449"/>
        <v>25</v>
      </c>
      <c r="D4146" t="s">
        <v>53</v>
      </c>
      <c r="E4146" t="s">
        <v>56</v>
      </c>
      <c r="F4146" t="s">
        <v>58</v>
      </c>
      <c r="G4146" t="s">
        <v>27</v>
      </c>
      <c r="H4146" t="s">
        <v>28</v>
      </c>
      <c r="I4146" s="5">
        <v>248</v>
      </c>
      <c r="J4146" s="5">
        <v>185</v>
      </c>
      <c r="K4146" s="5">
        <v>8</v>
      </c>
      <c r="L4146" s="5">
        <v>3</v>
      </c>
      <c r="M4146" s="5">
        <v>3</v>
      </c>
      <c r="N4146" s="7">
        <v>867.62</v>
      </c>
      <c r="O4146" s="7">
        <f t="shared" si="450"/>
        <v>2602.86</v>
      </c>
      <c r="P4146" s="4">
        <v>0.03</v>
      </c>
      <c r="Q4146" s="7">
        <f t="shared" si="451"/>
        <v>78.085800000000006</v>
      </c>
      <c r="R4146" s="7">
        <f t="shared" si="452"/>
        <v>2524.7742000000003</v>
      </c>
      <c r="S4146" s="7">
        <f t="shared" si="453"/>
        <v>841.59140000000014</v>
      </c>
      <c r="T4146" s="6">
        <f t="shared" si="454"/>
        <v>1.2096774193548387E-2</v>
      </c>
      <c r="V4146" t="s">
        <v>29</v>
      </c>
    </row>
    <row r="4147" spans="1:22">
      <c r="A4147" s="3">
        <v>45830</v>
      </c>
      <c r="B4147" t="str">
        <f t="shared" si="448"/>
        <v>yyyy-06</v>
      </c>
      <c r="C4147">
        <f t="shared" si="449"/>
        <v>25</v>
      </c>
      <c r="D4147" t="s">
        <v>53</v>
      </c>
      <c r="E4147" t="s">
        <v>59</v>
      </c>
      <c r="F4147" t="s">
        <v>60</v>
      </c>
      <c r="G4147" t="s">
        <v>27</v>
      </c>
      <c r="H4147" t="s">
        <v>28</v>
      </c>
      <c r="I4147" s="5">
        <v>206</v>
      </c>
      <c r="J4147" s="5">
        <v>148</v>
      </c>
      <c r="K4147" s="5">
        <v>17</v>
      </c>
      <c r="L4147" s="5">
        <v>2</v>
      </c>
      <c r="M4147" s="5">
        <v>2</v>
      </c>
      <c r="N4147" s="7">
        <v>677.02</v>
      </c>
      <c r="O4147" s="7">
        <f t="shared" si="450"/>
        <v>1354.04</v>
      </c>
      <c r="P4147" s="4">
        <v>0</v>
      </c>
      <c r="Q4147" s="7">
        <f t="shared" si="451"/>
        <v>0</v>
      </c>
      <c r="R4147" s="7">
        <f t="shared" si="452"/>
        <v>1354.04</v>
      </c>
      <c r="S4147" s="7">
        <f t="shared" si="453"/>
        <v>677.02</v>
      </c>
      <c r="T4147" s="6">
        <f t="shared" si="454"/>
        <v>9.7087378640776691E-3</v>
      </c>
      <c r="V4147" t="s">
        <v>29</v>
      </c>
    </row>
    <row r="4148" spans="1:22">
      <c r="A4148" s="3">
        <v>45830</v>
      </c>
      <c r="B4148" t="str">
        <f t="shared" si="448"/>
        <v>yyyy-06</v>
      </c>
      <c r="C4148">
        <f t="shared" si="449"/>
        <v>25</v>
      </c>
      <c r="D4148" t="s">
        <v>53</v>
      </c>
      <c r="E4148" t="s">
        <v>61</v>
      </c>
      <c r="F4148" t="s">
        <v>62</v>
      </c>
      <c r="G4148" t="s">
        <v>36</v>
      </c>
      <c r="H4148" t="s">
        <v>37</v>
      </c>
      <c r="I4148" s="5">
        <v>176</v>
      </c>
      <c r="J4148" s="5">
        <v>125</v>
      </c>
      <c r="K4148" s="5">
        <v>14</v>
      </c>
      <c r="L4148" s="5">
        <v>2</v>
      </c>
      <c r="M4148" s="5">
        <v>2</v>
      </c>
      <c r="N4148" s="7">
        <v>493.79</v>
      </c>
      <c r="O4148" s="7">
        <f t="shared" si="450"/>
        <v>987.58</v>
      </c>
      <c r="P4148" s="4">
        <v>0.03</v>
      </c>
      <c r="Q4148" s="7">
        <f t="shared" si="451"/>
        <v>29.627400000000002</v>
      </c>
      <c r="R4148" s="7">
        <f t="shared" si="452"/>
        <v>957.95260000000007</v>
      </c>
      <c r="S4148" s="7">
        <f t="shared" si="453"/>
        <v>478.97630000000004</v>
      </c>
      <c r="T4148" s="6">
        <f t="shared" si="454"/>
        <v>1.1363636363636364E-2</v>
      </c>
      <c r="V4148" t="s">
        <v>29</v>
      </c>
    </row>
    <row r="4149" spans="1:22">
      <c r="A4149" s="3">
        <v>45830</v>
      </c>
      <c r="B4149" t="str">
        <f t="shared" si="448"/>
        <v>yyyy-06</v>
      </c>
      <c r="C4149">
        <f t="shared" si="449"/>
        <v>25</v>
      </c>
      <c r="D4149" t="s">
        <v>53</v>
      </c>
      <c r="E4149" t="s">
        <v>64</v>
      </c>
      <c r="F4149" t="s">
        <v>65</v>
      </c>
      <c r="G4149" t="s">
        <v>36</v>
      </c>
      <c r="H4149" t="s">
        <v>37</v>
      </c>
      <c r="I4149" s="5">
        <v>290</v>
      </c>
      <c r="J4149" s="5">
        <v>181</v>
      </c>
      <c r="K4149" s="5">
        <v>19</v>
      </c>
      <c r="L4149" s="5">
        <v>3</v>
      </c>
      <c r="M4149" s="5">
        <v>3</v>
      </c>
      <c r="N4149" s="7">
        <v>792.23</v>
      </c>
      <c r="O4149" s="7">
        <f t="shared" si="450"/>
        <v>2376.69</v>
      </c>
      <c r="P4149" s="4">
        <v>0</v>
      </c>
      <c r="Q4149" s="7">
        <f t="shared" si="451"/>
        <v>0</v>
      </c>
      <c r="R4149" s="7">
        <f t="shared" si="452"/>
        <v>2376.69</v>
      </c>
      <c r="S4149" s="7">
        <f t="shared" si="453"/>
        <v>792.23</v>
      </c>
      <c r="T4149" s="6">
        <f t="shared" si="454"/>
        <v>1.0344827586206896E-2</v>
      </c>
      <c r="V4149" t="s">
        <v>29</v>
      </c>
    </row>
    <row r="4150" spans="1:22">
      <c r="A4150" s="3">
        <v>45830</v>
      </c>
      <c r="B4150" t="str">
        <f t="shared" si="448"/>
        <v>yyyy-06</v>
      </c>
      <c r="C4150">
        <f t="shared" si="449"/>
        <v>25</v>
      </c>
      <c r="D4150" t="s">
        <v>66</v>
      </c>
      <c r="E4150" t="s">
        <v>67</v>
      </c>
      <c r="F4150" t="s">
        <v>68</v>
      </c>
      <c r="G4150" t="s">
        <v>36</v>
      </c>
      <c r="H4150" t="s">
        <v>37</v>
      </c>
      <c r="I4150" s="5">
        <v>594</v>
      </c>
      <c r="J4150" s="5">
        <v>479</v>
      </c>
      <c r="K4150" s="5">
        <v>36</v>
      </c>
      <c r="L4150" s="5">
        <v>11</v>
      </c>
      <c r="M4150" s="5">
        <v>11</v>
      </c>
      <c r="N4150" s="7">
        <v>700.86</v>
      </c>
      <c r="O4150" s="7">
        <f t="shared" si="450"/>
        <v>7709.46</v>
      </c>
      <c r="P4150" s="4">
        <v>0</v>
      </c>
      <c r="Q4150" s="7">
        <f t="shared" si="451"/>
        <v>0</v>
      </c>
      <c r="R4150" s="7">
        <f t="shared" si="452"/>
        <v>7709.46</v>
      </c>
      <c r="S4150" s="7">
        <f t="shared" si="453"/>
        <v>700.86</v>
      </c>
      <c r="T4150" s="6">
        <f t="shared" si="454"/>
        <v>1.8518518518518517E-2</v>
      </c>
      <c r="V4150" t="s">
        <v>29</v>
      </c>
    </row>
    <row r="4151" spans="1:22">
      <c r="A4151" s="3">
        <v>45830</v>
      </c>
      <c r="B4151" t="str">
        <f t="shared" si="448"/>
        <v>yyyy-06</v>
      </c>
      <c r="C4151">
        <f t="shared" si="449"/>
        <v>25</v>
      </c>
      <c r="D4151" t="s">
        <v>66</v>
      </c>
      <c r="E4151" t="s">
        <v>67</v>
      </c>
      <c r="F4151" t="s">
        <v>69</v>
      </c>
      <c r="G4151" t="s">
        <v>31</v>
      </c>
      <c r="H4151" t="s">
        <v>32</v>
      </c>
      <c r="I4151" s="5">
        <v>442</v>
      </c>
      <c r="J4151" s="5">
        <v>296</v>
      </c>
      <c r="K4151" s="5">
        <v>46</v>
      </c>
      <c r="L4151" s="5">
        <v>10</v>
      </c>
      <c r="M4151" s="5">
        <v>10</v>
      </c>
      <c r="N4151" s="7">
        <v>401.8</v>
      </c>
      <c r="O4151" s="7">
        <f t="shared" si="450"/>
        <v>4018</v>
      </c>
      <c r="P4151" s="4">
        <v>0</v>
      </c>
      <c r="Q4151" s="7">
        <f t="shared" si="451"/>
        <v>0</v>
      </c>
      <c r="R4151" s="7">
        <f t="shared" si="452"/>
        <v>4018</v>
      </c>
      <c r="S4151" s="7">
        <f t="shared" si="453"/>
        <v>401.8</v>
      </c>
      <c r="T4151" s="6">
        <f t="shared" si="454"/>
        <v>2.2624434389140271E-2</v>
      </c>
      <c r="V4151" t="s">
        <v>29</v>
      </c>
    </row>
    <row r="4152" spans="1:22">
      <c r="A4152" s="3">
        <v>45830</v>
      </c>
      <c r="B4152" t="str">
        <f t="shared" si="448"/>
        <v>yyyy-06</v>
      </c>
      <c r="C4152">
        <f t="shared" si="449"/>
        <v>25</v>
      </c>
      <c r="D4152" t="s">
        <v>66</v>
      </c>
      <c r="E4152" t="s">
        <v>67</v>
      </c>
      <c r="F4152" t="s">
        <v>70</v>
      </c>
      <c r="G4152" t="s">
        <v>27</v>
      </c>
      <c r="H4152" t="s">
        <v>45</v>
      </c>
      <c r="I4152" s="5">
        <v>487</v>
      </c>
      <c r="J4152" s="5">
        <v>303</v>
      </c>
      <c r="K4152" s="5">
        <v>41</v>
      </c>
      <c r="L4152" s="5">
        <v>10</v>
      </c>
      <c r="M4152" s="5">
        <v>10</v>
      </c>
      <c r="N4152" s="7">
        <v>346.78</v>
      </c>
      <c r="O4152" s="7">
        <f t="shared" si="450"/>
        <v>3467.7999999999997</v>
      </c>
      <c r="P4152" s="4">
        <v>0.05</v>
      </c>
      <c r="Q4152" s="7">
        <f t="shared" si="451"/>
        <v>173.39</v>
      </c>
      <c r="R4152" s="7">
        <f t="shared" si="452"/>
        <v>3294.41</v>
      </c>
      <c r="S4152" s="7">
        <f t="shared" si="453"/>
        <v>329.44099999999997</v>
      </c>
      <c r="T4152" s="6">
        <f t="shared" si="454"/>
        <v>2.0533880903490759E-2</v>
      </c>
      <c r="V4152" t="s">
        <v>29</v>
      </c>
    </row>
    <row r="4153" spans="1:22">
      <c r="A4153" s="3">
        <v>45830</v>
      </c>
      <c r="B4153" t="str">
        <f t="shared" si="448"/>
        <v>yyyy-06</v>
      </c>
      <c r="C4153">
        <f t="shared" si="449"/>
        <v>25</v>
      </c>
      <c r="D4153" t="s">
        <v>66</v>
      </c>
      <c r="E4153" t="s">
        <v>71</v>
      </c>
      <c r="F4153" t="s">
        <v>72</v>
      </c>
      <c r="G4153" t="s">
        <v>36</v>
      </c>
      <c r="H4153" t="s">
        <v>37</v>
      </c>
      <c r="I4153" s="5">
        <v>414</v>
      </c>
      <c r="J4153" s="5">
        <v>222</v>
      </c>
      <c r="K4153" s="5">
        <v>29</v>
      </c>
      <c r="L4153" s="5">
        <v>7</v>
      </c>
      <c r="M4153" s="5">
        <v>8</v>
      </c>
      <c r="N4153" s="7">
        <v>128.4</v>
      </c>
      <c r="O4153" s="7">
        <f t="shared" si="450"/>
        <v>1027.2</v>
      </c>
      <c r="P4153" s="4">
        <v>0.03</v>
      </c>
      <c r="Q4153" s="7">
        <f t="shared" si="451"/>
        <v>30.815999999999999</v>
      </c>
      <c r="R4153" s="7">
        <f t="shared" si="452"/>
        <v>996.38400000000001</v>
      </c>
      <c r="S4153" s="7">
        <f t="shared" si="453"/>
        <v>142.34057142857142</v>
      </c>
      <c r="T4153" s="6">
        <f t="shared" si="454"/>
        <v>1.6908212560386472E-2</v>
      </c>
      <c r="V4153" t="s">
        <v>29</v>
      </c>
    </row>
    <row r="4154" spans="1:22">
      <c r="A4154" s="3">
        <v>45830</v>
      </c>
      <c r="B4154" t="str">
        <f t="shared" si="448"/>
        <v>yyyy-06</v>
      </c>
      <c r="C4154">
        <f t="shared" si="449"/>
        <v>25</v>
      </c>
      <c r="D4154" t="s">
        <v>66</v>
      </c>
      <c r="E4154" t="s">
        <v>73</v>
      </c>
      <c r="F4154" t="s">
        <v>74</v>
      </c>
      <c r="G4154" t="s">
        <v>27</v>
      </c>
      <c r="H4154" t="s">
        <v>28</v>
      </c>
      <c r="I4154" s="5">
        <v>332</v>
      </c>
      <c r="J4154" s="5">
        <v>238</v>
      </c>
      <c r="K4154" s="5">
        <v>25</v>
      </c>
      <c r="L4154" s="5">
        <v>5</v>
      </c>
      <c r="M4154" s="5">
        <v>5</v>
      </c>
      <c r="N4154" s="7">
        <v>1180.3399999999999</v>
      </c>
      <c r="O4154" s="7">
        <f t="shared" si="450"/>
        <v>5901.7</v>
      </c>
      <c r="P4154" s="4">
        <v>0</v>
      </c>
      <c r="Q4154" s="7">
        <f t="shared" si="451"/>
        <v>0</v>
      </c>
      <c r="R4154" s="7">
        <f t="shared" si="452"/>
        <v>5901.7</v>
      </c>
      <c r="S4154" s="7">
        <f t="shared" si="453"/>
        <v>1180.3399999999999</v>
      </c>
      <c r="T4154" s="6">
        <f t="shared" si="454"/>
        <v>1.5060240963855422E-2</v>
      </c>
      <c r="V4154" t="s">
        <v>29</v>
      </c>
    </row>
    <row r="4155" spans="1:22">
      <c r="A4155" s="3">
        <v>45830</v>
      </c>
      <c r="B4155" t="str">
        <f t="shared" si="448"/>
        <v>yyyy-06</v>
      </c>
      <c r="C4155">
        <f t="shared" si="449"/>
        <v>25</v>
      </c>
      <c r="D4155" t="s">
        <v>66</v>
      </c>
      <c r="E4155" t="s">
        <v>71</v>
      </c>
      <c r="F4155" t="s">
        <v>75</v>
      </c>
      <c r="G4155" t="s">
        <v>27</v>
      </c>
      <c r="H4155" t="s">
        <v>48</v>
      </c>
      <c r="I4155" s="5">
        <v>285</v>
      </c>
      <c r="J4155" s="5">
        <v>173</v>
      </c>
      <c r="K4155" s="5">
        <v>20</v>
      </c>
      <c r="L4155" s="5">
        <v>6</v>
      </c>
      <c r="M4155" s="5">
        <v>7</v>
      </c>
      <c r="N4155" s="7">
        <v>37.6</v>
      </c>
      <c r="O4155" s="7">
        <f t="shared" si="450"/>
        <v>263.2</v>
      </c>
      <c r="P4155" s="4">
        <v>0.05</v>
      </c>
      <c r="Q4155" s="7">
        <f t="shared" si="451"/>
        <v>13.16</v>
      </c>
      <c r="R4155" s="7">
        <f t="shared" si="452"/>
        <v>250.04</v>
      </c>
      <c r="S4155" s="7">
        <f t="shared" si="453"/>
        <v>41.673333333333332</v>
      </c>
      <c r="T4155" s="6">
        <f t="shared" si="454"/>
        <v>2.1052631578947368E-2</v>
      </c>
      <c r="V4155" t="s">
        <v>29</v>
      </c>
    </row>
    <row r="4156" spans="1:22">
      <c r="A4156" s="3">
        <v>45830</v>
      </c>
      <c r="B4156" t="str">
        <f t="shared" si="448"/>
        <v>yyyy-06</v>
      </c>
      <c r="C4156">
        <f t="shared" si="449"/>
        <v>25</v>
      </c>
      <c r="D4156" t="s">
        <v>24</v>
      </c>
      <c r="E4156" t="s">
        <v>76</v>
      </c>
      <c r="F4156" t="s">
        <v>77</v>
      </c>
      <c r="G4156" t="s">
        <v>27</v>
      </c>
      <c r="H4156" t="s">
        <v>63</v>
      </c>
      <c r="I4156" s="5">
        <v>428</v>
      </c>
      <c r="J4156" s="5">
        <v>280</v>
      </c>
      <c r="K4156" s="5">
        <v>42</v>
      </c>
      <c r="L4156" s="5">
        <v>10</v>
      </c>
      <c r="M4156" s="5">
        <v>11</v>
      </c>
      <c r="N4156" s="7">
        <v>197.9</v>
      </c>
      <c r="O4156" s="7">
        <f t="shared" si="450"/>
        <v>2176.9</v>
      </c>
      <c r="P4156" s="4">
        <v>0.03</v>
      </c>
      <c r="Q4156" s="7">
        <f t="shared" si="451"/>
        <v>65.307000000000002</v>
      </c>
      <c r="R4156" s="7">
        <f t="shared" si="452"/>
        <v>2111.5930000000003</v>
      </c>
      <c r="S4156" s="7">
        <f t="shared" si="453"/>
        <v>211.15930000000003</v>
      </c>
      <c r="T4156" s="6">
        <f t="shared" si="454"/>
        <v>2.336448598130841E-2</v>
      </c>
      <c r="V4156" t="s">
        <v>29</v>
      </c>
    </row>
    <row r="4157" spans="1:22">
      <c r="A4157" s="3">
        <v>45831</v>
      </c>
      <c r="B4157" t="str">
        <f t="shared" si="448"/>
        <v>yyyy-06</v>
      </c>
      <c r="C4157">
        <f t="shared" si="449"/>
        <v>26</v>
      </c>
      <c r="D4157" t="s">
        <v>24</v>
      </c>
      <c r="E4157" t="s">
        <v>25</v>
      </c>
      <c r="F4157" t="s">
        <v>26</v>
      </c>
      <c r="G4157" t="s">
        <v>27</v>
      </c>
      <c r="H4157" t="s">
        <v>28</v>
      </c>
      <c r="I4157" s="5">
        <v>1520</v>
      </c>
      <c r="J4157" s="5">
        <v>854</v>
      </c>
      <c r="K4157" s="5">
        <v>91</v>
      </c>
      <c r="L4157" s="5">
        <v>39</v>
      </c>
      <c r="M4157" s="5">
        <v>39</v>
      </c>
      <c r="N4157" s="7">
        <v>1003.89</v>
      </c>
      <c r="O4157" s="7">
        <f t="shared" si="450"/>
        <v>39151.71</v>
      </c>
      <c r="P4157" s="4">
        <v>0</v>
      </c>
      <c r="Q4157" s="7">
        <f t="shared" si="451"/>
        <v>0</v>
      </c>
      <c r="R4157" s="7">
        <f t="shared" si="452"/>
        <v>39151.71</v>
      </c>
      <c r="S4157" s="7">
        <f t="shared" si="453"/>
        <v>1003.89</v>
      </c>
      <c r="T4157" s="6">
        <f t="shared" si="454"/>
        <v>2.5657894736842105E-2</v>
      </c>
      <c r="V4157" t="s">
        <v>29</v>
      </c>
    </row>
    <row r="4158" spans="1:22">
      <c r="A4158" s="3">
        <v>45831</v>
      </c>
      <c r="B4158" t="str">
        <f t="shared" si="448"/>
        <v>yyyy-06</v>
      </c>
      <c r="C4158">
        <f t="shared" si="449"/>
        <v>26</v>
      </c>
      <c r="D4158" t="s">
        <v>24</v>
      </c>
      <c r="E4158" t="s">
        <v>25</v>
      </c>
      <c r="F4158" t="s">
        <v>30</v>
      </c>
      <c r="G4158" t="s">
        <v>31</v>
      </c>
      <c r="H4158" t="s">
        <v>32</v>
      </c>
      <c r="I4158" s="5">
        <v>2545</v>
      </c>
      <c r="J4158" s="5">
        <v>1820</v>
      </c>
      <c r="K4158" s="5">
        <v>117</v>
      </c>
      <c r="L4158" s="5">
        <v>41</v>
      </c>
      <c r="M4158" s="5">
        <v>41</v>
      </c>
      <c r="N4158" s="7">
        <v>394.71</v>
      </c>
      <c r="O4158" s="7">
        <f t="shared" si="450"/>
        <v>16183.109999999999</v>
      </c>
      <c r="P4158" s="4">
        <v>0.05</v>
      </c>
      <c r="Q4158" s="7">
        <f t="shared" si="451"/>
        <v>809.15549999999996</v>
      </c>
      <c r="R4158" s="7">
        <f t="shared" si="452"/>
        <v>15373.954499999998</v>
      </c>
      <c r="S4158" s="7">
        <f t="shared" si="453"/>
        <v>374.97449999999998</v>
      </c>
      <c r="T4158" s="6">
        <f t="shared" si="454"/>
        <v>1.6110019646365423E-2</v>
      </c>
      <c r="V4158" t="s">
        <v>29</v>
      </c>
    </row>
    <row r="4159" spans="1:22">
      <c r="A4159" s="3">
        <v>45831</v>
      </c>
      <c r="B4159" t="str">
        <f t="shared" si="448"/>
        <v>yyyy-06</v>
      </c>
      <c r="C4159">
        <f t="shared" si="449"/>
        <v>26</v>
      </c>
      <c r="D4159" t="s">
        <v>24</v>
      </c>
      <c r="E4159" t="s">
        <v>25</v>
      </c>
      <c r="F4159" t="s">
        <v>33</v>
      </c>
      <c r="G4159" t="s">
        <v>36</v>
      </c>
      <c r="H4159" t="s">
        <v>37</v>
      </c>
      <c r="I4159" s="5">
        <v>1403</v>
      </c>
      <c r="J4159" s="5">
        <v>894</v>
      </c>
      <c r="K4159" s="5">
        <v>104</v>
      </c>
      <c r="L4159" s="5">
        <v>34</v>
      </c>
      <c r="M4159" s="5">
        <v>34</v>
      </c>
      <c r="N4159" s="7">
        <v>1828.9</v>
      </c>
      <c r="O4159" s="7">
        <f t="shared" si="450"/>
        <v>62182.600000000006</v>
      </c>
      <c r="P4159" s="4">
        <v>0</v>
      </c>
      <c r="Q4159" s="7">
        <f t="shared" si="451"/>
        <v>0</v>
      </c>
      <c r="R4159" s="7">
        <f t="shared" si="452"/>
        <v>62182.600000000006</v>
      </c>
      <c r="S4159" s="7">
        <f t="shared" si="453"/>
        <v>1828.9</v>
      </c>
      <c r="T4159" s="6">
        <f t="shared" si="454"/>
        <v>2.4233784746970778E-2</v>
      </c>
      <c r="V4159" t="s">
        <v>29</v>
      </c>
    </row>
    <row r="4160" spans="1:22">
      <c r="A4160" s="3">
        <v>45831</v>
      </c>
      <c r="B4160" t="str">
        <f t="shared" si="448"/>
        <v>yyyy-06</v>
      </c>
      <c r="C4160">
        <f t="shared" si="449"/>
        <v>26</v>
      </c>
      <c r="D4160" t="s">
        <v>24</v>
      </c>
      <c r="E4160" t="s">
        <v>34</v>
      </c>
      <c r="F4160" t="s">
        <v>35</v>
      </c>
      <c r="G4160" t="s">
        <v>27</v>
      </c>
      <c r="H4160" t="s">
        <v>48</v>
      </c>
      <c r="I4160" s="5">
        <v>851</v>
      </c>
      <c r="J4160" s="5">
        <v>465</v>
      </c>
      <c r="K4160" s="5">
        <v>66</v>
      </c>
      <c r="L4160" s="5">
        <v>17</v>
      </c>
      <c r="M4160" s="5">
        <v>17</v>
      </c>
      <c r="N4160" s="7">
        <v>909.71</v>
      </c>
      <c r="O4160" s="7">
        <f t="shared" si="450"/>
        <v>15465.07</v>
      </c>
      <c r="P4160" s="4">
        <v>0.05</v>
      </c>
      <c r="Q4160" s="7">
        <f t="shared" si="451"/>
        <v>773.25350000000003</v>
      </c>
      <c r="R4160" s="7">
        <f t="shared" si="452"/>
        <v>14691.816499999999</v>
      </c>
      <c r="S4160" s="7">
        <f t="shared" si="453"/>
        <v>864.22449999999992</v>
      </c>
      <c r="T4160" s="6">
        <f t="shared" si="454"/>
        <v>1.9976498237367801E-2</v>
      </c>
      <c r="V4160" t="s">
        <v>29</v>
      </c>
    </row>
    <row r="4161" spans="1:22">
      <c r="A4161" s="3">
        <v>45831</v>
      </c>
      <c r="B4161" t="str">
        <f t="shared" si="448"/>
        <v>yyyy-06</v>
      </c>
      <c r="C4161">
        <f t="shared" si="449"/>
        <v>26</v>
      </c>
      <c r="D4161" t="s">
        <v>24</v>
      </c>
      <c r="E4161" t="s">
        <v>38</v>
      </c>
      <c r="F4161" t="s">
        <v>39</v>
      </c>
      <c r="G4161" t="s">
        <v>31</v>
      </c>
      <c r="H4161" t="s">
        <v>32</v>
      </c>
      <c r="I4161" s="5">
        <v>1079</v>
      </c>
      <c r="J4161" s="5">
        <v>571</v>
      </c>
      <c r="K4161" s="5">
        <v>63</v>
      </c>
      <c r="L4161" s="5">
        <v>25</v>
      </c>
      <c r="M4161" s="5">
        <v>25</v>
      </c>
      <c r="N4161" s="7">
        <v>329.02</v>
      </c>
      <c r="O4161" s="7">
        <f t="shared" si="450"/>
        <v>8225.5</v>
      </c>
      <c r="P4161" s="4">
        <v>0</v>
      </c>
      <c r="Q4161" s="7">
        <f t="shared" si="451"/>
        <v>0</v>
      </c>
      <c r="R4161" s="7">
        <f t="shared" si="452"/>
        <v>8225.5</v>
      </c>
      <c r="S4161" s="7">
        <f t="shared" si="453"/>
        <v>329.02</v>
      </c>
      <c r="T4161" s="6">
        <f t="shared" si="454"/>
        <v>2.3169601482854494E-2</v>
      </c>
      <c r="V4161" t="s">
        <v>29</v>
      </c>
    </row>
    <row r="4162" spans="1:22">
      <c r="A4162" s="3">
        <v>45831</v>
      </c>
      <c r="B4162" t="str">
        <f t="shared" si="448"/>
        <v>yyyy-06</v>
      </c>
      <c r="C4162">
        <f t="shared" si="449"/>
        <v>26</v>
      </c>
      <c r="D4162" t="s">
        <v>24</v>
      </c>
      <c r="E4162" t="s">
        <v>40</v>
      </c>
      <c r="F4162" t="s">
        <v>41</v>
      </c>
      <c r="G4162" t="s">
        <v>27</v>
      </c>
      <c r="H4162" t="s">
        <v>28</v>
      </c>
      <c r="I4162" s="5">
        <v>789</v>
      </c>
      <c r="J4162" s="5">
        <v>431</v>
      </c>
      <c r="K4162" s="5">
        <v>60</v>
      </c>
      <c r="L4162" s="5">
        <v>16</v>
      </c>
      <c r="M4162" s="5">
        <v>21</v>
      </c>
      <c r="N4162" s="7">
        <v>180.08</v>
      </c>
      <c r="O4162" s="7">
        <f t="shared" si="450"/>
        <v>3781.6800000000003</v>
      </c>
      <c r="P4162" s="4">
        <v>0</v>
      </c>
      <c r="Q4162" s="7">
        <f t="shared" si="451"/>
        <v>0</v>
      </c>
      <c r="R4162" s="7">
        <f t="shared" si="452"/>
        <v>3781.6800000000003</v>
      </c>
      <c r="S4162" s="7">
        <f t="shared" si="453"/>
        <v>236.35500000000002</v>
      </c>
      <c r="T4162" s="6">
        <f t="shared" si="454"/>
        <v>2.0278833967046894E-2</v>
      </c>
      <c r="V4162" t="s">
        <v>29</v>
      </c>
    </row>
    <row r="4163" spans="1:22">
      <c r="A4163" s="3">
        <v>45831</v>
      </c>
      <c r="B4163" t="str">
        <f t="shared" si="448"/>
        <v>yyyy-06</v>
      </c>
      <c r="C4163">
        <f t="shared" si="449"/>
        <v>26</v>
      </c>
      <c r="D4163" t="s">
        <v>42</v>
      </c>
      <c r="E4163" t="s">
        <v>43</v>
      </c>
      <c r="F4163" t="s">
        <v>44</v>
      </c>
      <c r="G4163" t="s">
        <v>27</v>
      </c>
      <c r="H4163" t="s">
        <v>45</v>
      </c>
      <c r="I4163" s="5">
        <v>407</v>
      </c>
      <c r="J4163" s="5">
        <v>310</v>
      </c>
      <c r="K4163" s="5">
        <v>25</v>
      </c>
      <c r="L4163" s="5">
        <v>7</v>
      </c>
      <c r="M4163" s="5">
        <v>7</v>
      </c>
      <c r="N4163" s="7">
        <v>1247.1600000000001</v>
      </c>
      <c r="O4163" s="7">
        <f t="shared" si="450"/>
        <v>8730.1200000000008</v>
      </c>
      <c r="P4163" s="4">
        <v>0.03</v>
      </c>
      <c r="Q4163" s="7">
        <f t="shared" si="451"/>
        <v>261.90360000000004</v>
      </c>
      <c r="R4163" s="7">
        <f t="shared" si="452"/>
        <v>8468.2164000000012</v>
      </c>
      <c r="S4163" s="7">
        <f t="shared" si="453"/>
        <v>1209.7452000000001</v>
      </c>
      <c r="T4163" s="6">
        <f t="shared" si="454"/>
        <v>1.7199017199017199E-2</v>
      </c>
      <c r="V4163" t="s">
        <v>29</v>
      </c>
    </row>
    <row r="4164" spans="1:22">
      <c r="A4164" s="3">
        <v>45831</v>
      </c>
      <c r="B4164" t="str">
        <f t="shared" si="448"/>
        <v>yyyy-06</v>
      </c>
      <c r="C4164">
        <f t="shared" si="449"/>
        <v>26</v>
      </c>
      <c r="D4164" t="s">
        <v>42</v>
      </c>
      <c r="E4164" t="s">
        <v>43</v>
      </c>
      <c r="F4164" t="s">
        <v>46</v>
      </c>
      <c r="G4164" t="s">
        <v>36</v>
      </c>
      <c r="H4164" t="s">
        <v>37</v>
      </c>
      <c r="I4164" s="5">
        <v>660</v>
      </c>
      <c r="J4164" s="5">
        <v>442</v>
      </c>
      <c r="K4164" s="5">
        <v>24</v>
      </c>
      <c r="L4164" s="5">
        <v>8</v>
      </c>
      <c r="M4164" s="5">
        <v>8</v>
      </c>
      <c r="N4164" s="7">
        <v>2224.2199999999998</v>
      </c>
      <c r="O4164" s="7">
        <f t="shared" si="450"/>
        <v>17793.759999999998</v>
      </c>
      <c r="P4164" s="4">
        <v>0</v>
      </c>
      <c r="Q4164" s="7">
        <f t="shared" si="451"/>
        <v>0</v>
      </c>
      <c r="R4164" s="7">
        <f t="shared" si="452"/>
        <v>17793.759999999998</v>
      </c>
      <c r="S4164" s="7">
        <f t="shared" si="453"/>
        <v>2224.2199999999998</v>
      </c>
      <c r="T4164" s="6">
        <f t="shared" si="454"/>
        <v>1.2121212121212121E-2</v>
      </c>
      <c r="V4164" t="s">
        <v>29</v>
      </c>
    </row>
    <row r="4165" spans="1:22">
      <c r="A4165" s="3">
        <v>45831</v>
      </c>
      <c r="B4165" t="str">
        <f t="shared" ref="B4165:B4228" si="455">TEXT(A4165,"yyyy-mm")</f>
        <v>yyyy-06</v>
      </c>
      <c r="C4165">
        <f t="shared" ref="C4165:C4228" si="456">WEEKNUM(A4165,2)</f>
        <v>26</v>
      </c>
      <c r="D4165" t="s">
        <v>42</v>
      </c>
      <c r="E4165" t="s">
        <v>43</v>
      </c>
      <c r="F4165" t="s">
        <v>47</v>
      </c>
      <c r="G4165" t="s">
        <v>27</v>
      </c>
      <c r="H4165" t="s">
        <v>48</v>
      </c>
      <c r="I4165" s="5">
        <v>423</v>
      </c>
      <c r="J4165" s="5">
        <v>271</v>
      </c>
      <c r="K4165" s="5">
        <v>24</v>
      </c>
      <c r="L4165" s="5">
        <v>6</v>
      </c>
      <c r="M4165" s="5">
        <v>6</v>
      </c>
      <c r="N4165" s="7">
        <v>604.37</v>
      </c>
      <c r="O4165" s="7">
        <f t="shared" ref="O4165:O4228" si="457">M4165*N4165</f>
        <v>3626.2200000000003</v>
      </c>
      <c r="P4165" s="4">
        <v>0</v>
      </c>
      <c r="Q4165" s="7">
        <f t="shared" ref="Q4165:Q4228" si="458">O4165*P4165</f>
        <v>0</v>
      </c>
      <c r="R4165" s="7">
        <f t="shared" ref="R4165:R4228" si="459">O4165-Q4165</f>
        <v>3626.2200000000003</v>
      </c>
      <c r="S4165" s="7">
        <f t="shared" ref="S4165:S4228" si="460">IFERROR(R4165/L4165,0)</f>
        <v>604.37</v>
      </c>
      <c r="T4165" s="6">
        <f t="shared" ref="T4165:T4228" si="461">IFERROR(L4165/I4165,0)</f>
        <v>1.4184397163120567E-2</v>
      </c>
      <c r="V4165" t="s">
        <v>29</v>
      </c>
    </row>
    <row r="4166" spans="1:22">
      <c r="A4166" s="3">
        <v>45831</v>
      </c>
      <c r="B4166" t="str">
        <f t="shared" si="455"/>
        <v>yyyy-06</v>
      </c>
      <c r="C4166">
        <f t="shared" si="456"/>
        <v>26</v>
      </c>
      <c r="D4166" t="s">
        <v>42</v>
      </c>
      <c r="E4166" t="s">
        <v>49</v>
      </c>
      <c r="F4166" t="s">
        <v>50</v>
      </c>
      <c r="G4166" t="s">
        <v>31</v>
      </c>
      <c r="H4166" t="s">
        <v>32</v>
      </c>
      <c r="I4166" s="5">
        <v>171</v>
      </c>
      <c r="J4166" s="5">
        <v>107</v>
      </c>
      <c r="K4166" s="5">
        <v>8</v>
      </c>
      <c r="L4166" s="5">
        <v>2</v>
      </c>
      <c r="M4166" s="5">
        <v>2</v>
      </c>
      <c r="N4166" s="7">
        <v>978.93</v>
      </c>
      <c r="O4166" s="7">
        <f t="shared" si="457"/>
        <v>1957.86</v>
      </c>
      <c r="P4166" s="4">
        <v>0</v>
      </c>
      <c r="Q4166" s="7">
        <f t="shared" si="458"/>
        <v>0</v>
      </c>
      <c r="R4166" s="7">
        <f t="shared" si="459"/>
        <v>1957.86</v>
      </c>
      <c r="S4166" s="7">
        <f t="shared" si="460"/>
        <v>978.93</v>
      </c>
      <c r="T4166" s="6">
        <f t="shared" si="461"/>
        <v>1.1695906432748537E-2</v>
      </c>
      <c r="V4166" t="s">
        <v>29</v>
      </c>
    </row>
    <row r="4167" spans="1:22">
      <c r="A4167" s="3">
        <v>45831</v>
      </c>
      <c r="B4167" t="str">
        <f t="shared" si="455"/>
        <v>yyyy-06</v>
      </c>
      <c r="C4167">
        <f t="shared" si="456"/>
        <v>26</v>
      </c>
      <c r="D4167" t="s">
        <v>42</v>
      </c>
      <c r="E4167" t="s">
        <v>51</v>
      </c>
      <c r="F4167" t="s">
        <v>52</v>
      </c>
      <c r="G4167" t="s">
        <v>31</v>
      </c>
      <c r="H4167" t="s">
        <v>32</v>
      </c>
      <c r="I4167" s="5">
        <v>361</v>
      </c>
      <c r="J4167" s="5">
        <v>214</v>
      </c>
      <c r="K4167" s="5">
        <v>15</v>
      </c>
      <c r="L4167" s="5">
        <v>4</v>
      </c>
      <c r="M4167" s="5">
        <v>4</v>
      </c>
      <c r="N4167" s="7">
        <v>591.12</v>
      </c>
      <c r="O4167" s="7">
        <f t="shared" si="457"/>
        <v>2364.48</v>
      </c>
      <c r="P4167" s="4">
        <v>0</v>
      </c>
      <c r="Q4167" s="7">
        <f t="shared" si="458"/>
        <v>0</v>
      </c>
      <c r="R4167" s="7">
        <f t="shared" si="459"/>
        <v>2364.48</v>
      </c>
      <c r="S4167" s="7">
        <f t="shared" si="460"/>
        <v>591.12</v>
      </c>
      <c r="T4167" s="6">
        <f t="shared" si="461"/>
        <v>1.1080332409972299E-2</v>
      </c>
      <c r="V4167" t="s">
        <v>29</v>
      </c>
    </row>
    <row r="4168" spans="1:22">
      <c r="A4168" s="3">
        <v>45831</v>
      </c>
      <c r="B4168" t="str">
        <f t="shared" si="455"/>
        <v>yyyy-06</v>
      </c>
      <c r="C4168">
        <f t="shared" si="456"/>
        <v>26</v>
      </c>
      <c r="D4168" t="s">
        <v>53</v>
      </c>
      <c r="E4168" t="s">
        <v>54</v>
      </c>
      <c r="F4168" t="s">
        <v>55</v>
      </c>
      <c r="G4168" t="s">
        <v>27</v>
      </c>
      <c r="H4168" t="s">
        <v>28</v>
      </c>
      <c r="I4168" s="5">
        <v>257</v>
      </c>
      <c r="J4168" s="5">
        <v>205</v>
      </c>
      <c r="K4168" s="5">
        <v>21</v>
      </c>
      <c r="L4168" s="5">
        <v>3</v>
      </c>
      <c r="M4168" s="5">
        <v>3</v>
      </c>
      <c r="N4168" s="7">
        <v>1306.98</v>
      </c>
      <c r="O4168" s="7">
        <f t="shared" si="457"/>
        <v>3920.94</v>
      </c>
      <c r="P4168" s="4">
        <v>0</v>
      </c>
      <c r="Q4168" s="7">
        <f t="shared" si="458"/>
        <v>0</v>
      </c>
      <c r="R4168" s="7">
        <f t="shared" si="459"/>
        <v>3920.94</v>
      </c>
      <c r="S4168" s="7">
        <f t="shared" si="460"/>
        <v>1306.98</v>
      </c>
      <c r="T4168" s="6">
        <f t="shared" si="461"/>
        <v>1.1673151750972763E-2</v>
      </c>
      <c r="V4168" t="s">
        <v>29</v>
      </c>
    </row>
    <row r="4169" spans="1:22">
      <c r="A4169" s="3">
        <v>45831</v>
      </c>
      <c r="B4169" t="str">
        <f t="shared" si="455"/>
        <v>yyyy-06</v>
      </c>
      <c r="C4169">
        <f t="shared" si="456"/>
        <v>26</v>
      </c>
      <c r="D4169" t="s">
        <v>53</v>
      </c>
      <c r="E4169" t="s">
        <v>56</v>
      </c>
      <c r="F4169" t="s">
        <v>57</v>
      </c>
      <c r="G4169" t="s">
        <v>27</v>
      </c>
      <c r="H4169" t="s">
        <v>28</v>
      </c>
      <c r="I4169" s="5">
        <v>241</v>
      </c>
      <c r="J4169" s="5">
        <v>147</v>
      </c>
      <c r="K4169" s="5">
        <v>10</v>
      </c>
      <c r="L4169" s="5">
        <v>3</v>
      </c>
      <c r="M4169" s="5">
        <v>3</v>
      </c>
      <c r="N4169" s="7">
        <v>719.09</v>
      </c>
      <c r="O4169" s="7">
        <f t="shared" si="457"/>
        <v>2157.27</v>
      </c>
      <c r="P4169" s="4">
        <v>0</v>
      </c>
      <c r="Q4169" s="7">
        <f t="shared" si="458"/>
        <v>0</v>
      </c>
      <c r="R4169" s="7">
        <f t="shared" si="459"/>
        <v>2157.27</v>
      </c>
      <c r="S4169" s="7">
        <f t="shared" si="460"/>
        <v>719.09</v>
      </c>
      <c r="T4169" s="6">
        <f t="shared" si="461"/>
        <v>1.2448132780082987E-2</v>
      </c>
      <c r="V4169" t="s">
        <v>29</v>
      </c>
    </row>
    <row r="4170" spans="1:22">
      <c r="A4170" s="3">
        <v>45831</v>
      </c>
      <c r="B4170" t="str">
        <f t="shared" si="455"/>
        <v>yyyy-06</v>
      </c>
      <c r="C4170">
        <f t="shared" si="456"/>
        <v>26</v>
      </c>
      <c r="D4170" t="s">
        <v>53</v>
      </c>
      <c r="E4170" t="s">
        <v>56</v>
      </c>
      <c r="F4170" t="s">
        <v>58</v>
      </c>
      <c r="G4170" t="s">
        <v>27</v>
      </c>
      <c r="H4170" t="s">
        <v>48</v>
      </c>
      <c r="I4170" s="5">
        <v>195</v>
      </c>
      <c r="J4170" s="5">
        <v>142</v>
      </c>
      <c r="K4170" s="5">
        <v>17</v>
      </c>
      <c r="L4170" s="5">
        <v>2</v>
      </c>
      <c r="M4170" s="5">
        <v>2</v>
      </c>
      <c r="N4170" s="7">
        <v>885.31</v>
      </c>
      <c r="O4170" s="7">
        <f t="shared" si="457"/>
        <v>1770.62</v>
      </c>
      <c r="P4170" s="4">
        <v>0</v>
      </c>
      <c r="Q4170" s="7">
        <f t="shared" si="458"/>
        <v>0</v>
      </c>
      <c r="R4170" s="7">
        <f t="shared" si="459"/>
        <v>1770.62</v>
      </c>
      <c r="S4170" s="7">
        <f t="shared" si="460"/>
        <v>885.31</v>
      </c>
      <c r="T4170" s="6">
        <f t="shared" si="461"/>
        <v>1.0256410256410256E-2</v>
      </c>
      <c r="V4170" t="s">
        <v>29</v>
      </c>
    </row>
    <row r="4171" spans="1:22">
      <c r="A4171" s="3">
        <v>45831</v>
      </c>
      <c r="B4171" t="str">
        <f t="shared" si="455"/>
        <v>yyyy-06</v>
      </c>
      <c r="C4171">
        <f t="shared" si="456"/>
        <v>26</v>
      </c>
      <c r="D4171" t="s">
        <v>53</v>
      </c>
      <c r="E4171" t="s">
        <v>59</v>
      </c>
      <c r="F4171" t="s">
        <v>60</v>
      </c>
      <c r="G4171" t="s">
        <v>27</v>
      </c>
      <c r="H4171" t="s">
        <v>63</v>
      </c>
      <c r="I4171" s="5">
        <v>109</v>
      </c>
      <c r="J4171" s="5">
        <v>70</v>
      </c>
      <c r="K4171" s="5">
        <v>6</v>
      </c>
      <c r="L4171" s="5">
        <v>1</v>
      </c>
      <c r="M4171" s="5">
        <v>1</v>
      </c>
      <c r="N4171" s="7">
        <v>691.91</v>
      </c>
      <c r="O4171" s="7">
        <f t="shared" si="457"/>
        <v>691.91</v>
      </c>
      <c r="P4171" s="4">
        <v>0.03</v>
      </c>
      <c r="Q4171" s="7">
        <f t="shared" si="458"/>
        <v>20.757299999999997</v>
      </c>
      <c r="R4171" s="7">
        <f t="shared" si="459"/>
        <v>671.15269999999998</v>
      </c>
      <c r="S4171" s="7">
        <f t="shared" si="460"/>
        <v>671.15269999999998</v>
      </c>
      <c r="T4171" s="6">
        <f t="shared" si="461"/>
        <v>9.1743119266055051E-3</v>
      </c>
      <c r="V4171" t="s">
        <v>29</v>
      </c>
    </row>
    <row r="4172" spans="1:22">
      <c r="A4172" s="3">
        <v>45831</v>
      </c>
      <c r="B4172" t="str">
        <f t="shared" si="455"/>
        <v>yyyy-06</v>
      </c>
      <c r="C4172">
        <f t="shared" si="456"/>
        <v>26</v>
      </c>
      <c r="D4172" t="s">
        <v>53</v>
      </c>
      <c r="E4172" t="s">
        <v>61</v>
      </c>
      <c r="F4172" t="s">
        <v>62</v>
      </c>
      <c r="G4172" t="s">
        <v>27</v>
      </c>
      <c r="H4172" t="s">
        <v>45</v>
      </c>
      <c r="I4172" s="5">
        <v>174</v>
      </c>
      <c r="J4172" s="5">
        <v>136</v>
      </c>
      <c r="K4172" s="5">
        <v>7</v>
      </c>
      <c r="L4172" s="5">
        <v>2</v>
      </c>
      <c r="M4172" s="5">
        <v>2</v>
      </c>
      <c r="N4172" s="7">
        <v>507.06</v>
      </c>
      <c r="O4172" s="7">
        <f t="shared" si="457"/>
        <v>1014.12</v>
      </c>
      <c r="P4172" s="4">
        <v>0</v>
      </c>
      <c r="Q4172" s="7">
        <f t="shared" si="458"/>
        <v>0</v>
      </c>
      <c r="R4172" s="7">
        <f t="shared" si="459"/>
        <v>1014.12</v>
      </c>
      <c r="S4172" s="7">
        <f t="shared" si="460"/>
        <v>507.06</v>
      </c>
      <c r="T4172" s="6">
        <f t="shared" si="461"/>
        <v>1.1494252873563218E-2</v>
      </c>
      <c r="V4172" t="s">
        <v>29</v>
      </c>
    </row>
    <row r="4173" spans="1:22">
      <c r="A4173" s="3">
        <v>45831</v>
      </c>
      <c r="B4173" t="str">
        <f t="shared" si="455"/>
        <v>yyyy-06</v>
      </c>
      <c r="C4173">
        <f t="shared" si="456"/>
        <v>26</v>
      </c>
      <c r="D4173" t="s">
        <v>53</v>
      </c>
      <c r="E4173" t="s">
        <v>64</v>
      </c>
      <c r="F4173" t="s">
        <v>65</v>
      </c>
      <c r="G4173" t="s">
        <v>36</v>
      </c>
      <c r="H4173" t="s">
        <v>37</v>
      </c>
      <c r="I4173" s="5">
        <v>209</v>
      </c>
      <c r="J4173" s="5">
        <v>124</v>
      </c>
      <c r="K4173" s="5">
        <v>6</v>
      </c>
      <c r="L4173" s="5">
        <v>3</v>
      </c>
      <c r="M4173" s="5">
        <v>3</v>
      </c>
      <c r="N4173" s="7">
        <v>803.34</v>
      </c>
      <c r="O4173" s="7">
        <f t="shared" si="457"/>
        <v>2410.02</v>
      </c>
      <c r="P4173" s="4">
        <v>0</v>
      </c>
      <c r="Q4173" s="7">
        <f t="shared" si="458"/>
        <v>0</v>
      </c>
      <c r="R4173" s="7">
        <f t="shared" si="459"/>
        <v>2410.02</v>
      </c>
      <c r="S4173" s="7">
        <f t="shared" si="460"/>
        <v>803.34</v>
      </c>
      <c r="T4173" s="6">
        <f t="shared" si="461"/>
        <v>1.4354066985645933E-2</v>
      </c>
      <c r="V4173" t="s">
        <v>29</v>
      </c>
    </row>
    <row r="4174" spans="1:22">
      <c r="A4174" s="3">
        <v>45831</v>
      </c>
      <c r="B4174" t="str">
        <f t="shared" si="455"/>
        <v>yyyy-06</v>
      </c>
      <c r="C4174">
        <f t="shared" si="456"/>
        <v>26</v>
      </c>
      <c r="D4174" t="s">
        <v>66</v>
      </c>
      <c r="E4174" t="s">
        <v>67</v>
      </c>
      <c r="F4174" t="s">
        <v>68</v>
      </c>
      <c r="G4174" t="s">
        <v>36</v>
      </c>
      <c r="H4174" t="s">
        <v>37</v>
      </c>
      <c r="I4174" s="5">
        <v>502</v>
      </c>
      <c r="J4174" s="5">
        <v>283</v>
      </c>
      <c r="K4174" s="5">
        <v>32</v>
      </c>
      <c r="L4174" s="5">
        <v>9</v>
      </c>
      <c r="M4174" s="5">
        <v>9</v>
      </c>
      <c r="N4174" s="7">
        <v>708.34</v>
      </c>
      <c r="O4174" s="7">
        <f t="shared" si="457"/>
        <v>6375.06</v>
      </c>
      <c r="P4174" s="4">
        <v>0.03</v>
      </c>
      <c r="Q4174" s="7">
        <f t="shared" si="458"/>
        <v>191.2518</v>
      </c>
      <c r="R4174" s="7">
        <f t="shared" si="459"/>
        <v>6183.8082000000004</v>
      </c>
      <c r="S4174" s="7">
        <f t="shared" si="460"/>
        <v>687.08980000000008</v>
      </c>
      <c r="T4174" s="6">
        <f t="shared" si="461"/>
        <v>1.7928286852589643E-2</v>
      </c>
      <c r="V4174" t="s">
        <v>29</v>
      </c>
    </row>
    <row r="4175" spans="1:22">
      <c r="A4175" s="3">
        <v>45831</v>
      </c>
      <c r="B4175" t="str">
        <f t="shared" si="455"/>
        <v>yyyy-06</v>
      </c>
      <c r="C4175">
        <f t="shared" si="456"/>
        <v>26</v>
      </c>
      <c r="D4175" t="s">
        <v>66</v>
      </c>
      <c r="E4175" t="s">
        <v>67</v>
      </c>
      <c r="F4175" t="s">
        <v>69</v>
      </c>
      <c r="G4175" t="s">
        <v>27</v>
      </c>
      <c r="H4175" t="s">
        <v>28</v>
      </c>
      <c r="I4175" s="5">
        <v>337</v>
      </c>
      <c r="J4175" s="5">
        <v>185</v>
      </c>
      <c r="K4175" s="5">
        <v>17</v>
      </c>
      <c r="L4175" s="5">
        <v>5</v>
      </c>
      <c r="M4175" s="5">
        <v>5</v>
      </c>
      <c r="N4175" s="7">
        <v>388.4</v>
      </c>
      <c r="O4175" s="7">
        <f t="shared" si="457"/>
        <v>1942</v>
      </c>
      <c r="P4175" s="4">
        <v>0</v>
      </c>
      <c r="Q4175" s="7">
        <f t="shared" si="458"/>
        <v>0</v>
      </c>
      <c r="R4175" s="7">
        <f t="shared" si="459"/>
        <v>1942</v>
      </c>
      <c r="S4175" s="7">
        <f t="shared" si="460"/>
        <v>388.4</v>
      </c>
      <c r="T4175" s="6">
        <f t="shared" si="461"/>
        <v>1.483679525222552E-2</v>
      </c>
      <c r="V4175" t="s">
        <v>29</v>
      </c>
    </row>
    <row r="4176" spans="1:22">
      <c r="A4176" s="3">
        <v>45831</v>
      </c>
      <c r="B4176" t="str">
        <f t="shared" si="455"/>
        <v>yyyy-06</v>
      </c>
      <c r="C4176">
        <f t="shared" si="456"/>
        <v>26</v>
      </c>
      <c r="D4176" t="s">
        <v>66</v>
      </c>
      <c r="E4176" t="s">
        <v>67</v>
      </c>
      <c r="F4176" t="s">
        <v>70</v>
      </c>
      <c r="G4176" t="s">
        <v>27</v>
      </c>
      <c r="H4176" t="s">
        <v>28</v>
      </c>
      <c r="I4176" s="5">
        <v>429</v>
      </c>
      <c r="J4176" s="5">
        <v>258</v>
      </c>
      <c r="K4176" s="5">
        <v>38</v>
      </c>
      <c r="L4176" s="5">
        <v>9</v>
      </c>
      <c r="M4176" s="5">
        <v>9</v>
      </c>
      <c r="N4176" s="7">
        <v>336.55</v>
      </c>
      <c r="O4176" s="7">
        <f t="shared" si="457"/>
        <v>3028.9500000000003</v>
      </c>
      <c r="P4176" s="4">
        <v>0</v>
      </c>
      <c r="Q4176" s="7">
        <f t="shared" si="458"/>
        <v>0</v>
      </c>
      <c r="R4176" s="7">
        <f t="shared" si="459"/>
        <v>3028.9500000000003</v>
      </c>
      <c r="S4176" s="7">
        <f t="shared" si="460"/>
        <v>336.55</v>
      </c>
      <c r="T4176" s="6">
        <f t="shared" si="461"/>
        <v>2.097902097902098E-2</v>
      </c>
      <c r="V4176" t="s">
        <v>29</v>
      </c>
    </row>
    <row r="4177" spans="1:22">
      <c r="A4177" s="3">
        <v>45831</v>
      </c>
      <c r="B4177" t="str">
        <f t="shared" si="455"/>
        <v>yyyy-06</v>
      </c>
      <c r="C4177">
        <f t="shared" si="456"/>
        <v>26</v>
      </c>
      <c r="D4177" t="s">
        <v>66</v>
      </c>
      <c r="E4177" t="s">
        <v>71</v>
      </c>
      <c r="F4177" t="s">
        <v>72</v>
      </c>
      <c r="G4177" t="s">
        <v>27</v>
      </c>
      <c r="H4177" t="s">
        <v>45</v>
      </c>
      <c r="I4177" s="5">
        <v>308</v>
      </c>
      <c r="J4177" s="5">
        <v>179</v>
      </c>
      <c r="K4177" s="5">
        <v>24</v>
      </c>
      <c r="L4177" s="5">
        <v>5</v>
      </c>
      <c r="M4177" s="5">
        <v>6</v>
      </c>
      <c r="N4177" s="7">
        <v>125.2</v>
      </c>
      <c r="O4177" s="7">
        <f t="shared" si="457"/>
        <v>751.2</v>
      </c>
      <c r="P4177" s="4">
        <v>0</v>
      </c>
      <c r="Q4177" s="7">
        <f t="shared" si="458"/>
        <v>0</v>
      </c>
      <c r="R4177" s="7">
        <f t="shared" si="459"/>
        <v>751.2</v>
      </c>
      <c r="S4177" s="7">
        <f t="shared" si="460"/>
        <v>150.24</v>
      </c>
      <c r="T4177" s="6">
        <f t="shared" si="461"/>
        <v>1.6233766233766232E-2</v>
      </c>
      <c r="V4177" t="s">
        <v>29</v>
      </c>
    </row>
    <row r="4178" spans="1:22">
      <c r="A4178" s="3">
        <v>45831</v>
      </c>
      <c r="B4178" t="str">
        <f t="shared" si="455"/>
        <v>yyyy-06</v>
      </c>
      <c r="C4178">
        <f t="shared" si="456"/>
        <v>26</v>
      </c>
      <c r="D4178" t="s">
        <v>66</v>
      </c>
      <c r="E4178" t="s">
        <v>73</v>
      </c>
      <c r="F4178" t="s">
        <v>74</v>
      </c>
      <c r="G4178" t="s">
        <v>27</v>
      </c>
      <c r="H4178" t="s">
        <v>63</v>
      </c>
      <c r="I4178" s="5">
        <v>129</v>
      </c>
      <c r="J4178" s="5">
        <v>94</v>
      </c>
      <c r="K4178" s="5">
        <v>9</v>
      </c>
      <c r="L4178" s="5">
        <v>2</v>
      </c>
      <c r="M4178" s="5">
        <v>2</v>
      </c>
      <c r="N4178" s="7">
        <v>1192.99</v>
      </c>
      <c r="O4178" s="7">
        <f t="shared" si="457"/>
        <v>2385.98</v>
      </c>
      <c r="P4178" s="4">
        <v>0</v>
      </c>
      <c r="Q4178" s="7">
        <f t="shared" si="458"/>
        <v>0</v>
      </c>
      <c r="R4178" s="7">
        <f t="shared" si="459"/>
        <v>2385.98</v>
      </c>
      <c r="S4178" s="7">
        <f t="shared" si="460"/>
        <v>1192.99</v>
      </c>
      <c r="T4178" s="6">
        <f t="shared" si="461"/>
        <v>1.5503875968992248E-2</v>
      </c>
      <c r="V4178" t="s">
        <v>29</v>
      </c>
    </row>
    <row r="4179" spans="1:22">
      <c r="A4179" s="3">
        <v>45831</v>
      </c>
      <c r="B4179" t="str">
        <f t="shared" si="455"/>
        <v>yyyy-06</v>
      </c>
      <c r="C4179">
        <f t="shared" si="456"/>
        <v>26</v>
      </c>
      <c r="D4179" t="s">
        <v>66</v>
      </c>
      <c r="E4179" t="s">
        <v>71</v>
      </c>
      <c r="F4179" t="s">
        <v>75</v>
      </c>
      <c r="G4179" t="s">
        <v>31</v>
      </c>
      <c r="H4179" t="s">
        <v>32</v>
      </c>
      <c r="I4179" s="5">
        <v>281</v>
      </c>
      <c r="J4179" s="5">
        <v>165</v>
      </c>
      <c r="K4179" s="5">
        <v>16</v>
      </c>
      <c r="L4179" s="5">
        <v>4</v>
      </c>
      <c r="M4179" s="5">
        <v>4</v>
      </c>
      <c r="N4179" s="7">
        <v>39.61</v>
      </c>
      <c r="O4179" s="7">
        <f t="shared" si="457"/>
        <v>158.44</v>
      </c>
      <c r="P4179" s="4">
        <v>0.03</v>
      </c>
      <c r="Q4179" s="7">
        <f t="shared" si="458"/>
        <v>4.7531999999999996</v>
      </c>
      <c r="R4179" s="7">
        <f t="shared" si="459"/>
        <v>153.68680000000001</v>
      </c>
      <c r="S4179" s="7">
        <f t="shared" si="460"/>
        <v>38.421700000000001</v>
      </c>
      <c r="T4179" s="6">
        <f t="shared" si="461"/>
        <v>1.4234875444839857E-2</v>
      </c>
      <c r="V4179" t="s">
        <v>29</v>
      </c>
    </row>
    <row r="4180" spans="1:22">
      <c r="A4180" s="3">
        <v>45831</v>
      </c>
      <c r="B4180" t="str">
        <f t="shared" si="455"/>
        <v>yyyy-06</v>
      </c>
      <c r="C4180">
        <f t="shared" si="456"/>
        <v>26</v>
      </c>
      <c r="D4180" t="s">
        <v>24</v>
      </c>
      <c r="E4180" t="s">
        <v>76</v>
      </c>
      <c r="F4180" t="s">
        <v>77</v>
      </c>
      <c r="G4180" t="s">
        <v>27</v>
      </c>
      <c r="H4180" t="s">
        <v>45</v>
      </c>
      <c r="I4180" s="5">
        <v>742</v>
      </c>
      <c r="J4180" s="5">
        <v>403</v>
      </c>
      <c r="K4180" s="5">
        <v>43</v>
      </c>
      <c r="L4180" s="5">
        <v>13</v>
      </c>
      <c r="M4180" s="5">
        <v>17</v>
      </c>
      <c r="N4180" s="7">
        <v>202.5</v>
      </c>
      <c r="O4180" s="7">
        <f t="shared" si="457"/>
        <v>3442.5</v>
      </c>
      <c r="P4180" s="4">
        <v>0</v>
      </c>
      <c r="Q4180" s="7">
        <f t="shared" si="458"/>
        <v>0</v>
      </c>
      <c r="R4180" s="7">
        <f t="shared" si="459"/>
        <v>3442.5</v>
      </c>
      <c r="S4180" s="7">
        <f t="shared" si="460"/>
        <v>264.80769230769232</v>
      </c>
      <c r="T4180" s="6">
        <f t="shared" si="461"/>
        <v>1.7520215633423181E-2</v>
      </c>
      <c r="V4180" t="s">
        <v>29</v>
      </c>
    </row>
    <row r="4181" spans="1:22">
      <c r="A4181" s="3">
        <v>45832</v>
      </c>
      <c r="B4181" t="str">
        <f t="shared" si="455"/>
        <v>yyyy-06</v>
      </c>
      <c r="C4181">
        <f t="shared" si="456"/>
        <v>26</v>
      </c>
      <c r="D4181" t="s">
        <v>24</v>
      </c>
      <c r="E4181" t="s">
        <v>25</v>
      </c>
      <c r="F4181" t="s">
        <v>26</v>
      </c>
      <c r="G4181" t="s">
        <v>27</v>
      </c>
      <c r="H4181" t="s">
        <v>45</v>
      </c>
      <c r="I4181" s="5">
        <v>1409</v>
      </c>
      <c r="J4181" s="5">
        <v>779</v>
      </c>
      <c r="K4181" s="5">
        <v>79</v>
      </c>
      <c r="L4181" s="5">
        <v>18</v>
      </c>
      <c r="M4181" s="5">
        <v>18</v>
      </c>
      <c r="N4181" s="7">
        <v>1012.51</v>
      </c>
      <c r="O4181" s="7">
        <f t="shared" si="457"/>
        <v>18225.18</v>
      </c>
      <c r="P4181" s="4">
        <v>0.05</v>
      </c>
      <c r="Q4181" s="7">
        <f t="shared" si="458"/>
        <v>911.25900000000001</v>
      </c>
      <c r="R4181" s="7">
        <f t="shared" si="459"/>
        <v>17313.921000000002</v>
      </c>
      <c r="S4181" s="7">
        <f t="shared" si="460"/>
        <v>961.88450000000012</v>
      </c>
      <c r="T4181" s="6">
        <f t="shared" si="461"/>
        <v>1.2775017743080199E-2</v>
      </c>
      <c r="V4181" t="s">
        <v>78</v>
      </c>
    </row>
    <row r="4182" spans="1:22">
      <c r="A4182" s="3">
        <v>45832</v>
      </c>
      <c r="B4182" t="str">
        <f t="shared" si="455"/>
        <v>yyyy-06</v>
      </c>
      <c r="C4182">
        <f t="shared" si="456"/>
        <v>26</v>
      </c>
      <c r="D4182" t="s">
        <v>24</v>
      </c>
      <c r="E4182" t="s">
        <v>25</v>
      </c>
      <c r="F4182" t="s">
        <v>30</v>
      </c>
      <c r="G4182" t="s">
        <v>31</v>
      </c>
      <c r="H4182" t="s">
        <v>32</v>
      </c>
      <c r="I4182" s="5">
        <v>2711</v>
      </c>
      <c r="J4182" s="5">
        <v>2038</v>
      </c>
      <c r="K4182" s="5">
        <v>273</v>
      </c>
      <c r="L4182" s="5">
        <v>70</v>
      </c>
      <c r="M4182" s="5">
        <v>70</v>
      </c>
      <c r="N4182" s="7">
        <v>391.78</v>
      </c>
      <c r="O4182" s="7">
        <f t="shared" si="457"/>
        <v>27424.6</v>
      </c>
      <c r="P4182" s="4">
        <v>0.05</v>
      </c>
      <c r="Q4182" s="7">
        <f t="shared" si="458"/>
        <v>1371.23</v>
      </c>
      <c r="R4182" s="7">
        <f t="shared" si="459"/>
        <v>26053.37</v>
      </c>
      <c r="S4182" s="7">
        <f t="shared" si="460"/>
        <v>372.19099999999997</v>
      </c>
      <c r="T4182" s="6">
        <f t="shared" si="461"/>
        <v>2.5820730357801549E-2</v>
      </c>
      <c r="V4182" t="s">
        <v>29</v>
      </c>
    </row>
    <row r="4183" spans="1:22">
      <c r="A4183" s="3">
        <v>45832</v>
      </c>
      <c r="B4183" t="str">
        <f t="shared" si="455"/>
        <v>yyyy-06</v>
      </c>
      <c r="C4183">
        <f t="shared" si="456"/>
        <v>26</v>
      </c>
      <c r="D4183" t="s">
        <v>24</v>
      </c>
      <c r="E4183" t="s">
        <v>25</v>
      </c>
      <c r="F4183" t="s">
        <v>33</v>
      </c>
      <c r="G4183" t="s">
        <v>31</v>
      </c>
      <c r="H4183" t="s">
        <v>32</v>
      </c>
      <c r="I4183" s="5">
        <v>2106</v>
      </c>
      <c r="J4183" s="5">
        <v>1474</v>
      </c>
      <c r="K4183" s="5">
        <v>146</v>
      </c>
      <c r="L4183" s="5">
        <v>44</v>
      </c>
      <c r="M4183" s="5">
        <v>44</v>
      </c>
      <c r="N4183" s="7">
        <v>1733.64</v>
      </c>
      <c r="O4183" s="7">
        <f t="shared" si="457"/>
        <v>76280.160000000003</v>
      </c>
      <c r="P4183" s="4">
        <v>0.05</v>
      </c>
      <c r="Q4183" s="7">
        <f t="shared" si="458"/>
        <v>3814.0080000000003</v>
      </c>
      <c r="R4183" s="7">
        <f t="shared" si="459"/>
        <v>72466.152000000002</v>
      </c>
      <c r="S4183" s="7">
        <f t="shared" si="460"/>
        <v>1646.9580000000001</v>
      </c>
      <c r="T4183" s="6">
        <f t="shared" si="461"/>
        <v>2.0892687559354226E-2</v>
      </c>
      <c r="V4183" t="s">
        <v>29</v>
      </c>
    </row>
    <row r="4184" spans="1:22">
      <c r="A4184" s="3">
        <v>45832</v>
      </c>
      <c r="B4184" t="str">
        <f t="shared" si="455"/>
        <v>yyyy-06</v>
      </c>
      <c r="C4184">
        <f t="shared" si="456"/>
        <v>26</v>
      </c>
      <c r="D4184" t="s">
        <v>24</v>
      </c>
      <c r="E4184" t="s">
        <v>34</v>
      </c>
      <c r="F4184" t="s">
        <v>35</v>
      </c>
      <c r="G4184" t="s">
        <v>36</v>
      </c>
      <c r="H4184" t="s">
        <v>37</v>
      </c>
      <c r="I4184" s="5">
        <v>962</v>
      </c>
      <c r="J4184" s="5">
        <v>713</v>
      </c>
      <c r="K4184" s="5">
        <v>39</v>
      </c>
      <c r="L4184" s="5">
        <v>15</v>
      </c>
      <c r="M4184" s="5">
        <v>15</v>
      </c>
      <c r="N4184" s="7">
        <v>894.75</v>
      </c>
      <c r="O4184" s="7">
        <f t="shared" si="457"/>
        <v>13421.25</v>
      </c>
      <c r="P4184" s="4">
        <v>0.03</v>
      </c>
      <c r="Q4184" s="7">
        <f t="shared" si="458"/>
        <v>402.63749999999999</v>
      </c>
      <c r="R4184" s="7">
        <f t="shared" si="459"/>
        <v>13018.612499999999</v>
      </c>
      <c r="S4184" s="7">
        <f t="shared" si="460"/>
        <v>867.90749999999991</v>
      </c>
      <c r="T4184" s="6">
        <f t="shared" si="461"/>
        <v>1.5592515592515593E-2</v>
      </c>
      <c r="V4184" t="s">
        <v>29</v>
      </c>
    </row>
    <row r="4185" spans="1:22">
      <c r="A4185" s="3">
        <v>45832</v>
      </c>
      <c r="B4185" t="str">
        <f t="shared" si="455"/>
        <v>yyyy-06</v>
      </c>
      <c r="C4185">
        <f t="shared" si="456"/>
        <v>26</v>
      </c>
      <c r="D4185" t="s">
        <v>24</v>
      </c>
      <c r="E4185" t="s">
        <v>38</v>
      </c>
      <c r="F4185" t="s">
        <v>39</v>
      </c>
      <c r="G4185" t="s">
        <v>27</v>
      </c>
      <c r="H4185" t="s">
        <v>28</v>
      </c>
      <c r="I4185" s="5">
        <v>1037</v>
      </c>
      <c r="J4185" s="5">
        <v>765</v>
      </c>
      <c r="K4185" s="5">
        <v>80</v>
      </c>
      <c r="L4185" s="5">
        <v>18</v>
      </c>
      <c r="M4185" s="5">
        <v>18</v>
      </c>
      <c r="N4185" s="7">
        <v>316.82</v>
      </c>
      <c r="O4185" s="7">
        <f t="shared" si="457"/>
        <v>5702.76</v>
      </c>
      <c r="P4185" s="4">
        <v>0.03</v>
      </c>
      <c r="Q4185" s="7">
        <f t="shared" si="458"/>
        <v>171.08279999999999</v>
      </c>
      <c r="R4185" s="7">
        <f t="shared" si="459"/>
        <v>5531.6772000000001</v>
      </c>
      <c r="S4185" s="7">
        <f t="shared" si="460"/>
        <v>307.31540000000001</v>
      </c>
      <c r="T4185" s="6">
        <f t="shared" si="461"/>
        <v>1.7357762777242044E-2</v>
      </c>
      <c r="V4185" t="s">
        <v>29</v>
      </c>
    </row>
    <row r="4186" spans="1:22">
      <c r="A4186" s="3">
        <v>45832</v>
      </c>
      <c r="B4186" t="str">
        <f t="shared" si="455"/>
        <v>yyyy-06</v>
      </c>
      <c r="C4186">
        <f t="shared" si="456"/>
        <v>26</v>
      </c>
      <c r="D4186" t="s">
        <v>24</v>
      </c>
      <c r="E4186" t="s">
        <v>40</v>
      </c>
      <c r="F4186" t="s">
        <v>41</v>
      </c>
      <c r="G4186" t="s">
        <v>31</v>
      </c>
      <c r="H4186" t="s">
        <v>32</v>
      </c>
      <c r="I4186" s="5">
        <v>909</v>
      </c>
      <c r="J4186" s="5">
        <v>668</v>
      </c>
      <c r="K4186" s="5">
        <v>74</v>
      </c>
      <c r="L4186" s="5">
        <v>15</v>
      </c>
      <c r="M4186" s="5">
        <v>18</v>
      </c>
      <c r="N4186" s="7">
        <v>176.9</v>
      </c>
      <c r="O4186" s="7">
        <f t="shared" si="457"/>
        <v>3184.2000000000003</v>
      </c>
      <c r="P4186" s="4">
        <v>0</v>
      </c>
      <c r="Q4186" s="7">
        <f t="shared" si="458"/>
        <v>0</v>
      </c>
      <c r="R4186" s="7">
        <f t="shared" si="459"/>
        <v>3184.2000000000003</v>
      </c>
      <c r="S4186" s="7">
        <f t="shared" si="460"/>
        <v>212.28000000000003</v>
      </c>
      <c r="T4186" s="6">
        <f t="shared" si="461"/>
        <v>1.65016501650165E-2</v>
      </c>
      <c r="V4186" t="s">
        <v>29</v>
      </c>
    </row>
    <row r="4187" spans="1:22">
      <c r="A4187" s="3">
        <v>45832</v>
      </c>
      <c r="B4187" t="str">
        <f t="shared" si="455"/>
        <v>yyyy-06</v>
      </c>
      <c r="C4187">
        <f t="shared" si="456"/>
        <v>26</v>
      </c>
      <c r="D4187" t="s">
        <v>42</v>
      </c>
      <c r="E4187" t="s">
        <v>43</v>
      </c>
      <c r="F4187" t="s">
        <v>44</v>
      </c>
      <c r="G4187" t="s">
        <v>36</v>
      </c>
      <c r="H4187" t="s">
        <v>37</v>
      </c>
      <c r="I4187" s="5">
        <v>616</v>
      </c>
      <c r="J4187" s="5">
        <v>481</v>
      </c>
      <c r="K4187" s="5">
        <v>38</v>
      </c>
      <c r="L4187" s="5">
        <v>8</v>
      </c>
      <c r="M4187" s="5">
        <v>8</v>
      </c>
      <c r="N4187" s="7">
        <v>1301.07</v>
      </c>
      <c r="O4187" s="7">
        <f t="shared" si="457"/>
        <v>10408.56</v>
      </c>
      <c r="P4187" s="4">
        <v>0</v>
      </c>
      <c r="Q4187" s="7">
        <f t="shared" si="458"/>
        <v>0</v>
      </c>
      <c r="R4187" s="7">
        <f t="shared" si="459"/>
        <v>10408.56</v>
      </c>
      <c r="S4187" s="7">
        <f t="shared" si="460"/>
        <v>1301.07</v>
      </c>
      <c r="T4187" s="6">
        <f t="shared" si="461"/>
        <v>1.2987012987012988E-2</v>
      </c>
      <c r="V4187" t="s">
        <v>29</v>
      </c>
    </row>
    <row r="4188" spans="1:22">
      <c r="A4188" s="3">
        <v>45832</v>
      </c>
      <c r="B4188" t="str">
        <f t="shared" si="455"/>
        <v>yyyy-06</v>
      </c>
      <c r="C4188">
        <f t="shared" si="456"/>
        <v>26</v>
      </c>
      <c r="D4188" t="s">
        <v>42</v>
      </c>
      <c r="E4188" t="s">
        <v>43</v>
      </c>
      <c r="F4188" t="s">
        <v>46</v>
      </c>
      <c r="G4188" t="s">
        <v>27</v>
      </c>
      <c r="H4188" t="s">
        <v>45</v>
      </c>
      <c r="I4188" s="5">
        <v>637</v>
      </c>
      <c r="J4188" s="5">
        <v>365</v>
      </c>
      <c r="K4188" s="5">
        <v>36</v>
      </c>
      <c r="L4188" s="5">
        <v>10</v>
      </c>
      <c r="M4188" s="5">
        <v>10</v>
      </c>
      <c r="N4188" s="7">
        <v>2157.64</v>
      </c>
      <c r="O4188" s="7">
        <f t="shared" si="457"/>
        <v>21576.399999999998</v>
      </c>
      <c r="P4188" s="4">
        <v>0</v>
      </c>
      <c r="Q4188" s="7">
        <f t="shared" si="458"/>
        <v>0</v>
      </c>
      <c r="R4188" s="7">
        <f t="shared" si="459"/>
        <v>21576.399999999998</v>
      </c>
      <c r="S4188" s="7">
        <f t="shared" si="460"/>
        <v>2157.64</v>
      </c>
      <c r="T4188" s="6">
        <f t="shared" si="461"/>
        <v>1.5698587127158554E-2</v>
      </c>
      <c r="V4188" t="s">
        <v>29</v>
      </c>
    </row>
    <row r="4189" spans="1:22">
      <c r="A4189" s="3">
        <v>45832</v>
      </c>
      <c r="B4189" t="str">
        <f t="shared" si="455"/>
        <v>yyyy-06</v>
      </c>
      <c r="C4189">
        <f t="shared" si="456"/>
        <v>26</v>
      </c>
      <c r="D4189" t="s">
        <v>42</v>
      </c>
      <c r="E4189" t="s">
        <v>43</v>
      </c>
      <c r="F4189" t="s">
        <v>47</v>
      </c>
      <c r="G4189" t="s">
        <v>36</v>
      </c>
      <c r="H4189" t="s">
        <v>37</v>
      </c>
      <c r="I4189" s="5">
        <v>515</v>
      </c>
      <c r="J4189" s="5">
        <v>321</v>
      </c>
      <c r="K4189" s="5">
        <v>31</v>
      </c>
      <c r="L4189" s="5">
        <v>8</v>
      </c>
      <c r="M4189" s="5">
        <v>8</v>
      </c>
      <c r="N4189" s="7">
        <v>588.03</v>
      </c>
      <c r="O4189" s="7">
        <f t="shared" si="457"/>
        <v>4704.24</v>
      </c>
      <c r="P4189" s="4">
        <v>0</v>
      </c>
      <c r="Q4189" s="7">
        <f t="shared" si="458"/>
        <v>0</v>
      </c>
      <c r="R4189" s="7">
        <f t="shared" si="459"/>
        <v>4704.24</v>
      </c>
      <c r="S4189" s="7">
        <f t="shared" si="460"/>
        <v>588.03</v>
      </c>
      <c r="T4189" s="6">
        <f t="shared" si="461"/>
        <v>1.5533980582524271E-2</v>
      </c>
      <c r="V4189" t="s">
        <v>29</v>
      </c>
    </row>
    <row r="4190" spans="1:22">
      <c r="A4190" s="3">
        <v>45832</v>
      </c>
      <c r="B4190" t="str">
        <f t="shared" si="455"/>
        <v>yyyy-06</v>
      </c>
      <c r="C4190">
        <f t="shared" si="456"/>
        <v>26</v>
      </c>
      <c r="D4190" t="s">
        <v>42</v>
      </c>
      <c r="E4190" t="s">
        <v>49</v>
      </c>
      <c r="F4190" t="s">
        <v>50</v>
      </c>
      <c r="G4190" t="s">
        <v>31</v>
      </c>
      <c r="H4190" t="s">
        <v>32</v>
      </c>
      <c r="I4190" s="5">
        <v>152</v>
      </c>
      <c r="J4190" s="5">
        <v>102</v>
      </c>
      <c r="K4190" s="5">
        <v>10</v>
      </c>
      <c r="L4190" s="5">
        <v>2</v>
      </c>
      <c r="M4190" s="5">
        <v>2</v>
      </c>
      <c r="N4190" s="7">
        <v>959.38</v>
      </c>
      <c r="O4190" s="7">
        <f t="shared" si="457"/>
        <v>1918.76</v>
      </c>
      <c r="P4190" s="4">
        <v>0.03</v>
      </c>
      <c r="Q4190" s="7">
        <f t="shared" si="458"/>
        <v>57.562799999999996</v>
      </c>
      <c r="R4190" s="7">
        <f t="shared" si="459"/>
        <v>1861.1972000000001</v>
      </c>
      <c r="S4190" s="7">
        <f t="shared" si="460"/>
        <v>930.59860000000003</v>
      </c>
      <c r="T4190" s="6">
        <f t="shared" si="461"/>
        <v>1.3157894736842105E-2</v>
      </c>
      <c r="V4190" t="s">
        <v>29</v>
      </c>
    </row>
    <row r="4191" spans="1:22">
      <c r="A4191" s="3">
        <v>45832</v>
      </c>
      <c r="B4191" t="str">
        <f t="shared" si="455"/>
        <v>yyyy-06</v>
      </c>
      <c r="C4191">
        <f t="shared" si="456"/>
        <v>26</v>
      </c>
      <c r="D4191" t="s">
        <v>42</v>
      </c>
      <c r="E4191" t="s">
        <v>51</v>
      </c>
      <c r="F4191" t="s">
        <v>52</v>
      </c>
      <c r="G4191" t="s">
        <v>27</v>
      </c>
      <c r="H4191" t="s">
        <v>45</v>
      </c>
      <c r="I4191" s="5">
        <v>295</v>
      </c>
      <c r="J4191" s="5">
        <v>238</v>
      </c>
      <c r="K4191" s="5">
        <v>15</v>
      </c>
      <c r="L4191" s="5">
        <v>5</v>
      </c>
      <c r="M4191" s="5">
        <v>5</v>
      </c>
      <c r="N4191" s="7">
        <v>605.73</v>
      </c>
      <c r="O4191" s="7">
        <f t="shared" si="457"/>
        <v>3028.65</v>
      </c>
      <c r="P4191" s="4">
        <v>0</v>
      </c>
      <c r="Q4191" s="7">
        <f t="shared" si="458"/>
        <v>0</v>
      </c>
      <c r="R4191" s="7">
        <f t="shared" si="459"/>
        <v>3028.65</v>
      </c>
      <c r="S4191" s="7">
        <f t="shared" si="460"/>
        <v>605.73</v>
      </c>
      <c r="T4191" s="6">
        <f t="shared" si="461"/>
        <v>1.6949152542372881E-2</v>
      </c>
      <c r="V4191" t="s">
        <v>29</v>
      </c>
    </row>
    <row r="4192" spans="1:22">
      <c r="A4192" s="3">
        <v>45832</v>
      </c>
      <c r="B4192" t="str">
        <f t="shared" si="455"/>
        <v>yyyy-06</v>
      </c>
      <c r="C4192">
        <f t="shared" si="456"/>
        <v>26</v>
      </c>
      <c r="D4192" t="s">
        <v>53</v>
      </c>
      <c r="E4192" t="s">
        <v>54</v>
      </c>
      <c r="F4192" t="s">
        <v>55</v>
      </c>
      <c r="G4192" t="s">
        <v>27</v>
      </c>
      <c r="H4192" t="s">
        <v>28</v>
      </c>
      <c r="I4192" s="5">
        <v>191</v>
      </c>
      <c r="J4192" s="5">
        <v>142</v>
      </c>
      <c r="K4192" s="5">
        <v>12</v>
      </c>
      <c r="L4192" s="5">
        <v>2</v>
      </c>
      <c r="M4192" s="5">
        <v>2</v>
      </c>
      <c r="N4192" s="7">
        <v>1278.99</v>
      </c>
      <c r="O4192" s="7">
        <f t="shared" si="457"/>
        <v>2557.98</v>
      </c>
      <c r="P4192" s="4">
        <v>0</v>
      </c>
      <c r="Q4192" s="7">
        <f t="shared" si="458"/>
        <v>0</v>
      </c>
      <c r="R4192" s="7">
        <f t="shared" si="459"/>
        <v>2557.98</v>
      </c>
      <c r="S4192" s="7">
        <f t="shared" si="460"/>
        <v>1278.99</v>
      </c>
      <c r="T4192" s="6">
        <f t="shared" si="461"/>
        <v>1.0471204188481676E-2</v>
      </c>
      <c r="V4192" t="s">
        <v>29</v>
      </c>
    </row>
    <row r="4193" spans="1:22">
      <c r="A4193" s="3">
        <v>45832</v>
      </c>
      <c r="B4193" t="str">
        <f t="shared" si="455"/>
        <v>yyyy-06</v>
      </c>
      <c r="C4193">
        <f t="shared" si="456"/>
        <v>26</v>
      </c>
      <c r="D4193" t="s">
        <v>53</v>
      </c>
      <c r="E4193" t="s">
        <v>56</v>
      </c>
      <c r="F4193" t="s">
        <v>57</v>
      </c>
      <c r="G4193" t="s">
        <v>27</v>
      </c>
      <c r="H4193" t="s">
        <v>28</v>
      </c>
      <c r="I4193" s="5">
        <v>201</v>
      </c>
      <c r="J4193" s="5">
        <v>135</v>
      </c>
      <c r="K4193" s="5">
        <v>9</v>
      </c>
      <c r="L4193" s="5">
        <v>2</v>
      </c>
      <c r="M4193" s="5">
        <v>2</v>
      </c>
      <c r="N4193" s="7">
        <v>739.48</v>
      </c>
      <c r="O4193" s="7">
        <f t="shared" si="457"/>
        <v>1478.96</v>
      </c>
      <c r="P4193" s="4">
        <v>0</v>
      </c>
      <c r="Q4193" s="7">
        <f t="shared" si="458"/>
        <v>0</v>
      </c>
      <c r="R4193" s="7">
        <f t="shared" si="459"/>
        <v>1478.96</v>
      </c>
      <c r="S4193" s="7">
        <f t="shared" si="460"/>
        <v>739.48</v>
      </c>
      <c r="T4193" s="6">
        <f t="shared" si="461"/>
        <v>9.9502487562189053E-3</v>
      </c>
      <c r="V4193" t="s">
        <v>29</v>
      </c>
    </row>
    <row r="4194" spans="1:22">
      <c r="A4194" s="3">
        <v>45832</v>
      </c>
      <c r="B4194" t="str">
        <f t="shared" si="455"/>
        <v>yyyy-06</v>
      </c>
      <c r="C4194">
        <f t="shared" si="456"/>
        <v>26</v>
      </c>
      <c r="D4194" t="s">
        <v>53</v>
      </c>
      <c r="E4194" t="s">
        <v>56</v>
      </c>
      <c r="F4194" t="s">
        <v>58</v>
      </c>
      <c r="G4194" t="s">
        <v>31</v>
      </c>
      <c r="H4194" t="s">
        <v>32</v>
      </c>
      <c r="I4194" s="5">
        <v>211</v>
      </c>
      <c r="J4194" s="5">
        <v>159</v>
      </c>
      <c r="K4194" s="5">
        <v>13</v>
      </c>
      <c r="L4194" s="5">
        <v>3</v>
      </c>
      <c r="M4194" s="5">
        <v>3</v>
      </c>
      <c r="N4194" s="7">
        <v>882.1</v>
      </c>
      <c r="O4194" s="7">
        <f t="shared" si="457"/>
        <v>2646.3</v>
      </c>
      <c r="P4194" s="4">
        <v>0.03</v>
      </c>
      <c r="Q4194" s="7">
        <f t="shared" si="458"/>
        <v>79.388999999999996</v>
      </c>
      <c r="R4194" s="7">
        <f t="shared" si="459"/>
        <v>2566.9110000000001</v>
      </c>
      <c r="S4194" s="7">
        <f t="shared" si="460"/>
        <v>855.63700000000006</v>
      </c>
      <c r="T4194" s="6">
        <f t="shared" si="461"/>
        <v>1.4218009478672985E-2</v>
      </c>
      <c r="V4194" t="s">
        <v>29</v>
      </c>
    </row>
    <row r="4195" spans="1:22">
      <c r="A4195" s="3">
        <v>45832</v>
      </c>
      <c r="B4195" t="str">
        <f t="shared" si="455"/>
        <v>yyyy-06</v>
      </c>
      <c r="C4195">
        <f t="shared" si="456"/>
        <v>26</v>
      </c>
      <c r="D4195" t="s">
        <v>53</v>
      </c>
      <c r="E4195" t="s">
        <v>59</v>
      </c>
      <c r="F4195" t="s">
        <v>60</v>
      </c>
      <c r="G4195" t="s">
        <v>27</v>
      </c>
      <c r="H4195" t="s">
        <v>45</v>
      </c>
      <c r="I4195" s="5">
        <v>182</v>
      </c>
      <c r="J4195" s="5">
        <v>117</v>
      </c>
      <c r="K4195" s="5">
        <v>10</v>
      </c>
      <c r="L4195" s="5">
        <v>2</v>
      </c>
      <c r="M4195" s="5">
        <v>2</v>
      </c>
      <c r="N4195" s="7">
        <v>672.11</v>
      </c>
      <c r="O4195" s="7">
        <f t="shared" si="457"/>
        <v>1344.22</v>
      </c>
      <c r="P4195" s="4">
        <v>0.03</v>
      </c>
      <c r="Q4195" s="7">
        <f t="shared" si="458"/>
        <v>40.326599999999999</v>
      </c>
      <c r="R4195" s="7">
        <f t="shared" si="459"/>
        <v>1303.8933999999999</v>
      </c>
      <c r="S4195" s="7">
        <f t="shared" si="460"/>
        <v>651.94669999999996</v>
      </c>
      <c r="T4195" s="6">
        <f t="shared" si="461"/>
        <v>1.098901098901099E-2</v>
      </c>
      <c r="V4195" t="s">
        <v>29</v>
      </c>
    </row>
    <row r="4196" spans="1:22">
      <c r="A4196" s="3">
        <v>45832</v>
      </c>
      <c r="B4196" t="str">
        <f t="shared" si="455"/>
        <v>yyyy-06</v>
      </c>
      <c r="C4196">
        <f t="shared" si="456"/>
        <v>26</v>
      </c>
      <c r="D4196" t="s">
        <v>53</v>
      </c>
      <c r="E4196" t="s">
        <v>61</v>
      </c>
      <c r="F4196" t="s">
        <v>62</v>
      </c>
      <c r="G4196" t="s">
        <v>27</v>
      </c>
      <c r="H4196" t="s">
        <v>45</v>
      </c>
      <c r="I4196" s="5">
        <v>160</v>
      </c>
      <c r="J4196" s="5">
        <v>83</v>
      </c>
      <c r="K4196" s="5">
        <v>7</v>
      </c>
      <c r="L4196" s="5">
        <v>2</v>
      </c>
      <c r="M4196" s="5">
        <v>2</v>
      </c>
      <c r="N4196" s="7">
        <v>498.25</v>
      </c>
      <c r="O4196" s="7">
        <f t="shared" si="457"/>
        <v>996.5</v>
      </c>
      <c r="P4196" s="4">
        <v>0.03</v>
      </c>
      <c r="Q4196" s="7">
        <f t="shared" si="458"/>
        <v>29.895</v>
      </c>
      <c r="R4196" s="7">
        <f t="shared" si="459"/>
        <v>966.60500000000002</v>
      </c>
      <c r="S4196" s="7">
        <f t="shared" si="460"/>
        <v>483.30250000000001</v>
      </c>
      <c r="T4196" s="6">
        <f t="shared" si="461"/>
        <v>1.2500000000000001E-2</v>
      </c>
      <c r="V4196" t="s">
        <v>29</v>
      </c>
    </row>
    <row r="4197" spans="1:22">
      <c r="A4197" s="3">
        <v>45832</v>
      </c>
      <c r="B4197" t="str">
        <f t="shared" si="455"/>
        <v>yyyy-06</v>
      </c>
      <c r="C4197">
        <f t="shared" si="456"/>
        <v>26</v>
      </c>
      <c r="D4197" t="s">
        <v>53</v>
      </c>
      <c r="E4197" t="s">
        <v>64</v>
      </c>
      <c r="F4197" t="s">
        <v>65</v>
      </c>
      <c r="G4197" t="s">
        <v>27</v>
      </c>
      <c r="H4197" t="s">
        <v>48</v>
      </c>
      <c r="I4197" s="5">
        <v>113</v>
      </c>
      <c r="J4197" s="5">
        <v>67</v>
      </c>
      <c r="K4197" s="5">
        <v>5</v>
      </c>
      <c r="L4197" s="5">
        <v>1</v>
      </c>
      <c r="M4197" s="5">
        <v>1</v>
      </c>
      <c r="N4197" s="7">
        <v>805.93</v>
      </c>
      <c r="O4197" s="7">
        <f t="shared" si="457"/>
        <v>805.93</v>
      </c>
      <c r="P4197" s="4">
        <v>0</v>
      </c>
      <c r="Q4197" s="7">
        <f t="shared" si="458"/>
        <v>0</v>
      </c>
      <c r="R4197" s="7">
        <f t="shared" si="459"/>
        <v>805.93</v>
      </c>
      <c r="S4197" s="7">
        <f t="shared" si="460"/>
        <v>805.93</v>
      </c>
      <c r="T4197" s="6">
        <f t="shared" si="461"/>
        <v>8.8495575221238937E-3</v>
      </c>
      <c r="V4197" t="s">
        <v>29</v>
      </c>
    </row>
    <row r="4198" spans="1:22">
      <c r="A4198" s="3">
        <v>45832</v>
      </c>
      <c r="B4198" t="str">
        <f t="shared" si="455"/>
        <v>yyyy-06</v>
      </c>
      <c r="C4198">
        <f t="shared" si="456"/>
        <v>26</v>
      </c>
      <c r="D4198" t="s">
        <v>66</v>
      </c>
      <c r="E4198" t="s">
        <v>67</v>
      </c>
      <c r="F4198" t="s">
        <v>68</v>
      </c>
      <c r="G4198" t="s">
        <v>27</v>
      </c>
      <c r="H4198" t="s">
        <v>45</v>
      </c>
      <c r="I4198" s="5">
        <v>384</v>
      </c>
      <c r="J4198" s="5">
        <v>298</v>
      </c>
      <c r="K4198" s="5">
        <v>30</v>
      </c>
      <c r="L4198" s="5">
        <v>8</v>
      </c>
      <c r="M4198" s="5">
        <v>8</v>
      </c>
      <c r="N4198" s="7">
        <v>681.2</v>
      </c>
      <c r="O4198" s="7">
        <f t="shared" si="457"/>
        <v>5449.6</v>
      </c>
      <c r="P4198" s="4">
        <v>0</v>
      </c>
      <c r="Q4198" s="7">
        <f t="shared" si="458"/>
        <v>0</v>
      </c>
      <c r="R4198" s="7">
        <f t="shared" si="459"/>
        <v>5449.6</v>
      </c>
      <c r="S4198" s="7">
        <f t="shared" si="460"/>
        <v>681.2</v>
      </c>
      <c r="T4198" s="6">
        <f t="shared" si="461"/>
        <v>2.0833333333333332E-2</v>
      </c>
      <c r="V4198" t="s">
        <v>29</v>
      </c>
    </row>
    <row r="4199" spans="1:22">
      <c r="A4199" s="3">
        <v>45832</v>
      </c>
      <c r="B4199" t="str">
        <f t="shared" si="455"/>
        <v>yyyy-06</v>
      </c>
      <c r="C4199">
        <f t="shared" si="456"/>
        <v>26</v>
      </c>
      <c r="D4199" t="s">
        <v>66</v>
      </c>
      <c r="E4199" t="s">
        <v>67</v>
      </c>
      <c r="F4199" t="s">
        <v>69</v>
      </c>
      <c r="G4199" t="s">
        <v>31</v>
      </c>
      <c r="H4199" t="s">
        <v>32</v>
      </c>
      <c r="I4199" s="5">
        <v>381</v>
      </c>
      <c r="J4199" s="5">
        <v>246</v>
      </c>
      <c r="K4199" s="5">
        <v>29</v>
      </c>
      <c r="L4199" s="5">
        <v>6</v>
      </c>
      <c r="M4199" s="5">
        <v>6</v>
      </c>
      <c r="N4199" s="7">
        <v>403.64</v>
      </c>
      <c r="O4199" s="7">
        <f t="shared" si="457"/>
        <v>2421.84</v>
      </c>
      <c r="P4199" s="4">
        <v>0</v>
      </c>
      <c r="Q4199" s="7">
        <f t="shared" si="458"/>
        <v>0</v>
      </c>
      <c r="R4199" s="7">
        <f t="shared" si="459"/>
        <v>2421.84</v>
      </c>
      <c r="S4199" s="7">
        <f t="shared" si="460"/>
        <v>403.64000000000004</v>
      </c>
      <c r="T4199" s="6">
        <f t="shared" si="461"/>
        <v>1.5748031496062992E-2</v>
      </c>
      <c r="V4199" t="s">
        <v>29</v>
      </c>
    </row>
    <row r="4200" spans="1:22">
      <c r="A4200" s="3">
        <v>45832</v>
      </c>
      <c r="B4200" t="str">
        <f t="shared" si="455"/>
        <v>yyyy-06</v>
      </c>
      <c r="C4200">
        <f t="shared" si="456"/>
        <v>26</v>
      </c>
      <c r="D4200" t="s">
        <v>66</v>
      </c>
      <c r="E4200" t="s">
        <v>67</v>
      </c>
      <c r="F4200" t="s">
        <v>70</v>
      </c>
      <c r="G4200" t="s">
        <v>31</v>
      </c>
      <c r="H4200" t="s">
        <v>32</v>
      </c>
      <c r="I4200" s="5">
        <v>539</v>
      </c>
      <c r="J4200" s="5">
        <v>429</v>
      </c>
      <c r="K4200" s="5">
        <v>38</v>
      </c>
      <c r="L4200" s="5">
        <v>10</v>
      </c>
      <c r="M4200" s="5">
        <v>10</v>
      </c>
      <c r="N4200" s="7">
        <v>335.05</v>
      </c>
      <c r="O4200" s="7">
        <f t="shared" si="457"/>
        <v>3350.5</v>
      </c>
      <c r="P4200" s="4">
        <v>0.05</v>
      </c>
      <c r="Q4200" s="7">
        <f t="shared" si="458"/>
        <v>167.52500000000001</v>
      </c>
      <c r="R4200" s="7">
        <f t="shared" si="459"/>
        <v>3182.9749999999999</v>
      </c>
      <c r="S4200" s="7">
        <f t="shared" si="460"/>
        <v>318.29750000000001</v>
      </c>
      <c r="T4200" s="6">
        <f t="shared" si="461"/>
        <v>1.8552875695732839E-2</v>
      </c>
      <c r="V4200" t="s">
        <v>29</v>
      </c>
    </row>
    <row r="4201" spans="1:22">
      <c r="A4201" s="3">
        <v>45832</v>
      </c>
      <c r="B4201" t="str">
        <f t="shared" si="455"/>
        <v>yyyy-06</v>
      </c>
      <c r="C4201">
        <f t="shared" si="456"/>
        <v>26</v>
      </c>
      <c r="D4201" t="s">
        <v>66</v>
      </c>
      <c r="E4201" t="s">
        <v>71</v>
      </c>
      <c r="F4201" t="s">
        <v>72</v>
      </c>
      <c r="G4201" t="s">
        <v>31</v>
      </c>
      <c r="H4201" t="s">
        <v>32</v>
      </c>
      <c r="I4201" s="5">
        <v>502</v>
      </c>
      <c r="J4201" s="5">
        <v>305</v>
      </c>
      <c r="K4201" s="5">
        <v>24</v>
      </c>
      <c r="L4201" s="5">
        <v>8</v>
      </c>
      <c r="M4201" s="5">
        <v>10</v>
      </c>
      <c r="N4201" s="7">
        <v>123.91</v>
      </c>
      <c r="O4201" s="7">
        <f t="shared" si="457"/>
        <v>1239.0999999999999</v>
      </c>
      <c r="P4201" s="4">
        <v>0</v>
      </c>
      <c r="Q4201" s="7">
        <f t="shared" si="458"/>
        <v>0</v>
      </c>
      <c r="R4201" s="7">
        <f t="shared" si="459"/>
        <v>1239.0999999999999</v>
      </c>
      <c r="S4201" s="7">
        <f t="shared" si="460"/>
        <v>154.88749999999999</v>
      </c>
      <c r="T4201" s="6">
        <f t="shared" si="461"/>
        <v>1.5936254980079681E-2</v>
      </c>
      <c r="V4201" t="s">
        <v>29</v>
      </c>
    </row>
    <row r="4202" spans="1:22">
      <c r="A4202" s="3">
        <v>45832</v>
      </c>
      <c r="B4202" t="str">
        <f t="shared" si="455"/>
        <v>yyyy-06</v>
      </c>
      <c r="C4202">
        <f t="shared" si="456"/>
        <v>26</v>
      </c>
      <c r="D4202" t="s">
        <v>66</v>
      </c>
      <c r="E4202" t="s">
        <v>73</v>
      </c>
      <c r="F4202" t="s">
        <v>74</v>
      </c>
      <c r="G4202" t="s">
        <v>27</v>
      </c>
      <c r="H4202" t="s">
        <v>48</v>
      </c>
      <c r="I4202" s="5">
        <v>166</v>
      </c>
      <c r="J4202" s="5">
        <v>93</v>
      </c>
      <c r="K4202" s="5">
        <v>12</v>
      </c>
      <c r="L4202" s="5">
        <v>3</v>
      </c>
      <c r="M4202" s="5">
        <v>3</v>
      </c>
      <c r="N4202" s="7">
        <v>1197.2</v>
      </c>
      <c r="O4202" s="7">
        <f t="shared" si="457"/>
        <v>3591.6000000000004</v>
      </c>
      <c r="P4202" s="4">
        <v>0</v>
      </c>
      <c r="Q4202" s="7">
        <f t="shared" si="458"/>
        <v>0</v>
      </c>
      <c r="R4202" s="7">
        <f t="shared" si="459"/>
        <v>3591.6000000000004</v>
      </c>
      <c r="S4202" s="7">
        <f t="shared" si="460"/>
        <v>1197.2</v>
      </c>
      <c r="T4202" s="6">
        <f t="shared" si="461"/>
        <v>1.8072289156626505E-2</v>
      </c>
      <c r="V4202" t="s">
        <v>29</v>
      </c>
    </row>
    <row r="4203" spans="1:22">
      <c r="A4203" s="3">
        <v>45832</v>
      </c>
      <c r="B4203" t="str">
        <f t="shared" si="455"/>
        <v>yyyy-06</v>
      </c>
      <c r="C4203">
        <f t="shared" si="456"/>
        <v>26</v>
      </c>
      <c r="D4203" t="s">
        <v>66</v>
      </c>
      <c r="E4203" t="s">
        <v>71</v>
      </c>
      <c r="F4203" t="s">
        <v>75</v>
      </c>
      <c r="G4203" t="s">
        <v>36</v>
      </c>
      <c r="H4203" t="s">
        <v>37</v>
      </c>
      <c r="I4203" s="5">
        <v>358</v>
      </c>
      <c r="J4203" s="5">
        <v>236</v>
      </c>
      <c r="K4203" s="5">
        <v>19</v>
      </c>
      <c r="L4203" s="5">
        <v>6</v>
      </c>
      <c r="M4203" s="5">
        <v>7</v>
      </c>
      <c r="N4203" s="7">
        <v>39.18</v>
      </c>
      <c r="O4203" s="7">
        <f t="shared" si="457"/>
        <v>274.26</v>
      </c>
      <c r="P4203" s="4">
        <v>0.03</v>
      </c>
      <c r="Q4203" s="7">
        <f t="shared" si="458"/>
        <v>8.2278000000000002</v>
      </c>
      <c r="R4203" s="7">
        <f t="shared" si="459"/>
        <v>266.03219999999999</v>
      </c>
      <c r="S4203" s="7">
        <f t="shared" si="460"/>
        <v>44.338699999999996</v>
      </c>
      <c r="T4203" s="6">
        <f t="shared" si="461"/>
        <v>1.6759776536312849E-2</v>
      </c>
      <c r="V4203" t="s">
        <v>78</v>
      </c>
    </row>
    <row r="4204" spans="1:22">
      <c r="A4204" s="3">
        <v>45832</v>
      </c>
      <c r="B4204" t="str">
        <f t="shared" si="455"/>
        <v>yyyy-06</v>
      </c>
      <c r="C4204">
        <f t="shared" si="456"/>
        <v>26</v>
      </c>
      <c r="D4204" t="s">
        <v>24</v>
      </c>
      <c r="E4204" t="s">
        <v>76</v>
      </c>
      <c r="F4204" t="s">
        <v>77</v>
      </c>
      <c r="G4204" t="s">
        <v>36</v>
      </c>
      <c r="H4204" t="s">
        <v>37</v>
      </c>
      <c r="I4204" s="5">
        <v>806</v>
      </c>
      <c r="J4204" s="5">
        <v>442</v>
      </c>
      <c r="K4204" s="5">
        <v>66</v>
      </c>
      <c r="L4204" s="5">
        <v>19</v>
      </c>
      <c r="M4204" s="5">
        <v>22</v>
      </c>
      <c r="N4204" s="7">
        <v>195.4</v>
      </c>
      <c r="O4204" s="7">
        <f t="shared" si="457"/>
        <v>4298.8</v>
      </c>
      <c r="P4204" s="4">
        <v>0</v>
      </c>
      <c r="Q4204" s="7">
        <f t="shared" si="458"/>
        <v>0</v>
      </c>
      <c r="R4204" s="7">
        <f t="shared" si="459"/>
        <v>4298.8</v>
      </c>
      <c r="S4204" s="7">
        <f t="shared" si="460"/>
        <v>226.25263157894739</v>
      </c>
      <c r="T4204" s="6">
        <f t="shared" si="461"/>
        <v>2.3573200992555832E-2</v>
      </c>
      <c r="V4204" t="s">
        <v>29</v>
      </c>
    </row>
    <row r="4205" spans="1:22">
      <c r="A4205" s="3">
        <v>45833</v>
      </c>
      <c r="B4205" t="str">
        <f t="shared" si="455"/>
        <v>yyyy-06</v>
      </c>
      <c r="C4205">
        <f t="shared" si="456"/>
        <v>26</v>
      </c>
      <c r="D4205" t="s">
        <v>24</v>
      </c>
      <c r="E4205" t="s">
        <v>25</v>
      </c>
      <c r="F4205" t="s">
        <v>26</v>
      </c>
      <c r="G4205" t="s">
        <v>27</v>
      </c>
      <c r="H4205" t="s">
        <v>28</v>
      </c>
      <c r="I4205" s="5">
        <v>1568</v>
      </c>
      <c r="J4205" s="5">
        <v>960</v>
      </c>
      <c r="K4205" s="5">
        <v>146</v>
      </c>
      <c r="L4205" s="5">
        <v>36</v>
      </c>
      <c r="M4205" s="5">
        <v>36</v>
      </c>
      <c r="N4205" s="7">
        <v>998.28</v>
      </c>
      <c r="O4205" s="7">
        <f t="shared" si="457"/>
        <v>35938.080000000002</v>
      </c>
      <c r="P4205" s="4">
        <v>0.05</v>
      </c>
      <c r="Q4205" s="7">
        <f t="shared" si="458"/>
        <v>1796.9040000000002</v>
      </c>
      <c r="R4205" s="7">
        <f t="shared" si="459"/>
        <v>34141.175999999999</v>
      </c>
      <c r="S4205" s="7">
        <f t="shared" si="460"/>
        <v>948.36599999999999</v>
      </c>
      <c r="T4205" s="6">
        <f t="shared" si="461"/>
        <v>2.2959183673469389E-2</v>
      </c>
      <c r="V4205" t="s">
        <v>29</v>
      </c>
    </row>
    <row r="4206" spans="1:22">
      <c r="A4206" s="3">
        <v>45833</v>
      </c>
      <c r="B4206" t="str">
        <f t="shared" si="455"/>
        <v>yyyy-06</v>
      </c>
      <c r="C4206">
        <f t="shared" si="456"/>
        <v>26</v>
      </c>
      <c r="D4206" t="s">
        <v>24</v>
      </c>
      <c r="E4206" t="s">
        <v>25</v>
      </c>
      <c r="F4206" t="s">
        <v>30</v>
      </c>
      <c r="G4206" t="s">
        <v>36</v>
      </c>
      <c r="H4206" t="s">
        <v>37</v>
      </c>
      <c r="I4206" s="5">
        <v>2153</v>
      </c>
      <c r="J4206" s="5">
        <v>1653</v>
      </c>
      <c r="K4206" s="5">
        <v>130</v>
      </c>
      <c r="L4206" s="5">
        <v>47</v>
      </c>
      <c r="M4206" s="5">
        <v>47</v>
      </c>
      <c r="N4206" s="7">
        <v>405.98</v>
      </c>
      <c r="O4206" s="7">
        <f t="shared" si="457"/>
        <v>19081.060000000001</v>
      </c>
      <c r="P4206" s="4">
        <v>0</v>
      </c>
      <c r="Q4206" s="7">
        <f t="shared" si="458"/>
        <v>0</v>
      </c>
      <c r="R4206" s="7">
        <f t="shared" si="459"/>
        <v>19081.060000000001</v>
      </c>
      <c r="S4206" s="7">
        <f t="shared" si="460"/>
        <v>405.98</v>
      </c>
      <c r="T4206" s="6">
        <f t="shared" si="461"/>
        <v>2.1830004644681839E-2</v>
      </c>
      <c r="V4206" t="s">
        <v>29</v>
      </c>
    </row>
    <row r="4207" spans="1:22">
      <c r="A4207" s="3">
        <v>45833</v>
      </c>
      <c r="B4207" t="str">
        <f t="shared" si="455"/>
        <v>yyyy-06</v>
      </c>
      <c r="C4207">
        <f t="shared" si="456"/>
        <v>26</v>
      </c>
      <c r="D4207" t="s">
        <v>24</v>
      </c>
      <c r="E4207" t="s">
        <v>25</v>
      </c>
      <c r="F4207" t="s">
        <v>33</v>
      </c>
      <c r="G4207" t="s">
        <v>27</v>
      </c>
      <c r="H4207" t="s">
        <v>45</v>
      </c>
      <c r="I4207" s="5">
        <v>1153</v>
      </c>
      <c r="J4207" s="5">
        <v>713</v>
      </c>
      <c r="K4207" s="5">
        <v>56</v>
      </c>
      <c r="L4207" s="5">
        <v>16</v>
      </c>
      <c r="M4207" s="5">
        <v>16</v>
      </c>
      <c r="N4207" s="7">
        <v>1757.01</v>
      </c>
      <c r="O4207" s="7">
        <f t="shared" si="457"/>
        <v>28112.16</v>
      </c>
      <c r="P4207" s="4">
        <v>0</v>
      </c>
      <c r="Q4207" s="7">
        <f t="shared" si="458"/>
        <v>0</v>
      </c>
      <c r="R4207" s="7">
        <f t="shared" si="459"/>
        <v>28112.16</v>
      </c>
      <c r="S4207" s="7">
        <f t="shared" si="460"/>
        <v>1757.01</v>
      </c>
      <c r="T4207" s="6">
        <f t="shared" si="461"/>
        <v>1.3876843018213356E-2</v>
      </c>
      <c r="V4207" t="s">
        <v>78</v>
      </c>
    </row>
    <row r="4208" spans="1:22">
      <c r="A4208" s="3">
        <v>45833</v>
      </c>
      <c r="B4208" t="str">
        <f t="shared" si="455"/>
        <v>yyyy-06</v>
      </c>
      <c r="C4208">
        <f t="shared" si="456"/>
        <v>26</v>
      </c>
      <c r="D4208" t="s">
        <v>24</v>
      </c>
      <c r="E4208" t="s">
        <v>34</v>
      </c>
      <c r="F4208" t="s">
        <v>35</v>
      </c>
      <c r="G4208" t="s">
        <v>36</v>
      </c>
      <c r="H4208" t="s">
        <v>37</v>
      </c>
      <c r="I4208" s="5">
        <v>1341</v>
      </c>
      <c r="J4208" s="5">
        <v>789</v>
      </c>
      <c r="K4208" s="5">
        <v>61</v>
      </c>
      <c r="L4208" s="5">
        <v>18</v>
      </c>
      <c r="M4208" s="5">
        <v>18</v>
      </c>
      <c r="N4208" s="7">
        <v>911.72</v>
      </c>
      <c r="O4208" s="7">
        <f t="shared" si="457"/>
        <v>16410.96</v>
      </c>
      <c r="P4208" s="4">
        <v>0</v>
      </c>
      <c r="Q4208" s="7">
        <f t="shared" si="458"/>
        <v>0</v>
      </c>
      <c r="R4208" s="7">
        <f t="shared" si="459"/>
        <v>16410.96</v>
      </c>
      <c r="S4208" s="7">
        <f t="shared" si="460"/>
        <v>911.71999999999991</v>
      </c>
      <c r="T4208" s="6">
        <f t="shared" si="461"/>
        <v>1.3422818791946308E-2</v>
      </c>
      <c r="V4208" t="s">
        <v>78</v>
      </c>
    </row>
    <row r="4209" spans="1:22">
      <c r="A4209" s="3">
        <v>45833</v>
      </c>
      <c r="B4209" t="str">
        <f t="shared" si="455"/>
        <v>yyyy-06</v>
      </c>
      <c r="C4209">
        <f t="shared" si="456"/>
        <v>26</v>
      </c>
      <c r="D4209" t="s">
        <v>24</v>
      </c>
      <c r="E4209" t="s">
        <v>38</v>
      </c>
      <c r="F4209" t="s">
        <v>39</v>
      </c>
      <c r="G4209" t="s">
        <v>31</v>
      </c>
      <c r="H4209" t="s">
        <v>32</v>
      </c>
      <c r="I4209" s="5">
        <v>899</v>
      </c>
      <c r="J4209" s="5">
        <v>612</v>
      </c>
      <c r="K4209" s="5">
        <v>67</v>
      </c>
      <c r="L4209" s="5">
        <v>17</v>
      </c>
      <c r="M4209" s="5">
        <v>17</v>
      </c>
      <c r="N4209" s="7">
        <v>326.45999999999998</v>
      </c>
      <c r="O4209" s="7">
        <f t="shared" si="457"/>
        <v>5549.82</v>
      </c>
      <c r="P4209" s="4">
        <v>0.03</v>
      </c>
      <c r="Q4209" s="7">
        <f t="shared" si="458"/>
        <v>166.49459999999999</v>
      </c>
      <c r="R4209" s="7">
        <f t="shared" si="459"/>
        <v>5383.3253999999997</v>
      </c>
      <c r="S4209" s="7">
        <f t="shared" si="460"/>
        <v>316.6662</v>
      </c>
      <c r="T4209" s="6">
        <f t="shared" si="461"/>
        <v>1.8909899888765295E-2</v>
      </c>
      <c r="V4209" t="s">
        <v>29</v>
      </c>
    </row>
    <row r="4210" spans="1:22">
      <c r="A4210" s="3">
        <v>45833</v>
      </c>
      <c r="B4210" t="str">
        <f t="shared" si="455"/>
        <v>yyyy-06</v>
      </c>
      <c r="C4210">
        <f t="shared" si="456"/>
        <v>26</v>
      </c>
      <c r="D4210" t="s">
        <v>24</v>
      </c>
      <c r="E4210" t="s">
        <v>40</v>
      </c>
      <c r="F4210" t="s">
        <v>41</v>
      </c>
      <c r="G4210" t="s">
        <v>27</v>
      </c>
      <c r="H4210" t="s">
        <v>63</v>
      </c>
      <c r="I4210" s="5">
        <v>545</v>
      </c>
      <c r="J4210" s="5">
        <v>420</v>
      </c>
      <c r="K4210" s="5">
        <v>48</v>
      </c>
      <c r="L4210" s="5">
        <v>8</v>
      </c>
      <c r="M4210" s="5">
        <v>9</v>
      </c>
      <c r="N4210" s="7">
        <v>171.97</v>
      </c>
      <c r="O4210" s="7">
        <f t="shared" si="457"/>
        <v>1547.73</v>
      </c>
      <c r="P4210" s="4">
        <v>0</v>
      </c>
      <c r="Q4210" s="7">
        <f t="shared" si="458"/>
        <v>0</v>
      </c>
      <c r="R4210" s="7">
        <f t="shared" si="459"/>
        <v>1547.73</v>
      </c>
      <c r="S4210" s="7">
        <f t="shared" si="460"/>
        <v>193.46625</v>
      </c>
      <c r="T4210" s="6">
        <f t="shared" si="461"/>
        <v>1.4678899082568808E-2</v>
      </c>
      <c r="V4210" t="s">
        <v>29</v>
      </c>
    </row>
    <row r="4211" spans="1:22">
      <c r="A4211" s="3">
        <v>45833</v>
      </c>
      <c r="B4211" t="str">
        <f t="shared" si="455"/>
        <v>yyyy-06</v>
      </c>
      <c r="C4211">
        <f t="shared" si="456"/>
        <v>26</v>
      </c>
      <c r="D4211" t="s">
        <v>42</v>
      </c>
      <c r="E4211" t="s">
        <v>43</v>
      </c>
      <c r="F4211" t="s">
        <v>44</v>
      </c>
      <c r="G4211" t="s">
        <v>36</v>
      </c>
      <c r="H4211" t="s">
        <v>37</v>
      </c>
      <c r="I4211" s="5">
        <v>626</v>
      </c>
      <c r="J4211" s="5">
        <v>396</v>
      </c>
      <c r="K4211" s="5">
        <v>29</v>
      </c>
      <c r="L4211" s="5">
        <v>7</v>
      </c>
      <c r="M4211" s="5">
        <v>7</v>
      </c>
      <c r="N4211" s="7">
        <v>1264.51</v>
      </c>
      <c r="O4211" s="7">
        <f t="shared" si="457"/>
        <v>8851.57</v>
      </c>
      <c r="P4211" s="4">
        <v>0.05</v>
      </c>
      <c r="Q4211" s="7">
        <f t="shared" si="458"/>
        <v>442.57850000000002</v>
      </c>
      <c r="R4211" s="7">
        <f t="shared" si="459"/>
        <v>8408.9915000000001</v>
      </c>
      <c r="S4211" s="7">
        <f t="shared" si="460"/>
        <v>1201.2845</v>
      </c>
      <c r="T4211" s="6">
        <f t="shared" si="461"/>
        <v>1.1182108626198083E-2</v>
      </c>
      <c r="V4211" t="s">
        <v>29</v>
      </c>
    </row>
    <row r="4212" spans="1:22">
      <c r="A4212" s="3">
        <v>45833</v>
      </c>
      <c r="B4212" t="str">
        <f t="shared" si="455"/>
        <v>yyyy-06</v>
      </c>
      <c r="C4212">
        <f t="shared" si="456"/>
        <v>26</v>
      </c>
      <c r="D4212" t="s">
        <v>42</v>
      </c>
      <c r="E4212" t="s">
        <v>43</v>
      </c>
      <c r="F4212" t="s">
        <v>46</v>
      </c>
      <c r="G4212" t="s">
        <v>36</v>
      </c>
      <c r="H4212" t="s">
        <v>37</v>
      </c>
      <c r="I4212" s="5">
        <v>697</v>
      </c>
      <c r="J4212" s="5">
        <v>389</v>
      </c>
      <c r="K4212" s="5">
        <v>51</v>
      </c>
      <c r="L4212" s="5">
        <v>11</v>
      </c>
      <c r="M4212" s="5">
        <v>11</v>
      </c>
      <c r="N4212" s="7">
        <v>2128.8200000000002</v>
      </c>
      <c r="O4212" s="7">
        <f t="shared" si="457"/>
        <v>23417.02</v>
      </c>
      <c r="P4212" s="4">
        <v>0</v>
      </c>
      <c r="Q4212" s="7">
        <f t="shared" si="458"/>
        <v>0</v>
      </c>
      <c r="R4212" s="7">
        <f t="shared" si="459"/>
        <v>23417.02</v>
      </c>
      <c r="S4212" s="7">
        <f t="shared" si="460"/>
        <v>2128.8200000000002</v>
      </c>
      <c r="T4212" s="6">
        <f t="shared" si="461"/>
        <v>1.5781922525107604E-2</v>
      </c>
      <c r="V4212" t="s">
        <v>29</v>
      </c>
    </row>
    <row r="4213" spans="1:22">
      <c r="A4213" s="3">
        <v>45833</v>
      </c>
      <c r="B4213" t="str">
        <f t="shared" si="455"/>
        <v>yyyy-06</v>
      </c>
      <c r="C4213">
        <f t="shared" si="456"/>
        <v>26</v>
      </c>
      <c r="D4213" t="s">
        <v>42</v>
      </c>
      <c r="E4213" t="s">
        <v>43</v>
      </c>
      <c r="F4213" t="s">
        <v>47</v>
      </c>
      <c r="G4213" t="s">
        <v>27</v>
      </c>
      <c r="H4213" t="s">
        <v>28</v>
      </c>
      <c r="I4213" s="5">
        <v>685</v>
      </c>
      <c r="J4213" s="5">
        <v>518</v>
      </c>
      <c r="K4213" s="5">
        <v>57</v>
      </c>
      <c r="L4213" s="5">
        <v>9</v>
      </c>
      <c r="M4213" s="5">
        <v>9</v>
      </c>
      <c r="N4213" s="7">
        <v>582.04</v>
      </c>
      <c r="O4213" s="7">
        <f t="shared" si="457"/>
        <v>5238.3599999999997</v>
      </c>
      <c r="P4213" s="4">
        <v>0</v>
      </c>
      <c r="Q4213" s="7">
        <f t="shared" si="458"/>
        <v>0</v>
      </c>
      <c r="R4213" s="7">
        <f t="shared" si="459"/>
        <v>5238.3599999999997</v>
      </c>
      <c r="S4213" s="7">
        <f t="shared" si="460"/>
        <v>582.04</v>
      </c>
      <c r="T4213" s="6">
        <f t="shared" si="461"/>
        <v>1.3138686131386862E-2</v>
      </c>
      <c r="V4213" t="s">
        <v>29</v>
      </c>
    </row>
    <row r="4214" spans="1:22">
      <c r="A4214" s="3">
        <v>45833</v>
      </c>
      <c r="B4214" t="str">
        <f t="shared" si="455"/>
        <v>yyyy-06</v>
      </c>
      <c r="C4214">
        <f t="shared" si="456"/>
        <v>26</v>
      </c>
      <c r="D4214" t="s">
        <v>42</v>
      </c>
      <c r="E4214" t="s">
        <v>49</v>
      </c>
      <c r="F4214" t="s">
        <v>50</v>
      </c>
      <c r="G4214" t="s">
        <v>27</v>
      </c>
      <c r="H4214" t="s">
        <v>45</v>
      </c>
      <c r="I4214" s="5">
        <v>139</v>
      </c>
      <c r="J4214" s="5">
        <v>85</v>
      </c>
      <c r="K4214" s="5">
        <v>8</v>
      </c>
      <c r="L4214" s="5">
        <v>2</v>
      </c>
      <c r="M4214" s="5">
        <v>2</v>
      </c>
      <c r="N4214" s="7">
        <v>993.23</v>
      </c>
      <c r="O4214" s="7">
        <f t="shared" si="457"/>
        <v>1986.46</v>
      </c>
      <c r="P4214" s="4">
        <v>0.03</v>
      </c>
      <c r="Q4214" s="7">
        <f t="shared" si="458"/>
        <v>59.593800000000002</v>
      </c>
      <c r="R4214" s="7">
        <f t="shared" si="459"/>
        <v>1926.8661999999999</v>
      </c>
      <c r="S4214" s="7">
        <f t="shared" si="460"/>
        <v>963.43309999999997</v>
      </c>
      <c r="T4214" s="6">
        <f t="shared" si="461"/>
        <v>1.4388489208633094E-2</v>
      </c>
      <c r="V4214" t="s">
        <v>29</v>
      </c>
    </row>
    <row r="4215" spans="1:22">
      <c r="A4215" s="3">
        <v>45833</v>
      </c>
      <c r="B4215" t="str">
        <f t="shared" si="455"/>
        <v>yyyy-06</v>
      </c>
      <c r="C4215">
        <f t="shared" si="456"/>
        <v>26</v>
      </c>
      <c r="D4215" t="s">
        <v>42</v>
      </c>
      <c r="E4215" t="s">
        <v>51</v>
      </c>
      <c r="F4215" t="s">
        <v>52</v>
      </c>
      <c r="G4215" t="s">
        <v>27</v>
      </c>
      <c r="H4215" t="s">
        <v>63</v>
      </c>
      <c r="I4215" s="5">
        <v>217</v>
      </c>
      <c r="J4215" s="5">
        <v>139</v>
      </c>
      <c r="K4215" s="5">
        <v>11</v>
      </c>
      <c r="L4215" s="5">
        <v>2</v>
      </c>
      <c r="M4215" s="5">
        <v>2</v>
      </c>
      <c r="N4215" s="7">
        <v>597.65</v>
      </c>
      <c r="O4215" s="7">
        <f t="shared" si="457"/>
        <v>1195.3</v>
      </c>
      <c r="P4215" s="4">
        <v>0</v>
      </c>
      <c r="Q4215" s="7">
        <f t="shared" si="458"/>
        <v>0</v>
      </c>
      <c r="R4215" s="7">
        <f t="shared" si="459"/>
        <v>1195.3</v>
      </c>
      <c r="S4215" s="7">
        <f t="shared" si="460"/>
        <v>597.65</v>
      </c>
      <c r="T4215" s="6">
        <f t="shared" si="461"/>
        <v>9.2165898617511521E-3</v>
      </c>
      <c r="V4215" t="s">
        <v>29</v>
      </c>
    </row>
    <row r="4216" spans="1:22">
      <c r="A4216" s="3">
        <v>45833</v>
      </c>
      <c r="B4216" t="str">
        <f t="shared" si="455"/>
        <v>yyyy-06</v>
      </c>
      <c r="C4216">
        <f t="shared" si="456"/>
        <v>26</v>
      </c>
      <c r="D4216" t="s">
        <v>53</v>
      </c>
      <c r="E4216" t="s">
        <v>54</v>
      </c>
      <c r="F4216" t="s">
        <v>55</v>
      </c>
      <c r="G4216" t="s">
        <v>27</v>
      </c>
      <c r="H4216" t="s">
        <v>28</v>
      </c>
      <c r="I4216" s="5">
        <v>190</v>
      </c>
      <c r="J4216" s="5">
        <v>131</v>
      </c>
      <c r="K4216" s="5">
        <v>16</v>
      </c>
      <c r="L4216" s="5">
        <v>2</v>
      </c>
      <c r="M4216" s="5">
        <v>2</v>
      </c>
      <c r="N4216" s="7">
        <v>1283.29</v>
      </c>
      <c r="O4216" s="7">
        <f t="shared" si="457"/>
        <v>2566.58</v>
      </c>
      <c r="P4216" s="4">
        <v>0.03</v>
      </c>
      <c r="Q4216" s="7">
        <f t="shared" si="458"/>
        <v>76.997399999999999</v>
      </c>
      <c r="R4216" s="7">
        <f t="shared" si="459"/>
        <v>2489.5825999999997</v>
      </c>
      <c r="S4216" s="7">
        <f t="shared" si="460"/>
        <v>1244.7912999999999</v>
      </c>
      <c r="T4216" s="6">
        <f t="shared" si="461"/>
        <v>1.0526315789473684E-2</v>
      </c>
      <c r="V4216" t="s">
        <v>29</v>
      </c>
    </row>
    <row r="4217" spans="1:22">
      <c r="A4217" s="3">
        <v>45833</v>
      </c>
      <c r="B4217" t="str">
        <f t="shared" si="455"/>
        <v>yyyy-06</v>
      </c>
      <c r="C4217">
        <f t="shared" si="456"/>
        <v>26</v>
      </c>
      <c r="D4217" t="s">
        <v>53</v>
      </c>
      <c r="E4217" t="s">
        <v>56</v>
      </c>
      <c r="F4217" t="s">
        <v>57</v>
      </c>
      <c r="G4217" t="s">
        <v>27</v>
      </c>
      <c r="H4217" t="s">
        <v>63</v>
      </c>
      <c r="I4217" s="5">
        <v>195</v>
      </c>
      <c r="J4217" s="5">
        <v>136</v>
      </c>
      <c r="K4217" s="5">
        <v>15</v>
      </c>
      <c r="L4217" s="5">
        <v>2</v>
      </c>
      <c r="M4217" s="5">
        <v>2</v>
      </c>
      <c r="N4217" s="7">
        <v>757.04</v>
      </c>
      <c r="O4217" s="7">
        <f t="shared" si="457"/>
        <v>1514.08</v>
      </c>
      <c r="P4217" s="4">
        <v>0</v>
      </c>
      <c r="Q4217" s="7">
        <f t="shared" si="458"/>
        <v>0</v>
      </c>
      <c r="R4217" s="7">
        <f t="shared" si="459"/>
        <v>1514.08</v>
      </c>
      <c r="S4217" s="7">
        <f t="shared" si="460"/>
        <v>757.04</v>
      </c>
      <c r="T4217" s="6">
        <f t="shared" si="461"/>
        <v>1.0256410256410256E-2</v>
      </c>
      <c r="V4217" t="s">
        <v>78</v>
      </c>
    </row>
    <row r="4218" spans="1:22">
      <c r="A4218" s="3">
        <v>45833</v>
      </c>
      <c r="B4218" t="str">
        <f t="shared" si="455"/>
        <v>yyyy-06</v>
      </c>
      <c r="C4218">
        <f t="shared" si="456"/>
        <v>26</v>
      </c>
      <c r="D4218" t="s">
        <v>53</v>
      </c>
      <c r="E4218" t="s">
        <v>56</v>
      </c>
      <c r="F4218" t="s">
        <v>58</v>
      </c>
      <c r="G4218" t="s">
        <v>36</v>
      </c>
      <c r="H4218" t="s">
        <v>37</v>
      </c>
      <c r="I4218" s="5">
        <v>242</v>
      </c>
      <c r="J4218" s="5">
        <v>168</v>
      </c>
      <c r="K4218" s="5">
        <v>19</v>
      </c>
      <c r="L4218" s="5">
        <v>3</v>
      </c>
      <c r="M4218" s="5">
        <v>3</v>
      </c>
      <c r="N4218" s="7">
        <v>915.69</v>
      </c>
      <c r="O4218" s="7">
        <f t="shared" si="457"/>
        <v>2747.07</v>
      </c>
      <c r="P4218" s="4">
        <v>0.03</v>
      </c>
      <c r="Q4218" s="7">
        <f t="shared" si="458"/>
        <v>82.412099999999995</v>
      </c>
      <c r="R4218" s="7">
        <f t="shared" si="459"/>
        <v>2664.6579000000002</v>
      </c>
      <c r="S4218" s="7">
        <f t="shared" si="460"/>
        <v>888.21930000000009</v>
      </c>
      <c r="T4218" s="6">
        <f t="shared" si="461"/>
        <v>1.2396694214876033E-2</v>
      </c>
      <c r="V4218" t="s">
        <v>29</v>
      </c>
    </row>
    <row r="4219" spans="1:22">
      <c r="A4219" s="3">
        <v>45833</v>
      </c>
      <c r="B4219" t="str">
        <f t="shared" si="455"/>
        <v>yyyy-06</v>
      </c>
      <c r="C4219">
        <f t="shared" si="456"/>
        <v>26</v>
      </c>
      <c r="D4219" t="s">
        <v>53</v>
      </c>
      <c r="E4219" t="s">
        <v>59</v>
      </c>
      <c r="F4219" t="s">
        <v>60</v>
      </c>
      <c r="G4219" t="s">
        <v>27</v>
      </c>
      <c r="H4219" t="s">
        <v>45</v>
      </c>
      <c r="I4219" s="5">
        <v>136</v>
      </c>
      <c r="J4219" s="5">
        <v>98</v>
      </c>
      <c r="K4219" s="5">
        <v>7</v>
      </c>
      <c r="L4219" s="5">
        <v>1</v>
      </c>
      <c r="M4219" s="5">
        <v>1</v>
      </c>
      <c r="N4219" s="7">
        <v>710.68</v>
      </c>
      <c r="O4219" s="7">
        <f t="shared" si="457"/>
        <v>710.68</v>
      </c>
      <c r="P4219" s="4">
        <v>0</v>
      </c>
      <c r="Q4219" s="7">
        <f t="shared" si="458"/>
        <v>0</v>
      </c>
      <c r="R4219" s="7">
        <f t="shared" si="459"/>
        <v>710.68</v>
      </c>
      <c r="S4219" s="7">
        <f t="shared" si="460"/>
        <v>710.68</v>
      </c>
      <c r="T4219" s="6">
        <f t="shared" si="461"/>
        <v>7.3529411764705881E-3</v>
      </c>
      <c r="V4219" t="s">
        <v>29</v>
      </c>
    </row>
    <row r="4220" spans="1:22">
      <c r="A4220" s="3">
        <v>45833</v>
      </c>
      <c r="B4220" t="str">
        <f t="shared" si="455"/>
        <v>yyyy-06</v>
      </c>
      <c r="C4220">
        <f t="shared" si="456"/>
        <v>26</v>
      </c>
      <c r="D4220" t="s">
        <v>53</v>
      </c>
      <c r="E4220" t="s">
        <v>61</v>
      </c>
      <c r="F4220" t="s">
        <v>62</v>
      </c>
      <c r="G4220" t="s">
        <v>27</v>
      </c>
      <c r="H4220" t="s">
        <v>48</v>
      </c>
      <c r="I4220" s="5">
        <v>219</v>
      </c>
      <c r="J4220" s="5">
        <v>166</v>
      </c>
      <c r="K4220" s="5">
        <v>19</v>
      </c>
      <c r="L4220" s="5">
        <v>2</v>
      </c>
      <c r="M4220" s="5">
        <v>2</v>
      </c>
      <c r="N4220" s="7">
        <v>497.37</v>
      </c>
      <c r="O4220" s="7">
        <f t="shared" si="457"/>
        <v>994.74</v>
      </c>
      <c r="P4220" s="4">
        <v>0.05</v>
      </c>
      <c r="Q4220" s="7">
        <f t="shared" si="458"/>
        <v>49.737000000000002</v>
      </c>
      <c r="R4220" s="7">
        <f t="shared" si="459"/>
        <v>945.00300000000004</v>
      </c>
      <c r="S4220" s="7">
        <f t="shared" si="460"/>
        <v>472.50150000000002</v>
      </c>
      <c r="T4220" s="6">
        <f t="shared" si="461"/>
        <v>9.1324200913242004E-3</v>
      </c>
      <c r="V4220" t="s">
        <v>29</v>
      </c>
    </row>
    <row r="4221" spans="1:22">
      <c r="A4221" s="3">
        <v>45833</v>
      </c>
      <c r="B4221" t="str">
        <f t="shared" si="455"/>
        <v>yyyy-06</v>
      </c>
      <c r="C4221">
        <f t="shared" si="456"/>
        <v>26</v>
      </c>
      <c r="D4221" t="s">
        <v>53</v>
      </c>
      <c r="E4221" t="s">
        <v>64</v>
      </c>
      <c r="F4221" t="s">
        <v>65</v>
      </c>
      <c r="G4221" t="s">
        <v>27</v>
      </c>
      <c r="H4221" t="s">
        <v>45</v>
      </c>
      <c r="I4221" s="5">
        <v>199</v>
      </c>
      <c r="J4221" s="5">
        <v>135</v>
      </c>
      <c r="K4221" s="5">
        <v>6</v>
      </c>
      <c r="L4221" s="5">
        <v>2</v>
      </c>
      <c r="M4221" s="5">
        <v>2</v>
      </c>
      <c r="N4221" s="7">
        <v>796.82</v>
      </c>
      <c r="O4221" s="7">
        <f t="shared" si="457"/>
        <v>1593.64</v>
      </c>
      <c r="P4221" s="4">
        <v>0.05</v>
      </c>
      <c r="Q4221" s="7">
        <f t="shared" si="458"/>
        <v>79.682000000000016</v>
      </c>
      <c r="R4221" s="7">
        <f t="shared" si="459"/>
        <v>1513.9580000000001</v>
      </c>
      <c r="S4221" s="7">
        <f t="shared" si="460"/>
        <v>756.97900000000004</v>
      </c>
      <c r="T4221" s="6">
        <f t="shared" si="461"/>
        <v>1.0050251256281407E-2</v>
      </c>
      <c r="V4221" t="s">
        <v>29</v>
      </c>
    </row>
    <row r="4222" spans="1:22">
      <c r="A4222" s="3">
        <v>45833</v>
      </c>
      <c r="B4222" t="str">
        <f t="shared" si="455"/>
        <v>yyyy-06</v>
      </c>
      <c r="C4222">
        <f t="shared" si="456"/>
        <v>26</v>
      </c>
      <c r="D4222" t="s">
        <v>66</v>
      </c>
      <c r="E4222" t="s">
        <v>67</v>
      </c>
      <c r="F4222" t="s">
        <v>68</v>
      </c>
      <c r="G4222" t="s">
        <v>27</v>
      </c>
      <c r="H4222" t="s">
        <v>45</v>
      </c>
      <c r="I4222" s="5">
        <v>394</v>
      </c>
      <c r="J4222" s="5">
        <v>265</v>
      </c>
      <c r="K4222" s="5">
        <v>20</v>
      </c>
      <c r="L4222" s="5">
        <v>6</v>
      </c>
      <c r="M4222" s="5">
        <v>6</v>
      </c>
      <c r="N4222" s="7">
        <v>694.16</v>
      </c>
      <c r="O4222" s="7">
        <f t="shared" si="457"/>
        <v>4164.96</v>
      </c>
      <c r="P4222" s="4">
        <v>0.05</v>
      </c>
      <c r="Q4222" s="7">
        <f t="shared" si="458"/>
        <v>208.24800000000002</v>
      </c>
      <c r="R4222" s="7">
        <f t="shared" si="459"/>
        <v>3956.712</v>
      </c>
      <c r="S4222" s="7">
        <f t="shared" si="460"/>
        <v>659.452</v>
      </c>
      <c r="T4222" s="6">
        <f t="shared" si="461"/>
        <v>1.5228426395939087E-2</v>
      </c>
      <c r="V4222" t="s">
        <v>29</v>
      </c>
    </row>
    <row r="4223" spans="1:22">
      <c r="A4223" s="3">
        <v>45833</v>
      </c>
      <c r="B4223" t="str">
        <f t="shared" si="455"/>
        <v>yyyy-06</v>
      </c>
      <c r="C4223">
        <f t="shared" si="456"/>
        <v>26</v>
      </c>
      <c r="D4223" t="s">
        <v>66</v>
      </c>
      <c r="E4223" t="s">
        <v>67</v>
      </c>
      <c r="F4223" t="s">
        <v>69</v>
      </c>
      <c r="G4223" t="s">
        <v>27</v>
      </c>
      <c r="H4223" t="s">
        <v>45</v>
      </c>
      <c r="I4223" s="5">
        <v>334</v>
      </c>
      <c r="J4223" s="5">
        <v>239</v>
      </c>
      <c r="K4223" s="5">
        <v>25</v>
      </c>
      <c r="L4223" s="5">
        <v>6</v>
      </c>
      <c r="M4223" s="5">
        <v>6</v>
      </c>
      <c r="N4223" s="7">
        <v>403.3</v>
      </c>
      <c r="O4223" s="7">
        <f t="shared" si="457"/>
        <v>2419.8000000000002</v>
      </c>
      <c r="P4223" s="4">
        <v>0.05</v>
      </c>
      <c r="Q4223" s="7">
        <f t="shared" si="458"/>
        <v>120.99000000000001</v>
      </c>
      <c r="R4223" s="7">
        <f t="shared" si="459"/>
        <v>2298.8100000000004</v>
      </c>
      <c r="S4223" s="7">
        <f t="shared" si="460"/>
        <v>383.13500000000005</v>
      </c>
      <c r="T4223" s="6">
        <f t="shared" si="461"/>
        <v>1.7964071856287425E-2</v>
      </c>
      <c r="V4223" t="s">
        <v>29</v>
      </c>
    </row>
    <row r="4224" spans="1:22">
      <c r="A4224" s="3">
        <v>45833</v>
      </c>
      <c r="B4224" t="str">
        <f t="shared" si="455"/>
        <v>yyyy-06</v>
      </c>
      <c r="C4224">
        <f t="shared" si="456"/>
        <v>26</v>
      </c>
      <c r="D4224" t="s">
        <v>66</v>
      </c>
      <c r="E4224" t="s">
        <v>67</v>
      </c>
      <c r="F4224" t="s">
        <v>70</v>
      </c>
      <c r="G4224" t="s">
        <v>27</v>
      </c>
      <c r="H4224" t="s">
        <v>28</v>
      </c>
      <c r="I4224" s="5">
        <v>434</v>
      </c>
      <c r="J4224" s="5">
        <v>293</v>
      </c>
      <c r="K4224" s="5">
        <v>19</v>
      </c>
      <c r="L4224" s="5">
        <v>6</v>
      </c>
      <c r="M4224" s="5">
        <v>6</v>
      </c>
      <c r="N4224" s="7">
        <v>341.64</v>
      </c>
      <c r="O4224" s="7">
        <f t="shared" si="457"/>
        <v>2049.84</v>
      </c>
      <c r="P4224" s="4">
        <v>0.05</v>
      </c>
      <c r="Q4224" s="7">
        <f t="shared" si="458"/>
        <v>102.49200000000002</v>
      </c>
      <c r="R4224" s="7">
        <f t="shared" si="459"/>
        <v>1947.3480000000002</v>
      </c>
      <c r="S4224" s="7">
        <f t="shared" si="460"/>
        <v>324.55800000000005</v>
      </c>
      <c r="T4224" s="6">
        <f t="shared" si="461"/>
        <v>1.3824884792626729E-2</v>
      </c>
      <c r="V4224" t="s">
        <v>78</v>
      </c>
    </row>
    <row r="4225" spans="1:22">
      <c r="A4225" s="3">
        <v>45833</v>
      </c>
      <c r="B4225" t="str">
        <f t="shared" si="455"/>
        <v>yyyy-06</v>
      </c>
      <c r="C4225">
        <f t="shared" si="456"/>
        <v>26</v>
      </c>
      <c r="D4225" t="s">
        <v>66</v>
      </c>
      <c r="E4225" t="s">
        <v>71</v>
      </c>
      <c r="F4225" t="s">
        <v>72</v>
      </c>
      <c r="G4225" t="s">
        <v>31</v>
      </c>
      <c r="H4225" t="s">
        <v>32</v>
      </c>
      <c r="I4225" s="5">
        <v>371</v>
      </c>
      <c r="J4225" s="5">
        <v>231</v>
      </c>
      <c r="K4225" s="5">
        <v>19</v>
      </c>
      <c r="L4225" s="5">
        <v>7</v>
      </c>
      <c r="M4225" s="5">
        <v>9</v>
      </c>
      <c r="N4225" s="7">
        <v>131.16</v>
      </c>
      <c r="O4225" s="7">
        <f t="shared" si="457"/>
        <v>1180.44</v>
      </c>
      <c r="P4225" s="4">
        <v>0.03</v>
      </c>
      <c r="Q4225" s="7">
        <f t="shared" si="458"/>
        <v>35.413200000000003</v>
      </c>
      <c r="R4225" s="7">
        <f t="shared" si="459"/>
        <v>1145.0268000000001</v>
      </c>
      <c r="S4225" s="7">
        <f t="shared" si="460"/>
        <v>163.57525714285717</v>
      </c>
      <c r="T4225" s="6">
        <f t="shared" si="461"/>
        <v>1.8867924528301886E-2</v>
      </c>
      <c r="V4225" t="s">
        <v>29</v>
      </c>
    </row>
    <row r="4226" spans="1:22">
      <c r="A4226" s="3">
        <v>45833</v>
      </c>
      <c r="B4226" t="str">
        <f t="shared" si="455"/>
        <v>yyyy-06</v>
      </c>
      <c r="C4226">
        <f t="shared" si="456"/>
        <v>26</v>
      </c>
      <c r="D4226" t="s">
        <v>66</v>
      </c>
      <c r="E4226" t="s">
        <v>73</v>
      </c>
      <c r="F4226" t="s">
        <v>74</v>
      </c>
      <c r="G4226" t="s">
        <v>31</v>
      </c>
      <c r="H4226" t="s">
        <v>32</v>
      </c>
      <c r="I4226" s="5">
        <v>340</v>
      </c>
      <c r="J4226" s="5">
        <v>279</v>
      </c>
      <c r="K4226" s="5">
        <v>30</v>
      </c>
      <c r="L4226" s="5">
        <v>6</v>
      </c>
      <c r="M4226" s="5">
        <v>6</v>
      </c>
      <c r="N4226" s="7">
        <v>1180.45</v>
      </c>
      <c r="O4226" s="7">
        <f t="shared" si="457"/>
        <v>7082.7000000000007</v>
      </c>
      <c r="P4226" s="4">
        <v>0</v>
      </c>
      <c r="Q4226" s="7">
        <f t="shared" si="458"/>
        <v>0</v>
      </c>
      <c r="R4226" s="7">
        <f t="shared" si="459"/>
        <v>7082.7000000000007</v>
      </c>
      <c r="S4226" s="7">
        <f t="shared" si="460"/>
        <v>1180.45</v>
      </c>
      <c r="T4226" s="6">
        <f t="shared" si="461"/>
        <v>1.7647058823529412E-2</v>
      </c>
      <c r="V4226" t="s">
        <v>29</v>
      </c>
    </row>
    <row r="4227" spans="1:22">
      <c r="A4227" s="3">
        <v>45833</v>
      </c>
      <c r="B4227" t="str">
        <f t="shared" si="455"/>
        <v>yyyy-06</v>
      </c>
      <c r="C4227">
        <f t="shared" si="456"/>
        <v>26</v>
      </c>
      <c r="D4227" t="s">
        <v>66</v>
      </c>
      <c r="E4227" t="s">
        <v>71</v>
      </c>
      <c r="F4227" t="s">
        <v>75</v>
      </c>
      <c r="G4227" t="s">
        <v>36</v>
      </c>
      <c r="H4227" t="s">
        <v>37</v>
      </c>
      <c r="I4227" s="5">
        <v>428</v>
      </c>
      <c r="J4227" s="5">
        <v>274</v>
      </c>
      <c r="K4227" s="5">
        <v>17</v>
      </c>
      <c r="L4227" s="5">
        <v>5</v>
      </c>
      <c r="M4227" s="5">
        <v>7</v>
      </c>
      <c r="N4227" s="7">
        <v>38.57</v>
      </c>
      <c r="O4227" s="7">
        <f t="shared" si="457"/>
        <v>269.99</v>
      </c>
      <c r="P4227" s="4">
        <v>0</v>
      </c>
      <c r="Q4227" s="7">
        <f t="shared" si="458"/>
        <v>0</v>
      </c>
      <c r="R4227" s="7">
        <f t="shared" si="459"/>
        <v>269.99</v>
      </c>
      <c r="S4227" s="7">
        <f t="shared" si="460"/>
        <v>53.998000000000005</v>
      </c>
      <c r="T4227" s="6">
        <f t="shared" si="461"/>
        <v>1.1682242990654205E-2</v>
      </c>
      <c r="V4227" t="s">
        <v>78</v>
      </c>
    </row>
    <row r="4228" spans="1:22">
      <c r="A4228" s="3">
        <v>45833</v>
      </c>
      <c r="B4228" t="str">
        <f t="shared" si="455"/>
        <v>yyyy-06</v>
      </c>
      <c r="C4228">
        <f t="shared" si="456"/>
        <v>26</v>
      </c>
      <c r="D4228" t="s">
        <v>24</v>
      </c>
      <c r="E4228" t="s">
        <v>76</v>
      </c>
      <c r="F4228" t="s">
        <v>77</v>
      </c>
      <c r="G4228" t="s">
        <v>27</v>
      </c>
      <c r="H4228" t="s">
        <v>63</v>
      </c>
      <c r="I4228" s="5">
        <v>477</v>
      </c>
      <c r="J4228" s="5">
        <v>332</v>
      </c>
      <c r="K4228" s="5">
        <v>47</v>
      </c>
      <c r="L4228" s="5">
        <v>11</v>
      </c>
      <c r="M4228" s="5">
        <v>15</v>
      </c>
      <c r="N4228" s="7">
        <v>199.7</v>
      </c>
      <c r="O4228" s="7">
        <f t="shared" si="457"/>
        <v>2995.5</v>
      </c>
      <c r="P4228" s="4">
        <v>0</v>
      </c>
      <c r="Q4228" s="7">
        <f t="shared" si="458"/>
        <v>0</v>
      </c>
      <c r="R4228" s="7">
        <f t="shared" si="459"/>
        <v>2995.5</v>
      </c>
      <c r="S4228" s="7">
        <f t="shared" si="460"/>
        <v>272.31818181818181</v>
      </c>
      <c r="T4228" s="6">
        <f t="shared" si="461"/>
        <v>2.3060796645702306E-2</v>
      </c>
      <c r="V4228" t="s">
        <v>29</v>
      </c>
    </row>
    <row r="4229" spans="1:22">
      <c r="A4229" s="3">
        <v>45834</v>
      </c>
      <c r="B4229" t="str">
        <f t="shared" ref="B4229:B4292" si="462">TEXT(A4229,"yyyy-mm")</f>
        <v>yyyy-06</v>
      </c>
      <c r="C4229">
        <f t="shared" ref="C4229:C4292" si="463">WEEKNUM(A4229,2)</f>
        <v>26</v>
      </c>
      <c r="D4229" t="s">
        <v>24</v>
      </c>
      <c r="E4229" t="s">
        <v>25</v>
      </c>
      <c r="F4229" t="s">
        <v>26</v>
      </c>
      <c r="G4229" t="s">
        <v>31</v>
      </c>
      <c r="H4229" t="s">
        <v>32</v>
      </c>
      <c r="I4229" s="5">
        <v>2249</v>
      </c>
      <c r="J4229" s="5">
        <v>1776</v>
      </c>
      <c r="K4229" s="5">
        <v>113</v>
      </c>
      <c r="L4229" s="5">
        <v>44</v>
      </c>
      <c r="M4229" s="5">
        <v>44</v>
      </c>
      <c r="N4229" s="7">
        <v>1016.43</v>
      </c>
      <c r="O4229" s="7">
        <f t="shared" ref="O4229:O4292" si="464">M4229*N4229</f>
        <v>44722.92</v>
      </c>
      <c r="P4229" s="4">
        <v>0</v>
      </c>
      <c r="Q4229" s="7">
        <f t="shared" ref="Q4229:Q4292" si="465">O4229*P4229</f>
        <v>0</v>
      </c>
      <c r="R4229" s="7">
        <f t="shared" ref="R4229:R4292" si="466">O4229-Q4229</f>
        <v>44722.92</v>
      </c>
      <c r="S4229" s="7">
        <f t="shared" ref="S4229:S4292" si="467">IFERROR(R4229/L4229,0)</f>
        <v>1016.43</v>
      </c>
      <c r="T4229" s="6">
        <f t="shared" ref="T4229:T4292" si="468">IFERROR(L4229/I4229,0)</f>
        <v>1.9564250778123609E-2</v>
      </c>
      <c r="V4229" t="s">
        <v>29</v>
      </c>
    </row>
    <row r="4230" spans="1:22">
      <c r="A4230" s="3">
        <v>45834</v>
      </c>
      <c r="B4230" t="str">
        <f t="shared" si="462"/>
        <v>yyyy-06</v>
      </c>
      <c r="C4230">
        <f t="shared" si="463"/>
        <v>26</v>
      </c>
      <c r="D4230" t="s">
        <v>24</v>
      </c>
      <c r="E4230" t="s">
        <v>25</v>
      </c>
      <c r="F4230" t="s">
        <v>30</v>
      </c>
      <c r="G4230" t="s">
        <v>36</v>
      </c>
      <c r="H4230" t="s">
        <v>37</v>
      </c>
      <c r="I4230" s="5">
        <v>2029</v>
      </c>
      <c r="J4230" s="5">
        <v>1406</v>
      </c>
      <c r="K4230" s="5">
        <v>166</v>
      </c>
      <c r="L4230" s="5">
        <v>34</v>
      </c>
      <c r="M4230" s="5">
        <v>34</v>
      </c>
      <c r="N4230" s="7">
        <v>393.22</v>
      </c>
      <c r="O4230" s="7">
        <f t="shared" si="464"/>
        <v>13369.480000000001</v>
      </c>
      <c r="P4230" s="4">
        <v>0</v>
      </c>
      <c r="Q4230" s="7">
        <f t="shared" si="465"/>
        <v>0</v>
      </c>
      <c r="R4230" s="7">
        <f t="shared" si="466"/>
        <v>13369.480000000001</v>
      </c>
      <c r="S4230" s="7">
        <f t="shared" si="467"/>
        <v>393.22</v>
      </c>
      <c r="T4230" s="6">
        <f t="shared" si="468"/>
        <v>1.6757023164120255E-2</v>
      </c>
      <c r="V4230" t="s">
        <v>78</v>
      </c>
    </row>
    <row r="4231" spans="1:22">
      <c r="A4231" s="3">
        <v>45834</v>
      </c>
      <c r="B4231" t="str">
        <f t="shared" si="462"/>
        <v>yyyy-06</v>
      </c>
      <c r="C4231">
        <f t="shared" si="463"/>
        <v>26</v>
      </c>
      <c r="D4231" t="s">
        <v>24</v>
      </c>
      <c r="E4231" t="s">
        <v>25</v>
      </c>
      <c r="F4231" t="s">
        <v>33</v>
      </c>
      <c r="G4231" t="s">
        <v>27</v>
      </c>
      <c r="H4231" t="s">
        <v>63</v>
      </c>
      <c r="I4231" s="5">
        <v>1141</v>
      </c>
      <c r="J4231" s="5">
        <v>782</v>
      </c>
      <c r="K4231" s="5">
        <v>88</v>
      </c>
      <c r="L4231" s="5">
        <v>22</v>
      </c>
      <c r="M4231" s="5">
        <v>22</v>
      </c>
      <c r="N4231" s="7">
        <v>1770.12</v>
      </c>
      <c r="O4231" s="7">
        <f t="shared" si="464"/>
        <v>38942.639999999999</v>
      </c>
      <c r="P4231" s="4">
        <v>0.03</v>
      </c>
      <c r="Q4231" s="7">
        <f t="shared" si="465"/>
        <v>1168.2791999999999</v>
      </c>
      <c r="R4231" s="7">
        <f t="shared" si="466"/>
        <v>37774.360800000002</v>
      </c>
      <c r="S4231" s="7">
        <f t="shared" si="467"/>
        <v>1717.0164000000002</v>
      </c>
      <c r="T4231" s="6">
        <f t="shared" si="468"/>
        <v>1.9281332164767746E-2</v>
      </c>
      <c r="V4231" t="s">
        <v>29</v>
      </c>
    </row>
    <row r="4232" spans="1:22">
      <c r="A4232" s="3">
        <v>45834</v>
      </c>
      <c r="B4232" t="str">
        <f t="shared" si="462"/>
        <v>yyyy-06</v>
      </c>
      <c r="C4232">
        <f t="shared" si="463"/>
        <v>26</v>
      </c>
      <c r="D4232" t="s">
        <v>24</v>
      </c>
      <c r="E4232" t="s">
        <v>34</v>
      </c>
      <c r="F4232" t="s">
        <v>35</v>
      </c>
      <c r="G4232" t="s">
        <v>27</v>
      </c>
      <c r="H4232" t="s">
        <v>28</v>
      </c>
      <c r="I4232" s="5">
        <v>1144</v>
      </c>
      <c r="J4232" s="5">
        <v>754</v>
      </c>
      <c r="K4232" s="5">
        <v>95</v>
      </c>
      <c r="L4232" s="5">
        <v>20</v>
      </c>
      <c r="M4232" s="5">
        <v>20</v>
      </c>
      <c r="N4232" s="7">
        <v>878.72</v>
      </c>
      <c r="O4232" s="7">
        <f t="shared" si="464"/>
        <v>17574.400000000001</v>
      </c>
      <c r="P4232" s="4">
        <v>0</v>
      </c>
      <c r="Q4232" s="7">
        <f t="shared" si="465"/>
        <v>0</v>
      </c>
      <c r="R4232" s="7">
        <f t="shared" si="466"/>
        <v>17574.400000000001</v>
      </c>
      <c r="S4232" s="7">
        <f t="shared" si="467"/>
        <v>878.72</v>
      </c>
      <c r="T4232" s="6">
        <f t="shared" si="468"/>
        <v>1.7482517482517484E-2</v>
      </c>
      <c r="V4232" t="s">
        <v>29</v>
      </c>
    </row>
    <row r="4233" spans="1:22">
      <c r="A4233" s="3">
        <v>45834</v>
      </c>
      <c r="B4233" t="str">
        <f t="shared" si="462"/>
        <v>yyyy-06</v>
      </c>
      <c r="C4233">
        <f t="shared" si="463"/>
        <v>26</v>
      </c>
      <c r="D4233" t="s">
        <v>24</v>
      </c>
      <c r="E4233" t="s">
        <v>38</v>
      </c>
      <c r="F4233" t="s">
        <v>39</v>
      </c>
      <c r="G4233" t="s">
        <v>27</v>
      </c>
      <c r="H4233" t="s">
        <v>45</v>
      </c>
      <c r="I4233" s="5">
        <v>845</v>
      </c>
      <c r="J4233" s="5">
        <v>555</v>
      </c>
      <c r="K4233" s="5">
        <v>66</v>
      </c>
      <c r="L4233" s="5">
        <v>21</v>
      </c>
      <c r="M4233" s="5">
        <v>21</v>
      </c>
      <c r="N4233" s="7">
        <v>321.64</v>
      </c>
      <c r="O4233" s="7">
        <f t="shared" si="464"/>
        <v>6754.44</v>
      </c>
      <c r="P4233" s="4">
        <v>0</v>
      </c>
      <c r="Q4233" s="7">
        <f t="shared" si="465"/>
        <v>0</v>
      </c>
      <c r="R4233" s="7">
        <f t="shared" si="466"/>
        <v>6754.44</v>
      </c>
      <c r="S4233" s="7">
        <f t="shared" si="467"/>
        <v>321.64</v>
      </c>
      <c r="T4233" s="6">
        <f t="shared" si="468"/>
        <v>2.4852071005917159E-2</v>
      </c>
      <c r="V4233" t="s">
        <v>29</v>
      </c>
    </row>
    <row r="4234" spans="1:22">
      <c r="A4234" s="3">
        <v>45834</v>
      </c>
      <c r="B4234" t="str">
        <f t="shared" si="462"/>
        <v>yyyy-06</v>
      </c>
      <c r="C4234">
        <f t="shared" si="463"/>
        <v>26</v>
      </c>
      <c r="D4234" t="s">
        <v>24</v>
      </c>
      <c r="E4234" t="s">
        <v>40</v>
      </c>
      <c r="F4234" t="s">
        <v>41</v>
      </c>
      <c r="G4234" t="s">
        <v>31</v>
      </c>
      <c r="H4234" t="s">
        <v>32</v>
      </c>
      <c r="I4234" s="5">
        <v>749</v>
      </c>
      <c r="J4234" s="5">
        <v>563</v>
      </c>
      <c r="K4234" s="5">
        <v>72</v>
      </c>
      <c r="L4234" s="5">
        <v>17</v>
      </c>
      <c r="M4234" s="5">
        <v>18</v>
      </c>
      <c r="N4234" s="7">
        <v>177.65</v>
      </c>
      <c r="O4234" s="7">
        <f t="shared" si="464"/>
        <v>3197.7000000000003</v>
      </c>
      <c r="P4234" s="4">
        <v>0.05</v>
      </c>
      <c r="Q4234" s="7">
        <f t="shared" si="465"/>
        <v>159.88500000000002</v>
      </c>
      <c r="R4234" s="7">
        <f t="shared" si="466"/>
        <v>3037.8150000000001</v>
      </c>
      <c r="S4234" s="7">
        <f t="shared" si="467"/>
        <v>178.69499999999999</v>
      </c>
      <c r="T4234" s="6">
        <f t="shared" si="468"/>
        <v>2.2696929238985315E-2</v>
      </c>
      <c r="V4234" t="s">
        <v>29</v>
      </c>
    </row>
    <row r="4235" spans="1:22">
      <c r="A4235" s="3">
        <v>45834</v>
      </c>
      <c r="B4235" t="str">
        <f t="shared" si="462"/>
        <v>yyyy-06</v>
      </c>
      <c r="C4235">
        <f t="shared" si="463"/>
        <v>26</v>
      </c>
      <c r="D4235" t="s">
        <v>42</v>
      </c>
      <c r="E4235" t="s">
        <v>43</v>
      </c>
      <c r="F4235" t="s">
        <v>44</v>
      </c>
      <c r="G4235" t="s">
        <v>36</v>
      </c>
      <c r="H4235" t="s">
        <v>37</v>
      </c>
      <c r="I4235" s="5">
        <v>665</v>
      </c>
      <c r="J4235" s="5">
        <v>449</v>
      </c>
      <c r="K4235" s="5">
        <v>48</v>
      </c>
      <c r="L4235" s="5">
        <v>11</v>
      </c>
      <c r="M4235" s="5">
        <v>11</v>
      </c>
      <c r="N4235" s="7">
        <v>1250.6600000000001</v>
      </c>
      <c r="O4235" s="7">
        <f t="shared" si="464"/>
        <v>13757.26</v>
      </c>
      <c r="P4235" s="4">
        <v>0</v>
      </c>
      <c r="Q4235" s="7">
        <f t="shared" si="465"/>
        <v>0</v>
      </c>
      <c r="R4235" s="7">
        <f t="shared" si="466"/>
        <v>13757.26</v>
      </c>
      <c r="S4235" s="7">
        <f t="shared" si="467"/>
        <v>1250.6600000000001</v>
      </c>
      <c r="T4235" s="6">
        <f t="shared" si="468"/>
        <v>1.6541353383458645E-2</v>
      </c>
      <c r="V4235" t="s">
        <v>29</v>
      </c>
    </row>
    <row r="4236" spans="1:22">
      <c r="A4236" s="3">
        <v>45834</v>
      </c>
      <c r="B4236" t="str">
        <f t="shared" si="462"/>
        <v>yyyy-06</v>
      </c>
      <c r="C4236">
        <f t="shared" si="463"/>
        <v>26</v>
      </c>
      <c r="D4236" t="s">
        <v>42</v>
      </c>
      <c r="E4236" t="s">
        <v>43</v>
      </c>
      <c r="F4236" t="s">
        <v>46</v>
      </c>
      <c r="G4236" t="s">
        <v>31</v>
      </c>
      <c r="H4236" t="s">
        <v>32</v>
      </c>
      <c r="I4236" s="5">
        <v>744</v>
      </c>
      <c r="J4236" s="5">
        <v>390</v>
      </c>
      <c r="K4236" s="5">
        <v>40</v>
      </c>
      <c r="L4236" s="5">
        <v>9</v>
      </c>
      <c r="M4236" s="5">
        <v>9</v>
      </c>
      <c r="N4236" s="7">
        <v>2208.0300000000002</v>
      </c>
      <c r="O4236" s="7">
        <f t="shared" si="464"/>
        <v>19872.27</v>
      </c>
      <c r="P4236" s="4">
        <v>0</v>
      </c>
      <c r="Q4236" s="7">
        <f t="shared" si="465"/>
        <v>0</v>
      </c>
      <c r="R4236" s="7">
        <f t="shared" si="466"/>
        <v>19872.27</v>
      </c>
      <c r="S4236" s="7">
        <f t="shared" si="467"/>
        <v>2208.0300000000002</v>
      </c>
      <c r="T4236" s="6">
        <f t="shared" si="468"/>
        <v>1.2096774193548387E-2</v>
      </c>
      <c r="V4236" t="s">
        <v>29</v>
      </c>
    </row>
    <row r="4237" spans="1:22">
      <c r="A4237" s="3">
        <v>45834</v>
      </c>
      <c r="B4237" t="str">
        <f t="shared" si="462"/>
        <v>yyyy-06</v>
      </c>
      <c r="C4237">
        <f t="shared" si="463"/>
        <v>26</v>
      </c>
      <c r="D4237" t="s">
        <v>42</v>
      </c>
      <c r="E4237" t="s">
        <v>43</v>
      </c>
      <c r="F4237" t="s">
        <v>47</v>
      </c>
      <c r="G4237" t="s">
        <v>27</v>
      </c>
      <c r="H4237" t="s">
        <v>63</v>
      </c>
      <c r="I4237" s="5">
        <v>445</v>
      </c>
      <c r="J4237" s="5">
        <v>303</v>
      </c>
      <c r="K4237" s="5">
        <v>32</v>
      </c>
      <c r="L4237" s="5">
        <v>5</v>
      </c>
      <c r="M4237" s="5">
        <v>5</v>
      </c>
      <c r="N4237" s="7">
        <v>578.13</v>
      </c>
      <c r="O4237" s="7">
        <f t="shared" si="464"/>
        <v>2890.65</v>
      </c>
      <c r="P4237" s="4">
        <v>0</v>
      </c>
      <c r="Q4237" s="7">
        <f t="shared" si="465"/>
        <v>0</v>
      </c>
      <c r="R4237" s="7">
        <f t="shared" si="466"/>
        <v>2890.65</v>
      </c>
      <c r="S4237" s="7">
        <f t="shared" si="467"/>
        <v>578.13</v>
      </c>
      <c r="T4237" s="6">
        <f t="shared" si="468"/>
        <v>1.1235955056179775E-2</v>
      </c>
      <c r="V4237" t="s">
        <v>29</v>
      </c>
    </row>
    <row r="4238" spans="1:22">
      <c r="A4238" s="3">
        <v>45834</v>
      </c>
      <c r="B4238" t="str">
        <f t="shared" si="462"/>
        <v>yyyy-06</v>
      </c>
      <c r="C4238">
        <f t="shared" si="463"/>
        <v>26</v>
      </c>
      <c r="D4238" t="s">
        <v>42</v>
      </c>
      <c r="E4238" t="s">
        <v>49</v>
      </c>
      <c r="F4238" t="s">
        <v>50</v>
      </c>
      <c r="G4238" t="s">
        <v>27</v>
      </c>
      <c r="H4238" t="s">
        <v>28</v>
      </c>
      <c r="I4238" s="5">
        <v>196</v>
      </c>
      <c r="J4238" s="5">
        <v>128</v>
      </c>
      <c r="K4238" s="5">
        <v>12</v>
      </c>
      <c r="L4238" s="5">
        <v>2</v>
      </c>
      <c r="M4238" s="5">
        <v>2</v>
      </c>
      <c r="N4238" s="7">
        <v>985.44</v>
      </c>
      <c r="O4238" s="7">
        <f t="shared" si="464"/>
        <v>1970.88</v>
      </c>
      <c r="P4238" s="4">
        <v>0.05</v>
      </c>
      <c r="Q4238" s="7">
        <f t="shared" si="465"/>
        <v>98.544000000000011</v>
      </c>
      <c r="R4238" s="7">
        <f t="shared" si="466"/>
        <v>1872.336</v>
      </c>
      <c r="S4238" s="7">
        <f t="shared" si="467"/>
        <v>936.16800000000001</v>
      </c>
      <c r="T4238" s="6">
        <f t="shared" si="468"/>
        <v>1.020408163265306E-2</v>
      </c>
      <c r="V4238" t="s">
        <v>29</v>
      </c>
    </row>
    <row r="4239" spans="1:22">
      <c r="A4239" s="3">
        <v>45834</v>
      </c>
      <c r="B4239" t="str">
        <f t="shared" si="462"/>
        <v>yyyy-06</v>
      </c>
      <c r="C4239">
        <f t="shared" si="463"/>
        <v>26</v>
      </c>
      <c r="D4239" t="s">
        <v>42</v>
      </c>
      <c r="E4239" t="s">
        <v>51</v>
      </c>
      <c r="F4239" t="s">
        <v>52</v>
      </c>
      <c r="G4239" t="s">
        <v>27</v>
      </c>
      <c r="H4239" t="s">
        <v>28</v>
      </c>
      <c r="I4239" s="5">
        <v>334</v>
      </c>
      <c r="J4239" s="5">
        <v>230</v>
      </c>
      <c r="K4239" s="5">
        <v>20</v>
      </c>
      <c r="L4239" s="5">
        <v>3</v>
      </c>
      <c r="M4239" s="5">
        <v>3</v>
      </c>
      <c r="N4239" s="7">
        <v>579.72</v>
      </c>
      <c r="O4239" s="7">
        <f t="shared" si="464"/>
        <v>1739.16</v>
      </c>
      <c r="P4239" s="4">
        <v>0</v>
      </c>
      <c r="Q4239" s="7">
        <f t="shared" si="465"/>
        <v>0</v>
      </c>
      <c r="R4239" s="7">
        <f t="shared" si="466"/>
        <v>1739.16</v>
      </c>
      <c r="S4239" s="7">
        <f t="shared" si="467"/>
        <v>579.72</v>
      </c>
      <c r="T4239" s="6">
        <f t="shared" si="468"/>
        <v>8.9820359281437123E-3</v>
      </c>
      <c r="V4239" t="s">
        <v>78</v>
      </c>
    </row>
    <row r="4240" spans="1:22">
      <c r="A4240" s="3">
        <v>45834</v>
      </c>
      <c r="B4240" t="str">
        <f t="shared" si="462"/>
        <v>yyyy-06</v>
      </c>
      <c r="C4240">
        <f t="shared" si="463"/>
        <v>26</v>
      </c>
      <c r="D4240" t="s">
        <v>53</v>
      </c>
      <c r="E4240" t="s">
        <v>54</v>
      </c>
      <c r="F4240" t="s">
        <v>55</v>
      </c>
      <c r="G4240" t="s">
        <v>36</v>
      </c>
      <c r="H4240" t="s">
        <v>37</v>
      </c>
      <c r="I4240" s="5">
        <v>204</v>
      </c>
      <c r="J4240" s="5">
        <v>142</v>
      </c>
      <c r="K4240" s="5">
        <v>14</v>
      </c>
      <c r="L4240" s="5">
        <v>3</v>
      </c>
      <c r="M4240" s="5">
        <v>3</v>
      </c>
      <c r="N4240" s="7">
        <v>1294.3499999999999</v>
      </c>
      <c r="O4240" s="7">
        <f t="shared" si="464"/>
        <v>3883.0499999999997</v>
      </c>
      <c r="P4240" s="4">
        <v>0</v>
      </c>
      <c r="Q4240" s="7">
        <f t="shared" si="465"/>
        <v>0</v>
      </c>
      <c r="R4240" s="7">
        <f t="shared" si="466"/>
        <v>3883.0499999999997</v>
      </c>
      <c r="S4240" s="7">
        <f t="shared" si="467"/>
        <v>1294.3499999999999</v>
      </c>
      <c r="T4240" s="6">
        <f t="shared" si="468"/>
        <v>1.4705882352941176E-2</v>
      </c>
      <c r="V4240" t="s">
        <v>29</v>
      </c>
    </row>
    <row r="4241" spans="1:22">
      <c r="A4241" s="3">
        <v>45834</v>
      </c>
      <c r="B4241" t="str">
        <f t="shared" si="462"/>
        <v>yyyy-06</v>
      </c>
      <c r="C4241">
        <f t="shared" si="463"/>
        <v>26</v>
      </c>
      <c r="D4241" t="s">
        <v>53</v>
      </c>
      <c r="E4241" t="s">
        <v>56</v>
      </c>
      <c r="F4241" t="s">
        <v>57</v>
      </c>
      <c r="G4241" t="s">
        <v>36</v>
      </c>
      <c r="H4241" t="s">
        <v>37</v>
      </c>
      <c r="I4241" s="5">
        <v>222</v>
      </c>
      <c r="J4241" s="5">
        <v>174</v>
      </c>
      <c r="K4241" s="5">
        <v>11</v>
      </c>
      <c r="L4241" s="5">
        <v>3</v>
      </c>
      <c r="M4241" s="5">
        <v>3</v>
      </c>
      <c r="N4241" s="7">
        <v>749.5</v>
      </c>
      <c r="O4241" s="7">
        <f t="shared" si="464"/>
        <v>2248.5</v>
      </c>
      <c r="P4241" s="4">
        <v>0</v>
      </c>
      <c r="Q4241" s="7">
        <f t="shared" si="465"/>
        <v>0</v>
      </c>
      <c r="R4241" s="7">
        <f t="shared" si="466"/>
        <v>2248.5</v>
      </c>
      <c r="S4241" s="7">
        <f t="shared" si="467"/>
        <v>749.5</v>
      </c>
      <c r="T4241" s="6">
        <f t="shared" si="468"/>
        <v>1.3513513513513514E-2</v>
      </c>
      <c r="V4241" t="s">
        <v>29</v>
      </c>
    </row>
    <row r="4242" spans="1:22">
      <c r="A4242" s="3">
        <v>45834</v>
      </c>
      <c r="B4242" t="str">
        <f t="shared" si="462"/>
        <v>yyyy-06</v>
      </c>
      <c r="C4242">
        <f t="shared" si="463"/>
        <v>26</v>
      </c>
      <c r="D4242" t="s">
        <v>53</v>
      </c>
      <c r="E4242" t="s">
        <v>56</v>
      </c>
      <c r="F4242" t="s">
        <v>58</v>
      </c>
      <c r="G4242" t="s">
        <v>27</v>
      </c>
      <c r="H4242" t="s">
        <v>45</v>
      </c>
      <c r="I4242" s="5">
        <v>172</v>
      </c>
      <c r="J4242" s="5">
        <v>101</v>
      </c>
      <c r="K4242" s="5">
        <v>5</v>
      </c>
      <c r="L4242" s="5">
        <v>2</v>
      </c>
      <c r="M4242" s="5">
        <v>2</v>
      </c>
      <c r="N4242" s="7">
        <v>882.61</v>
      </c>
      <c r="O4242" s="7">
        <f t="shared" si="464"/>
        <v>1765.22</v>
      </c>
      <c r="P4242" s="4">
        <v>0</v>
      </c>
      <c r="Q4242" s="7">
        <f t="shared" si="465"/>
        <v>0</v>
      </c>
      <c r="R4242" s="7">
        <f t="shared" si="466"/>
        <v>1765.22</v>
      </c>
      <c r="S4242" s="7">
        <f t="shared" si="467"/>
        <v>882.61</v>
      </c>
      <c r="T4242" s="6">
        <f t="shared" si="468"/>
        <v>1.1627906976744186E-2</v>
      </c>
      <c r="V4242" t="s">
        <v>29</v>
      </c>
    </row>
    <row r="4243" spans="1:22">
      <c r="A4243" s="3">
        <v>45834</v>
      </c>
      <c r="B4243" t="str">
        <f t="shared" si="462"/>
        <v>yyyy-06</v>
      </c>
      <c r="C4243">
        <f t="shared" si="463"/>
        <v>26</v>
      </c>
      <c r="D4243" t="s">
        <v>53</v>
      </c>
      <c r="E4243" t="s">
        <v>59</v>
      </c>
      <c r="F4243" t="s">
        <v>60</v>
      </c>
      <c r="G4243" t="s">
        <v>27</v>
      </c>
      <c r="H4243" t="s">
        <v>45</v>
      </c>
      <c r="I4243" s="5">
        <v>194</v>
      </c>
      <c r="J4243" s="5">
        <v>115</v>
      </c>
      <c r="K4243" s="5">
        <v>9</v>
      </c>
      <c r="L4243" s="5">
        <v>2</v>
      </c>
      <c r="M4243" s="5">
        <v>2</v>
      </c>
      <c r="N4243" s="7">
        <v>698</v>
      </c>
      <c r="O4243" s="7">
        <f t="shared" si="464"/>
        <v>1396</v>
      </c>
      <c r="P4243" s="4">
        <v>0.05</v>
      </c>
      <c r="Q4243" s="7">
        <f t="shared" si="465"/>
        <v>69.8</v>
      </c>
      <c r="R4243" s="7">
        <f t="shared" si="466"/>
        <v>1326.2</v>
      </c>
      <c r="S4243" s="7">
        <f t="shared" si="467"/>
        <v>663.1</v>
      </c>
      <c r="T4243" s="6">
        <f t="shared" si="468"/>
        <v>1.0309278350515464E-2</v>
      </c>
      <c r="V4243" t="s">
        <v>29</v>
      </c>
    </row>
    <row r="4244" spans="1:22">
      <c r="A4244" s="3">
        <v>45834</v>
      </c>
      <c r="B4244" t="str">
        <f t="shared" si="462"/>
        <v>yyyy-06</v>
      </c>
      <c r="C4244">
        <f t="shared" si="463"/>
        <v>26</v>
      </c>
      <c r="D4244" t="s">
        <v>53</v>
      </c>
      <c r="E4244" t="s">
        <v>61</v>
      </c>
      <c r="F4244" t="s">
        <v>62</v>
      </c>
      <c r="G4244" t="s">
        <v>31</v>
      </c>
      <c r="H4244" t="s">
        <v>32</v>
      </c>
      <c r="I4244" s="5">
        <v>239</v>
      </c>
      <c r="J4244" s="5">
        <v>188</v>
      </c>
      <c r="K4244" s="5">
        <v>14</v>
      </c>
      <c r="L4244" s="5">
        <v>3</v>
      </c>
      <c r="M4244" s="5">
        <v>3</v>
      </c>
      <c r="N4244" s="7">
        <v>500.07</v>
      </c>
      <c r="O4244" s="7">
        <f t="shared" si="464"/>
        <v>1500.21</v>
      </c>
      <c r="P4244" s="4">
        <v>0</v>
      </c>
      <c r="Q4244" s="7">
        <f t="shared" si="465"/>
        <v>0</v>
      </c>
      <c r="R4244" s="7">
        <f t="shared" si="466"/>
        <v>1500.21</v>
      </c>
      <c r="S4244" s="7">
        <f t="shared" si="467"/>
        <v>500.07</v>
      </c>
      <c r="T4244" s="6">
        <f t="shared" si="468"/>
        <v>1.2552301255230125E-2</v>
      </c>
      <c r="V4244" t="s">
        <v>29</v>
      </c>
    </row>
    <row r="4245" spans="1:22">
      <c r="A4245" s="3">
        <v>45834</v>
      </c>
      <c r="B4245" t="str">
        <f t="shared" si="462"/>
        <v>yyyy-06</v>
      </c>
      <c r="C4245">
        <f t="shared" si="463"/>
        <v>26</v>
      </c>
      <c r="D4245" t="s">
        <v>53</v>
      </c>
      <c r="E4245" t="s">
        <v>64</v>
      </c>
      <c r="F4245" t="s">
        <v>65</v>
      </c>
      <c r="G4245" t="s">
        <v>27</v>
      </c>
      <c r="H4245" t="s">
        <v>45</v>
      </c>
      <c r="I4245" s="5">
        <v>211</v>
      </c>
      <c r="J4245" s="5">
        <v>123</v>
      </c>
      <c r="K4245" s="5">
        <v>12</v>
      </c>
      <c r="L4245" s="5">
        <v>3</v>
      </c>
      <c r="M4245" s="5">
        <v>3</v>
      </c>
      <c r="N4245" s="7">
        <v>800.67</v>
      </c>
      <c r="O4245" s="7">
        <f t="shared" si="464"/>
        <v>2402.0099999999998</v>
      </c>
      <c r="P4245" s="4">
        <v>0</v>
      </c>
      <c r="Q4245" s="7">
        <f t="shared" si="465"/>
        <v>0</v>
      </c>
      <c r="R4245" s="7">
        <f t="shared" si="466"/>
        <v>2402.0099999999998</v>
      </c>
      <c r="S4245" s="7">
        <f t="shared" si="467"/>
        <v>800.67</v>
      </c>
      <c r="T4245" s="6">
        <f t="shared" si="468"/>
        <v>1.4218009478672985E-2</v>
      </c>
      <c r="V4245" t="s">
        <v>29</v>
      </c>
    </row>
    <row r="4246" spans="1:22">
      <c r="A4246" s="3">
        <v>45834</v>
      </c>
      <c r="B4246" t="str">
        <f t="shared" si="462"/>
        <v>yyyy-06</v>
      </c>
      <c r="C4246">
        <f t="shared" si="463"/>
        <v>26</v>
      </c>
      <c r="D4246" t="s">
        <v>66</v>
      </c>
      <c r="E4246" t="s">
        <v>67</v>
      </c>
      <c r="F4246" t="s">
        <v>68</v>
      </c>
      <c r="G4246" t="s">
        <v>27</v>
      </c>
      <c r="H4246" t="s">
        <v>48</v>
      </c>
      <c r="I4246" s="5">
        <v>287</v>
      </c>
      <c r="J4246" s="5">
        <v>216</v>
      </c>
      <c r="K4246" s="5">
        <v>20</v>
      </c>
      <c r="L4246" s="5">
        <v>6</v>
      </c>
      <c r="M4246" s="5">
        <v>6</v>
      </c>
      <c r="N4246" s="7">
        <v>706.36</v>
      </c>
      <c r="O4246" s="7">
        <f t="shared" si="464"/>
        <v>4238.16</v>
      </c>
      <c r="P4246" s="4">
        <v>0.05</v>
      </c>
      <c r="Q4246" s="7">
        <f t="shared" si="465"/>
        <v>211.90800000000002</v>
      </c>
      <c r="R4246" s="7">
        <f t="shared" si="466"/>
        <v>4026.252</v>
      </c>
      <c r="S4246" s="7">
        <f t="shared" si="467"/>
        <v>671.04200000000003</v>
      </c>
      <c r="T4246" s="6">
        <f t="shared" si="468"/>
        <v>2.0905923344947737E-2</v>
      </c>
      <c r="V4246" t="s">
        <v>29</v>
      </c>
    </row>
    <row r="4247" spans="1:22">
      <c r="A4247" s="3">
        <v>45834</v>
      </c>
      <c r="B4247" t="str">
        <f t="shared" si="462"/>
        <v>yyyy-06</v>
      </c>
      <c r="C4247">
        <f t="shared" si="463"/>
        <v>26</v>
      </c>
      <c r="D4247" t="s">
        <v>66</v>
      </c>
      <c r="E4247" t="s">
        <v>67</v>
      </c>
      <c r="F4247" t="s">
        <v>69</v>
      </c>
      <c r="G4247" t="s">
        <v>31</v>
      </c>
      <c r="H4247" t="s">
        <v>32</v>
      </c>
      <c r="I4247" s="5">
        <v>408</v>
      </c>
      <c r="J4247" s="5">
        <v>218</v>
      </c>
      <c r="K4247" s="5">
        <v>39</v>
      </c>
      <c r="L4247" s="5">
        <v>8</v>
      </c>
      <c r="M4247" s="5">
        <v>8</v>
      </c>
      <c r="N4247" s="7">
        <v>394.96</v>
      </c>
      <c r="O4247" s="7">
        <f t="shared" si="464"/>
        <v>3159.68</v>
      </c>
      <c r="P4247" s="4">
        <v>0</v>
      </c>
      <c r="Q4247" s="7">
        <f t="shared" si="465"/>
        <v>0</v>
      </c>
      <c r="R4247" s="7">
        <f t="shared" si="466"/>
        <v>3159.68</v>
      </c>
      <c r="S4247" s="7">
        <f t="shared" si="467"/>
        <v>394.96</v>
      </c>
      <c r="T4247" s="6">
        <f t="shared" si="468"/>
        <v>1.9607843137254902E-2</v>
      </c>
      <c r="V4247" t="s">
        <v>29</v>
      </c>
    </row>
    <row r="4248" spans="1:22">
      <c r="A4248" s="3">
        <v>45834</v>
      </c>
      <c r="B4248" t="str">
        <f t="shared" si="462"/>
        <v>yyyy-06</v>
      </c>
      <c r="C4248">
        <f t="shared" si="463"/>
        <v>26</v>
      </c>
      <c r="D4248" t="s">
        <v>66</v>
      </c>
      <c r="E4248" t="s">
        <v>67</v>
      </c>
      <c r="F4248" t="s">
        <v>70</v>
      </c>
      <c r="G4248" t="s">
        <v>31</v>
      </c>
      <c r="H4248" t="s">
        <v>32</v>
      </c>
      <c r="I4248" s="5">
        <v>581</v>
      </c>
      <c r="J4248" s="5">
        <v>322</v>
      </c>
      <c r="K4248" s="5">
        <v>32</v>
      </c>
      <c r="L4248" s="5">
        <v>10</v>
      </c>
      <c r="M4248" s="5">
        <v>10</v>
      </c>
      <c r="N4248" s="7">
        <v>346.79</v>
      </c>
      <c r="O4248" s="7">
        <f t="shared" si="464"/>
        <v>3467.9</v>
      </c>
      <c r="P4248" s="4">
        <v>0.03</v>
      </c>
      <c r="Q4248" s="7">
        <f t="shared" si="465"/>
        <v>104.03699999999999</v>
      </c>
      <c r="R4248" s="7">
        <f t="shared" si="466"/>
        <v>3363.8630000000003</v>
      </c>
      <c r="S4248" s="7">
        <f t="shared" si="467"/>
        <v>336.38630000000001</v>
      </c>
      <c r="T4248" s="6">
        <f t="shared" si="468"/>
        <v>1.7211703958691909E-2</v>
      </c>
      <c r="V4248" t="s">
        <v>29</v>
      </c>
    </row>
    <row r="4249" spans="1:22">
      <c r="A4249" s="3">
        <v>45834</v>
      </c>
      <c r="B4249" t="str">
        <f t="shared" si="462"/>
        <v>yyyy-06</v>
      </c>
      <c r="C4249">
        <f t="shared" si="463"/>
        <v>26</v>
      </c>
      <c r="D4249" t="s">
        <v>66</v>
      </c>
      <c r="E4249" t="s">
        <v>71</v>
      </c>
      <c r="F4249" t="s">
        <v>72</v>
      </c>
      <c r="G4249" t="s">
        <v>31</v>
      </c>
      <c r="H4249" t="s">
        <v>32</v>
      </c>
      <c r="I4249" s="5">
        <v>404</v>
      </c>
      <c r="J4249" s="5">
        <v>285</v>
      </c>
      <c r="K4249" s="5">
        <v>29</v>
      </c>
      <c r="L4249" s="5">
        <v>8</v>
      </c>
      <c r="M4249" s="5">
        <v>9</v>
      </c>
      <c r="N4249" s="7">
        <v>125.79</v>
      </c>
      <c r="O4249" s="7">
        <f t="shared" si="464"/>
        <v>1132.1100000000001</v>
      </c>
      <c r="P4249" s="4">
        <v>0</v>
      </c>
      <c r="Q4249" s="7">
        <f t="shared" si="465"/>
        <v>0</v>
      </c>
      <c r="R4249" s="7">
        <f t="shared" si="466"/>
        <v>1132.1100000000001</v>
      </c>
      <c r="S4249" s="7">
        <f t="shared" si="467"/>
        <v>141.51375000000002</v>
      </c>
      <c r="T4249" s="6">
        <f t="shared" si="468"/>
        <v>1.9801980198019802E-2</v>
      </c>
      <c r="V4249" t="s">
        <v>29</v>
      </c>
    </row>
    <row r="4250" spans="1:22">
      <c r="A4250" s="3">
        <v>45834</v>
      </c>
      <c r="B4250" t="str">
        <f t="shared" si="462"/>
        <v>yyyy-06</v>
      </c>
      <c r="C4250">
        <f t="shared" si="463"/>
        <v>26</v>
      </c>
      <c r="D4250" t="s">
        <v>66</v>
      </c>
      <c r="E4250" t="s">
        <v>73</v>
      </c>
      <c r="F4250" t="s">
        <v>74</v>
      </c>
      <c r="G4250" t="s">
        <v>36</v>
      </c>
      <c r="H4250" t="s">
        <v>37</v>
      </c>
      <c r="I4250" s="5">
        <v>240</v>
      </c>
      <c r="J4250" s="5">
        <v>136</v>
      </c>
      <c r="K4250" s="5">
        <v>15</v>
      </c>
      <c r="L4250" s="5">
        <v>4</v>
      </c>
      <c r="M4250" s="5">
        <v>4</v>
      </c>
      <c r="N4250" s="7">
        <v>1166.8</v>
      </c>
      <c r="O4250" s="7">
        <f t="shared" si="464"/>
        <v>4667.2</v>
      </c>
      <c r="P4250" s="4">
        <v>0</v>
      </c>
      <c r="Q4250" s="7">
        <f t="shared" si="465"/>
        <v>0</v>
      </c>
      <c r="R4250" s="7">
        <f t="shared" si="466"/>
        <v>4667.2</v>
      </c>
      <c r="S4250" s="7">
        <f t="shared" si="467"/>
        <v>1166.8</v>
      </c>
      <c r="T4250" s="6">
        <f t="shared" si="468"/>
        <v>1.6666666666666666E-2</v>
      </c>
      <c r="V4250" t="s">
        <v>29</v>
      </c>
    </row>
    <row r="4251" spans="1:22">
      <c r="A4251" s="3">
        <v>45834</v>
      </c>
      <c r="B4251" t="str">
        <f t="shared" si="462"/>
        <v>yyyy-06</v>
      </c>
      <c r="C4251">
        <f t="shared" si="463"/>
        <v>26</v>
      </c>
      <c r="D4251" t="s">
        <v>66</v>
      </c>
      <c r="E4251" t="s">
        <v>71</v>
      </c>
      <c r="F4251" t="s">
        <v>75</v>
      </c>
      <c r="G4251" t="s">
        <v>31</v>
      </c>
      <c r="H4251" t="s">
        <v>32</v>
      </c>
      <c r="I4251" s="5">
        <v>377</v>
      </c>
      <c r="J4251" s="5">
        <v>286</v>
      </c>
      <c r="K4251" s="5">
        <v>32</v>
      </c>
      <c r="L4251" s="5">
        <v>6</v>
      </c>
      <c r="M4251" s="5">
        <v>7</v>
      </c>
      <c r="N4251" s="7">
        <v>38.61</v>
      </c>
      <c r="O4251" s="7">
        <f t="shared" si="464"/>
        <v>270.27</v>
      </c>
      <c r="P4251" s="4">
        <v>0</v>
      </c>
      <c r="Q4251" s="7">
        <f t="shared" si="465"/>
        <v>0</v>
      </c>
      <c r="R4251" s="7">
        <f t="shared" si="466"/>
        <v>270.27</v>
      </c>
      <c r="S4251" s="7">
        <f t="shared" si="467"/>
        <v>45.044999999999995</v>
      </c>
      <c r="T4251" s="6">
        <f t="shared" si="468"/>
        <v>1.5915119363395226E-2</v>
      </c>
      <c r="V4251" t="s">
        <v>29</v>
      </c>
    </row>
    <row r="4252" spans="1:22">
      <c r="A4252" s="3">
        <v>45834</v>
      </c>
      <c r="B4252" t="str">
        <f t="shared" si="462"/>
        <v>yyyy-06</v>
      </c>
      <c r="C4252">
        <f t="shared" si="463"/>
        <v>26</v>
      </c>
      <c r="D4252" t="s">
        <v>24</v>
      </c>
      <c r="E4252" t="s">
        <v>76</v>
      </c>
      <c r="F4252" t="s">
        <v>77</v>
      </c>
      <c r="G4252" t="s">
        <v>27</v>
      </c>
      <c r="H4252" t="s">
        <v>45</v>
      </c>
      <c r="I4252" s="5">
        <v>575</v>
      </c>
      <c r="J4252" s="5">
        <v>386</v>
      </c>
      <c r="K4252" s="5">
        <v>40</v>
      </c>
      <c r="L4252" s="5">
        <v>11</v>
      </c>
      <c r="M4252" s="5">
        <v>14</v>
      </c>
      <c r="N4252" s="7">
        <v>198.41</v>
      </c>
      <c r="O4252" s="7">
        <f t="shared" si="464"/>
        <v>2777.74</v>
      </c>
      <c r="P4252" s="4">
        <v>0.03</v>
      </c>
      <c r="Q4252" s="7">
        <f t="shared" si="465"/>
        <v>83.332199999999986</v>
      </c>
      <c r="R4252" s="7">
        <f t="shared" si="466"/>
        <v>2694.4078</v>
      </c>
      <c r="S4252" s="7">
        <f t="shared" si="467"/>
        <v>244.94616363636362</v>
      </c>
      <c r="T4252" s="6">
        <f t="shared" si="468"/>
        <v>1.9130434782608695E-2</v>
      </c>
      <c r="V4252" t="s">
        <v>29</v>
      </c>
    </row>
    <row r="4253" spans="1:22">
      <c r="A4253" s="3">
        <v>45835</v>
      </c>
      <c r="B4253" t="str">
        <f t="shared" si="462"/>
        <v>yyyy-06</v>
      </c>
      <c r="C4253">
        <f t="shared" si="463"/>
        <v>26</v>
      </c>
      <c r="D4253" t="s">
        <v>24</v>
      </c>
      <c r="E4253" t="s">
        <v>25</v>
      </c>
      <c r="F4253" t="s">
        <v>26</v>
      </c>
      <c r="G4253" t="s">
        <v>36</v>
      </c>
      <c r="H4253" t="s">
        <v>37</v>
      </c>
      <c r="I4253" s="5">
        <v>1829</v>
      </c>
      <c r="J4253" s="5">
        <v>1142</v>
      </c>
      <c r="K4253" s="5">
        <v>178</v>
      </c>
      <c r="L4253" s="5">
        <v>37</v>
      </c>
      <c r="M4253" s="5">
        <v>37</v>
      </c>
      <c r="N4253" s="7">
        <v>975.69</v>
      </c>
      <c r="O4253" s="7">
        <f t="shared" si="464"/>
        <v>36100.53</v>
      </c>
      <c r="P4253" s="4">
        <v>0</v>
      </c>
      <c r="Q4253" s="7">
        <f t="shared" si="465"/>
        <v>0</v>
      </c>
      <c r="R4253" s="7">
        <f t="shared" si="466"/>
        <v>36100.53</v>
      </c>
      <c r="S4253" s="7">
        <f t="shared" si="467"/>
        <v>975.68999999999994</v>
      </c>
      <c r="T4253" s="6">
        <f t="shared" si="468"/>
        <v>2.0229633679606344E-2</v>
      </c>
      <c r="V4253" t="s">
        <v>29</v>
      </c>
    </row>
    <row r="4254" spans="1:22">
      <c r="A4254" s="3">
        <v>45835</v>
      </c>
      <c r="B4254" t="str">
        <f t="shared" si="462"/>
        <v>yyyy-06</v>
      </c>
      <c r="C4254">
        <f t="shared" si="463"/>
        <v>26</v>
      </c>
      <c r="D4254" t="s">
        <v>24</v>
      </c>
      <c r="E4254" t="s">
        <v>25</v>
      </c>
      <c r="F4254" t="s">
        <v>30</v>
      </c>
      <c r="G4254" t="s">
        <v>36</v>
      </c>
      <c r="H4254" t="s">
        <v>37</v>
      </c>
      <c r="I4254" s="5">
        <v>1800</v>
      </c>
      <c r="J4254" s="5">
        <v>1442</v>
      </c>
      <c r="K4254" s="5">
        <v>106</v>
      </c>
      <c r="L4254" s="5">
        <v>32</v>
      </c>
      <c r="M4254" s="5">
        <v>32</v>
      </c>
      <c r="N4254" s="7">
        <v>383.92</v>
      </c>
      <c r="O4254" s="7">
        <f t="shared" si="464"/>
        <v>12285.44</v>
      </c>
      <c r="P4254" s="4">
        <v>0</v>
      </c>
      <c r="Q4254" s="7">
        <f t="shared" si="465"/>
        <v>0</v>
      </c>
      <c r="R4254" s="7">
        <f t="shared" si="466"/>
        <v>12285.44</v>
      </c>
      <c r="S4254" s="7">
        <f t="shared" si="467"/>
        <v>383.92</v>
      </c>
      <c r="T4254" s="6">
        <f t="shared" si="468"/>
        <v>1.7777777777777778E-2</v>
      </c>
      <c r="V4254" t="s">
        <v>29</v>
      </c>
    </row>
    <row r="4255" spans="1:22">
      <c r="A4255" s="3">
        <v>45835</v>
      </c>
      <c r="B4255" t="str">
        <f t="shared" si="462"/>
        <v>yyyy-06</v>
      </c>
      <c r="C4255">
        <f t="shared" si="463"/>
        <v>26</v>
      </c>
      <c r="D4255" t="s">
        <v>24</v>
      </c>
      <c r="E4255" t="s">
        <v>25</v>
      </c>
      <c r="F4255" t="s">
        <v>33</v>
      </c>
      <c r="G4255" t="s">
        <v>36</v>
      </c>
      <c r="H4255" t="s">
        <v>37</v>
      </c>
      <c r="I4255" s="5">
        <v>1689</v>
      </c>
      <c r="J4255" s="5">
        <v>1058</v>
      </c>
      <c r="K4255" s="5">
        <v>160</v>
      </c>
      <c r="L4255" s="5">
        <v>38</v>
      </c>
      <c r="M4255" s="5">
        <v>38</v>
      </c>
      <c r="N4255" s="7">
        <v>1824.5</v>
      </c>
      <c r="O4255" s="7">
        <f t="shared" si="464"/>
        <v>69331</v>
      </c>
      <c r="P4255" s="4">
        <v>0</v>
      </c>
      <c r="Q4255" s="7">
        <f t="shared" si="465"/>
        <v>0</v>
      </c>
      <c r="R4255" s="7">
        <f t="shared" si="466"/>
        <v>69331</v>
      </c>
      <c r="S4255" s="7">
        <f t="shared" si="467"/>
        <v>1824.5</v>
      </c>
      <c r="T4255" s="6">
        <f t="shared" si="468"/>
        <v>2.2498519834221433E-2</v>
      </c>
      <c r="V4255" t="s">
        <v>29</v>
      </c>
    </row>
    <row r="4256" spans="1:22">
      <c r="A4256" s="3">
        <v>45835</v>
      </c>
      <c r="B4256" t="str">
        <f t="shared" si="462"/>
        <v>yyyy-06</v>
      </c>
      <c r="C4256">
        <f t="shared" si="463"/>
        <v>26</v>
      </c>
      <c r="D4256" t="s">
        <v>24</v>
      </c>
      <c r="E4256" t="s">
        <v>34</v>
      </c>
      <c r="F4256" t="s">
        <v>35</v>
      </c>
      <c r="G4256" t="s">
        <v>36</v>
      </c>
      <c r="H4256" t="s">
        <v>37</v>
      </c>
      <c r="I4256" s="5">
        <v>1266</v>
      </c>
      <c r="J4256" s="5">
        <v>1045</v>
      </c>
      <c r="K4256" s="5">
        <v>112</v>
      </c>
      <c r="L4256" s="5">
        <v>23</v>
      </c>
      <c r="M4256" s="5">
        <v>23</v>
      </c>
      <c r="N4256" s="7">
        <v>906.09</v>
      </c>
      <c r="O4256" s="7">
        <f t="shared" si="464"/>
        <v>20840.07</v>
      </c>
      <c r="P4256" s="4">
        <v>0.03</v>
      </c>
      <c r="Q4256" s="7">
        <f t="shared" si="465"/>
        <v>625.20209999999997</v>
      </c>
      <c r="R4256" s="7">
        <f t="shared" si="466"/>
        <v>20214.867900000001</v>
      </c>
      <c r="S4256" s="7">
        <f t="shared" si="467"/>
        <v>878.90730000000008</v>
      </c>
      <c r="T4256" s="6">
        <f t="shared" si="468"/>
        <v>1.8167456556082148E-2</v>
      </c>
      <c r="V4256" t="s">
        <v>29</v>
      </c>
    </row>
    <row r="4257" spans="1:22">
      <c r="A4257" s="3">
        <v>45835</v>
      </c>
      <c r="B4257" t="str">
        <f t="shared" si="462"/>
        <v>yyyy-06</v>
      </c>
      <c r="C4257">
        <f t="shared" si="463"/>
        <v>26</v>
      </c>
      <c r="D4257" t="s">
        <v>24</v>
      </c>
      <c r="E4257" t="s">
        <v>38</v>
      </c>
      <c r="F4257" t="s">
        <v>39</v>
      </c>
      <c r="G4257" t="s">
        <v>31</v>
      </c>
      <c r="H4257" t="s">
        <v>32</v>
      </c>
      <c r="I4257" s="5">
        <v>1189</v>
      </c>
      <c r="J4257" s="5">
        <v>712</v>
      </c>
      <c r="K4257" s="5">
        <v>108</v>
      </c>
      <c r="L4257" s="5">
        <v>24</v>
      </c>
      <c r="M4257" s="5">
        <v>24</v>
      </c>
      <c r="N4257" s="7">
        <v>327.74</v>
      </c>
      <c r="O4257" s="7">
        <f t="shared" si="464"/>
        <v>7865.76</v>
      </c>
      <c r="P4257" s="4">
        <v>0</v>
      </c>
      <c r="Q4257" s="7">
        <f t="shared" si="465"/>
        <v>0</v>
      </c>
      <c r="R4257" s="7">
        <f t="shared" si="466"/>
        <v>7865.76</v>
      </c>
      <c r="S4257" s="7">
        <f t="shared" si="467"/>
        <v>327.74</v>
      </c>
      <c r="T4257" s="6">
        <f t="shared" si="468"/>
        <v>2.0185029436501262E-2</v>
      </c>
      <c r="V4257" t="s">
        <v>29</v>
      </c>
    </row>
    <row r="4258" spans="1:22">
      <c r="A4258" s="3">
        <v>45835</v>
      </c>
      <c r="B4258" t="str">
        <f t="shared" si="462"/>
        <v>yyyy-06</v>
      </c>
      <c r="C4258">
        <f t="shared" si="463"/>
        <v>26</v>
      </c>
      <c r="D4258" t="s">
        <v>24</v>
      </c>
      <c r="E4258" t="s">
        <v>40</v>
      </c>
      <c r="F4258" t="s">
        <v>41</v>
      </c>
      <c r="G4258" t="s">
        <v>27</v>
      </c>
      <c r="H4258" t="s">
        <v>45</v>
      </c>
      <c r="I4258" s="5">
        <v>604</v>
      </c>
      <c r="J4258" s="5">
        <v>425</v>
      </c>
      <c r="K4258" s="5">
        <v>63</v>
      </c>
      <c r="L4258" s="5">
        <v>15</v>
      </c>
      <c r="M4258" s="5">
        <v>17</v>
      </c>
      <c r="N4258" s="7">
        <v>176.94</v>
      </c>
      <c r="O4258" s="7">
        <f t="shared" si="464"/>
        <v>3007.98</v>
      </c>
      <c r="P4258" s="4">
        <v>0</v>
      </c>
      <c r="Q4258" s="7">
        <f t="shared" si="465"/>
        <v>0</v>
      </c>
      <c r="R4258" s="7">
        <f t="shared" si="466"/>
        <v>3007.98</v>
      </c>
      <c r="S4258" s="7">
        <f t="shared" si="467"/>
        <v>200.53200000000001</v>
      </c>
      <c r="T4258" s="6">
        <f t="shared" si="468"/>
        <v>2.4834437086092714E-2</v>
      </c>
      <c r="V4258" t="s">
        <v>29</v>
      </c>
    </row>
    <row r="4259" spans="1:22">
      <c r="A4259" s="3">
        <v>45835</v>
      </c>
      <c r="B4259" t="str">
        <f t="shared" si="462"/>
        <v>yyyy-06</v>
      </c>
      <c r="C4259">
        <f t="shared" si="463"/>
        <v>26</v>
      </c>
      <c r="D4259" t="s">
        <v>42</v>
      </c>
      <c r="E4259" t="s">
        <v>43</v>
      </c>
      <c r="F4259" t="s">
        <v>44</v>
      </c>
      <c r="G4259" t="s">
        <v>36</v>
      </c>
      <c r="H4259" t="s">
        <v>37</v>
      </c>
      <c r="I4259" s="5">
        <v>589</v>
      </c>
      <c r="J4259" s="5">
        <v>363</v>
      </c>
      <c r="K4259" s="5">
        <v>30</v>
      </c>
      <c r="L4259" s="5">
        <v>7</v>
      </c>
      <c r="M4259" s="5">
        <v>7</v>
      </c>
      <c r="N4259" s="7">
        <v>1309.1400000000001</v>
      </c>
      <c r="O4259" s="7">
        <f t="shared" si="464"/>
        <v>9163.9800000000014</v>
      </c>
      <c r="P4259" s="4">
        <v>0.05</v>
      </c>
      <c r="Q4259" s="7">
        <f t="shared" si="465"/>
        <v>458.19900000000007</v>
      </c>
      <c r="R4259" s="7">
        <f t="shared" si="466"/>
        <v>8705.7810000000009</v>
      </c>
      <c r="S4259" s="7">
        <f t="shared" si="467"/>
        <v>1243.6830000000002</v>
      </c>
      <c r="T4259" s="6">
        <f t="shared" si="468"/>
        <v>1.1884550084889643E-2</v>
      </c>
      <c r="V4259" t="s">
        <v>29</v>
      </c>
    </row>
    <row r="4260" spans="1:22">
      <c r="A4260" s="3">
        <v>45835</v>
      </c>
      <c r="B4260" t="str">
        <f t="shared" si="462"/>
        <v>yyyy-06</v>
      </c>
      <c r="C4260">
        <f t="shared" si="463"/>
        <v>26</v>
      </c>
      <c r="D4260" t="s">
        <v>42</v>
      </c>
      <c r="E4260" t="s">
        <v>43</v>
      </c>
      <c r="F4260" t="s">
        <v>46</v>
      </c>
      <c r="G4260" t="s">
        <v>36</v>
      </c>
      <c r="H4260" t="s">
        <v>37</v>
      </c>
      <c r="I4260" s="5">
        <v>752</v>
      </c>
      <c r="J4260" s="5">
        <v>435</v>
      </c>
      <c r="K4260" s="5">
        <v>31</v>
      </c>
      <c r="L4260" s="5">
        <v>9</v>
      </c>
      <c r="M4260" s="5">
        <v>9</v>
      </c>
      <c r="N4260" s="7">
        <v>2184.5300000000002</v>
      </c>
      <c r="O4260" s="7">
        <f t="shared" si="464"/>
        <v>19660.77</v>
      </c>
      <c r="P4260" s="4">
        <v>0</v>
      </c>
      <c r="Q4260" s="7">
        <f t="shared" si="465"/>
        <v>0</v>
      </c>
      <c r="R4260" s="7">
        <f t="shared" si="466"/>
        <v>19660.77</v>
      </c>
      <c r="S4260" s="7">
        <f t="shared" si="467"/>
        <v>2184.5300000000002</v>
      </c>
      <c r="T4260" s="6">
        <f t="shared" si="468"/>
        <v>1.1968085106382979E-2</v>
      </c>
      <c r="V4260" t="s">
        <v>29</v>
      </c>
    </row>
    <row r="4261" spans="1:22">
      <c r="A4261" s="3">
        <v>45835</v>
      </c>
      <c r="B4261" t="str">
        <f t="shared" si="462"/>
        <v>yyyy-06</v>
      </c>
      <c r="C4261">
        <f t="shared" si="463"/>
        <v>26</v>
      </c>
      <c r="D4261" t="s">
        <v>42</v>
      </c>
      <c r="E4261" t="s">
        <v>43</v>
      </c>
      <c r="F4261" t="s">
        <v>47</v>
      </c>
      <c r="G4261" t="s">
        <v>31</v>
      </c>
      <c r="H4261" t="s">
        <v>32</v>
      </c>
      <c r="I4261" s="5">
        <v>703</v>
      </c>
      <c r="J4261" s="5">
        <v>421</v>
      </c>
      <c r="K4261" s="5">
        <v>33</v>
      </c>
      <c r="L4261" s="5">
        <v>8</v>
      </c>
      <c r="M4261" s="5">
        <v>8</v>
      </c>
      <c r="N4261" s="7">
        <v>605.32000000000005</v>
      </c>
      <c r="O4261" s="7">
        <f t="shared" si="464"/>
        <v>4842.5600000000004</v>
      </c>
      <c r="P4261" s="4">
        <v>0</v>
      </c>
      <c r="Q4261" s="7">
        <f t="shared" si="465"/>
        <v>0</v>
      </c>
      <c r="R4261" s="7">
        <f t="shared" si="466"/>
        <v>4842.5600000000004</v>
      </c>
      <c r="S4261" s="7">
        <f t="shared" si="467"/>
        <v>605.32000000000005</v>
      </c>
      <c r="T4261" s="6">
        <f t="shared" si="468"/>
        <v>1.1379800853485065E-2</v>
      </c>
      <c r="V4261" t="s">
        <v>29</v>
      </c>
    </row>
    <row r="4262" spans="1:22">
      <c r="A4262" s="3">
        <v>45835</v>
      </c>
      <c r="B4262" t="str">
        <f t="shared" si="462"/>
        <v>yyyy-06</v>
      </c>
      <c r="C4262">
        <f t="shared" si="463"/>
        <v>26</v>
      </c>
      <c r="D4262" t="s">
        <v>42</v>
      </c>
      <c r="E4262" t="s">
        <v>49</v>
      </c>
      <c r="F4262" t="s">
        <v>50</v>
      </c>
      <c r="G4262" t="s">
        <v>27</v>
      </c>
      <c r="H4262" t="s">
        <v>28</v>
      </c>
      <c r="I4262" s="5">
        <v>163</v>
      </c>
      <c r="J4262" s="5">
        <v>91</v>
      </c>
      <c r="K4262" s="5">
        <v>9</v>
      </c>
      <c r="L4262" s="5">
        <v>3</v>
      </c>
      <c r="M4262" s="5">
        <v>3</v>
      </c>
      <c r="N4262" s="7">
        <v>987.89</v>
      </c>
      <c r="O4262" s="7">
        <f t="shared" si="464"/>
        <v>2963.67</v>
      </c>
      <c r="P4262" s="4">
        <v>0</v>
      </c>
      <c r="Q4262" s="7">
        <f t="shared" si="465"/>
        <v>0</v>
      </c>
      <c r="R4262" s="7">
        <f t="shared" si="466"/>
        <v>2963.67</v>
      </c>
      <c r="S4262" s="7">
        <f t="shared" si="467"/>
        <v>987.89</v>
      </c>
      <c r="T4262" s="6">
        <f t="shared" si="468"/>
        <v>1.8404907975460124E-2</v>
      </c>
      <c r="V4262" t="s">
        <v>29</v>
      </c>
    </row>
    <row r="4263" spans="1:22">
      <c r="A4263" s="3">
        <v>45835</v>
      </c>
      <c r="B4263" t="str">
        <f t="shared" si="462"/>
        <v>yyyy-06</v>
      </c>
      <c r="C4263">
        <f t="shared" si="463"/>
        <v>26</v>
      </c>
      <c r="D4263" t="s">
        <v>42</v>
      </c>
      <c r="E4263" t="s">
        <v>51</v>
      </c>
      <c r="F4263" t="s">
        <v>52</v>
      </c>
      <c r="G4263" t="s">
        <v>31</v>
      </c>
      <c r="H4263" t="s">
        <v>32</v>
      </c>
      <c r="I4263" s="5">
        <v>345</v>
      </c>
      <c r="J4263" s="5">
        <v>276</v>
      </c>
      <c r="K4263" s="5">
        <v>18</v>
      </c>
      <c r="L4263" s="5">
        <v>5</v>
      </c>
      <c r="M4263" s="5">
        <v>5</v>
      </c>
      <c r="N4263" s="7">
        <v>575.52</v>
      </c>
      <c r="O4263" s="7">
        <f t="shared" si="464"/>
        <v>2877.6</v>
      </c>
      <c r="P4263" s="4">
        <v>0</v>
      </c>
      <c r="Q4263" s="7">
        <f t="shared" si="465"/>
        <v>0</v>
      </c>
      <c r="R4263" s="7">
        <f t="shared" si="466"/>
        <v>2877.6</v>
      </c>
      <c r="S4263" s="7">
        <f t="shared" si="467"/>
        <v>575.52</v>
      </c>
      <c r="T4263" s="6">
        <f t="shared" si="468"/>
        <v>1.4492753623188406E-2</v>
      </c>
      <c r="V4263" t="s">
        <v>29</v>
      </c>
    </row>
    <row r="4264" spans="1:22">
      <c r="A4264" s="3">
        <v>45835</v>
      </c>
      <c r="B4264" t="str">
        <f t="shared" si="462"/>
        <v>yyyy-06</v>
      </c>
      <c r="C4264">
        <f t="shared" si="463"/>
        <v>26</v>
      </c>
      <c r="D4264" t="s">
        <v>53</v>
      </c>
      <c r="E4264" t="s">
        <v>54</v>
      </c>
      <c r="F4264" t="s">
        <v>55</v>
      </c>
      <c r="G4264" t="s">
        <v>31</v>
      </c>
      <c r="H4264" t="s">
        <v>32</v>
      </c>
      <c r="I4264" s="5">
        <v>244</v>
      </c>
      <c r="J4264" s="5">
        <v>141</v>
      </c>
      <c r="K4264" s="5">
        <v>8</v>
      </c>
      <c r="L4264" s="5">
        <v>2</v>
      </c>
      <c r="M4264" s="5">
        <v>2</v>
      </c>
      <c r="N4264" s="7">
        <v>1295.23</v>
      </c>
      <c r="O4264" s="7">
        <f t="shared" si="464"/>
        <v>2590.46</v>
      </c>
      <c r="P4264" s="4">
        <v>0</v>
      </c>
      <c r="Q4264" s="7">
        <f t="shared" si="465"/>
        <v>0</v>
      </c>
      <c r="R4264" s="7">
        <f t="shared" si="466"/>
        <v>2590.46</v>
      </c>
      <c r="S4264" s="7">
        <f t="shared" si="467"/>
        <v>1295.23</v>
      </c>
      <c r="T4264" s="6">
        <f t="shared" si="468"/>
        <v>8.1967213114754103E-3</v>
      </c>
      <c r="V4264" t="s">
        <v>29</v>
      </c>
    </row>
    <row r="4265" spans="1:22">
      <c r="A4265" s="3">
        <v>45835</v>
      </c>
      <c r="B4265" t="str">
        <f t="shared" si="462"/>
        <v>yyyy-06</v>
      </c>
      <c r="C4265">
        <f t="shared" si="463"/>
        <v>26</v>
      </c>
      <c r="D4265" t="s">
        <v>53</v>
      </c>
      <c r="E4265" t="s">
        <v>56</v>
      </c>
      <c r="F4265" t="s">
        <v>57</v>
      </c>
      <c r="G4265" t="s">
        <v>27</v>
      </c>
      <c r="H4265" t="s">
        <v>28</v>
      </c>
      <c r="I4265" s="5">
        <v>237</v>
      </c>
      <c r="J4265" s="5">
        <v>134</v>
      </c>
      <c r="K4265" s="5">
        <v>10</v>
      </c>
      <c r="L4265" s="5">
        <v>2</v>
      </c>
      <c r="M4265" s="5">
        <v>2</v>
      </c>
      <c r="N4265" s="7">
        <v>739.21</v>
      </c>
      <c r="O4265" s="7">
        <f t="shared" si="464"/>
        <v>1478.42</v>
      </c>
      <c r="P4265" s="4">
        <v>0</v>
      </c>
      <c r="Q4265" s="7">
        <f t="shared" si="465"/>
        <v>0</v>
      </c>
      <c r="R4265" s="7">
        <f t="shared" si="466"/>
        <v>1478.42</v>
      </c>
      <c r="S4265" s="7">
        <f t="shared" si="467"/>
        <v>739.21</v>
      </c>
      <c r="T4265" s="6">
        <f t="shared" si="468"/>
        <v>8.4388185654008432E-3</v>
      </c>
      <c r="V4265" t="s">
        <v>29</v>
      </c>
    </row>
    <row r="4266" spans="1:22">
      <c r="A4266" s="3">
        <v>45835</v>
      </c>
      <c r="B4266" t="str">
        <f t="shared" si="462"/>
        <v>yyyy-06</v>
      </c>
      <c r="C4266">
        <f t="shared" si="463"/>
        <v>26</v>
      </c>
      <c r="D4266" t="s">
        <v>53</v>
      </c>
      <c r="E4266" t="s">
        <v>56</v>
      </c>
      <c r="F4266" t="s">
        <v>58</v>
      </c>
      <c r="G4266" t="s">
        <v>27</v>
      </c>
      <c r="H4266" t="s">
        <v>48</v>
      </c>
      <c r="I4266" s="5">
        <v>213</v>
      </c>
      <c r="J4266" s="5">
        <v>139</v>
      </c>
      <c r="K4266" s="5">
        <v>14</v>
      </c>
      <c r="L4266" s="5">
        <v>3</v>
      </c>
      <c r="M4266" s="5">
        <v>3</v>
      </c>
      <c r="N4266" s="7">
        <v>909.42</v>
      </c>
      <c r="O4266" s="7">
        <f t="shared" si="464"/>
        <v>2728.2599999999998</v>
      </c>
      <c r="P4266" s="4">
        <v>0</v>
      </c>
      <c r="Q4266" s="7">
        <f t="shared" si="465"/>
        <v>0</v>
      </c>
      <c r="R4266" s="7">
        <f t="shared" si="466"/>
        <v>2728.2599999999998</v>
      </c>
      <c r="S4266" s="7">
        <f t="shared" si="467"/>
        <v>909.42</v>
      </c>
      <c r="T4266" s="6">
        <f t="shared" si="468"/>
        <v>1.4084507042253521E-2</v>
      </c>
      <c r="V4266" t="s">
        <v>29</v>
      </c>
    </row>
    <row r="4267" spans="1:22">
      <c r="A4267" s="3">
        <v>45835</v>
      </c>
      <c r="B4267" t="str">
        <f t="shared" si="462"/>
        <v>yyyy-06</v>
      </c>
      <c r="C4267">
        <f t="shared" si="463"/>
        <v>26</v>
      </c>
      <c r="D4267" t="s">
        <v>53</v>
      </c>
      <c r="E4267" t="s">
        <v>59</v>
      </c>
      <c r="F4267" t="s">
        <v>60</v>
      </c>
      <c r="G4267" t="s">
        <v>27</v>
      </c>
      <c r="H4267" t="s">
        <v>28</v>
      </c>
      <c r="I4267" s="5">
        <v>146</v>
      </c>
      <c r="J4267" s="5">
        <v>107</v>
      </c>
      <c r="K4267" s="5">
        <v>8</v>
      </c>
      <c r="L4267" s="5">
        <v>2</v>
      </c>
      <c r="M4267" s="5">
        <v>2</v>
      </c>
      <c r="N4267" s="7">
        <v>695.16</v>
      </c>
      <c r="O4267" s="7">
        <f t="shared" si="464"/>
        <v>1390.32</v>
      </c>
      <c r="P4267" s="4">
        <v>0</v>
      </c>
      <c r="Q4267" s="7">
        <f t="shared" si="465"/>
        <v>0</v>
      </c>
      <c r="R4267" s="7">
        <f t="shared" si="466"/>
        <v>1390.32</v>
      </c>
      <c r="S4267" s="7">
        <f t="shared" si="467"/>
        <v>695.16</v>
      </c>
      <c r="T4267" s="6">
        <f t="shared" si="468"/>
        <v>1.3698630136986301E-2</v>
      </c>
      <c r="V4267" t="s">
        <v>29</v>
      </c>
    </row>
    <row r="4268" spans="1:22">
      <c r="A4268" s="3">
        <v>45835</v>
      </c>
      <c r="B4268" t="str">
        <f t="shared" si="462"/>
        <v>yyyy-06</v>
      </c>
      <c r="C4268">
        <f t="shared" si="463"/>
        <v>26</v>
      </c>
      <c r="D4268" t="s">
        <v>53</v>
      </c>
      <c r="E4268" t="s">
        <v>61</v>
      </c>
      <c r="F4268" t="s">
        <v>62</v>
      </c>
      <c r="G4268" t="s">
        <v>36</v>
      </c>
      <c r="H4268" t="s">
        <v>37</v>
      </c>
      <c r="I4268" s="5">
        <v>200</v>
      </c>
      <c r="J4268" s="5">
        <v>108</v>
      </c>
      <c r="K4268" s="5">
        <v>12</v>
      </c>
      <c r="L4268" s="5">
        <v>2</v>
      </c>
      <c r="M4268" s="5">
        <v>2</v>
      </c>
      <c r="N4268" s="7">
        <v>483.74</v>
      </c>
      <c r="O4268" s="7">
        <f t="shared" si="464"/>
        <v>967.48</v>
      </c>
      <c r="P4268" s="4">
        <v>0.03</v>
      </c>
      <c r="Q4268" s="7">
        <f t="shared" si="465"/>
        <v>29.0244</v>
      </c>
      <c r="R4268" s="7">
        <f t="shared" si="466"/>
        <v>938.4556</v>
      </c>
      <c r="S4268" s="7">
        <f t="shared" si="467"/>
        <v>469.2278</v>
      </c>
      <c r="T4268" s="6">
        <f t="shared" si="468"/>
        <v>0.01</v>
      </c>
      <c r="V4268" t="s">
        <v>29</v>
      </c>
    </row>
    <row r="4269" spans="1:22">
      <c r="A4269" s="3">
        <v>45835</v>
      </c>
      <c r="B4269" t="str">
        <f t="shared" si="462"/>
        <v>yyyy-06</v>
      </c>
      <c r="C4269">
        <f t="shared" si="463"/>
        <v>26</v>
      </c>
      <c r="D4269" t="s">
        <v>53</v>
      </c>
      <c r="E4269" t="s">
        <v>64</v>
      </c>
      <c r="F4269" t="s">
        <v>65</v>
      </c>
      <c r="G4269" t="s">
        <v>27</v>
      </c>
      <c r="H4269" t="s">
        <v>48</v>
      </c>
      <c r="I4269" s="5">
        <v>158</v>
      </c>
      <c r="J4269" s="5">
        <v>116</v>
      </c>
      <c r="K4269" s="5">
        <v>13</v>
      </c>
      <c r="L4269" s="5">
        <v>2</v>
      </c>
      <c r="M4269" s="5">
        <v>2</v>
      </c>
      <c r="N4269" s="7">
        <v>782.88</v>
      </c>
      <c r="O4269" s="7">
        <f t="shared" si="464"/>
        <v>1565.76</v>
      </c>
      <c r="P4269" s="4">
        <v>0.05</v>
      </c>
      <c r="Q4269" s="7">
        <f t="shared" si="465"/>
        <v>78.288000000000011</v>
      </c>
      <c r="R4269" s="7">
        <f t="shared" si="466"/>
        <v>1487.472</v>
      </c>
      <c r="S4269" s="7">
        <f t="shared" si="467"/>
        <v>743.73599999999999</v>
      </c>
      <c r="T4269" s="6">
        <f t="shared" si="468"/>
        <v>1.2658227848101266E-2</v>
      </c>
      <c r="V4269" t="s">
        <v>29</v>
      </c>
    </row>
    <row r="4270" spans="1:22">
      <c r="A4270" s="3">
        <v>45835</v>
      </c>
      <c r="B4270" t="str">
        <f t="shared" si="462"/>
        <v>yyyy-06</v>
      </c>
      <c r="C4270">
        <f t="shared" si="463"/>
        <v>26</v>
      </c>
      <c r="D4270" t="s">
        <v>66</v>
      </c>
      <c r="E4270" t="s">
        <v>67</v>
      </c>
      <c r="F4270" t="s">
        <v>68</v>
      </c>
      <c r="G4270" t="s">
        <v>36</v>
      </c>
      <c r="H4270" t="s">
        <v>37</v>
      </c>
      <c r="I4270" s="5">
        <v>502</v>
      </c>
      <c r="J4270" s="5">
        <v>361</v>
      </c>
      <c r="K4270" s="5">
        <v>20</v>
      </c>
      <c r="L4270" s="5">
        <v>8</v>
      </c>
      <c r="M4270" s="5">
        <v>8</v>
      </c>
      <c r="N4270" s="7">
        <v>687.68</v>
      </c>
      <c r="O4270" s="7">
        <f t="shared" si="464"/>
        <v>5501.44</v>
      </c>
      <c r="P4270" s="4">
        <v>0</v>
      </c>
      <c r="Q4270" s="7">
        <f t="shared" si="465"/>
        <v>0</v>
      </c>
      <c r="R4270" s="7">
        <f t="shared" si="466"/>
        <v>5501.44</v>
      </c>
      <c r="S4270" s="7">
        <f t="shared" si="467"/>
        <v>687.68</v>
      </c>
      <c r="T4270" s="6">
        <f t="shared" si="468"/>
        <v>1.5936254980079681E-2</v>
      </c>
      <c r="V4270" t="s">
        <v>29</v>
      </c>
    </row>
    <row r="4271" spans="1:22">
      <c r="A4271" s="3">
        <v>45835</v>
      </c>
      <c r="B4271" t="str">
        <f t="shared" si="462"/>
        <v>yyyy-06</v>
      </c>
      <c r="C4271">
        <f t="shared" si="463"/>
        <v>26</v>
      </c>
      <c r="D4271" t="s">
        <v>66</v>
      </c>
      <c r="E4271" t="s">
        <v>67</v>
      </c>
      <c r="F4271" t="s">
        <v>69</v>
      </c>
      <c r="G4271" t="s">
        <v>27</v>
      </c>
      <c r="H4271" t="s">
        <v>48</v>
      </c>
      <c r="I4271" s="5">
        <v>364</v>
      </c>
      <c r="J4271" s="5">
        <v>256</v>
      </c>
      <c r="K4271" s="5">
        <v>29</v>
      </c>
      <c r="L4271" s="5">
        <v>6</v>
      </c>
      <c r="M4271" s="5">
        <v>6</v>
      </c>
      <c r="N4271" s="7">
        <v>396.32</v>
      </c>
      <c r="O4271" s="7">
        <f t="shared" si="464"/>
        <v>2377.92</v>
      </c>
      <c r="P4271" s="4">
        <v>0.05</v>
      </c>
      <c r="Q4271" s="7">
        <f t="shared" si="465"/>
        <v>118.89600000000002</v>
      </c>
      <c r="R4271" s="7">
        <f t="shared" si="466"/>
        <v>2259.0239999999999</v>
      </c>
      <c r="S4271" s="7">
        <f t="shared" si="467"/>
        <v>376.50399999999996</v>
      </c>
      <c r="T4271" s="6">
        <f t="shared" si="468"/>
        <v>1.6483516483516484E-2</v>
      </c>
      <c r="V4271" t="s">
        <v>29</v>
      </c>
    </row>
    <row r="4272" spans="1:22">
      <c r="A4272" s="3">
        <v>45835</v>
      </c>
      <c r="B4272" t="str">
        <f t="shared" si="462"/>
        <v>yyyy-06</v>
      </c>
      <c r="C4272">
        <f t="shared" si="463"/>
        <v>26</v>
      </c>
      <c r="D4272" t="s">
        <v>66</v>
      </c>
      <c r="E4272" t="s">
        <v>67</v>
      </c>
      <c r="F4272" t="s">
        <v>70</v>
      </c>
      <c r="G4272" t="s">
        <v>27</v>
      </c>
      <c r="H4272" t="s">
        <v>28</v>
      </c>
      <c r="I4272" s="5">
        <v>365</v>
      </c>
      <c r="J4272" s="5">
        <v>263</v>
      </c>
      <c r="K4272" s="5">
        <v>32</v>
      </c>
      <c r="L4272" s="5">
        <v>8</v>
      </c>
      <c r="M4272" s="5">
        <v>8</v>
      </c>
      <c r="N4272" s="7">
        <v>337.05</v>
      </c>
      <c r="O4272" s="7">
        <f t="shared" si="464"/>
        <v>2696.4</v>
      </c>
      <c r="P4272" s="4">
        <v>0</v>
      </c>
      <c r="Q4272" s="7">
        <f t="shared" si="465"/>
        <v>0</v>
      </c>
      <c r="R4272" s="7">
        <f t="shared" si="466"/>
        <v>2696.4</v>
      </c>
      <c r="S4272" s="7">
        <f t="shared" si="467"/>
        <v>337.05</v>
      </c>
      <c r="T4272" s="6">
        <f t="shared" si="468"/>
        <v>2.1917808219178082E-2</v>
      </c>
      <c r="V4272" t="s">
        <v>29</v>
      </c>
    </row>
    <row r="4273" spans="1:22">
      <c r="A4273" s="3">
        <v>45835</v>
      </c>
      <c r="B4273" t="str">
        <f t="shared" si="462"/>
        <v>yyyy-06</v>
      </c>
      <c r="C4273">
        <f t="shared" si="463"/>
        <v>26</v>
      </c>
      <c r="D4273" t="s">
        <v>66</v>
      </c>
      <c r="E4273" t="s">
        <v>71</v>
      </c>
      <c r="F4273" t="s">
        <v>72</v>
      </c>
      <c r="G4273" t="s">
        <v>31</v>
      </c>
      <c r="H4273" t="s">
        <v>32</v>
      </c>
      <c r="I4273" s="5">
        <v>433</v>
      </c>
      <c r="J4273" s="5">
        <v>258</v>
      </c>
      <c r="K4273" s="5">
        <v>13</v>
      </c>
      <c r="L4273" s="5">
        <v>6</v>
      </c>
      <c r="M4273" s="5">
        <v>7</v>
      </c>
      <c r="N4273" s="7">
        <v>127.72</v>
      </c>
      <c r="O4273" s="7">
        <f t="shared" si="464"/>
        <v>894.04</v>
      </c>
      <c r="P4273" s="4">
        <v>0</v>
      </c>
      <c r="Q4273" s="7">
        <f t="shared" si="465"/>
        <v>0</v>
      </c>
      <c r="R4273" s="7">
        <f t="shared" si="466"/>
        <v>894.04</v>
      </c>
      <c r="S4273" s="7">
        <f t="shared" si="467"/>
        <v>149.00666666666666</v>
      </c>
      <c r="T4273" s="6">
        <f t="shared" si="468"/>
        <v>1.3856812933025405E-2</v>
      </c>
      <c r="V4273" t="s">
        <v>29</v>
      </c>
    </row>
    <row r="4274" spans="1:22">
      <c r="A4274" s="3">
        <v>45835</v>
      </c>
      <c r="B4274" t="str">
        <f t="shared" si="462"/>
        <v>yyyy-06</v>
      </c>
      <c r="C4274">
        <f t="shared" si="463"/>
        <v>26</v>
      </c>
      <c r="D4274" t="s">
        <v>66</v>
      </c>
      <c r="E4274" t="s">
        <v>73</v>
      </c>
      <c r="F4274" t="s">
        <v>74</v>
      </c>
      <c r="G4274" t="s">
        <v>27</v>
      </c>
      <c r="H4274" t="s">
        <v>48</v>
      </c>
      <c r="I4274" s="5">
        <v>187</v>
      </c>
      <c r="J4274" s="5">
        <v>134</v>
      </c>
      <c r="K4274" s="5">
        <v>8</v>
      </c>
      <c r="L4274" s="5">
        <v>3</v>
      </c>
      <c r="M4274" s="5">
        <v>3</v>
      </c>
      <c r="N4274" s="7">
        <v>1170.9000000000001</v>
      </c>
      <c r="O4274" s="7">
        <f t="shared" si="464"/>
        <v>3512.7000000000003</v>
      </c>
      <c r="P4274" s="4">
        <v>0.05</v>
      </c>
      <c r="Q4274" s="7">
        <f t="shared" si="465"/>
        <v>175.63500000000002</v>
      </c>
      <c r="R4274" s="7">
        <f t="shared" si="466"/>
        <v>3337.0650000000001</v>
      </c>
      <c r="S4274" s="7">
        <f t="shared" si="467"/>
        <v>1112.355</v>
      </c>
      <c r="T4274" s="6">
        <f t="shared" si="468"/>
        <v>1.6042780748663103E-2</v>
      </c>
      <c r="V4274" t="s">
        <v>29</v>
      </c>
    </row>
    <row r="4275" spans="1:22">
      <c r="A4275" s="3">
        <v>45835</v>
      </c>
      <c r="B4275" t="str">
        <f t="shared" si="462"/>
        <v>yyyy-06</v>
      </c>
      <c r="C4275">
        <f t="shared" si="463"/>
        <v>26</v>
      </c>
      <c r="D4275" t="s">
        <v>66</v>
      </c>
      <c r="E4275" t="s">
        <v>71</v>
      </c>
      <c r="F4275" t="s">
        <v>75</v>
      </c>
      <c r="G4275" t="s">
        <v>27</v>
      </c>
      <c r="H4275" t="s">
        <v>48</v>
      </c>
      <c r="I4275" s="5">
        <v>272</v>
      </c>
      <c r="J4275" s="5">
        <v>182</v>
      </c>
      <c r="K4275" s="5">
        <v>12</v>
      </c>
      <c r="L4275" s="5">
        <v>4</v>
      </c>
      <c r="M4275" s="5">
        <v>5</v>
      </c>
      <c r="N4275" s="7">
        <v>37.49</v>
      </c>
      <c r="O4275" s="7">
        <f t="shared" si="464"/>
        <v>187.45000000000002</v>
      </c>
      <c r="P4275" s="4">
        <v>0</v>
      </c>
      <c r="Q4275" s="7">
        <f t="shared" si="465"/>
        <v>0</v>
      </c>
      <c r="R4275" s="7">
        <f t="shared" si="466"/>
        <v>187.45000000000002</v>
      </c>
      <c r="S4275" s="7">
        <f t="shared" si="467"/>
        <v>46.862500000000004</v>
      </c>
      <c r="T4275" s="6">
        <f t="shared" si="468"/>
        <v>1.4705882352941176E-2</v>
      </c>
      <c r="V4275" t="s">
        <v>29</v>
      </c>
    </row>
    <row r="4276" spans="1:22">
      <c r="A4276" s="3">
        <v>45835</v>
      </c>
      <c r="B4276" t="str">
        <f t="shared" si="462"/>
        <v>yyyy-06</v>
      </c>
      <c r="C4276">
        <f t="shared" si="463"/>
        <v>26</v>
      </c>
      <c r="D4276" t="s">
        <v>24</v>
      </c>
      <c r="E4276" t="s">
        <v>76</v>
      </c>
      <c r="F4276" t="s">
        <v>77</v>
      </c>
      <c r="G4276" t="s">
        <v>36</v>
      </c>
      <c r="H4276" t="s">
        <v>37</v>
      </c>
      <c r="I4276" s="5">
        <v>340</v>
      </c>
      <c r="J4276" s="5">
        <v>196</v>
      </c>
      <c r="K4276" s="5">
        <v>5</v>
      </c>
      <c r="L4276" s="5">
        <v>0</v>
      </c>
      <c r="M4276" s="5">
        <v>0</v>
      </c>
      <c r="N4276" s="7">
        <v>192.73</v>
      </c>
      <c r="O4276" s="7">
        <f t="shared" si="464"/>
        <v>0</v>
      </c>
      <c r="P4276" s="4">
        <v>0</v>
      </c>
      <c r="Q4276" s="7">
        <f t="shared" si="465"/>
        <v>0</v>
      </c>
      <c r="R4276" s="7">
        <f t="shared" si="466"/>
        <v>0</v>
      </c>
      <c r="S4276" s="7">
        <f t="shared" si="467"/>
        <v>0</v>
      </c>
      <c r="T4276" s="6">
        <f t="shared" si="468"/>
        <v>0</v>
      </c>
      <c r="V4276" t="s">
        <v>81</v>
      </c>
    </row>
    <row r="4277" spans="1:22">
      <c r="A4277" s="3">
        <v>45836</v>
      </c>
      <c r="B4277" t="str">
        <f t="shared" si="462"/>
        <v>yyyy-06</v>
      </c>
      <c r="C4277">
        <f t="shared" si="463"/>
        <v>26</v>
      </c>
      <c r="D4277" t="s">
        <v>24</v>
      </c>
      <c r="E4277" t="s">
        <v>25</v>
      </c>
      <c r="F4277" t="s">
        <v>26</v>
      </c>
      <c r="G4277" t="s">
        <v>27</v>
      </c>
      <c r="H4277" t="s">
        <v>48</v>
      </c>
      <c r="I4277" s="5">
        <v>1799</v>
      </c>
      <c r="J4277" s="5">
        <v>1211</v>
      </c>
      <c r="K4277" s="5">
        <v>139</v>
      </c>
      <c r="L4277" s="5">
        <v>40</v>
      </c>
      <c r="M4277" s="5">
        <v>40</v>
      </c>
      <c r="N4277" s="7">
        <v>1016.53</v>
      </c>
      <c r="O4277" s="7">
        <f t="shared" si="464"/>
        <v>40661.199999999997</v>
      </c>
      <c r="P4277" s="4">
        <v>0.05</v>
      </c>
      <c r="Q4277" s="7">
        <f t="shared" si="465"/>
        <v>2033.06</v>
      </c>
      <c r="R4277" s="7">
        <f t="shared" si="466"/>
        <v>38628.14</v>
      </c>
      <c r="S4277" s="7">
        <f t="shared" si="467"/>
        <v>965.70349999999996</v>
      </c>
      <c r="T4277" s="6">
        <f t="shared" si="468"/>
        <v>2.2234574763757644E-2</v>
      </c>
      <c r="V4277" t="s">
        <v>29</v>
      </c>
    </row>
    <row r="4278" spans="1:22">
      <c r="A4278" s="3">
        <v>45836</v>
      </c>
      <c r="B4278" t="str">
        <f t="shared" si="462"/>
        <v>yyyy-06</v>
      </c>
      <c r="C4278">
        <f t="shared" si="463"/>
        <v>26</v>
      </c>
      <c r="D4278" t="s">
        <v>24</v>
      </c>
      <c r="E4278" t="s">
        <v>25</v>
      </c>
      <c r="F4278" t="s">
        <v>30</v>
      </c>
      <c r="G4278" t="s">
        <v>31</v>
      </c>
      <c r="H4278" t="s">
        <v>32</v>
      </c>
      <c r="I4278" s="5">
        <v>2857</v>
      </c>
      <c r="J4278" s="5">
        <v>1615</v>
      </c>
      <c r="K4278" s="5">
        <v>239</v>
      </c>
      <c r="L4278" s="5">
        <v>73</v>
      </c>
      <c r="M4278" s="5">
        <v>73</v>
      </c>
      <c r="N4278" s="7">
        <v>405.61</v>
      </c>
      <c r="O4278" s="7">
        <f t="shared" si="464"/>
        <v>29609.530000000002</v>
      </c>
      <c r="P4278" s="4">
        <v>0.03</v>
      </c>
      <c r="Q4278" s="7">
        <f t="shared" si="465"/>
        <v>888.28590000000008</v>
      </c>
      <c r="R4278" s="7">
        <f t="shared" si="466"/>
        <v>28721.244100000004</v>
      </c>
      <c r="S4278" s="7">
        <f t="shared" si="467"/>
        <v>393.44170000000003</v>
      </c>
      <c r="T4278" s="6">
        <f t="shared" si="468"/>
        <v>2.5551277563878195E-2</v>
      </c>
      <c r="V4278" t="s">
        <v>29</v>
      </c>
    </row>
    <row r="4279" spans="1:22">
      <c r="A4279" s="3">
        <v>45836</v>
      </c>
      <c r="B4279" t="str">
        <f t="shared" si="462"/>
        <v>yyyy-06</v>
      </c>
      <c r="C4279">
        <f t="shared" si="463"/>
        <v>26</v>
      </c>
      <c r="D4279" t="s">
        <v>24</v>
      </c>
      <c r="E4279" t="s">
        <v>25</v>
      </c>
      <c r="F4279" t="s">
        <v>33</v>
      </c>
      <c r="G4279" t="s">
        <v>27</v>
      </c>
      <c r="H4279" t="s">
        <v>45</v>
      </c>
      <c r="I4279" s="5">
        <v>1675</v>
      </c>
      <c r="J4279" s="5">
        <v>1145</v>
      </c>
      <c r="K4279" s="5">
        <v>90</v>
      </c>
      <c r="L4279" s="5">
        <v>19</v>
      </c>
      <c r="M4279" s="5">
        <v>19</v>
      </c>
      <c r="N4279" s="7">
        <v>1793.27</v>
      </c>
      <c r="O4279" s="7">
        <f t="shared" si="464"/>
        <v>34072.129999999997</v>
      </c>
      <c r="P4279" s="4">
        <v>0</v>
      </c>
      <c r="Q4279" s="7">
        <f t="shared" si="465"/>
        <v>0</v>
      </c>
      <c r="R4279" s="7">
        <f t="shared" si="466"/>
        <v>34072.129999999997</v>
      </c>
      <c r="S4279" s="7">
        <f t="shared" si="467"/>
        <v>1793.2699999999998</v>
      </c>
      <c r="T4279" s="6">
        <f t="shared" si="468"/>
        <v>1.1343283582089553E-2</v>
      </c>
      <c r="V4279" t="s">
        <v>78</v>
      </c>
    </row>
    <row r="4280" spans="1:22">
      <c r="A4280" s="3">
        <v>45836</v>
      </c>
      <c r="B4280" t="str">
        <f t="shared" si="462"/>
        <v>yyyy-06</v>
      </c>
      <c r="C4280">
        <f t="shared" si="463"/>
        <v>26</v>
      </c>
      <c r="D4280" t="s">
        <v>24</v>
      </c>
      <c r="E4280" t="s">
        <v>34</v>
      </c>
      <c r="F4280" t="s">
        <v>35</v>
      </c>
      <c r="G4280" t="s">
        <v>27</v>
      </c>
      <c r="H4280" t="s">
        <v>28</v>
      </c>
      <c r="I4280" s="5">
        <v>1265</v>
      </c>
      <c r="J4280" s="5">
        <v>711</v>
      </c>
      <c r="K4280" s="5">
        <v>75</v>
      </c>
      <c r="L4280" s="5">
        <v>21</v>
      </c>
      <c r="M4280" s="5">
        <v>21</v>
      </c>
      <c r="N4280" s="7">
        <v>916.92</v>
      </c>
      <c r="O4280" s="7">
        <f t="shared" si="464"/>
        <v>19255.32</v>
      </c>
      <c r="P4280" s="4">
        <v>0.05</v>
      </c>
      <c r="Q4280" s="7">
        <f t="shared" si="465"/>
        <v>962.76600000000008</v>
      </c>
      <c r="R4280" s="7">
        <f t="shared" si="466"/>
        <v>18292.554</v>
      </c>
      <c r="S4280" s="7">
        <f t="shared" si="467"/>
        <v>871.07399999999996</v>
      </c>
      <c r="T4280" s="6">
        <f t="shared" si="468"/>
        <v>1.6600790513833993E-2</v>
      </c>
      <c r="V4280" t="s">
        <v>78</v>
      </c>
    </row>
    <row r="4281" spans="1:22">
      <c r="A4281" s="3">
        <v>45836</v>
      </c>
      <c r="B4281" t="str">
        <f t="shared" si="462"/>
        <v>yyyy-06</v>
      </c>
      <c r="C4281">
        <f t="shared" si="463"/>
        <v>26</v>
      </c>
      <c r="D4281" t="s">
        <v>24</v>
      </c>
      <c r="E4281" t="s">
        <v>38</v>
      </c>
      <c r="F4281" t="s">
        <v>39</v>
      </c>
      <c r="G4281" t="s">
        <v>36</v>
      </c>
      <c r="H4281" t="s">
        <v>37</v>
      </c>
      <c r="I4281" s="5">
        <v>1337</v>
      </c>
      <c r="J4281" s="5">
        <v>868</v>
      </c>
      <c r="K4281" s="5">
        <v>128</v>
      </c>
      <c r="L4281" s="5">
        <v>26</v>
      </c>
      <c r="M4281" s="5">
        <v>26</v>
      </c>
      <c r="N4281" s="7">
        <v>326.74</v>
      </c>
      <c r="O4281" s="7">
        <f t="shared" si="464"/>
        <v>8495.24</v>
      </c>
      <c r="P4281" s="4">
        <v>0</v>
      </c>
      <c r="Q4281" s="7">
        <f t="shared" si="465"/>
        <v>0</v>
      </c>
      <c r="R4281" s="7">
        <f t="shared" si="466"/>
        <v>8495.24</v>
      </c>
      <c r="S4281" s="7">
        <f t="shared" si="467"/>
        <v>326.74</v>
      </c>
      <c r="T4281" s="6">
        <f t="shared" si="468"/>
        <v>1.944652206432311E-2</v>
      </c>
      <c r="V4281" t="s">
        <v>29</v>
      </c>
    </row>
    <row r="4282" spans="1:22">
      <c r="A4282" s="3">
        <v>45836</v>
      </c>
      <c r="B4282" t="str">
        <f t="shared" si="462"/>
        <v>yyyy-06</v>
      </c>
      <c r="C4282">
        <f t="shared" si="463"/>
        <v>26</v>
      </c>
      <c r="D4282" t="s">
        <v>24</v>
      </c>
      <c r="E4282" t="s">
        <v>40</v>
      </c>
      <c r="F4282" t="s">
        <v>41</v>
      </c>
      <c r="G4282" t="s">
        <v>27</v>
      </c>
      <c r="H4282" t="s">
        <v>45</v>
      </c>
      <c r="I4282" s="5">
        <v>779</v>
      </c>
      <c r="J4282" s="5">
        <v>567</v>
      </c>
      <c r="K4282" s="5">
        <v>43</v>
      </c>
      <c r="L4282" s="5">
        <v>13</v>
      </c>
      <c r="M4282" s="5">
        <v>15</v>
      </c>
      <c r="N4282" s="7">
        <v>182.43</v>
      </c>
      <c r="O4282" s="7">
        <f t="shared" si="464"/>
        <v>2736.4500000000003</v>
      </c>
      <c r="P4282" s="4">
        <v>0.03</v>
      </c>
      <c r="Q4282" s="7">
        <f t="shared" si="465"/>
        <v>82.093500000000006</v>
      </c>
      <c r="R4282" s="7">
        <f t="shared" si="466"/>
        <v>2654.3565000000003</v>
      </c>
      <c r="S4282" s="7">
        <f t="shared" si="467"/>
        <v>204.18126923076926</v>
      </c>
      <c r="T4282" s="6">
        <f t="shared" si="468"/>
        <v>1.668806161745828E-2</v>
      </c>
      <c r="V4282" t="s">
        <v>29</v>
      </c>
    </row>
    <row r="4283" spans="1:22">
      <c r="A4283" s="3">
        <v>45836</v>
      </c>
      <c r="B4283" t="str">
        <f t="shared" si="462"/>
        <v>yyyy-06</v>
      </c>
      <c r="C4283">
        <f t="shared" si="463"/>
        <v>26</v>
      </c>
      <c r="D4283" t="s">
        <v>42</v>
      </c>
      <c r="E4283" t="s">
        <v>43</v>
      </c>
      <c r="F4283" t="s">
        <v>44</v>
      </c>
      <c r="G4283" t="s">
        <v>31</v>
      </c>
      <c r="H4283" t="s">
        <v>32</v>
      </c>
      <c r="I4283" s="5">
        <v>829</v>
      </c>
      <c r="J4283" s="5">
        <v>481</v>
      </c>
      <c r="K4283" s="5">
        <v>42</v>
      </c>
      <c r="L4283" s="5">
        <v>9</v>
      </c>
      <c r="M4283" s="5">
        <v>9</v>
      </c>
      <c r="N4283" s="7">
        <v>1321.4</v>
      </c>
      <c r="O4283" s="7">
        <f t="shared" si="464"/>
        <v>11892.6</v>
      </c>
      <c r="P4283" s="4">
        <v>0.05</v>
      </c>
      <c r="Q4283" s="7">
        <f t="shared" si="465"/>
        <v>594.63</v>
      </c>
      <c r="R4283" s="7">
        <f t="shared" si="466"/>
        <v>11297.970000000001</v>
      </c>
      <c r="S4283" s="7">
        <f t="shared" si="467"/>
        <v>1255.3300000000002</v>
      </c>
      <c r="T4283" s="6">
        <f t="shared" si="468"/>
        <v>1.0856453558504222E-2</v>
      </c>
      <c r="V4283" t="s">
        <v>29</v>
      </c>
    </row>
    <row r="4284" spans="1:22">
      <c r="A4284" s="3">
        <v>45836</v>
      </c>
      <c r="B4284" t="str">
        <f t="shared" si="462"/>
        <v>yyyy-06</v>
      </c>
      <c r="C4284">
        <f t="shared" si="463"/>
        <v>26</v>
      </c>
      <c r="D4284" t="s">
        <v>42</v>
      </c>
      <c r="E4284" t="s">
        <v>43</v>
      </c>
      <c r="F4284" t="s">
        <v>46</v>
      </c>
      <c r="G4284" t="s">
        <v>31</v>
      </c>
      <c r="H4284" t="s">
        <v>32</v>
      </c>
      <c r="I4284" s="5">
        <v>795</v>
      </c>
      <c r="J4284" s="5">
        <v>608</v>
      </c>
      <c r="K4284" s="5">
        <v>63</v>
      </c>
      <c r="L4284" s="5">
        <v>12</v>
      </c>
      <c r="M4284" s="5">
        <v>12</v>
      </c>
      <c r="N4284" s="7">
        <v>2174.6799999999998</v>
      </c>
      <c r="O4284" s="7">
        <f t="shared" si="464"/>
        <v>26096.159999999996</v>
      </c>
      <c r="P4284" s="4">
        <v>0</v>
      </c>
      <c r="Q4284" s="7">
        <f t="shared" si="465"/>
        <v>0</v>
      </c>
      <c r="R4284" s="7">
        <f t="shared" si="466"/>
        <v>26096.159999999996</v>
      </c>
      <c r="S4284" s="7">
        <f t="shared" si="467"/>
        <v>2174.6799999999998</v>
      </c>
      <c r="T4284" s="6">
        <f t="shared" si="468"/>
        <v>1.509433962264151E-2</v>
      </c>
      <c r="V4284" t="s">
        <v>29</v>
      </c>
    </row>
    <row r="4285" spans="1:22">
      <c r="A4285" s="3">
        <v>45836</v>
      </c>
      <c r="B4285" t="str">
        <f t="shared" si="462"/>
        <v>yyyy-06</v>
      </c>
      <c r="C4285">
        <f t="shared" si="463"/>
        <v>26</v>
      </c>
      <c r="D4285" t="s">
        <v>42</v>
      </c>
      <c r="E4285" t="s">
        <v>43</v>
      </c>
      <c r="F4285" t="s">
        <v>47</v>
      </c>
      <c r="G4285" t="s">
        <v>27</v>
      </c>
      <c r="H4285" t="s">
        <v>28</v>
      </c>
      <c r="I4285" s="5">
        <v>516</v>
      </c>
      <c r="J4285" s="5">
        <v>320</v>
      </c>
      <c r="K4285" s="5">
        <v>31</v>
      </c>
      <c r="L4285" s="5">
        <v>8</v>
      </c>
      <c r="M4285" s="5">
        <v>8</v>
      </c>
      <c r="N4285" s="7">
        <v>605.34</v>
      </c>
      <c r="O4285" s="7">
        <f t="shared" si="464"/>
        <v>4842.72</v>
      </c>
      <c r="P4285" s="4">
        <v>0.05</v>
      </c>
      <c r="Q4285" s="7">
        <f t="shared" si="465"/>
        <v>242.13600000000002</v>
      </c>
      <c r="R4285" s="7">
        <f t="shared" si="466"/>
        <v>4600.5839999999998</v>
      </c>
      <c r="S4285" s="7">
        <f t="shared" si="467"/>
        <v>575.07299999999998</v>
      </c>
      <c r="T4285" s="6">
        <f t="shared" si="468"/>
        <v>1.5503875968992248E-2</v>
      </c>
      <c r="V4285" t="s">
        <v>29</v>
      </c>
    </row>
    <row r="4286" spans="1:22">
      <c r="A4286" s="3">
        <v>45836</v>
      </c>
      <c r="B4286" t="str">
        <f t="shared" si="462"/>
        <v>yyyy-06</v>
      </c>
      <c r="C4286">
        <f t="shared" si="463"/>
        <v>26</v>
      </c>
      <c r="D4286" t="s">
        <v>42</v>
      </c>
      <c r="E4286" t="s">
        <v>49</v>
      </c>
      <c r="F4286" t="s">
        <v>50</v>
      </c>
      <c r="G4286" t="s">
        <v>27</v>
      </c>
      <c r="H4286" t="s">
        <v>28</v>
      </c>
      <c r="I4286" s="5">
        <v>202</v>
      </c>
      <c r="J4286" s="5">
        <v>133</v>
      </c>
      <c r="K4286" s="5">
        <v>15</v>
      </c>
      <c r="L4286" s="5">
        <v>3</v>
      </c>
      <c r="M4286" s="5">
        <v>3</v>
      </c>
      <c r="N4286" s="7">
        <v>968.19</v>
      </c>
      <c r="O4286" s="7">
        <f t="shared" si="464"/>
        <v>2904.57</v>
      </c>
      <c r="P4286" s="4">
        <v>0</v>
      </c>
      <c r="Q4286" s="7">
        <f t="shared" si="465"/>
        <v>0</v>
      </c>
      <c r="R4286" s="7">
        <f t="shared" si="466"/>
        <v>2904.57</v>
      </c>
      <c r="S4286" s="7">
        <f t="shared" si="467"/>
        <v>968.19</v>
      </c>
      <c r="T4286" s="6">
        <f t="shared" si="468"/>
        <v>1.4851485148514851E-2</v>
      </c>
      <c r="V4286" t="s">
        <v>29</v>
      </c>
    </row>
    <row r="4287" spans="1:22">
      <c r="A4287" s="3">
        <v>45836</v>
      </c>
      <c r="B4287" t="str">
        <f t="shared" si="462"/>
        <v>yyyy-06</v>
      </c>
      <c r="C4287">
        <f t="shared" si="463"/>
        <v>26</v>
      </c>
      <c r="D4287" t="s">
        <v>42</v>
      </c>
      <c r="E4287" t="s">
        <v>51</v>
      </c>
      <c r="F4287" t="s">
        <v>52</v>
      </c>
      <c r="G4287" t="s">
        <v>27</v>
      </c>
      <c r="H4287" t="s">
        <v>45</v>
      </c>
      <c r="I4287" s="5">
        <v>249</v>
      </c>
      <c r="J4287" s="5">
        <v>142</v>
      </c>
      <c r="K4287" s="5">
        <v>11</v>
      </c>
      <c r="L4287" s="5">
        <v>4</v>
      </c>
      <c r="M4287" s="5">
        <v>4</v>
      </c>
      <c r="N4287" s="7">
        <v>596.34</v>
      </c>
      <c r="O4287" s="7">
        <f t="shared" si="464"/>
        <v>2385.36</v>
      </c>
      <c r="P4287" s="4">
        <v>0</v>
      </c>
      <c r="Q4287" s="7">
        <f t="shared" si="465"/>
        <v>0</v>
      </c>
      <c r="R4287" s="7">
        <f t="shared" si="466"/>
        <v>2385.36</v>
      </c>
      <c r="S4287" s="7">
        <f t="shared" si="467"/>
        <v>596.34</v>
      </c>
      <c r="T4287" s="6">
        <f t="shared" si="468"/>
        <v>1.6064257028112448E-2</v>
      </c>
      <c r="V4287" t="s">
        <v>29</v>
      </c>
    </row>
    <row r="4288" spans="1:22">
      <c r="A4288" s="3">
        <v>45836</v>
      </c>
      <c r="B4288" t="str">
        <f t="shared" si="462"/>
        <v>yyyy-06</v>
      </c>
      <c r="C4288">
        <f t="shared" si="463"/>
        <v>26</v>
      </c>
      <c r="D4288" t="s">
        <v>53</v>
      </c>
      <c r="E4288" t="s">
        <v>54</v>
      </c>
      <c r="F4288" t="s">
        <v>55</v>
      </c>
      <c r="G4288" t="s">
        <v>27</v>
      </c>
      <c r="H4288" t="s">
        <v>48</v>
      </c>
      <c r="I4288" s="5">
        <v>161</v>
      </c>
      <c r="J4288" s="5">
        <v>131</v>
      </c>
      <c r="K4288" s="5">
        <v>14</v>
      </c>
      <c r="L4288" s="5">
        <v>2</v>
      </c>
      <c r="M4288" s="5">
        <v>2</v>
      </c>
      <c r="N4288" s="7">
        <v>1269.77</v>
      </c>
      <c r="O4288" s="7">
        <f t="shared" si="464"/>
        <v>2539.54</v>
      </c>
      <c r="P4288" s="4">
        <v>0</v>
      </c>
      <c r="Q4288" s="7">
        <f t="shared" si="465"/>
        <v>0</v>
      </c>
      <c r="R4288" s="7">
        <f t="shared" si="466"/>
        <v>2539.54</v>
      </c>
      <c r="S4288" s="7">
        <f t="shared" si="467"/>
        <v>1269.77</v>
      </c>
      <c r="T4288" s="6">
        <f t="shared" si="468"/>
        <v>1.2422360248447204E-2</v>
      </c>
      <c r="V4288" t="s">
        <v>29</v>
      </c>
    </row>
    <row r="4289" spans="1:22">
      <c r="A4289" s="3">
        <v>45836</v>
      </c>
      <c r="B4289" t="str">
        <f t="shared" si="462"/>
        <v>yyyy-06</v>
      </c>
      <c r="C4289">
        <f t="shared" si="463"/>
        <v>26</v>
      </c>
      <c r="D4289" t="s">
        <v>53</v>
      </c>
      <c r="E4289" t="s">
        <v>56</v>
      </c>
      <c r="F4289" t="s">
        <v>57</v>
      </c>
      <c r="G4289" t="s">
        <v>27</v>
      </c>
      <c r="H4289" t="s">
        <v>28</v>
      </c>
      <c r="I4289" s="5">
        <v>274</v>
      </c>
      <c r="J4289" s="5">
        <v>165</v>
      </c>
      <c r="K4289" s="5">
        <v>17</v>
      </c>
      <c r="L4289" s="5">
        <v>3</v>
      </c>
      <c r="M4289" s="5">
        <v>3</v>
      </c>
      <c r="N4289" s="7">
        <v>756.39</v>
      </c>
      <c r="O4289" s="7">
        <f t="shared" si="464"/>
        <v>2269.17</v>
      </c>
      <c r="P4289" s="4">
        <v>0.03</v>
      </c>
      <c r="Q4289" s="7">
        <f t="shared" si="465"/>
        <v>68.075100000000006</v>
      </c>
      <c r="R4289" s="7">
        <f t="shared" si="466"/>
        <v>2201.0949000000001</v>
      </c>
      <c r="S4289" s="7">
        <f t="shared" si="467"/>
        <v>733.69830000000002</v>
      </c>
      <c r="T4289" s="6">
        <f t="shared" si="468"/>
        <v>1.0948905109489052E-2</v>
      </c>
      <c r="V4289" t="s">
        <v>29</v>
      </c>
    </row>
    <row r="4290" spans="1:22">
      <c r="A4290" s="3">
        <v>45836</v>
      </c>
      <c r="B4290" t="str">
        <f t="shared" si="462"/>
        <v>yyyy-06</v>
      </c>
      <c r="C4290">
        <f t="shared" si="463"/>
        <v>26</v>
      </c>
      <c r="D4290" t="s">
        <v>53</v>
      </c>
      <c r="E4290" t="s">
        <v>56</v>
      </c>
      <c r="F4290" t="s">
        <v>58</v>
      </c>
      <c r="G4290" t="s">
        <v>27</v>
      </c>
      <c r="H4290" t="s">
        <v>28</v>
      </c>
      <c r="I4290" s="5">
        <v>229</v>
      </c>
      <c r="J4290" s="5">
        <v>172</v>
      </c>
      <c r="K4290" s="5">
        <v>15</v>
      </c>
      <c r="L4290" s="5">
        <v>2</v>
      </c>
      <c r="M4290" s="5">
        <v>2</v>
      </c>
      <c r="N4290" s="7">
        <v>891.26</v>
      </c>
      <c r="O4290" s="7">
        <f t="shared" si="464"/>
        <v>1782.52</v>
      </c>
      <c r="P4290" s="4">
        <v>0.05</v>
      </c>
      <c r="Q4290" s="7">
        <f t="shared" si="465"/>
        <v>89.126000000000005</v>
      </c>
      <c r="R4290" s="7">
        <f t="shared" si="466"/>
        <v>1693.394</v>
      </c>
      <c r="S4290" s="7">
        <f t="shared" si="467"/>
        <v>846.697</v>
      </c>
      <c r="T4290" s="6">
        <f t="shared" si="468"/>
        <v>8.7336244541484712E-3</v>
      </c>
      <c r="V4290" t="s">
        <v>29</v>
      </c>
    </row>
    <row r="4291" spans="1:22">
      <c r="A4291" s="3">
        <v>45836</v>
      </c>
      <c r="B4291" t="str">
        <f t="shared" si="462"/>
        <v>yyyy-06</v>
      </c>
      <c r="C4291">
        <f t="shared" si="463"/>
        <v>26</v>
      </c>
      <c r="D4291" t="s">
        <v>53</v>
      </c>
      <c r="E4291" t="s">
        <v>59</v>
      </c>
      <c r="F4291" t="s">
        <v>60</v>
      </c>
      <c r="G4291" t="s">
        <v>36</v>
      </c>
      <c r="H4291" t="s">
        <v>37</v>
      </c>
      <c r="I4291" s="5">
        <v>193</v>
      </c>
      <c r="J4291" s="5">
        <v>101</v>
      </c>
      <c r="K4291" s="5">
        <v>9</v>
      </c>
      <c r="L4291" s="5">
        <v>3</v>
      </c>
      <c r="M4291" s="5">
        <v>3</v>
      </c>
      <c r="N4291" s="7">
        <v>691.71</v>
      </c>
      <c r="O4291" s="7">
        <f t="shared" si="464"/>
        <v>2075.13</v>
      </c>
      <c r="P4291" s="4">
        <v>0</v>
      </c>
      <c r="Q4291" s="7">
        <f t="shared" si="465"/>
        <v>0</v>
      </c>
      <c r="R4291" s="7">
        <f t="shared" si="466"/>
        <v>2075.13</v>
      </c>
      <c r="S4291" s="7">
        <f t="shared" si="467"/>
        <v>691.71</v>
      </c>
      <c r="T4291" s="6">
        <f t="shared" si="468"/>
        <v>1.5544041450777202E-2</v>
      </c>
      <c r="V4291" t="s">
        <v>29</v>
      </c>
    </row>
    <row r="4292" spans="1:22">
      <c r="A4292" s="3">
        <v>45836</v>
      </c>
      <c r="B4292" t="str">
        <f t="shared" si="462"/>
        <v>yyyy-06</v>
      </c>
      <c r="C4292">
        <f t="shared" si="463"/>
        <v>26</v>
      </c>
      <c r="D4292" t="s">
        <v>53</v>
      </c>
      <c r="E4292" t="s">
        <v>61</v>
      </c>
      <c r="F4292" t="s">
        <v>62</v>
      </c>
      <c r="G4292" t="s">
        <v>31</v>
      </c>
      <c r="H4292" t="s">
        <v>32</v>
      </c>
      <c r="I4292" s="5">
        <v>225</v>
      </c>
      <c r="J4292" s="5">
        <v>149</v>
      </c>
      <c r="K4292" s="5">
        <v>15</v>
      </c>
      <c r="L4292" s="5">
        <v>2</v>
      </c>
      <c r="M4292" s="5">
        <v>2</v>
      </c>
      <c r="N4292" s="7">
        <v>482.5</v>
      </c>
      <c r="O4292" s="7">
        <f t="shared" si="464"/>
        <v>965</v>
      </c>
      <c r="P4292" s="4">
        <v>0.05</v>
      </c>
      <c r="Q4292" s="7">
        <f t="shared" si="465"/>
        <v>48.25</v>
      </c>
      <c r="R4292" s="7">
        <f t="shared" si="466"/>
        <v>916.75</v>
      </c>
      <c r="S4292" s="7">
        <f t="shared" si="467"/>
        <v>458.375</v>
      </c>
      <c r="T4292" s="6">
        <f t="shared" si="468"/>
        <v>8.8888888888888889E-3</v>
      </c>
      <c r="V4292" t="s">
        <v>29</v>
      </c>
    </row>
    <row r="4293" spans="1:22">
      <c r="A4293" s="3">
        <v>45836</v>
      </c>
      <c r="B4293" t="str">
        <f t="shared" ref="B4293:B4356" si="469">TEXT(A4293,"yyyy-mm")</f>
        <v>yyyy-06</v>
      </c>
      <c r="C4293">
        <f t="shared" ref="C4293:C4348" si="470">WEEKNUM(A4293,2)</f>
        <v>26</v>
      </c>
      <c r="D4293" t="s">
        <v>53</v>
      </c>
      <c r="E4293" t="s">
        <v>64</v>
      </c>
      <c r="F4293" t="s">
        <v>65</v>
      </c>
      <c r="G4293" t="s">
        <v>27</v>
      </c>
      <c r="H4293" t="s">
        <v>45</v>
      </c>
      <c r="I4293" s="5">
        <v>263</v>
      </c>
      <c r="J4293" s="5">
        <v>166</v>
      </c>
      <c r="K4293" s="5">
        <v>11</v>
      </c>
      <c r="L4293" s="5">
        <v>3</v>
      </c>
      <c r="M4293" s="5">
        <v>3</v>
      </c>
      <c r="N4293" s="7">
        <v>777.08</v>
      </c>
      <c r="O4293" s="7">
        <f t="shared" ref="O4293:O4356" si="471">M4293*N4293</f>
        <v>2331.2400000000002</v>
      </c>
      <c r="P4293" s="4">
        <v>0</v>
      </c>
      <c r="Q4293" s="7">
        <f t="shared" ref="Q4293:Q4356" si="472">O4293*P4293</f>
        <v>0</v>
      </c>
      <c r="R4293" s="7">
        <f t="shared" ref="R4293:R4356" si="473">O4293-Q4293</f>
        <v>2331.2400000000002</v>
      </c>
      <c r="S4293" s="7">
        <f t="shared" ref="S4293:S4356" si="474">IFERROR(R4293/L4293,0)</f>
        <v>777.08</v>
      </c>
      <c r="T4293" s="6">
        <f t="shared" ref="T4293:T4348" si="475">IFERROR(L4293/I4293,0)</f>
        <v>1.1406844106463879E-2</v>
      </c>
      <c r="V4293" t="s">
        <v>29</v>
      </c>
    </row>
    <row r="4294" spans="1:22">
      <c r="A4294" s="3">
        <v>45836</v>
      </c>
      <c r="B4294" t="str">
        <f t="shared" si="469"/>
        <v>yyyy-06</v>
      </c>
      <c r="C4294">
        <f t="shared" si="470"/>
        <v>26</v>
      </c>
      <c r="D4294" t="s">
        <v>66</v>
      </c>
      <c r="E4294" t="s">
        <v>67</v>
      </c>
      <c r="F4294" t="s">
        <v>68</v>
      </c>
      <c r="G4294" t="s">
        <v>31</v>
      </c>
      <c r="H4294" t="s">
        <v>32</v>
      </c>
      <c r="I4294" s="5">
        <v>583</v>
      </c>
      <c r="J4294" s="5">
        <v>408</v>
      </c>
      <c r="K4294" s="5">
        <v>21</v>
      </c>
      <c r="L4294" s="5">
        <v>9</v>
      </c>
      <c r="M4294" s="5">
        <v>9</v>
      </c>
      <c r="N4294" s="7">
        <v>688.06</v>
      </c>
      <c r="O4294" s="7">
        <f t="shared" si="471"/>
        <v>6192.5399999999991</v>
      </c>
      <c r="P4294" s="4">
        <v>0</v>
      </c>
      <c r="Q4294" s="7">
        <f t="shared" si="472"/>
        <v>0</v>
      </c>
      <c r="R4294" s="7">
        <f t="shared" si="473"/>
        <v>6192.5399999999991</v>
      </c>
      <c r="S4294" s="7">
        <f t="shared" si="474"/>
        <v>688.06</v>
      </c>
      <c r="T4294" s="6">
        <f t="shared" si="475"/>
        <v>1.5437392795883362E-2</v>
      </c>
      <c r="V4294" t="s">
        <v>29</v>
      </c>
    </row>
    <row r="4295" spans="1:22">
      <c r="A4295" s="3">
        <v>45836</v>
      </c>
      <c r="B4295" t="str">
        <f t="shared" si="469"/>
        <v>yyyy-06</v>
      </c>
      <c r="C4295">
        <f t="shared" si="470"/>
        <v>26</v>
      </c>
      <c r="D4295" t="s">
        <v>66</v>
      </c>
      <c r="E4295" t="s">
        <v>67</v>
      </c>
      <c r="F4295" t="s">
        <v>69</v>
      </c>
      <c r="G4295" t="s">
        <v>31</v>
      </c>
      <c r="H4295" t="s">
        <v>32</v>
      </c>
      <c r="I4295" s="5">
        <v>741</v>
      </c>
      <c r="J4295" s="5">
        <v>460</v>
      </c>
      <c r="K4295" s="5">
        <v>48</v>
      </c>
      <c r="L4295" s="5">
        <v>10</v>
      </c>
      <c r="M4295" s="5">
        <v>10</v>
      </c>
      <c r="N4295" s="7">
        <v>387.21</v>
      </c>
      <c r="O4295" s="7">
        <f t="shared" si="471"/>
        <v>3872.1</v>
      </c>
      <c r="P4295" s="4">
        <v>0.03</v>
      </c>
      <c r="Q4295" s="7">
        <f t="shared" si="472"/>
        <v>116.163</v>
      </c>
      <c r="R4295" s="7">
        <f t="shared" si="473"/>
        <v>3755.9369999999999</v>
      </c>
      <c r="S4295" s="7">
        <f t="shared" si="474"/>
        <v>375.59370000000001</v>
      </c>
      <c r="T4295" s="6">
        <f t="shared" si="475"/>
        <v>1.3495276653171391E-2</v>
      </c>
      <c r="V4295" t="s">
        <v>29</v>
      </c>
    </row>
    <row r="4296" spans="1:22">
      <c r="A4296" s="3">
        <v>45836</v>
      </c>
      <c r="B4296" t="str">
        <f t="shared" si="469"/>
        <v>yyyy-06</v>
      </c>
      <c r="C4296">
        <f t="shared" si="470"/>
        <v>26</v>
      </c>
      <c r="D4296" t="s">
        <v>66</v>
      </c>
      <c r="E4296" t="s">
        <v>67</v>
      </c>
      <c r="F4296" t="s">
        <v>70</v>
      </c>
      <c r="G4296" t="s">
        <v>27</v>
      </c>
      <c r="H4296" t="s">
        <v>63</v>
      </c>
      <c r="I4296" s="5">
        <v>325</v>
      </c>
      <c r="J4296" s="5">
        <v>189</v>
      </c>
      <c r="K4296" s="5">
        <v>34</v>
      </c>
      <c r="L4296" s="5">
        <v>8</v>
      </c>
      <c r="M4296" s="5">
        <v>8</v>
      </c>
      <c r="N4296" s="7">
        <v>343.13</v>
      </c>
      <c r="O4296" s="7">
        <f t="shared" si="471"/>
        <v>2745.04</v>
      </c>
      <c r="P4296" s="4">
        <v>0</v>
      </c>
      <c r="Q4296" s="7">
        <f t="shared" si="472"/>
        <v>0</v>
      </c>
      <c r="R4296" s="7">
        <f t="shared" si="473"/>
        <v>2745.04</v>
      </c>
      <c r="S4296" s="7">
        <f t="shared" si="474"/>
        <v>343.13</v>
      </c>
      <c r="T4296" s="6">
        <f t="shared" si="475"/>
        <v>2.4615384615384615E-2</v>
      </c>
      <c r="V4296" t="s">
        <v>29</v>
      </c>
    </row>
    <row r="4297" spans="1:22">
      <c r="A4297" s="3">
        <v>45836</v>
      </c>
      <c r="B4297" t="str">
        <f t="shared" si="469"/>
        <v>yyyy-06</v>
      </c>
      <c r="C4297">
        <f t="shared" si="470"/>
        <v>26</v>
      </c>
      <c r="D4297" t="s">
        <v>66</v>
      </c>
      <c r="E4297" t="s">
        <v>71</v>
      </c>
      <c r="F4297" t="s">
        <v>72</v>
      </c>
      <c r="G4297" t="s">
        <v>27</v>
      </c>
      <c r="H4297" t="s">
        <v>48</v>
      </c>
      <c r="I4297" s="5">
        <v>296</v>
      </c>
      <c r="J4297" s="5">
        <v>236</v>
      </c>
      <c r="K4297" s="5">
        <v>18</v>
      </c>
      <c r="L4297" s="5">
        <v>7</v>
      </c>
      <c r="M4297" s="5">
        <v>8</v>
      </c>
      <c r="N4297" s="7">
        <v>129.19</v>
      </c>
      <c r="O4297" s="7">
        <f t="shared" si="471"/>
        <v>1033.52</v>
      </c>
      <c r="P4297" s="4">
        <v>0</v>
      </c>
      <c r="Q4297" s="7">
        <f t="shared" si="472"/>
        <v>0</v>
      </c>
      <c r="R4297" s="7">
        <f t="shared" si="473"/>
        <v>1033.52</v>
      </c>
      <c r="S4297" s="7">
        <f t="shared" si="474"/>
        <v>147.64571428571429</v>
      </c>
      <c r="T4297" s="6">
        <f t="shared" si="475"/>
        <v>2.364864864864865E-2</v>
      </c>
      <c r="V4297" t="s">
        <v>29</v>
      </c>
    </row>
    <row r="4298" spans="1:22">
      <c r="A4298" s="3">
        <v>45836</v>
      </c>
      <c r="B4298" t="str">
        <f t="shared" si="469"/>
        <v>yyyy-06</v>
      </c>
      <c r="C4298">
        <f t="shared" si="470"/>
        <v>26</v>
      </c>
      <c r="D4298" t="s">
        <v>66</v>
      </c>
      <c r="E4298" t="s">
        <v>73</v>
      </c>
      <c r="F4298" t="s">
        <v>74</v>
      </c>
      <c r="G4298" t="s">
        <v>31</v>
      </c>
      <c r="H4298" t="s">
        <v>32</v>
      </c>
      <c r="I4298" s="5">
        <v>349</v>
      </c>
      <c r="J4298" s="5">
        <v>231</v>
      </c>
      <c r="K4298" s="5">
        <v>23</v>
      </c>
      <c r="L4298" s="5">
        <v>7</v>
      </c>
      <c r="M4298" s="5">
        <v>7</v>
      </c>
      <c r="N4298" s="7">
        <v>1194.47</v>
      </c>
      <c r="O4298" s="7">
        <f t="shared" si="471"/>
        <v>8361.2900000000009</v>
      </c>
      <c r="P4298" s="4">
        <v>0.03</v>
      </c>
      <c r="Q4298" s="7">
        <f t="shared" si="472"/>
        <v>250.83870000000002</v>
      </c>
      <c r="R4298" s="7">
        <f t="shared" si="473"/>
        <v>8110.4513000000006</v>
      </c>
      <c r="S4298" s="7">
        <f t="shared" si="474"/>
        <v>1158.6359</v>
      </c>
      <c r="T4298" s="6">
        <f t="shared" si="475"/>
        <v>2.0057306590257881E-2</v>
      </c>
      <c r="V4298" t="s">
        <v>29</v>
      </c>
    </row>
    <row r="4299" spans="1:22">
      <c r="A4299" s="3">
        <v>45836</v>
      </c>
      <c r="B4299" t="str">
        <f t="shared" si="469"/>
        <v>yyyy-06</v>
      </c>
      <c r="C4299">
        <f t="shared" si="470"/>
        <v>26</v>
      </c>
      <c r="D4299" t="s">
        <v>66</v>
      </c>
      <c r="E4299" t="s">
        <v>71</v>
      </c>
      <c r="F4299" t="s">
        <v>75</v>
      </c>
      <c r="G4299" t="s">
        <v>27</v>
      </c>
      <c r="H4299" t="s">
        <v>28</v>
      </c>
      <c r="I4299" s="5">
        <v>536</v>
      </c>
      <c r="J4299" s="5">
        <v>280</v>
      </c>
      <c r="K4299" s="5">
        <v>38</v>
      </c>
      <c r="L4299" s="5">
        <v>9</v>
      </c>
      <c r="M4299" s="5">
        <v>12</v>
      </c>
      <c r="N4299" s="7">
        <v>39.31</v>
      </c>
      <c r="O4299" s="7">
        <f t="shared" si="471"/>
        <v>471.72</v>
      </c>
      <c r="P4299" s="4">
        <v>0</v>
      </c>
      <c r="Q4299" s="7">
        <f t="shared" si="472"/>
        <v>0</v>
      </c>
      <c r="R4299" s="7">
        <f t="shared" si="473"/>
        <v>471.72</v>
      </c>
      <c r="S4299" s="7">
        <f t="shared" si="474"/>
        <v>52.413333333333334</v>
      </c>
      <c r="T4299" s="6">
        <f t="shared" si="475"/>
        <v>1.6791044776119403E-2</v>
      </c>
      <c r="V4299" t="s">
        <v>78</v>
      </c>
    </row>
    <row r="4300" spans="1:22">
      <c r="A4300" s="3">
        <v>45836</v>
      </c>
      <c r="B4300" t="str">
        <f t="shared" si="469"/>
        <v>yyyy-06</v>
      </c>
      <c r="C4300">
        <f t="shared" si="470"/>
        <v>26</v>
      </c>
      <c r="D4300" t="s">
        <v>24</v>
      </c>
      <c r="E4300" t="s">
        <v>76</v>
      </c>
      <c r="F4300" t="s">
        <v>77</v>
      </c>
      <c r="G4300" t="s">
        <v>31</v>
      </c>
      <c r="H4300" t="s">
        <v>32</v>
      </c>
      <c r="I4300" s="5">
        <v>969</v>
      </c>
      <c r="J4300" s="5">
        <v>629</v>
      </c>
      <c r="K4300" s="5">
        <v>65</v>
      </c>
      <c r="L4300" s="5">
        <v>17</v>
      </c>
      <c r="M4300" s="5">
        <v>22</v>
      </c>
      <c r="N4300" s="7">
        <v>193.89</v>
      </c>
      <c r="O4300" s="7">
        <f t="shared" si="471"/>
        <v>4265.58</v>
      </c>
      <c r="P4300" s="4">
        <v>0</v>
      </c>
      <c r="Q4300" s="7">
        <f t="shared" si="472"/>
        <v>0</v>
      </c>
      <c r="R4300" s="7">
        <f t="shared" si="473"/>
        <v>4265.58</v>
      </c>
      <c r="S4300" s="7">
        <f t="shared" si="474"/>
        <v>250.91647058823528</v>
      </c>
      <c r="T4300" s="6">
        <f t="shared" si="475"/>
        <v>1.7543859649122806E-2</v>
      </c>
      <c r="V4300" t="s">
        <v>29</v>
      </c>
    </row>
    <row r="4301" spans="1:22">
      <c r="A4301" s="3">
        <v>45837</v>
      </c>
      <c r="B4301" t="str">
        <f t="shared" si="469"/>
        <v>yyyy-06</v>
      </c>
      <c r="C4301">
        <f t="shared" si="470"/>
        <v>26</v>
      </c>
      <c r="D4301" t="s">
        <v>24</v>
      </c>
      <c r="E4301" t="s">
        <v>25</v>
      </c>
      <c r="F4301" t="s">
        <v>26</v>
      </c>
      <c r="G4301" t="s">
        <v>31</v>
      </c>
      <c r="H4301" t="s">
        <v>32</v>
      </c>
      <c r="I4301" s="5">
        <v>2500</v>
      </c>
      <c r="J4301" s="5">
        <v>1443</v>
      </c>
      <c r="K4301" s="5">
        <v>226</v>
      </c>
      <c r="L4301" s="5">
        <v>63</v>
      </c>
      <c r="M4301" s="5">
        <v>63</v>
      </c>
      <c r="N4301" s="7">
        <v>987.75</v>
      </c>
      <c r="O4301" s="7">
        <f t="shared" si="471"/>
        <v>62228.25</v>
      </c>
      <c r="P4301" s="4">
        <v>0</v>
      </c>
      <c r="Q4301" s="7">
        <f t="shared" si="472"/>
        <v>0</v>
      </c>
      <c r="R4301" s="7">
        <f t="shared" si="473"/>
        <v>62228.25</v>
      </c>
      <c r="S4301" s="7">
        <f t="shared" si="474"/>
        <v>987.75</v>
      </c>
      <c r="T4301" s="6">
        <f t="shared" si="475"/>
        <v>2.52E-2</v>
      </c>
      <c r="V4301" t="s">
        <v>29</v>
      </c>
    </row>
    <row r="4302" spans="1:22">
      <c r="A4302" s="3">
        <v>45837</v>
      </c>
      <c r="B4302" t="str">
        <f t="shared" si="469"/>
        <v>yyyy-06</v>
      </c>
      <c r="C4302">
        <f t="shared" si="470"/>
        <v>26</v>
      </c>
      <c r="D4302" t="s">
        <v>24</v>
      </c>
      <c r="E4302" t="s">
        <v>25</v>
      </c>
      <c r="F4302" t="s">
        <v>30</v>
      </c>
      <c r="G4302" t="s">
        <v>31</v>
      </c>
      <c r="H4302" t="s">
        <v>32</v>
      </c>
      <c r="I4302" s="5">
        <v>2247</v>
      </c>
      <c r="J4302" s="5">
        <v>1685</v>
      </c>
      <c r="K4302" s="5">
        <v>98</v>
      </c>
      <c r="L4302" s="5">
        <v>34</v>
      </c>
      <c r="M4302" s="5">
        <v>34</v>
      </c>
      <c r="N4302" s="7">
        <v>387.67</v>
      </c>
      <c r="O4302" s="7">
        <f t="shared" si="471"/>
        <v>13180.78</v>
      </c>
      <c r="P4302" s="4">
        <v>0</v>
      </c>
      <c r="Q4302" s="7">
        <f t="shared" si="472"/>
        <v>0</v>
      </c>
      <c r="R4302" s="7">
        <f t="shared" si="473"/>
        <v>13180.78</v>
      </c>
      <c r="S4302" s="7">
        <f t="shared" si="474"/>
        <v>387.67</v>
      </c>
      <c r="T4302" s="6">
        <f t="shared" si="475"/>
        <v>1.5131286159323543E-2</v>
      </c>
      <c r="V4302" t="s">
        <v>29</v>
      </c>
    </row>
    <row r="4303" spans="1:22">
      <c r="A4303" s="3">
        <v>45837</v>
      </c>
      <c r="B4303" t="str">
        <f t="shared" si="469"/>
        <v>yyyy-06</v>
      </c>
      <c r="C4303">
        <f t="shared" si="470"/>
        <v>26</v>
      </c>
      <c r="D4303" t="s">
        <v>24</v>
      </c>
      <c r="E4303" t="s">
        <v>25</v>
      </c>
      <c r="F4303" t="s">
        <v>33</v>
      </c>
      <c r="G4303" t="s">
        <v>27</v>
      </c>
      <c r="H4303" t="s">
        <v>48</v>
      </c>
      <c r="I4303" s="5">
        <v>1686</v>
      </c>
      <c r="J4303" s="5">
        <v>899</v>
      </c>
      <c r="K4303" s="5">
        <v>119</v>
      </c>
      <c r="L4303" s="5">
        <v>34</v>
      </c>
      <c r="M4303" s="5">
        <v>34</v>
      </c>
      <c r="N4303" s="7">
        <v>1740.91</v>
      </c>
      <c r="O4303" s="7">
        <f t="shared" si="471"/>
        <v>59190.94</v>
      </c>
      <c r="P4303" s="4">
        <v>0</v>
      </c>
      <c r="Q4303" s="7">
        <f t="shared" si="472"/>
        <v>0</v>
      </c>
      <c r="R4303" s="7">
        <f t="shared" si="473"/>
        <v>59190.94</v>
      </c>
      <c r="S4303" s="7">
        <f t="shared" si="474"/>
        <v>1740.91</v>
      </c>
      <c r="T4303" s="6">
        <f t="shared" si="475"/>
        <v>2.0166073546856466E-2</v>
      </c>
      <c r="V4303" t="s">
        <v>29</v>
      </c>
    </row>
    <row r="4304" spans="1:22">
      <c r="A4304" s="3">
        <v>45837</v>
      </c>
      <c r="B4304" t="str">
        <f t="shared" si="469"/>
        <v>yyyy-06</v>
      </c>
      <c r="C4304">
        <f t="shared" si="470"/>
        <v>26</v>
      </c>
      <c r="D4304" t="s">
        <v>24</v>
      </c>
      <c r="E4304" t="s">
        <v>34</v>
      </c>
      <c r="F4304" t="s">
        <v>35</v>
      </c>
      <c r="G4304" t="s">
        <v>27</v>
      </c>
      <c r="H4304" t="s">
        <v>28</v>
      </c>
      <c r="I4304" s="5">
        <v>1307</v>
      </c>
      <c r="J4304" s="5">
        <v>930</v>
      </c>
      <c r="K4304" s="5">
        <v>131</v>
      </c>
      <c r="L4304" s="5">
        <v>32</v>
      </c>
      <c r="M4304" s="5">
        <v>32</v>
      </c>
      <c r="N4304" s="7">
        <v>881.8</v>
      </c>
      <c r="O4304" s="7">
        <f t="shared" si="471"/>
        <v>28217.599999999999</v>
      </c>
      <c r="P4304" s="4">
        <v>0.05</v>
      </c>
      <c r="Q4304" s="7">
        <f t="shared" si="472"/>
        <v>1410.88</v>
      </c>
      <c r="R4304" s="7">
        <f t="shared" si="473"/>
        <v>26806.719999999998</v>
      </c>
      <c r="S4304" s="7">
        <f t="shared" si="474"/>
        <v>837.70999999999992</v>
      </c>
      <c r="T4304" s="6">
        <f t="shared" si="475"/>
        <v>2.448355011476664E-2</v>
      </c>
      <c r="V4304" t="s">
        <v>29</v>
      </c>
    </row>
    <row r="4305" spans="1:22">
      <c r="A4305" s="3">
        <v>45837</v>
      </c>
      <c r="B4305" t="str">
        <f t="shared" si="469"/>
        <v>yyyy-06</v>
      </c>
      <c r="C4305">
        <f t="shared" si="470"/>
        <v>26</v>
      </c>
      <c r="D4305" t="s">
        <v>24</v>
      </c>
      <c r="E4305" t="s">
        <v>38</v>
      </c>
      <c r="F4305" t="s">
        <v>39</v>
      </c>
      <c r="G4305" t="s">
        <v>36</v>
      </c>
      <c r="H4305" t="s">
        <v>37</v>
      </c>
      <c r="I4305" s="5">
        <v>768</v>
      </c>
      <c r="J4305" s="5">
        <v>548</v>
      </c>
      <c r="K4305" s="5">
        <v>91</v>
      </c>
      <c r="L4305" s="5">
        <v>19</v>
      </c>
      <c r="M4305" s="5">
        <v>19</v>
      </c>
      <c r="N4305" s="7">
        <v>329.94</v>
      </c>
      <c r="O4305" s="7">
        <f t="shared" si="471"/>
        <v>6268.86</v>
      </c>
      <c r="P4305" s="4">
        <v>0</v>
      </c>
      <c r="Q4305" s="7">
        <f t="shared" si="472"/>
        <v>0</v>
      </c>
      <c r="R4305" s="7">
        <f t="shared" si="473"/>
        <v>6268.86</v>
      </c>
      <c r="S4305" s="7">
        <f t="shared" si="474"/>
        <v>329.94</v>
      </c>
      <c r="T4305" s="6">
        <f t="shared" si="475"/>
        <v>2.4739583333333332E-2</v>
      </c>
      <c r="V4305" t="s">
        <v>29</v>
      </c>
    </row>
    <row r="4306" spans="1:22">
      <c r="A4306" s="3">
        <v>45837</v>
      </c>
      <c r="B4306" t="str">
        <f t="shared" si="469"/>
        <v>yyyy-06</v>
      </c>
      <c r="C4306">
        <f t="shared" si="470"/>
        <v>26</v>
      </c>
      <c r="D4306" t="s">
        <v>24</v>
      </c>
      <c r="E4306" t="s">
        <v>40</v>
      </c>
      <c r="F4306" t="s">
        <v>41</v>
      </c>
      <c r="G4306" t="s">
        <v>36</v>
      </c>
      <c r="H4306" t="s">
        <v>37</v>
      </c>
      <c r="I4306" s="5">
        <v>1066</v>
      </c>
      <c r="J4306" s="5">
        <v>636</v>
      </c>
      <c r="K4306" s="5">
        <v>69</v>
      </c>
      <c r="L4306" s="5">
        <v>22</v>
      </c>
      <c r="M4306" s="5">
        <v>24</v>
      </c>
      <c r="N4306" s="7">
        <v>172.56</v>
      </c>
      <c r="O4306" s="7">
        <f t="shared" si="471"/>
        <v>4141.4400000000005</v>
      </c>
      <c r="P4306" s="4">
        <v>0.05</v>
      </c>
      <c r="Q4306" s="7">
        <f t="shared" si="472"/>
        <v>207.07200000000003</v>
      </c>
      <c r="R4306" s="7">
        <f t="shared" si="473"/>
        <v>3934.3680000000004</v>
      </c>
      <c r="S4306" s="7">
        <f t="shared" si="474"/>
        <v>178.83490909090912</v>
      </c>
      <c r="T4306" s="6">
        <f t="shared" si="475"/>
        <v>2.0637898686679174E-2</v>
      </c>
      <c r="V4306" t="s">
        <v>29</v>
      </c>
    </row>
    <row r="4307" spans="1:22">
      <c r="A4307" s="3">
        <v>45837</v>
      </c>
      <c r="B4307" t="str">
        <f t="shared" si="469"/>
        <v>yyyy-06</v>
      </c>
      <c r="C4307">
        <f t="shared" si="470"/>
        <v>26</v>
      </c>
      <c r="D4307" t="s">
        <v>42</v>
      </c>
      <c r="E4307" t="s">
        <v>43</v>
      </c>
      <c r="F4307" t="s">
        <v>44</v>
      </c>
      <c r="G4307" t="s">
        <v>31</v>
      </c>
      <c r="H4307" t="s">
        <v>32</v>
      </c>
      <c r="I4307" s="5">
        <v>696</v>
      </c>
      <c r="J4307" s="5">
        <v>429</v>
      </c>
      <c r="K4307" s="5">
        <v>31</v>
      </c>
      <c r="L4307" s="5">
        <v>9</v>
      </c>
      <c r="M4307" s="5">
        <v>9</v>
      </c>
      <c r="N4307" s="7">
        <v>1263.94</v>
      </c>
      <c r="O4307" s="7">
        <f t="shared" si="471"/>
        <v>11375.460000000001</v>
      </c>
      <c r="P4307" s="4">
        <v>0</v>
      </c>
      <c r="Q4307" s="7">
        <f t="shared" si="472"/>
        <v>0</v>
      </c>
      <c r="R4307" s="7">
        <f t="shared" si="473"/>
        <v>11375.460000000001</v>
      </c>
      <c r="S4307" s="7">
        <f t="shared" si="474"/>
        <v>1263.94</v>
      </c>
      <c r="T4307" s="6">
        <f t="shared" si="475"/>
        <v>1.2931034482758621E-2</v>
      </c>
      <c r="V4307" t="s">
        <v>29</v>
      </c>
    </row>
    <row r="4308" spans="1:22">
      <c r="A4308" s="3">
        <v>45837</v>
      </c>
      <c r="B4308" t="str">
        <f t="shared" si="469"/>
        <v>yyyy-06</v>
      </c>
      <c r="C4308">
        <f t="shared" si="470"/>
        <v>26</v>
      </c>
      <c r="D4308" t="s">
        <v>42</v>
      </c>
      <c r="E4308" t="s">
        <v>43</v>
      </c>
      <c r="F4308" t="s">
        <v>46</v>
      </c>
      <c r="G4308" t="s">
        <v>27</v>
      </c>
      <c r="H4308" t="s">
        <v>48</v>
      </c>
      <c r="I4308" s="5">
        <v>621</v>
      </c>
      <c r="J4308" s="5">
        <v>500</v>
      </c>
      <c r="K4308" s="5">
        <v>49</v>
      </c>
      <c r="L4308" s="5">
        <v>9</v>
      </c>
      <c r="M4308" s="5">
        <v>9</v>
      </c>
      <c r="N4308" s="7">
        <v>2123.23</v>
      </c>
      <c r="O4308" s="7">
        <f t="shared" si="471"/>
        <v>19109.07</v>
      </c>
      <c r="P4308" s="4">
        <v>0</v>
      </c>
      <c r="Q4308" s="7">
        <f t="shared" si="472"/>
        <v>0</v>
      </c>
      <c r="R4308" s="7">
        <f t="shared" si="473"/>
        <v>19109.07</v>
      </c>
      <c r="S4308" s="7">
        <f t="shared" si="474"/>
        <v>2123.23</v>
      </c>
      <c r="T4308" s="6">
        <f t="shared" si="475"/>
        <v>1.4492753623188406E-2</v>
      </c>
      <c r="V4308" t="s">
        <v>29</v>
      </c>
    </row>
    <row r="4309" spans="1:22">
      <c r="A4309" s="3">
        <v>45837</v>
      </c>
      <c r="B4309" t="str">
        <f t="shared" si="469"/>
        <v>yyyy-06</v>
      </c>
      <c r="C4309">
        <f t="shared" si="470"/>
        <v>26</v>
      </c>
      <c r="D4309" t="s">
        <v>42</v>
      </c>
      <c r="E4309" t="s">
        <v>43</v>
      </c>
      <c r="F4309" t="s">
        <v>47</v>
      </c>
      <c r="G4309" t="s">
        <v>27</v>
      </c>
      <c r="H4309" t="s">
        <v>48</v>
      </c>
      <c r="I4309" s="5">
        <v>439</v>
      </c>
      <c r="J4309" s="5">
        <v>351</v>
      </c>
      <c r="K4309" s="5">
        <v>24</v>
      </c>
      <c r="L4309" s="5">
        <v>6</v>
      </c>
      <c r="M4309" s="5">
        <v>6</v>
      </c>
      <c r="N4309" s="7">
        <v>601.65</v>
      </c>
      <c r="O4309" s="7">
        <f t="shared" si="471"/>
        <v>3609.8999999999996</v>
      </c>
      <c r="P4309" s="4">
        <v>0</v>
      </c>
      <c r="Q4309" s="7">
        <f t="shared" si="472"/>
        <v>0</v>
      </c>
      <c r="R4309" s="7">
        <f t="shared" si="473"/>
        <v>3609.8999999999996</v>
      </c>
      <c r="S4309" s="7">
        <f t="shared" si="474"/>
        <v>601.65</v>
      </c>
      <c r="T4309" s="6">
        <f t="shared" si="475"/>
        <v>1.366742596810934E-2</v>
      </c>
      <c r="V4309" t="s">
        <v>29</v>
      </c>
    </row>
    <row r="4310" spans="1:22">
      <c r="A4310" s="3">
        <v>45837</v>
      </c>
      <c r="B4310" t="str">
        <f t="shared" si="469"/>
        <v>yyyy-06</v>
      </c>
      <c r="C4310">
        <f t="shared" si="470"/>
        <v>26</v>
      </c>
      <c r="D4310" t="s">
        <v>42</v>
      </c>
      <c r="E4310" t="s">
        <v>49</v>
      </c>
      <c r="F4310" t="s">
        <v>50</v>
      </c>
      <c r="G4310" t="s">
        <v>31</v>
      </c>
      <c r="H4310" t="s">
        <v>32</v>
      </c>
      <c r="I4310" s="5">
        <v>100</v>
      </c>
      <c r="J4310" s="5">
        <v>82</v>
      </c>
      <c r="K4310" s="5">
        <v>2</v>
      </c>
      <c r="L4310" s="5">
        <v>0</v>
      </c>
      <c r="M4310" s="5">
        <v>0</v>
      </c>
      <c r="N4310" s="7">
        <v>964.39</v>
      </c>
      <c r="O4310" s="7">
        <f t="shared" si="471"/>
        <v>0</v>
      </c>
      <c r="P4310" s="4">
        <v>0</v>
      </c>
      <c r="Q4310" s="7">
        <f t="shared" si="472"/>
        <v>0</v>
      </c>
      <c r="R4310" s="7">
        <f t="shared" si="473"/>
        <v>0</v>
      </c>
      <c r="S4310" s="7">
        <f t="shared" si="474"/>
        <v>0</v>
      </c>
      <c r="T4310" s="6">
        <f t="shared" si="475"/>
        <v>0</v>
      </c>
      <c r="V4310" t="s">
        <v>81</v>
      </c>
    </row>
    <row r="4311" spans="1:22">
      <c r="A4311" s="3">
        <v>45837</v>
      </c>
      <c r="B4311" t="str">
        <f t="shared" si="469"/>
        <v>yyyy-06</v>
      </c>
      <c r="C4311">
        <f t="shared" si="470"/>
        <v>26</v>
      </c>
      <c r="D4311" t="s">
        <v>42</v>
      </c>
      <c r="E4311" t="s">
        <v>51</v>
      </c>
      <c r="F4311" t="s">
        <v>52</v>
      </c>
      <c r="G4311" t="s">
        <v>31</v>
      </c>
      <c r="H4311" t="s">
        <v>32</v>
      </c>
      <c r="I4311" s="5">
        <v>430</v>
      </c>
      <c r="J4311" s="5">
        <v>313</v>
      </c>
      <c r="K4311" s="5">
        <v>34</v>
      </c>
      <c r="L4311" s="5">
        <v>6</v>
      </c>
      <c r="M4311" s="5">
        <v>6</v>
      </c>
      <c r="N4311" s="7">
        <v>598.92999999999995</v>
      </c>
      <c r="O4311" s="7">
        <f t="shared" si="471"/>
        <v>3593.58</v>
      </c>
      <c r="P4311" s="4">
        <v>0</v>
      </c>
      <c r="Q4311" s="7">
        <f t="shared" si="472"/>
        <v>0</v>
      </c>
      <c r="R4311" s="7">
        <f t="shared" si="473"/>
        <v>3593.58</v>
      </c>
      <c r="S4311" s="7">
        <f t="shared" si="474"/>
        <v>598.92999999999995</v>
      </c>
      <c r="T4311" s="6">
        <f t="shared" si="475"/>
        <v>1.3953488372093023E-2</v>
      </c>
      <c r="V4311" t="s">
        <v>29</v>
      </c>
    </row>
    <row r="4312" spans="1:22">
      <c r="A4312" s="3">
        <v>45837</v>
      </c>
      <c r="B4312" t="str">
        <f t="shared" si="469"/>
        <v>yyyy-06</v>
      </c>
      <c r="C4312">
        <f t="shared" si="470"/>
        <v>26</v>
      </c>
      <c r="D4312" t="s">
        <v>53</v>
      </c>
      <c r="E4312" t="s">
        <v>54</v>
      </c>
      <c r="F4312" t="s">
        <v>55</v>
      </c>
      <c r="G4312" t="s">
        <v>27</v>
      </c>
      <c r="H4312" t="s">
        <v>28</v>
      </c>
      <c r="I4312" s="5">
        <v>218</v>
      </c>
      <c r="J4312" s="5">
        <v>124</v>
      </c>
      <c r="K4312" s="5">
        <v>15</v>
      </c>
      <c r="L4312" s="5">
        <v>3</v>
      </c>
      <c r="M4312" s="5">
        <v>3</v>
      </c>
      <c r="N4312" s="7">
        <v>1276.71</v>
      </c>
      <c r="O4312" s="7">
        <f t="shared" si="471"/>
        <v>3830.13</v>
      </c>
      <c r="P4312" s="4">
        <v>0.05</v>
      </c>
      <c r="Q4312" s="7">
        <f t="shared" si="472"/>
        <v>191.50650000000002</v>
      </c>
      <c r="R4312" s="7">
        <f t="shared" si="473"/>
        <v>3638.6235000000001</v>
      </c>
      <c r="S4312" s="7">
        <f t="shared" si="474"/>
        <v>1212.8745000000001</v>
      </c>
      <c r="T4312" s="6">
        <f t="shared" si="475"/>
        <v>1.3761467889908258E-2</v>
      </c>
      <c r="V4312" t="s">
        <v>29</v>
      </c>
    </row>
    <row r="4313" spans="1:22">
      <c r="A4313" s="3">
        <v>45837</v>
      </c>
      <c r="B4313" t="str">
        <f t="shared" si="469"/>
        <v>yyyy-06</v>
      </c>
      <c r="C4313">
        <f t="shared" si="470"/>
        <v>26</v>
      </c>
      <c r="D4313" t="s">
        <v>53</v>
      </c>
      <c r="E4313" t="s">
        <v>56</v>
      </c>
      <c r="F4313" t="s">
        <v>57</v>
      </c>
      <c r="G4313" t="s">
        <v>27</v>
      </c>
      <c r="H4313" t="s">
        <v>63</v>
      </c>
      <c r="I4313" s="5">
        <v>226</v>
      </c>
      <c r="J4313" s="5">
        <v>164</v>
      </c>
      <c r="K4313" s="5">
        <v>19</v>
      </c>
      <c r="L4313" s="5">
        <v>3</v>
      </c>
      <c r="M4313" s="5">
        <v>3</v>
      </c>
      <c r="N4313" s="7">
        <v>732.11</v>
      </c>
      <c r="O4313" s="7">
        <f t="shared" si="471"/>
        <v>2196.33</v>
      </c>
      <c r="P4313" s="4">
        <v>0</v>
      </c>
      <c r="Q4313" s="7">
        <f t="shared" si="472"/>
        <v>0</v>
      </c>
      <c r="R4313" s="7">
        <f t="shared" si="473"/>
        <v>2196.33</v>
      </c>
      <c r="S4313" s="7">
        <f t="shared" si="474"/>
        <v>732.11</v>
      </c>
      <c r="T4313" s="6">
        <f t="shared" si="475"/>
        <v>1.3274336283185841E-2</v>
      </c>
      <c r="V4313" t="s">
        <v>29</v>
      </c>
    </row>
    <row r="4314" spans="1:22">
      <c r="A4314" s="3">
        <v>45837</v>
      </c>
      <c r="B4314" t="str">
        <f t="shared" si="469"/>
        <v>yyyy-06</v>
      </c>
      <c r="C4314">
        <f t="shared" si="470"/>
        <v>26</v>
      </c>
      <c r="D4314" t="s">
        <v>53</v>
      </c>
      <c r="E4314" t="s">
        <v>56</v>
      </c>
      <c r="F4314" t="s">
        <v>58</v>
      </c>
      <c r="G4314" t="s">
        <v>31</v>
      </c>
      <c r="H4314" t="s">
        <v>32</v>
      </c>
      <c r="I4314" s="5">
        <v>328</v>
      </c>
      <c r="J4314" s="5">
        <v>242</v>
      </c>
      <c r="K4314" s="5">
        <v>28</v>
      </c>
      <c r="L4314" s="5">
        <v>4</v>
      </c>
      <c r="M4314" s="5">
        <v>4</v>
      </c>
      <c r="N4314" s="7">
        <v>908.99</v>
      </c>
      <c r="O4314" s="7">
        <f t="shared" si="471"/>
        <v>3635.96</v>
      </c>
      <c r="P4314" s="4">
        <v>0</v>
      </c>
      <c r="Q4314" s="7">
        <f t="shared" si="472"/>
        <v>0</v>
      </c>
      <c r="R4314" s="7">
        <f t="shared" si="473"/>
        <v>3635.96</v>
      </c>
      <c r="S4314" s="7">
        <f t="shared" si="474"/>
        <v>908.99</v>
      </c>
      <c r="T4314" s="6">
        <f t="shared" si="475"/>
        <v>1.2195121951219513E-2</v>
      </c>
      <c r="V4314" t="s">
        <v>29</v>
      </c>
    </row>
    <row r="4315" spans="1:22">
      <c r="A4315" s="3">
        <v>45837</v>
      </c>
      <c r="B4315" t="str">
        <f t="shared" si="469"/>
        <v>yyyy-06</v>
      </c>
      <c r="C4315">
        <f t="shared" si="470"/>
        <v>26</v>
      </c>
      <c r="D4315" t="s">
        <v>53</v>
      </c>
      <c r="E4315" t="s">
        <v>59</v>
      </c>
      <c r="F4315" t="s">
        <v>60</v>
      </c>
      <c r="G4315" t="s">
        <v>31</v>
      </c>
      <c r="H4315" t="s">
        <v>32</v>
      </c>
      <c r="I4315" s="5">
        <v>248</v>
      </c>
      <c r="J4315" s="5">
        <v>142</v>
      </c>
      <c r="K4315" s="5">
        <v>15</v>
      </c>
      <c r="L4315" s="5">
        <v>3</v>
      </c>
      <c r="M4315" s="5">
        <v>3</v>
      </c>
      <c r="N4315" s="7">
        <v>706.11</v>
      </c>
      <c r="O4315" s="7">
        <f t="shared" si="471"/>
        <v>2118.33</v>
      </c>
      <c r="P4315" s="4">
        <v>0</v>
      </c>
      <c r="Q4315" s="7">
        <f t="shared" si="472"/>
        <v>0</v>
      </c>
      <c r="R4315" s="7">
        <f t="shared" si="473"/>
        <v>2118.33</v>
      </c>
      <c r="S4315" s="7">
        <f t="shared" si="474"/>
        <v>706.11</v>
      </c>
      <c r="T4315" s="6">
        <f t="shared" si="475"/>
        <v>1.2096774193548387E-2</v>
      </c>
      <c r="V4315" t="s">
        <v>29</v>
      </c>
    </row>
    <row r="4316" spans="1:22">
      <c r="A4316" s="3">
        <v>45837</v>
      </c>
      <c r="B4316" t="str">
        <f t="shared" si="469"/>
        <v>yyyy-06</v>
      </c>
      <c r="C4316">
        <f t="shared" si="470"/>
        <v>26</v>
      </c>
      <c r="D4316" t="s">
        <v>53</v>
      </c>
      <c r="E4316" t="s">
        <v>61</v>
      </c>
      <c r="F4316" t="s">
        <v>62</v>
      </c>
      <c r="G4316" t="s">
        <v>36</v>
      </c>
      <c r="H4316" t="s">
        <v>37</v>
      </c>
      <c r="I4316" s="5">
        <v>290</v>
      </c>
      <c r="J4316" s="5">
        <v>177</v>
      </c>
      <c r="K4316" s="5">
        <v>11</v>
      </c>
      <c r="L4316" s="5">
        <v>3</v>
      </c>
      <c r="M4316" s="5">
        <v>3</v>
      </c>
      <c r="N4316" s="7">
        <v>501.58</v>
      </c>
      <c r="O4316" s="7">
        <f t="shared" si="471"/>
        <v>1504.74</v>
      </c>
      <c r="P4316" s="4">
        <v>0</v>
      </c>
      <c r="Q4316" s="7">
        <f t="shared" si="472"/>
        <v>0</v>
      </c>
      <c r="R4316" s="7">
        <f t="shared" si="473"/>
        <v>1504.74</v>
      </c>
      <c r="S4316" s="7">
        <f t="shared" si="474"/>
        <v>501.58</v>
      </c>
      <c r="T4316" s="6">
        <f t="shared" si="475"/>
        <v>1.0344827586206896E-2</v>
      </c>
      <c r="V4316" t="s">
        <v>29</v>
      </c>
    </row>
    <row r="4317" spans="1:22">
      <c r="A4317" s="3">
        <v>45837</v>
      </c>
      <c r="B4317" t="str">
        <f t="shared" si="469"/>
        <v>yyyy-06</v>
      </c>
      <c r="C4317">
        <f t="shared" si="470"/>
        <v>26</v>
      </c>
      <c r="D4317" t="s">
        <v>53</v>
      </c>
      <c r="E4317" t="s">
        <v>64</v>
      </c>
      <c r="F4317" t="s">
        <v>65</v>
      </c>
      <c r="G4317" t="s">
        <v>31</v>
      </c>
      <c r="H4317" t="s">
        <v>32</v>
      </c>
      <c r="I4317" s="5">
        <v>362</v>
      </c>
      <c r="J4317" s="5">
        <v>299</v>
      </c>
      <c r="K4317" s="5">
        <v>31</v>
      </c>
      <c r="L4317" s="5">
        <v>4</v>
      </c>
      <c r="M4317" s="5">
        <v>4</v>
      </c>
      <c r="N4317" s="7">
        <v>787.31</v>
      </c>
      <c r="O4317" s="7">
        <f t="shared" si="471"/>
        <v>3149.24</v>
      </c>
      <c r="P4317" s="4">
        <v>0</v>
      </c>
      <c r="Q4317" s="7">
        <f t="shared" si="472"/>
        <v>0</v>
      </c>
      <c r="R4317" s="7">
        <f t="shared" si="473"/>
        <v>3149.24</v>
      </c>
      <c r="S4317" s="7">
        <f t="shared" si="474"/>
        <v>787.31</v>
      </c>
      <c r="T4317" s="6">
        <f t="shared" si="475"/>
        <v>1.1049723756906077E-2</v>
      </c>
      <c r="V4317" t="s">
        <v>29</v>
      </c>
    </row>
    <row r="4318" spans="1:22">
      <c r="A4318" s="3">
        <v>45837</v>
      </c>
      <c r="B4318" t="str">
        <f t="shared" si="469"/>
        <v>yyyy-06</v>
      </c>
      <c r="C4318">
        <f t="shared" si="470"/>
        <v>26</v>
      </c>
      <c r="D4318" t="s">
        <v>66</v>
      </c>
      <c r="E4318" t="s">
        <v>67</v>
      </c>
      <c r="F4318" t="s">
        <v>68</v>
      </c>
      <c r="G4318" t="s">
        <v>27</v>
      </c>
      <c r="H4318" t="s">
        <v>28</v>
      </c>
      <c r="I4318" s="5">
        <v>494</v>
      </c>
      <c r="J4318" s="5">
        <v>336</v>
      </c>
      <c r="K4318" s="5">
        <v>30</v>
      </c>
      <c r="L4318" s="5">
        <v>8</v>
      </c>
      <c r="M4318" s="5">
        <v>8</v>
      </c>
      <c r="N4318" s="7">
        <v>697.37</v>
      </c>
      <c r="O4318" s="7">
        <f t="shared" si="471"/>
        <v>5578.96</v>
      </c>
      <c r="P4318" s="4">
        <v>0</v>
      </c>
      <c r="Q4318" s="7">
        <f t="shared" si="472"/>
        <v>0</v>
      </c>
      <c r="R4318" s="7">
        <f t="shared" si="473"/>
        <v>5578.96</v>
      </c>
      <c r="S4318" s="7">
        <f t="shared" si="474"/>
        <v>697.37</v>
      </c>
      <c r="T4318" s="6">
        <f t="shared" si="475"/>
        <v>1.6194331983805668E-2</v>
      </c>
      <c r="V4318" t="s">
        <v>78</v>
      </c>
    </row>
    <row r="4319" spans="1:22">
      <c r="A4319" s="3">
        <v>45837</v>
      </c>
      <c r="B4319" t="str">
        <f t="shared" si="469"/>
        <v>yyyy-06</v>
      </c>
      <c r="C4319">
        <f t="shared" si="470"/>
        <v>26</v>
      </c>
      <c r="D4319" t="s">
        <v>66</v>
      </c>
      <c r="E4319" t="s">
        <v>67</v>
      </c>
      <c r="F4319" t="s">
        <v>69</v>
      </c>
      <c r="G4319" t="s">
        <v>36</v>
      </c>
      <c r="H4319" t="s">
        <v>37</v>
      </c>
      <c r="I4319" s="5">
        <v>581</v>
      </c>
      <c r="J4319" s="5">
        <v>359</v>
      </c>
      <c r="K4319" s="5">
        <v>34</v>
      </c>
      <c r="L4319" s="5">
        <v>8</v>
      </c>
      <c r="M4319" s="5">
        <v>8</v>
      </c>
      <c r="N4319" s="7">
        <v>389.2</v>
      </c>
      <c r="O4319" s="7">
        <f t="shared" si="471"/>
        <v>3113.6</v>
      </c>
      <c r="P4319" s="4">
        <v>0</v>
      </c>
      <c r="Q4319" s="7">
        <f t="shared" si="472"/>
        <v>0</v>
      </c>
      <c r="R4319" s="7">
        <f t="shared" si="473"/>
        <v>3113.6</v>
      </c>
      <c r="S4319" s="7">
        <f t="shared" si="474"/>
        <v>389.2</v>
      </c>
      <c r="T4319" s="6">
        <f t="shared" si="475"/>
        <v>1.3769363166953529E-2</v>
      </c>
      <c r="V4319" t="s">
        <v>29</v>
      </c>
    </row>
    <row r="4320" spans="1:22">
      <c r="A4320" s="3">
        <v>45837</v>
      </c>
      <c r="B4320" t="str">
        <f t="shared" si="469"/>
        <v>yyyy-06</v>
      </c>
      <c r="C4320">
        <f t="shared" si="470"/>
        <v>26</v>
      </c>
      <c r="D4320" t="s">
        <v>66</v>
      </c>
      <c r="E4320" t="s">
        <v>67</v>
      </c>
      <c r="F4320" t="s">
        <v>70</v>
      </c>
      <c r="G4320" t="s">
        <v>31</v>
      </c>
      <c r="H4320" t="s">
        <v>32</v>
      </c>
      <c r="I4320" s="5">
        <v>513</v>
      </c>
      <c r="J4320" s="5">
        <v>335</v>
      </c>
      <c r="K4320" s="5">
        <v>41</v>
      </c>
      <c r="L4320" s="5">
        <v>11</v>
      </c>
      <c r="M4320" s="5">
        <v>11</v>
      </c>
      <c r="N4320" s="7">
        <v>344.05</v>
      </c>
      <c r="O4320" s="7">
        <f t="shared" si="471"/>
        <v>3784.55</v>
      </c>
      <c r="P4320" s="4">
        <v>0</v>
      </c>
      <c r="Q4320" s="7">
        <f t="shared" si="472"/>
        <v>0</v>
      </c>
      <c r="R4320" s="7">
        <f t="shared" si="473"/>
        <v>3784.55</v>
      </c>
      <c r="S4320" s="7">
        <f t="shared" si="474"/>
        <v>344.05</v>
      </c>
      <c r="T4320" s="6">
        <f t="shared" si="475"/>
        <v>2.1442495126705652E-2</v>
      </c>
      <c r="V4320" t="s">
        <v>29</v>
      </c>
    </row>
    <row r="4321" spans="1:22">
      <c r="A4321" s="3">
        <v>45837</v>
      </c>
      <c r="B4321" t="str">
        <f t="shared" si="469"/>
        <v>yyyy-06</v>
      </c>
      <c r="C4321">
        <f t="shared" si="470"/>
        <v>26</v>
      </c>
      <c r="D4321" t="s">
        <v>66</v>
      </c>
      <c r="E4321" t="s">
        <v>71</v>
      </c>
      <c r="F4321" t="s">
        <v>72</v>
      </c>
      <c r="G4321" t="s">
        <v>27</v>
      </c>
      <c r="H4321" t="s">
        <v>45</v>
      </c>
      <c r="I4321" s="5">
        <v>446</v>
      </c>
      <c r="J4321" s="5">
        <v>261</v>
      </c>
      <c r="K4321" s="5">
        <v>48</v>
      </c>
      <c r="L4321" s="5">
        <v>10</v>
      </c>
      <c r="M4321" s="5">
        <v>11</v>
      </c>
      <c r="N4321" s="7">
        <v>129.06</v>
      </c>
      <c r="O4321" s="7">
        <f t="shared" si="471"/>
        <v>1419.66</v>
      </c>
      <c r="P4321" s="4">
        <v>0.05</v>
      </c>
      <c r="Q4321" s="7">
        <f t="shared" si="472"/>
        <v>70.983000000000004</v>
      </c>
      <c r="R4321" s="7">
        <f t="shared" si="473"/>
        <v>1348.6770000000001</v>
      </c>
      <c r="S4321" s="7">
        <f t="shared" si="474"/>
        <v>134.86770000000001</v>
      </c>
      <c r="T4321" s="6">
        <f t="shared" si="475"/>
        <v>2.2421524663677129E-2</v>
      </c>
      <c r="V4321" t="s">
        <v>29</v>
      </c>
    </row>
    <row r="4322" spans="1:22">
      <c r="A4322" s="3">
        <v>45837</v>
      </c>
      <c r="B4322" t="str">
        <f t="shared" si="469"/>
        <v>yyyy-06</v>
      </c>
      <c r="C4322">
        <f t="shared" si="470"/>
        <v>26</v>
      </c>
      <c r="D4322" t="s">
        <v>66</v>
      </c>
      <c r="E4322" t="s">
        <v>73</v>
      </c>
      <c r="F4322" t="s">
        <v>74</v>
      </c>
      <c r="G4322" t="s">
        <v>27</v>
      </c>
      <c r="H4322" t="s">
        <v>28</v>
      </c>
      <c r="I4322" s="5">
        <v>307</v>
      </c>
      <c r="J4322" s="5">
        <v>182</v>
      </c>
      <c r="K4322" s="5">
        <v>21</v>
      </c>
      <c r="L4322" s="5">
        <v>4</v>
      </c>
      <c r="M4322" s="5">
        <v>4</v>
      </c>
      <c r="N4322" s="7">
        <v>1190.1300000000001</v>
      </c>
      <c r="O4322" s="7">
        <f t="shared" si="471"/>
        <v>4760.5200000000004</v>
      </c>
      <c r="P4322" s="4">
        <v>0.05</v>
      </c>
      <c r="Q4322" s="7">
        <f t="shared" si="472"/>
        <v>238.02600000000004</v>
      </c>
      <c r="R4322" s="7">
        <f t="shared" si="473"/>
        <v>4522.4940000000006</v>
      </c>
      <c r="S4322" s="7">
        <f t="shared" si="474"/>
        <v>1130.6235000000001</v>
      </c>
      <c r="T4322" s="6">
        <f t="shared" si="475"/>
        <v>1.3029315960912053E-2</v>
      </c>
      <c r="V4322" t="s">
        <v>29</v>
      </c>
    </row>
    <row r="4323" spans="1:22">
      <c r="A4323" s="3">
        <v>45837</v>
      </c>
      <c r="B4323" t="str">
        <f t="shared" si="469"/>
        <v>yyyy-06</v>
      </c>
      <c r="C4323">
        <f t="shared" si="470"/>
        <v>26</v>
      </c>
      <c r="D4323" t="s">
        <v>66</v>
      </c>
      <c r="E4323" t="s">
        <v>71</v>
      </c>
      <c r="F4323" t="s">
        <v>75</v>
      </c>
      <c r="G4323" t="s">
        <v>27</v>
      </c>
      <c r="H4323" t="s">
        <v>48</v>
      </c>
      <c r="I4323" s="5">
        <v>263</v>
      </c>
      <c r="J4323" s="5">
        <v>192</v>
      </c>
      <c r="K4323" s="5">
        <v>17</v>
      </c>
      <c r="L4323" s="5">
        <v>4</v>
      </c>
      <c r="M4323" s="5">
        <v>5</v>
      </c>
      <c r="N4323" s="7">
        <v>39.229999999999997</v>
      </c>
      <c r="O4323" s="7">
        <f t="shared" si="471"/>
        <v>196.14999999999998</v>
      </c>
      <c r="P4323" s="4">
        <v>0</v>
      </c>
      <c r="Q4323" s="7">
        <f t="shared" si="472"/>
        <v>0</v>
      </c>
      <c r="R4323" s="7">
        <f t="shared" si="473"/>
        <v>196.14999999999998</v>
      </c>
      <c r="S4323" s="7">
        <f t="shared" si="474"/>
        <v>49.037499999999994</v>
      </c>
      <c r="T4323" s="6">
        <f t="shared" si="475"/>
        <v>1.5209125475285171E-2</v>
      </c>
      <c r="V4323" t="s">
        <v>29</v>
      </c>
    </row>
    <row r="4324" spans="1:22">
      <c r="A4324" s="3">
        <v>45837</v>
      </c>
      <c r="B4324" t="str">
        <f t="shared" si="469"/>
        <v>yyyy-06</v>
      </c>
      <c r="C4324">
        <f t="shared" si="470"/>
        <v>26</v>
      </c>
      <c r="D4324" t="s">
        <v>24</v>
      </c>
      <c r="E4324" t="s">
        <v>76</v>
      </c>
      <c r="F4324" t="s">
        <v>77</v>
      </c>
      <c r="G4324" t="s">
        <v>31</v>
      </c>
      <c r="H4324" t="s">
        <v>32</v>
      </c>
      <c r="I4324" s="5">
        <v>811</v>
      </c>
      <c r="J4324" s="5">
        <v>596</v>
      </c>
      <c r="K4324" s="5">
        <v>69</v>
      </c>
      <c r="L4324" s="5">
        <v>15</v>
      </c>
      <c r="M4324" s="5">
        <v>17</v>
      </c>
      <c r="N4324" s="7">
        <v>194.7</v>
      </c>
      <c r="O4324" s="7">
        <f t="shared" si="471"/>
        <v>3309.8999999999996</v>
      </c>
      <c r="P4324" s="4">
        <v>0</v>
      </c>
      <c r="Q4324" s="7">
        <f t="shared" si="472"/>
        <v>0</v>
      </c>
      <c r="R4324" s="7">
        <f t="shared" si="473"/>
        <v>3309.8999999999996</v>
      </c>
      <c r="S4324" s="7">
        <f t="shared" si="474"/>
        <v>220.65999999999997</v>
      </c>
      <c r="T4324" s="6">
        <f t="shared" si="475"/>
        <v>1.8495684340320593E-2</v>
      </c>
      <c r="V4324" t="s">
        <v>29</v>
      </c>
    </row>
    <row r="4325" spans="1:22">
      <c r="A4325" s="3">
        <v>45838</v>
      </c>
      <c r="B4325" t="str">
        <f t="shared" si="469"/>
        <v>yyyy-06</v>
      </c>
      <c r="C4325">
        <f t="shared" si="470"/>
        <v>27</v>
      </c>
      <c r="D4325" t="s">
        <v>24</v>
      </c>
      <c r="E4325" t="s">
        <v>25</v>
      </c>
      <c r="F4325" t="s">
        <v>26</v>
      </c>
      <c r="G4325" t="s">
        <v>27</v>
      </c>
      <c r="H4325" t="s">
        <v>28</v>
      </c>
      <c r="I4325" s="5">
        <v>1864</v>
      </c>
      <c r="J4325" s="5">
        <v>1448</v>
      </c>
      <c r="K4325" s="5">
        <v>157</v>
      </c>
      <c r="L4325" s="5">
        <v>46</v>
      </c>
      <c r="M4325" s="5">
        <v>46</v>
      </c>
      <c r="N4325" s="7">
        <v>995.18</v>
      </c>
      <c r="O4325" s="7">
        <f t="shared" si="471"/>
        <v>45778.28</v>
      </c>
      <c r="P4325" s="4">
        <v>0</v>
      </c>
      <c r="Q4325" s="7">
        <f t="shared" si="472"/>
        <v>0</v>
      </c>
      <c r="R4325" s="7">
        <f t="shared" si="473"/>
        <v>45778.28</v>
      </c>
      <c r="S4325" s="7">
        <f t="shared" si="474"/>
        <v>995.18</v>
      </c>
      <c r="T4325" s="6">
        <f t="shared" si="475"/>
        <v>2.4678111587982832E-2</v>
      </c>
      <c r="V4325" t="s">
        <v>29</v>
      </c>
    </row>
    <row r="4326" spans="1:22">
      <c r="A4326" s="3">
        <v>45838</v>
      </c>
      <c r="B4326" t="str">
        <f t="shared" si="469"/>
        <v>yyyy-06</v>
      </c>
      <c r="C4326">
        <f t="shared" si="470"/>
        <v>27</v>
      </c>
      <c r="D4326" t="s">
        <v>24</v>
      </c>
      <c r="E4326" t="s">
        <v>25</v>
      </c>
      <c r="F4326" t="s">
        <v>30</v>
      </c>
      <c r="G4326" t="s">
        <v>31</v>
      </c>
      <c r="H4326" t="s">
        <v>32</v>
      </c>
      <c r="I4326" s="5">
        <v>2956</v>
      </c>
      <c r="J4326" s="5">
        <v>2244</v>
      </c>
      <c r="K4326" s="5">
        <v>240</v>
      </c>
      <c r="L4326" s="5">
        <v>49</v>
      </c>
      <c r="M4326" s="5">
        <v>49</v>
      </c>
      <c r="N4326" s="7">
        <v>384.87</v>
      </c>
      <c r="O4326" s="7">
        <f t="shared" si="471"/>
        <v>18858.63</v>
      </c>
      <c r="P4326" s="4">
        <v>0.05</v>
      </c>
      <c r="Q4326" s="7">
        <f t="shared" si="472"/>
        <v>942.93150000000014</v>
      </c>
      <c r="R4326" s="7">
        <f t="shared" si="473"/>
        <v>17915.698500000002</v>
      </c>
      <c r="S4326" s="7">
        <f t="shared" si="474"/>
        <v>365.62650000000002</v>
      </c>
      <c r="T4326" s="6">
        <f t="shared" si="475"/>
        <v>1.6576454668470908E-2</v>
      </c>
      <c r="V4326" t="s">
        <v>29</v>
      </c>
    </row>
    <row r="4327" spans="1:22">
      <c r="A4327" s="3">
        <v>45838</v>
      </c>
      <c r="B4327" t="str">
        <f t="shared" si="469"/>
        <v>yyyy-06</v>
      </c>
      <c r="C4327">
        <f t="shared" si="470"/>
        <v>27</v>
      </c>
      <c r="D4327" t="s">
        <v>24</v>
      </c>
      <c r="E4327" t="s">
        <v>25</v>
      </c>
      <c r="F4327" t="s">
        <v>33</v>
      </c>
      <c r="G4327" t="s">
        <v>27</v>
      </c>
      <c r="H4327" t="s">
        <v>45</v>
      </c>
      <c r="I4327" s="5">
        <v>1618</v>
      </c>
      <c r="J4327" s="5">
        <v>1334</v>
      </c>
      <c r="K4327" s="5">
        <v>100</v>
      </c>
      <c r="L4327" s="5">
        <v>38</v>
      </c>
      <c r="M4327" s="5">
        <v>38</v>
      </c>
      <c r="N4327" s="7">
        <v>1825.47</v>
      </c>
      <c r="O4327" s="7">
        <f t="shared" si="471"/>
        <v>69367.86</v>
      </c>
      <c r="P4327" s="4">
        <v>0.05</v>
      </c>
      <c r="Q4327" s="7">
        <f t="shared" si="472"/>
        <v>3468.393</v>
      </c>
      <c r="R4327" s="7">
        <f t="shared" si="473"/>
        <v>65899.467000000004</v>
      </c>
      <c r="S4327" s="7">
        <f t="shared" si="474"/>
        <v>1734.1965</v>
      </c>
      <c r="T4327" s="6">
        <f t="shared" si="475"/>
        <v>2.3485784919653894E-2</v>
      </c>
      <c r="V4327" t="s">
        <v>29</v>
      </c>
    </row>
    <row r="4328" spans="1:22">
      <c r="A4328" s="3">
        <v>45838</v>
      </c>
      <c r="B4328" t="str">
        <f t="shared" si="469"/>
        <v>yyyy-06</v>
      </c>
      <c r="C4328">
        <f t="shared" si="470"/>
        <v>27</v>
      </c>
      <c r="D4328" t="s">
        <v>24</v>
      </c>
      <c r="E4328" t="s">
        <v>34</v>
      </c>
      <c r="F4328" t="s">
        <v>35</v>
      </c>
      <c r="G4328" t="s">
        <v>31</v>
      </c>
      <c r="H4328" t="s">
        <v>32</v>
      </c>
      <c r="I4328" s="5">
        <v>1261</v>
      </c>
      <c r="J4328" s="5">
        <v>873</v>
      </c>
      <c r="K4328" s="5">
        <v>81</v>
      </c>
      <c r="L4328" s="5">
        <v>29</v>
      </c>
      <c r="M4328" s="5">
        <v>29</v>
      </c>
      <c r="N4328" s="7">
        <v>896.49</v>
      </c>
      <c r="O4328" s="7">
        <f t="shared" si="471"/>
        <v>25998.21</v>
      </c>
      <c r="P4328" s="4">
        <v>0</v>
      </c>
      <c r="Q4328" s="7">
        <f t="shared" si="472"/>
        <v>0</v>
      </c>
      <c r="R4328" s="7">
        <f t="shared" si="473"/>
        <v>25998.21</v>
      </c>
      <c r="S4328" s="7">
        <f t="shared" si="474"/>
        <v>896.49</v>
      </c>
      <c r="T4328" s="6">
        <f t="shared" si="475"/>
        <v>2.2997620935765267E-2</v>
      </c>
      <c r="V4328" t="s">
        <v>29</v>
      </c>
    </row>
    <row r="4329" spans="1:22">
      <c r="A4329" s="3">
        <v>45838</v>
      </c>
      <c r="B4329" t="str">
        <f t="shared" si="469"/>
        <v>yyyy-06</v>
      </c>
      <c r="C4329">
        <f t="shared" si="470"/>
        <v>27</v>
      </c>
      <c r="D4329" t="s">
        <v>24</v>
      </c>
      <c r="E4329" t="s">
        <v>38</v>
      </c>
      <c r="F4329" t="s">
        <v>39</v>
      </c>
      <c r="G4329" t="s">
        <v>31</v>
      </c>
      <c r="H4329" t="s">
        <v>32</v>
      </c>
      <c r="I4329" s="5">
        <v>1193</v>
      </c>
      <c r="J4329" s="5">
        <v>632</v>
      </c>
      <c r="K4329" s="5">
        <v>105</v>
      </c>
      <c r="L4329" s="5">
        <v>22</v>
      </c>
      <c r="M4329" s="5">
        <v>22</v>
      </c>
      <c r="N4329" s="7">
        <v>317.17</v>
      </c>
      <c r="O4329" s="7">
        <f t="shared" si="471"/>
        <v>6977.7400000000007</v>
      </c>
      <c r="P4329" s="4">
        <v>0</v>
      </c>
      <c r="Q4329" s="7">
        <f t="shared" si="472"/>
        <v>0</v>
      </c>
      <c r="R4329" s="7">
        <f t="shared" si="473"/>
        <v>6977.7400000000007</v>
      </c>
      <c r="S4329" s="7">
        <f t="shared" si="474"/>
        <v>317.17</v>
      </c>
      <c r="T4329" s="6">
        <f t="shared" si="475"/>
        <v>1.8440905280804692E-2</v>
      </c>
      <c r="V4329" t="s">
        <v>29</v>
      </c>
    </row>
    <row r="4330" spans="1:22">
      <c r="A4330" s="3">
        <v>45838</v>
      </c>
      <c r="B4330" t="str">
        <f t="shared" si="469"/>
        <v>yyyy-06</v>
      </c>
      <c r="C4330">
        <f t="shared" si="470"/>
        <v>27</v>
      </c>
      <c r="D4330" t="s">
        <v>24</v>
      </c>
      <c r="E4330" t="s">
        <v>40</v>
      </c>
      <c r="F4330" t="s">
        <v>41</v>
      </c>
      <c r="G4330" t="s">
        <v>36</v>
      </c>
      <c r="H4330" t="s">
        <v>37</v>
      </c>
      <c r="I4330" s="5">
        <v>582</v>
      </c>
      <c r="J4330" s="5">
        <v>374</v>
      </c>
      <c r="K4330" s="5">
        <v>44</v>
      </c>
      <c r="L4330" s="5">
        <v>9</v>
      </c>
      <c r="M4330" s="5">
        <v>11</v>
      </c>
      <c r="N4330" s="7">
        <v>178.66</v>
      </c>
      <c r="O4330" s="7">
        <f t="shared" si="471"/>
        <v>1965.26</v>
      </c>
      <c r="P4330" s="4">
        <v>0.05</v>
      </c>
      <c r="Q4330" s="7">
        <f t="shared" si="472"/>
        <v>98.263000000000005</v>
      </c>
      <c r="R4330" s="7">
        <f t="shared" si="473"/>
        <v>1866.9970000000001</v>
      </c>
      <c r="S4330" s="7">
        <f t="shared" si="474"/>
        <v>207.44411111111111</v>
      </c>
      <c r="T4330" s="6">
        <f t="shared" si="475"/>
        <v>1.5463917525773196E-2</v>
      </c>
      <c r="V4330" t="s">
        <v>29</v>
      </c>
    </row>
    <row r="4331" spans="1:22">
      <c r="A4331" s="3">
        <v>45838</v>
      </c>
      <c r="B4331" t="str">
        <f t="shared" si="469"/>
        <v>yyyy-06</v>
      </c>
      <c r="C4331">
        <f t="shared" si="470"/>
        <v>27</v>
      </c>
      <c r="D4331" t="s">
        <v>42</v>
      </c>
      <c r="E4331" t="s">
        <v>43</v>
      </c>
      <c r="F4331" t="s">
        <v>44</v>
      </c>
      <c r="G4331" t="s">
        <v>31</v>
      </c>
      <c r="H4331" t="s">
        <v>32</v>
      </c>
      <c r="I4331" s="5">
        <v>641</v>
      </c>
      <c r="J4331" s="5">
        <v>402</v>
      </c>
      <c r="K4331" s="5">
        <v>39</v>
      </c>
      <c r="L4331" s="5">
        <v>8</v>
      </c>
      <c r="M4331" s="5">
        <v>8</v>
      </c>
      <c r="N4331" s="7">
        <v>1318.92</v>
      </c>
      <c r="O4331" s="7">
        <f t="shared" si="471"/>
        <v>10551.36</v>
      </c>
      <c r="P4331" s="4">
        <v>0</v>
      </c>
      <c r="Q4331" s="7">
        <f t="shared" si="472"/>
        <v>0</v>
      </c>
      <c r="R4331" s="7">
        <f t="shared" si="473"/>
        <v>10551.36</v>
      </c>
      <c r="S4331" s="7">
        <f t="shared" si="474"/>
        <v>1318.92</v>
      </c>
      <c r="T4331" s="6">
        <f t="shared" si="475"/>
        <v>1.2480499219968799E-2</v>
      </c>
      <c r="V4331" t="s">
        <v>29</v>
      </c>
    </row>
    <row r="4332" spans="1:22">
      <c r="A4332" s="3">
        <v>45838</v>
      </c>
      <c r="B4332" t="str">
        <f t="shared" si="469"/>
        <v>yyyy-06</v>
      </c>
      <c r="C4332">
        <f t="shared" si="470"/>
        <v>27</v>
      </c>
      <c r="D4332" t="s">
        <v>42</v>
      </c>
      <c r="E4332" t="s">
        <v>43</v>
      </c>
      <c r="F4332" t="s">
        <v>46</v>
      </c>
      <c r="G4332" t="s">
        <v>27</v>
      </c>
      <c r="H4332" t="s">
        <v>28</v>
      </c>
      <c r="I4332" s="5">
        <v>535</v>
      </c>
      <c r="J4332" s="5">
        <v>359</v>
      </c>
      <c r="K4332" s="5">
        <v>37</v>
      </c>
      <c r="L4332" s="5">
        <v>8</v>
      </c>
      <c r="M4332" s="5">
        <v>8</v>
      </c>
      <c r="N4332" s="7">
        <v>2239.96</v>
      </c>
      <c r="O4332" s="7">
        <f t="shared" si="471"/>
        <v>17919.68</v>
      </c>
      <c r="P4332" s="4">
        <v>0</v>
      </c>
      <c r="Q4332" s="7">
        <f t="shared" si="472"/>
        <v>0</v>
      </c>
      <c r="R4332" s="7">
        <f t="shared" si="473"/>
        <v>17919.68</v>
      </c>
      <c r="S4332" s="7">
        <f t="shared" si="474"/>
        <v>2239.96</v>
      </c>
      <c r="T4332" s="6">
        <f t="shared" si="475"/>
        <v>1.4953271028037384E-2</v>
      </c>
      <c r="V4332" t="s">
        <v>29</v>
      </c>
    </row>
    <row r="4333" spans="1:22">
      <c r="A4333" s="3">
        <v>45838</v>
      </c>
      <c r="B4333" t="str">
        <f t="shared" si="469"/>
        <v>yyyy-06</v>
      </c>
      <c r="C4333">
        <f t="shared" si="470"/>
        <v>27</v>
      </c>
      <c r="D4333" t="s">
        <v>42</v>
      </c>
      <c r="E4333" t="s">
        <v>43</v>
      </c>
      <c r="F4333" t="s">
        <v>47</v>
      </c>
      <c r="G4333" t="s">
        <v>27</v>
      </c>
      <c r="H4333" t="s">
        <v>63</v>
      </c>
      <c r="I4333" s="5">
        <v>317</v>
      </c>
      <c r="J4333" s="5">
        <v>173</v>
      </c>
      <c r="K4333" s="5">
        <v>20</v>
      </c>
      <c r="L4333" s="5">
        <v>4</v>
      </c>
      <c r="M4333" s="5">
        <v>4</v>
      </c>
      <c r="N4333" s="7">
        <v>591.58000000000004</v>
      </c>
      <c r="O4333" s="7">
        <f t="shared" si="471"/>
        <v>2366.3200000000002</v>
      </c>
      <c r="P4333" s="4">
        <v>0.05</v>
      </c>
      <c r="Q4333" s="7">
        <f t="shared" si="472"/>
        <v>118.31600000000002</v>
      </c>
      <c r="R4333" s="7">
        <f t="shared" si="473"/>
        <v>2248.0040000000004</v>
      </c>
      <c r="S4333" s="7">
        <f t="shared" si="474"/>
        <v>562.00100000000009</v>
      </c>
      <c r="T4333" s="6">
        <f t="shared" si="475"/>
        <v>1.2618296529968454E-2</v>
      </c>
      <c r="V4333" t="s">
        <v>29</v>
      </c>
    </row>
    <row r="4334" spans="1:22">
      <c r="A4334" s="3">
        <v>45838</v>
      </c>
      <c r="B4334" t="str">
        <f t="shared" si="469"/>
        <v>yyyy-06</v>
      </c>
      <c r="C4334">
        <f t="shared" si="470"/>
        <v>27</v>
      </c>
      <c r="D4334" t="s">
        <v>42</v>
      </c>
      <c r="E4334" t="s">
        <v>49</v>
      </c>
      <c r="F4334" t="s">
        <v>50</v>
      </c>
      <c r="G4334" t="s">
        <v>27</v>
      </c>
      <c r="H4334" t="s">
        <v>28</v>
      </c>
      <c r="I4334" s="5">
        <v>208</v>
      </c>
      <c r="J4334" s="5">
        <v>143</v>
      </c>
      <c r="K4334" s="5">
        <v>14</v>
      </c>
      <c r="L4334" s="5">
        <v>3</v>
      </c>
      <c r="M4334" s="5">
        <v>3</v>
      </c>
      <c r="N4334" s="7">
        <v>1016.32</v>
      </c>
      <c r="O4334" s="7">
        <f t="shared" si="471"/>
        <v>3048.96</v>
      </c>
      <c r="P4334" s="4">
        <v>0.03</v>
      </c>
      <c r="Q4334" s="7">
        <f t="shared" si="472"/>
        <v>91.468800000000002</v>
      </c>
      <c r="R4334" s="7">
        <f t="shared" si="473"/>
        <v>2957.4911999999999</v>
      </c>
      <c r="S4334" s="7">
        <f t="shared" si="474"/>
        <v>985.83039999999994</v>
      </c>
      <c r="T4334" s="6">
        <f t="shared" si="475"/>
        <v>1.4423076923076924E-2</v>
      </c>
      <c r="V4334" t="s">
        <v>29</v>
      </c>
    </row>
    <row r="4335" spans="1:22">
      <c r="A4335" s="3">
        <v>45838</v>
      </c>
      <c r="B4335" t="str">
        <f t="shared" si="469"/>
        <v>yyyy-06</v>
      </c>
      <c r="C4335">
        <f t="shared" si="470"/>
        <v>27</v>
      </c>
      <c r="D4335" t="s">
        <v>42</v>
      </c>
      <c r="E4335" t="s">
        <v>51</v>
      </c>
      <c r="F4335" t="s">
        <v>52</v>
      </c>
      <c r="G4335" t="s">
        <v>31</v>
      </c>
      <c r="H4335" t="s">
        <v>32</v>
      </c>
      <c r="I4335" s="5">
        <v>367</v>
      </c>
      <c r="J4335" s="5">
        <v>269</v>
      </c>
      <c r="K4335" s="5">
        <v>21</v>
      </c>
      <c r="L4335" s="5">
        <v>6</v>
      </c>
      <c r="M4335" s="5">
        <v>6</v>
      </c>
      <c r="N4335" s="7">
        <v>602.23</v>
      </c>
      <c r="O4335" s="7">
        <f t="shared" si="471"/>
        <v>3613.38</v>
      </c>
      <c r="P4335" s="4">
        <v>0</v>
      </c>
      <c r="Q4335" s="7">
        <f t="shared" si="472"/>
        <v>0</v>
      </c>
      <c r="R4335" s="7">
        <f t="shared" si="473"/>
        <v>3613.38</v>
      </c>
      <c r="S4335" s="7">
        <f t="shared" si="474"/>
        <v>602.23</v>
      </c>
      <c r="T4335" s="6">
        <f t="shared" si="475"/>
        <v>1.6348773841961851E-2</v>
      </c>
      <c r="V4335" t="s">
        <v>29</v>
      </c>
    </row>
    <row r="4336" spans="1:22">
      <c r="A4336" s="3">
        <v>45838</v>
      </c>
      <c r="B4336" t="str">
        <f t="shared" si="469"/>
        <v>yyyy-06</v>
      </c>
      <c r="C4336">
        <f t="shared" si="470"/>
        <v>27</v>
      </c>
      <c r="D4336" t="s">
        <v>53</v>
      </c>
      <c r="E4336" t="s">
        <v>54</v>
      </c>
      <c r="F4336" t="s">
        <v>55</v>
      </c>
      <c r="G4336" t="s">
        <v>36</v>
      </c>
      <c r="H4336" t="s">
        <v>37</v>
      </c>
      <c r="I4336" s="5">
        <v>227</v>
      </c>
      <c r="J4336" s="5">
        <v>150</v>
      </c>
      <c r="K4336" s="5">
        <v>10</v>
      </c>
      <c r="L4336" s="5">
        <v>2</v>
      </c>
      <c r="M4336" s="5">
        <v>2</v>
      </c>
      <c r="N4336" s="7">
        <v>1268.81</v>
      </c>
      <c r="O4336" s="7">
        <f t="shared" si="471"/>
        <v>2537.62</v>
      </c>
      <c r="P4336" s="4">
        <v>0</v>
      </c>
      <c r="Q4336" s="7">
        <f t="shared" si="472"/>
        <v>0</v>
      </c>
      <c r="R4336" s="7">
        <f t="shared" si="473"/>
        <v>2537.62</v>
      </c>
      <c r="S4336" s="7">
        <f t="shared" si="474"/>
        <v>1268.81</v>
      </c>
      <c r="T4336" s="6">
        <f t="shared" si="475"/>
        <v>8.8105726872246704E-3</v>
      </c>
      <c r="V4336" t="s">
        <v>29</v>
      </c>
    </row>
    <row r="4337" spans="1:22">
      <c r="A4337" s="3">
        <v>45838</v>
      </c>
      <c r="B4337" t="str">
        <f t="shared" si="469"/>
        <v>yyyy-06</v>
      </c>
      <c r="C4337">
        <f t="shared" si="470"/>
        <v>27</v>
      </c>
      <c r="D4337" t="s">
        <v>53</v>
      </c>
      <c r="E4337" t="s">
        <v>56</v>
      </c>
      <c r="F4337" t="s">
        <v>57</v>
      </c>
      <c r="G4337" t="s">
        <v>31</v>
      </c>
      <c r="H4337" t="s">
        <v>32</v>
      </c>
      <c r="I4337" s="5">
        <v>293</v>
      </c>
      <c r="J4337" s="5">
        <v>211</v>
      </c>
      <c r="K4337" s="5">
        <v>13</v>
      </c>
      <c r="L4337" s="5">
        <v>3</v>
      </c>
      <c r="M4337" s="5">
        <v>3</v>
      </c>
      <c r="N4337" s="7">
        <v>759.85</v>
      </c>
      <c r="O4337" s="7">
        <f t="shared" si="471"/>
        <v>2279.5500000000002</v>
      </c>
      <c r="P4337" s="4">
        <v>0.05</v>
      </c>
      <c r="Q4337" s="7">
        <f t="shared" si="472"/>
        <v>113.97750000000002</v>
      </c>
      <c r="R4337" s="7">
        <f t="shared" si="473"/>
        <v>2165.5725000000002</v>
      </c>
      <c r="S4337" s="7">
        <f t="shared" si="474"/>
        <v>721.85750000000007</v>
      </c>
      <c r="T4337" s="6">
        <f t="shared" si="475"/>
        <v>1.0238907849829351E-2</v>
      </c>
      <c r="V4337" t="s">
        <v>29</v>
      </c>
    </row>
    <row r="4338" spans="1:22">
      <c r="A4338" s="3">
        <v>45838</v>
      </c>
      <c r="B4338" t="str">
        <f t="shared" si="469"/>
        <v>yyyy-06</v>
      </c>
      <c r="C4338">
        <f t="shared" si="470"/>
        <v>27</v>
      </c>
      <c r="D4338" t="s">
        <v>53</v>
      </c>
      <c r="E4338" t="s">
        <v>56</v>
      </c>
      <c r="F4338" t="s">
        <v>58</v>
      </c>
      <c r="G4338" t="s">
        <v>31</v>
      </c>
      <c r="H4338" t="s">
        <v>32</v>
      </c>
      <c r="I4338" s="5">
        <v>309</v>
      </c>
      <c r="J4338" s="5">
        <v>161</v>
      </c>
      <c r="K4338" s="5">
        <v>14</v>
      </c>
      <c r="L4338" s="5">
        <v>3</v>
      </c>
      <c r="M4338" s="5">
        <v>3</v>
      </c>
      <c r="N4338" s="7">
        <v>911.39</v>
      </c>
      <c r="O4338" s="7">
        <f t="shared" si="471"/>
        <v>2734.17</v>
      </c>
      <c r="P4338" s="4">
        <v>0</v>
      </c>
      <c r="Q4338" s="7">
        <f t="shared" si="472"/>
        <v>0</v>
      </c>
      <c r="R4338" s="7">
        <f t="shared" si="473"/>
        <v>2734.17</v>
      </c>
      <c r="S4338" s="7">
        <f t="shared" si="474"/>
        <v>911.39</v>
      </c>
      <c r="T4338" s="6">
        <f t="shared" si="475"/>
        <v>9.7087378640776691E-3</v>
      </c>
      <c r="V4338" t="s">
        <v>29</v>
      </c>
    </row>
    <row r="4339" spans="1:22">
      <c r="A4339" s="3">
        <v>45838</v>
      </c>
      <c r="B4339" t="str">
        <f t="shared" si="469"/>
        <v>yyyy-06</v>
      </c>
      <c r="C4339">
        <f t="shared" si="470"/>
        <v>27</v>
      </c>
      <c r="D4339" t="s">
        <v>53</v>
      </c>
      <c r="E4339" t="s">
        <v>59</v>
      </c>
      <c r="F4339" t="s">
        <v>60</v>
      </c>
      <c r="G4339" t="s">
        <v>36</v>
      </c>
      <c r="H4339" t="s">
        <v>37</v>
      </c>
      <c r="I4339" s="5">
        <v>152</v>
      </c>
      <c r="J4339" s="5">
        <v>108</v>
      </c>
      <c r="K4339" s="5">
        <v>12</v>
      </c>
      <c r="L4339" s="5">
        <v>1</v>
      </c>
      <c r="M4339" s="5">
        <v>1</v>
      </c>
      <c r="N4339" s="7">
        <v>684.85</v>
      </c>
      <c r="O4339" s="7">
        <f t="shared" si="471"/>
        <v>684.85</v>
      </c>
      <c r="P4339" s="4">
        <v>0</v>
      </c>
      <c r="Q4339" s="7">
        <f t="shared" si="472"/>
        <v>0</v>
      </c>
      <c r="R4339" s="7">
        <f t="shared" si="473"/>
        <v>684.85</v>
      </c>
      <c r="S4339" s="7">
        <f t="shared" si="474"/>
        <v>684.85</v>
      </c>
      <c r="T4339" s="6">
        <f t="shared" si="475"/>
        <v>6.5789473684210523E-3</v>
      </c>
      <c r="V4339" t="s">
        <v>29</v>
      </c>
    </row>
    <row r="4340" spans="1:22">
      <c r="A4340" s="3">
        <v>45838</v>
      </c>
      <c r="B4340" t="str">
        <f t="shared" si="469"/>
        <v>yyyy-06</v>
      </c>
      <c r="C4340">
        <f t="shared" si="470"/>
        <v>27</v>
      </c>
      <c r="D4340" t="s">
        <v>53</v>
      </c>
      <c r="E4340" t="s">
        <v>61</v>
      </c>
      <c r="F4340" t="s">
        <v>62</v>
      </c>
      <c r="G4340" t="s">
        <v>27</v>
      </c>
      <c r="H4340" t="s">
        <v>28</v>
      </c>
      <c r="I4340" s="5">
        <v>200</v>
      </c>
      <c r="J4340" s="5">
        <v>153</v>
      </c>
      <c r="K4340" s="5">
        <v>14</v>
      </c>
      <c r="L4340" s="5">
        <v>2</v>
      </c>
      <c r="M4340" s="5">
        <v>2</v>
      </c>
      <c r="N4340" s="7">
        <v>506.19</v>
      </c>
      <c r="O4340" s="7">
        <f t="shared" si="471"/>
        <v>1012.38</v>
      </c>
      <c r="P4340" s="4">
        <v>0.05</v>
      </c>
      <c r="Q4340" s="7">
        <f t="shared" si="472"/>
        <v>50.619</v>
      </c>
      <c r="R4340" s="7">
        <f t="shared" si="473"/>
        <v>961.76099999999997</v>
      </c>
      <c r="S4340" s="7">
        <f t="shared" si="474"/>
        <v>480.88049999999998</v>
      </c>
      <c r="T4340" s="6">
        <f t="shared" si="475"/>
        <v>0.01</v>
      </c>
      <c r="V4340" t="s">
        <v>29</v>
      </c>
    </row>
    <row r="4341" spans="1:22">
      <c r="A4341" s="3">
        <v>45838</v>
      </c>
      <c r="B4341" t="str">
        <f t="shared" si="469"/>
        <v>yyyy-06</v>
      </c>
      <c r="C4341">
        <f t="shared" si="470"/>
        <v>27</v>
      </c>
      <c r="D4341" t="s">
        <v>53</v>
      </c>
      <c r="E4341" t="s">
        <v>64</v>
      </c>
      <c r="F4341" t="s">
        <v>65</v>
      </c>
      <c r="G4341" t="s">
        <v>27</v>
      </c>
      <c r="H4341" t="s">
        <v>48</v>
      </c>
      <c r="I4341" s="5">
        <v>168</v>
      </c>
      <c r="J4341" s="5">
        <v>115</v>
      </c>
      <c r="K4341" s="5">
        <v>11</v>
      </c>
      <c r="L4341" s="5">
        <v>2</v>
      </c>
      <c r="M4341" s="5">
        <v>2</v>
      </c>
      <c r="N4341" s="7">
        <v>777.77</v>
      </c>
      <c r="O4341" s="7">
        <f t="shared" si="471"/>
        <v>1555.54</v>
      </c>
      <c r="P4341" s="4">
        <v>0.03</v>
      </c>
      <c r="Q4341" s="7">
        <f t="shared" si="472"/>
        <v>46.666199999999996</v>
      </c>
      <c r="R4341" s="7">
        <f t="shared" si="473"/>
        <v>1508.8738000000001</v>
      </c>
      <c r="S4341" s="7">
        <f t="shared" si="474"/>
        <v>754.43690000000004</v>
      </c>
      <c r="T4341" s="6">
        <f t="shared" si="475"/>
        <v>1.1904761904761904E-2</v>
      </c>
      <c r="V4341" t="s">
        <v>29</v>
      </c>
    </row>
    <row r="4342" spans="1:22">
      <c r="A4342" s="3">
        <v>45838</v>
      </c>
      <c r="B4342" t="str">
        <f t="shared" si="469"/>
        <v>yyyy-06</v>
      </c>
      <c r="C4342">
        <f t="shared" si="470"/>
        <v>27</v>
      </c>
      <c r="D4342" t="s">
        <v>66</v>
      </c>
      <c r="E4342" t="s">
        <v>67</v>
      </c>
      <c r="F4342" t="s">
        <v>68</v>
      </c>
      <c r="G4342" t="s">
        <v>36</v>
      </c>
      <c r="H4342" t="s">
        <v>37</v>
      </c>
      <c r="I4342" s="5">
        <v>352</v>
      </c>
      <c r="J4342" s="5">
        <v>233</v>
      </c>
      <c r="K4342" s="5">
        <v>19</v>
      </c>
      <c r="L4342" s="5">
        <v>6</v>
      </c>
      <c r="M4342" s="5">
        <v>6</v>
      </c>
      <c r="N4342" s="7">
        <v>697.33</v>
      </c>
      <c r="O4342" s="7">
        <f t="shared" si="471"/>
        <v>4183.9800000000005</v>
      </c>
      <c r="P4342" s="4">
        <v>0</v>
      </c>
      <c r="Q4342" s="7">
        <f t="shared" si="472"/>
        <v>0</v>
      </c>
      <c r="R4342" s="7">
        <f t="shared" si="473"/>
        <v>4183.9800000000005</v>
      </c>
      <c r="S4342" s="7">
        <f t="shared" si="474"/>
        <v>697.33</v>
      </c>
      <c r="T4342" s="6">
        <f t="shared" si="475"/>
        <v>1.7045454545454544E-2</v>
      </c>
      <c r="V4342" t="s">
        <v>29</v>
      </c>
    </row>
    <row r="4343" spans="1:22">
      <c r="A4343" s="3">
        <v>45838</v>
      </c>
      <c r="B4343" t="str">
        <f t="shared" si="469"/>
        <v>yyyy-06</v>
      </c>
      <c r="C4343">
        <f t="shared" si="470"/>
        <v>27</v>
      </c>
      <c r="D4343" t="s">
        <v>66</v>
      </c>
      <c r="E4343" t="s">
        <v>67</v>
      </c>
      <c r="F4343" t="s">
        <v>69</v>
      </c>
      <c r="G4343" t="s">
        <v>36</v>
      </c>
      <c r="H4343" t="s">
        <v>37</v>
      </c>
      <c r="I4343" s="5">
        <v>537</v>
      </c>
      <c r="J4343" s="5">
        <v>293</v>
      </c>
      <c r="K4343" s="5">
        <v>33</v>
      </c>
      <c r="L4343" s="5">
        <v>9</v>
      </c>
      <c r="M4343" s="5">
        <v>9</v>
      </c>
      <c r="N4343" s="7">
        <v>384.8</v>
      </c>
      <c r="O4343" s="7">
        <f t="shared" si="471"/>
        <v>3463.2000000000003</v>
      </c>
      <c r="P4343" s="4">
        <v>0.05</v>
      </c>
      <c r="Q4343" s="7">
        <f t="shared" si="472"/>
        <v>173.16000000000003</v>
      </c>
      <c r="R4343" s="7">
        <f t="shared" si="473"/>
        <v>3290.0400000000004</v>
      </c>
      <c r="S4343" s="7">
        <f t="shared" si="474"/>
        <v>365.56000000000006</v>
      </c>
      <c r="T4343" s="6">
        <f t="shared" si="475"/>
        <v>1.6759776536312849E-2</v>
      </c>
      <c r="V4343" t="s">
        <v>29</v>
      </c>
    </row>
    <row r="4344" spans="1:22">
      <c r="A4344" s="3">
        <v>45838</v>
      </c>
      <c r="B4344" t="str">
        <f t="shared" si="469"/>
        <v>yyyy-06</v>
      </c>
      <c r="C4344">
        <f t="shared" si="470"/>
        <v>27</v>
      </c>
      <c r="D4344" t="s">
        <v>66</v>
      </c>
      <c r="E4344" t="s">
        <v>67</v>
      </c>
      <c r="F4344" t="s">
        <v>70</v>
      </c>
      <c r="G4344" t="s">
        <v>27</v>
      </c>
      <c r="H4344" t="s">
        <v>28</v>
      </c>
      <c r="I4344" s="5">
        <v>452</v>
      </c>
      <c r="J4344" s="5">
        <v>301</v>
      </c>
      <c r="K4344" s="5">
        <v>34</v>
      </c>
      <c r="L4344" s="5">
        <v>7</v>
      </c>
      <c r="M4344" s="5">
        <v>7</v>
      </c>
      <c r="N4344" s="7">
        <v>338.77</v>
      </c>
      <c r="O4344" s="7">
        <f t="shared" si="471"/>
        <v>2371.39</v>
      </c>
      <c r="P4344" s="4">
        <v>0</v>
      </c>
      <c r="Q4344" s="7">
        <f t="shared" si="472"/>
        <v>0</v>
      </c>
      <c r="R4344" s="7">
        <f t="shared" si="473"/>
        <v>2371.39</v>
      </c>
      <c r="S4344" s="7">
        <f t="shared" si="474"/>
        <v>338.77</v>
      </c>
      <c r="T4344" s="6">
        <f t="shared" si="475"/>
        <v>1.5486725663716814E-2</v>
      </c>
      <c r="V4344" t="s">
        <v>29</v>
      </c>
    </row>
    <row r="4345" spans="1:22">
      <c r="A4345" s="3">
        <v>45838</v>
      </c>
      <c r="B4345" t="str">
        <f t="shared" si="469"/>
        <v>yyyy-06</v>
      </c>
      <c r="C4345">
        <f t="shared" si="470"/>
        <v>27</v>
      </c>
      <c r="D4345" t="s">
        <v>66</v>
      </c>
      <c r="E4345" t="s">
        <v>71</v>
      </c>
      <c r="F4345" t="s">
        <v>72</v>
      </c>
      <c r="G4345" t="s">
        <v>36</v>
      </c>
      <c r="H4345" t="s">
        <v>37</v>
      </c>
      <c r="I4345" s="5">
        <v>303</v>
      </c>
      <c r="J4345" s="5">
        <v>184</v>
      </c>
      <c r="K4345" s="5">
        <v>14</v>
      </c>
      <c r="L4345" s="5">
        <v>6</v>
      </c>
      <c r="M4345" s="5">
        <v>8</v>
      </c>
      <c r="N4345" s="7">
        <v>124.82</v>
      </c>
      <c r="O4345" s="7">
        <f t="shared" si="471"/>
        <v>998.56</v>
      </c>
      <c r="P4345" s="4">
        <v>0.03</v>
      </c>
      <c r="Q4345" s="7">
        <f t="shared" si="472"/>
        <v>29.956799999999998</v>
      </c>
      <c r="R4345" s="7">
        <f t="shared" si="473"/>
        <v>968.6031999999999</v>
      </c>
      <c r="S4345" s="7">
        <f t="shared" si="474"/>
        <v>161.43386666666666</v>
      </c>
      <c r="T4345" s="6">
        <f t="shared" si="475"/>
        <v>1.9801980198019802E-2</v>
      </c>
      <c r="V4345" t="s">
        <v>29</v>
      </c>
    </row>
    <row r="4346" spans="1:22">
      <c r="A4346" s="3">
        <v>45838</v>
      </c>
      <c r="B4346" t="str">
        <f t="shared" si="469"/>
        <v>yyyy-06</v>
      </c>
      <c r="C4346">
        <f t="shared" si="470"/>
        <v>27</v>
      </c>
      <c r="D4346" t="s">
        <v>66</v>
      </c>
      <c r="E4346" t="s">
        <v>73</v>
      </c>
      <c r="F4346" t="s">
        <v>74</v>
      </c>
      <c r="G4346" t="s">
        <v>31</v>
      </c>
      <c r="H4346" t="s">
        <v>32</v>
      </c>
      <c r="I4346" s="5">
        <v>275</v>
      </c>
      <c r="J4346" s="5">
        <v>190</v>
      </c>
      <c r="K4346" s="5">
        <v>21</v>
      </c>
      <c r="L4346" s="5">
        <v>6</v>
      </c>
      <c r="M4346" s="5">
        <v>6</v>
      </c>
      <c r="N4346" s="7">
        <v>1201.68</v>
      </c>
      <c r="O4346" s="7">
        <f t="shared" si="471"/>
        <v>7210.08</v>
      </c>
      <c r="P4346" s="4">
        <v>0</v>
      </c>
      <c r="Q4346" s="7">
        <f t="shared" si="472"/>
        <v>0</v>
      </c>
      <c r="R4346" s="7">
        <f t="shared" si="473"/>
        <v>7210.08</v>
      </c>
      <c r="S4346" s="7">
        <f t="shared" si="474"/>
        <v>1201.68</v>
      </c>
      <c r="T4346" s="6">
        <f t="shared" si="475"/>
        <v>2.181818181818182E-2</v>
      </c>
      <c r="V4346" t="s">
        <v>29</v>
      </c>
    </row>
    <row r="4347" spans="1:22">
      <c r="A4347" s="3">
        <v>45838</v>
      </c>
      <c r="B4347" t="str">
        <f t="shared" si="469"/>
        <v>yyyy-06</v>
      </c>
      <c r="C4347">
        <f t="shared" si="470"/>
        <v>27</v>
      </c>
      <c r="D4347" t="s">
        <v>66</v>
      </c>
      <c r="E4347" t="s">
        <v>71</v>
      </c>
      <c r="F4347" t="s">
        <v>75</v>
      </c>
      <c r="G4347" t="s">
        <v>27</v>
      </c>
      <c r="H4347" t="s">
        <v>45</v>
      </c>
      <c r="I4347" s="5">
        <v>340</v>
      </c>
      <c r="J4347" s="5">
        <v>208</v>
      </c>
      <c r="K4347" s="5">
        <v>32</v>
      </c>
      <c r="L4347" s="5">
        <v>7</v>
      </c>
      <c r="M4347" s="5">
        <v>7</v>
      </c>
      <c r="N4347" s="7">
        <v>38.67</v>
      </c>
      <c r="O4347" s="7">
        <f t="shared" si="471"/>
        <v>270.69</v>
      </c>
      <c r="P4347" s="4">
        <v>0</v>
      </c>
      <c r="Q4347" s="7">
        <f t="shared" si="472"/>
        <v>0</v>
      </c>
      <c r="R4347" s="7">
        <f t="shared" si="473"/>
        <v>270.69</v>
      </c>
      <c r="S4347" s="7">
        <f t="shared" si="474"/>
        <v>38.67</v>
      </c>
      <c r="T4347" s="6">
        <f t="shared" si="475"/>
        <v>2.0588235294117647E-2</v>
      </c>
      <c r="V4347" t="s">
        <v>29</v>
      </c>
    </row>
    <row r="4348" spans="1:22">
      <c r="A4348" s="3">
        <v>45838</v>
      </c>
      <c r="B4348" t="str">
        <f t="shared" si="469"/>
        <v>yyyy-06</v>
      </c>
      <c r="C4348">
        <f t="shared" si="470"/>
        <v>27</v>
      </c>
      <c r="D4348" t="s">
        <v>24</v>
      </c>
      <c r="E4348" t="s">
        <v>76</v>
      </c>
      <c r="F4348" t="s">
        <v>77</v>
      </c>
      <c r="G4348" t="s">
        <v>36</v>
      </c>
      <c r="H4348" t="s">
        <v>37</v>
      </c>
      <c r="I4348" s="5">
        <v>530</v>
      </c>
      <c r="J4348" s="5">
        <v>309</v>
      </c>
      <c r="K4348" s="5">
        <v>36</v>
      </c>
      <c r="L4348" s="5">
        <v>12</v>
      </c>
      <c r="M4348" s="5">
        <v>13</v>
      </c>
      <c r="N4348" s="7">
        <v>200.78</v>
      </c>
      <c r="O4348" s="7">
        <f t="shared" si="471"/>
        <v>2610.14</v>
      </c>
      <c r="P4348" s="4">
        <v>0</v>
      </c>
      <c r="Q4348" s="7">
        <f t="shared" si="472"/>
        <v>0</v>
      </c>
      <c r="R4348" s="7">
        <f t="shared" si="473"/>
        <v>2610.14</v>
      </c>
      <c r="S4348" s="7">
        <f t="shared" si="474"/>
        <v>217.51166666666666</v>
      </c>
      <c r="T4348" s="6">
        <f t="shared" si="475"/>
        <v>2.2641509433962263E-2</v>
      </c>
      <c r="V4348" t="s">
        <v>29</v>
      </c>
    </row>
  </sheetData>
  <mergeCells count="2">
    <mergeCell ref="A1:V1"/>
    <mergeCell ref="A2:V2"/>
  </mergeCells>
  <conditionalFormatting sqref="R5:R4348">
    <cfRule type="dataBar" priority="2">
      <dataBar>
        <cfvo type="min"/>
        <cfvo type="max"/>
        <color rgb="FF1428A0"/>
      </dataBar>
    </cfRule>
    <cfRule type="dataBar" priority="4">
      <dataBar>
        <cfvo type="min"/>
        <cfvo type="max"/>
        <color rgb="FF1428A0"/>
      </dataBar>
      <extLst>
        <ext xmlns:x14="http://schemas.microsoft.com/office/spreadsheetml/2009/9/main" uri="{B025F937-C7B1-47D3-B67F-A62EFF666E3E}">
          <x14:id>{3E6C03CD-5191-78AC-737D-7CE312498B63}</x14:id>
        </ext>
      </extLst>
    </cfRule>
  </conditionalFormatting>
  <conditionalFormatting sqref="T5:T4348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V5:V4348">
    <cfRule type="expression" dxfId="0" priority="3">
      <formula>V5="Out of Stock"</formula>
    </cfRule>
  </conditionalFormatting>
  <dataValidations count="3">
    <dataValidation type="list" sqref="D5:D4348" xr:uid="{00000000-0002-0000-0000-000000000000}">
      <formula1>"AV,HA,IT,MX"</formula1>
    </dataValidation>
    <dataValidation type="list" sqref="G5:G4348" xr:uid="{00000000-0002-0000-0000-000001000000}">
      <formula1>"Direct E-commerce,Marketplace,Retailer e-store"</formula1>
    </dataValidation>
    <dataValidation type="list" sqref="V5:V4348" xr:uid="{00000000-0002-0000-0000-000002000000}">
      <formula1>"In Stock,Low Stock,Out of Stock"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6C03CD-5191-78AC-737D-7CE312498B63}">
            <x14:dataBar>
              <x14:cfvo type="min"/>
              <x14:cfvo type="max"/>
              <x14:negativeFillColor auto="1"/>
              <x14:axisColor auto="1"/>
            </x14:dataBar>
          </x14:cfRule>
          <xm:sqref>R5:R4348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sqref="A1:XFD1048576"/>
    </sheetView>
  </sheetViews>
  <sheetFormatPr defaultRowHeight="13.5"/>
  <cols>
    <col min="1" max="1" width="24.6875" bestFit="1" customWidth="1"/>
    <col min="2" max="2" width="14" bestFit="1" customWidth="1"/>
    <col min="3" max="3" width="7.8125" bestFit="1" customWidth="1"/>
    <col min="4" max="4" width="15.8125" bestFit="1" customWidth="1"/>
    <col min="5" max="5" width="15.3125" bestFit="1" customWidth="1"/>
    <col min="6" max="6" width="8.8125" bestFit="1" customWidth="1"/>
    <col min="7" max="7" width="10.0625" bestFit="1" customWidth="1"/>
  </cols>
  <sheetData>
    <row r="1" spans="1:7" ht="17.649999999999999">
      <c r="A1" s="8" t="s">
        <v>100</v>
      </c>
      <c r="B1" s="9"/>
      <c r="C1" s="9"/>
      <c r="D1" s="9"/>
      <c r="E1" s="9"/>
      <c r="F1" s="9"/>
      <c r="G1" s="9"/>
    </row>
    <row r="2" spans="1:7" ht="13.9">
      <c r="A2" s="10" t="s">
        <v>101</v>
      </c>
      <c r="B2" s="9"/>
      <c r="C2" s="9"/>
      <c r="D2" s="9"/>
      <c r="E2" s="9"/>
      <c r="F2" s="9"/>
      <c r="G2" s="9"/>
    </row>
    <row r="4" spans="1:7" ht="13.9">
      <c r="A4" s="1" t="s">
        <v>7</v>
      </c>
      <c r="B4" s="1" t="s">
        <v>102</v>
      </c>
      <c r="C4" s="1" t="s">
        <v>5</v>
      </c>
      <c r="D4" s="1" t="s">
        <v>6</v>
      </c>
      <c r="E4" s="1" t="s">
        <v>103</v>
      </c>
      <c r="F4" s="1" t="s">
        <v>104</v>
      </c>
      <c r="G4" s="1" t="s">
        <v>105</v>
      </c>
    </row>
    <row r="5" spans="1:7">
      <c r="A5" t="s">
        <v>26</v>
      </c>
      <c r="B5" t="s">
        <v>106</v>
      </c>
      <c r="C5" t="s">
        <v>24</v>
      </c>
      <c r="D5" t="s">
        <v>25</v>
      </c>
      <c r="E5" t="s">
        <v>107</v>
      </c>
      <c r="F5" s="2">
        <v>999</v>
      </c>
      <c r="G5" t="s">
        <v>108</v>
      </c>
    </row>
    <row r="6" spans="1:7">
      <c r="A6" t="s">
        <v>30</v>
      </c>
      <c r="B6" t="s">
        <v>109</v>
      </c>
      <c r="C6" t="s">
        <v>24</v>
      </c>
      <c r="D6" t="s">
        <v>25</v>
      </c>
      <c r="E6" t="s">
        <v>110</v>
      </c>
      <c r="F6" s="2">
        <v>399</v>
      </c>
      <c r="G6" t="s">
        <v>111</v>
      </c>
    </row>
    <row r="7" spans="1:7">
      <c r="A7" t="s">
        <v>33</v>
      </c>
      <c r="B7" t="s">
        <v>112</v>
      </c>
      <c r="C7" t="s">
        <v>24</v>
      </c>
      <c r="D7" t="s">
        <v>25</v>
      </c>
      <c r="E7" t="s">
        <v>113</v>
      </c>
      <c r="F7" s="2">
        <v>1799</v>
      </c>
      <c r="G7" t="s">
        <v>107</v>
      </c>
    </row>
    <row r="8" spans="1:7">
      <c r="A8" t="s">
        <v>35</v>
      </c>
      <c r="B8" t="s">
        <v>114</v>
      </c>
      <c r="C8" t="s">
        <v>24</v>
      </c>
      <c r="D8" t="s">
        <v>34</v>
      </c>
      <c r="E8" t="s">
        <v>115</v>
      </c>
      <c r="F8" s="2">
        <v>899</v>
      </c>
      <c r="G8" t="s">
        <v>108</v>
      </c>
    </row>
    <row r="9" spans="1:7">
      <c r="A9" t="s">
        <v>39</v>
      </c>
      <c r="B9" t="s">
        <v>116</v>
      </c>
      <c r="C9" t="s">
        <v>24</v>
      </c>
      <c r="D9" t="s">
        <v>38</v>
      </c>
      <c r="E9" t="s">
        <v>117</v>
      </c>
      <c r="F9" s="2">
        <v>329</v>
      </c>
      <c r="G9" t="s">
        <v>111</v>
      </c>
    </row>
    <row r="10" spans="1:7">
      <c r="A10" t="s">
        <v>41</v>
      </c>
      <c r="B10" t="s">
        <v>118</v>
      </c>
      <c r="C10" t="s">
        <v>24</v>
      </c>
      <c r="D10" t="s">
        <v>40</v>
      </c>
      <c r="E10" t="s">
        <v>119</v>
      </c>
      <c r="F10" s="2">
        <v>179</v>
      </c>
      <c r="G10" t="s">
        <v>120</v>
      </c>
    </row>
    <row r="11" spans="1:7">
      <c r="A11" t="s">
        <v>44</v>
      </c>
      <c r="B11" t="s">
        <v>121</v>
      </c>
      <c r="C11" t="s">
        <v>42</v>
      </c>
      <c r="D11" t="s">
        <v>43</v>
      </c>
      <c r="E11" t="s">
        <v>122</v>
      </c>
      <c r="F11" s="2">
        <v>1299</v>
      </c>
      <c r="G11" t="s">
        <v>108</v>
      </c>
    </row>
    <row r="12" spans="1:7">
      <c r="A12" t="s">
        <v>46</v>
      </c>
      <c r="B12" t="s">
        <v>123</v>
      </c>
      <c r="C12" t="s">
        <v>42</v>
      </c>
      <c r="D12" t="s">
        <v>43</v>
      </c>
      <c r="E12" t="s">
        <v>122</v>
      </c>
      <c r="F12" s="2">
        <v>2199</v>
      </c>
      <c r="G12" t="s">
        <v>107</v>
      </c>
    </row>
    <row r="13" spans="1:7">
      <c r="A13" t="s">
        <v>47</v>
      </c>
      <c r="B13" t="s">
        <v>124</v>
      </c>
      <c r="C13" t="s">
        <v>42</v>
      </c>
      <c r="D13" t="s">
        <v>43</v>
      </c>
      <c r="E13" t="s">
        <v>125</v>
      </c>
      <c r="F13" s="2">
        <v>599</v>
      </c>
      <c r="G13" t="s">
        <v>111</v>
      </c>
    </row>
    <row r="14" spans="1:7">
      <c r="A14" t="s">
        <v>50</v>
      </c>
      <c r="B14" t="s">
        <v>126</v>
      </c>
      <c r="C14" t="s">
        <v>42</v>
      </c>
      <c r="D14" t="s">
        <v>49</v>
      </c>
      <c r="E14" t="s">
        <v>127</v>
      </c>
      <c r="F14" s="2">
        <v>999</v>
      </c>
      <c r="G14" t="s">
        <v>108</v>
      </c>
    </row>
    <row r="15" spans="1:7">
      <c r="A15" t="s">
        <v>52</v>
      </c>
      <c r="B15" t="s">
        <v>128</v>
      </c>
      <c r="C15" t="s">
        <v>42</v>
      </c>
      <c r="D15" t="s">
        <v>51</v>
      </c>
      <c r="E15" t="s">
        <v>129</v>
      </c>
      <c r="F15" s="2">
        <v>599</v>
      </c>
      <c r="G15" t="s">
        <v>111</v>
      </c>
    </row>
    <row r="16" spans="1:7">
      <c r="A16" t="s">
        <v>55</v>
      </c>
      <c r="B16" t="s">
        <v>130</v>
      </c>
      <c r="C16" t="s">
        <v>53</v>
      </c>
      <c r="D16" t="s">
        <v>54</v>
      </c>
      <c r="E16" t="s">
        <v>131</v>
      </c>
      <c r="F16" s="2">
        <v>1299</v>
      </c>
      <c r="G16" t="s">
        <v>108</v>
      </c>
    </row>
    <row r="17" spans="1:7">
      <c r="A17" t="s">
        <v>57</v>
      </c>
      <c r="B17" t="s">
        <v>132</v>
      </c>
      <c r="C17" t="s">
        <v>53</v>
      </c>
      <c r="D17" t="s">
        <v>56</v>
      </c>
      <c r="E17" t="s">
        <v>133</v>
      </c>
      <c r="F17" s="2">
        <v>749</v>
      </c>
      <c r="G17" t="s">
        <v>111</v>
      </c>
    </row>
    <row r="18" spans="1:7">
      <c r="A18" t="s">
        <v>58</v>
      </c>
      <c r="B18" t="s">
        <v>134</v>
      </c>
      <c r="C18" t="s">
        <v>53</v>
      </c>
      <c r="D18" t="s">
        <v>56</v>
      </c>
      <c r="E18" t="s">
        <v>135</v>
      </c>
      <c r="F18" s="2">
        <v>899</v>
      </c>
      <c r="G18" t="s">
        <v>108</v>
      </c>
    </row>
    <row r="19" spans="1:7">
      <c r="A19" t="s">
        <v>60</v>
      </c>
      <c r="B19" t="s">
        <v>136</v>
      </c>
      <c r="C19" t="s">
        <v>53</v>
      </c>
      <c r="D19" t="s">
        <v>59</v>
      </c>
      <c r="E19" t="s">
        <v>137</v>
      </c>
      <c r="F19" s="2">
        <v>699</v>
      </c>
      <c r="G19" t="s">
        <v>111</v>
      </c>
    </row>
    <row r="20" spans="1:7">
      <c r="A20" t="s">
        <v>62</v>
      </c>
      <c r="B20" t="s">
        <v>138</v>
      </c>
      <c r="C20" t="s">
        <v>53</v>
      </c>
      <c r="D20" t="s">
        <v>61</v>
      </c>
      <c r="E20" t="s">
        <v>139</v>
      </c>
      <c r="F20" s="2">
        <v>499</v>
      </c>
      <c r="G20" t="s">
        <v>111</v>
      </c>
    </row>
    <row r="21" spans="1:7">
      <c r="A21" t="s">
        <v>65</v>
      </c>
      <c r="B21" t="s">
        <v>140</v>
      </c>
      <c r="C21" t="s">
        <v>53</v>
      </c>
      <c r="D21" t="s">
        <v>64</v>
      </c>
      <c r="E21" t="s">
        <v>141</v>
      </c>
      <c r="F21" s="2">
        <v>799</v>
      </c>
      <c r="G21" t="s">
        <v>108</v>
      </c>
    </row>
    <row r="22" spans="1:7">
      <c r="A22" t="s">
        <v>68</v>
      </c>
      <c r="B22" t="s">
        <v>142</v>
      </c>
      <c r="C22" t="s">
        <v>66</v>
      </c>
      <c r="D22" t="s">
        <v>67</v>
      </c>
      <c r="E22" t="s">
        <v>143</v>
      </c>
      <c r="F22" s="2">
        <v>699</v>
      </c>
      <c r="G22" t="s">
        <v>111</v>
      </c>
    </row>
    <row r="23" spans="1:7">
      <c r="A23" t="s">
        <v>69</v>
      </c>
      <c r="B23" t="s">
        <v>144</v>
      </c>
      <c r="C23" t="s">
        <v>66</v>
      </c>
      <c r="D23" t="s">
        <v>67</v>
      </c>
      <c r="E23" t="s">
        <v>145</v>
      </c>
      <c r="F23" s="2">
        <v>399</v>
      </c>
      <c r="G23" t="s">
        <v>111</v>
      </c>
    </row>
    <row r="24" spans="1:7">
      <c r="A24" t="s">
        <v>70</v>
      </c>
      <c r="B24" t="s">
        <v>146</v>
      </c>
      <c r="C24" t="s">
        <v>66</v>
      </c>
      <c r="D24" t="s">
        <v>67</v>
      </c>
      <c r="E24" t="s">
        <v>147</v>
      </c>
      <c r="F24" s="2">
        <v>349</v>
      </c>
      <c r="G24" t="s">
        <v>111</v>
      </c>
    </row>
    <row r="25" spans="1:7">
      <c r="A25" t="s">
        <v>72</v>
      </c>
      <c r="B25" t="s">
        <v>148</v>
      </c>
      <c r="C25" t="s">
        <v>66</v>
      </c>
      <c r="D25" t="s">
        <v>71</v>
      </c>
      <c r="E25" t="s">
        <v>149</v>
      </c>
      <c r="F25" s="2">
        <v>129</v>
      </c>
      <c r="G25" t="s">
        <v>120</v>
      </c>
    </row>
    <row r="26" spans="1:7">
      <c r="A26" t="s">
        <v>74</v>
      </c>
      <c r="B26" t="s">
        <v>150</v>
      </c>
      <c r="C26" t="s">
        <v>66</v>
      </c>
      <c r="D26" t="s">
        <v>73</v>
      </c>
      <c r="E26" t="s">
        <v>151</v>
      </c>
      <c r="F26" s="2">
        <v>1199</v>
      </c>
      <c r="G26" t="s">
        <v>108</v>
      </c>
    </row>
    <row r="27" spans="1:7">
      <c r="A27" t="s">
        <v>75</v>
      </c>
      <c r="B27" t="s">
        <v>152</v>
      </c>
      <c r="C27" t="s">
        <v>66</v>
      </c>
      <c r="D27" t="s">
        <v>71</v>
      </c>
      <c r="E27" t="s">
        <v>153</v>
      </c>
      <c r="F27" s="2">
        <v>39</v>
      </c>
      <c r="G27" t="s">
        <v>120</v>
      </c>
    </row>
    <row r="28" spans="1:7">
      <c r="A28" t="s">
        <v>77</v>
      </c>
      <c r="B28" t="s">
        <v>154</v>
      </c>
      <c r="C28" t="s">
        <v>24</v>
      </c>
      <c r="D28" t="s">
        <v>76</v>
      </c>
      <c r="E28" t="s">
        <v>155</v>
      </c>
      <c r="F28" s="2">
        <v>199</v>
      </c>
      <c r="G28" t="s">
        <v>120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"/>
  <sheetViews>
    <sheetView workbookViewId="0">
      <selection sqref="A1:XFD1048576"/>
    </sheetView>
  </sheetViews>
  <sheetFormatPr defaultRowHeight="13.5"/>
  <cols>
    <col min="1" max="1" width="18" customWidth="1"/>
    <col min="2" max="2" width="28" customWidth="1"/>
    <col min="3" max="9" width="18" customWidth="1"/>
  </cols>
  <sheetData>
    <row r="1" spans="1:9" ht="17.649999999999999">
      <c r="A1" s="8" t="s">
        <v>156</v>
      </c>
      <c r="B1" s="9"/>
      <c r="C1" s="9"/>
      <c r="D1" s="9"/>
      <c r="E1" s="9"/>
      <c r="F1" s="9"/>
      <c r="G1" s="9"/>
      <c r="H1" s="9"/>
      <c r="I1" s="9"/>
    </row>
    <row r="2" spans="1:9" ht="13.9">
      <c r="A2" s="10" t="s">
        <v>157</v>
      </c>
      <c r="B2" s="9"/>
      <c r="C2" s="9"/>
      <c r="D2" s="9"/>
      <c r="E2" s="9"/>
      <c r="F2" s="9"/>
      <c r="G2" s="9"/>
      <c r="H2" s="9"/>
      <c r="I2" s="9"/>
    </row>
    <row r="4" spans="1:9" ht="13.9">
      <c r="A4" s="1" t="s">
        <v>22</v>
      </c>
      <c r="B4" s="1" t="s">
        <v>158</v>
      </c>
      <c r="C4" s="1" t="s">
        <v>159</v>
      </c>
      <c r="D4" s="1" t="s">
        <v>160</v>
      </c>
      <c r="E4" s="1" t="s">
        <v>5</v>
      </c>
      <c r="F4" s="1" t="s">
        <v>6</v>
      </c>
      <c r="G4" s="1" t="s">
        <v>161</v>
      </c>
      <c r="H4" s="1" t="s">
        <v>17</v>
      </c>
      <c r="I4" s="1" t="s">
        <v>162</v>
      </c>
    </row>
    <row r="5" spans="1:9">
      <c r="A5" t="s">
        <v>79</v>
      </c>
      <c r="B5" t="s">
        <v>163</v>
      </c>
      <c r="C5" s="3">
        <v>45663</v>
      </c>
      <c r="D5" s="3">
        <v>45676</v>
      </c>
      <c r="E5" t="s">
        <v>24</v>
      </c>
      <c r="F5" t="s">
        <v>25</v>
      </c>
      <c r="G5" t="s">
        <v>164</v>
      </c>
      <c r="H5" s="4">
        <v>0.12</v>
      </c>
      <c r="I5" t="s">
        <v>165</v>
      </c>
    </row>
    <row r="6" spans="1:9">
      <c r="A6" t="s">
        <v>80</v>
      </c>
      <c r="B6" t="s">
        <v>166</v>
      </c>
      <c r="C6" s="3">
        <v>45670</v>
      </c>
      <c r="D6" s="3">
        <v>45683</v>
      </c>
      <c r="E6" t="s">
        <v>42</v>
      </c>
      <c r="F6" t="s">
        <v>43</v>
      </c>
      <c r="G6" t="s">
        <v>167</v>
      </c>
      <c r="H6" s="4">
        <v>0.1</v>
      </c>
      <c r="I6" t="s">
        <v>165</v>
      </c>
    </row>
    <row r="7" spans="1:9">
      <c r="A7" t="s">
        <v>82</v>
      </c>
      <c r="B7" t="s">
        <v>168</v>
      </c>
      <c r="C7" s="3">
        <v>45677</v>
      </c>
      <c r="D7" s="3">
        <v>45690</v>
      </c>
      <c r="E7" t="s">
        <v>53</v>
      </c>
      <c r="F7" t="s">
        <v>56</v>
      </c>
      <c r="G7" t="s">
        <v>164</v>
      </c>
      <c r="H7" s="4">
        <v>0.08</v>
      </c>
      <c r="I7" t="s">
        <v>165</v>
      </c>
    </row>
    <row r="8" spans="1:9">
      <c r="A8" t="s">
        <v>83</v>
      </c>
      <c r="B8" t="s">
        <v>169</v>
      </c>
      <c r="C8" s="3">
        <v>45684</v>
      </c>
      <c r="D8" s="3">
        <v>45697</v>
      </c>
      <c r="E8" t="s">
        <v>66</v>
      </c>
      <c r="F8" t="s">
        <v>67</v>
      </c>
      <c r="G8" t="s">
        <v>170</v>
      </c>
      <c r="H8" s="4">
        <v>7.0000000000000007E-2</v>
      </c>
      <c r="I8" t="s">
        <v>165</v>
      </c>
    </row>
    <row r="9" spans="1:9">
      <c r="A9" t="s">
        <v>84</v>
      </c>
      <c r="B9" t="s">
        <v>171</v>
      </c>
      <c r="C9" s="3">
        <v>45691</v>
      </c>
      <c r="D9" s="3">
        <v>45704</v>
      </c>
      <c r="E9" t="s">
        <v>24</v>
      </c>
      <c r="F9" t="s">
        <v>38</v>
      </c>
      <c r="G9" t="s">
        <v>170</v>
      </c>
      <c r="H9" s="4">
        <v>0.09</v>
      </c>
      <c r="I9" t="s">
        <v>165</v>
      </c>
    </row>
    <row r="10" spans="1:9">
      <c r="A10" t="s">
        <v>85</v>
      </c>
      <c r="B10" t="s">
        <v>172</v>
      </c>
      <c r="C10" s="3">
        <v>45698</v>
      </c>
      <c r="D10" s="3">
        <v>45711</v>
      </c>
      <c r="E10" t="s">
        <v>42</v>
      </c>
      <c r="F10" t="s">
        <v>51</v>
      </c>
      <c r="G10" t="s">
        <v>170</v>
      </c>
      <c r="H10" s="4">
        <v>0.11</v>
      </c>
      <c r="I10" t="s">
        <v>165</v>
      </c>
    </row>
    <row r="11" spans="1:9">
      <c r="A11" t="s">
        <v>86</v>
      </c>
      <c r="B11" t="s">
        <v>173</v>
      </c>
      <c r="C11" s="3">
        <v>45705</v>
      </c>
      <c r="D11" s="3">
        <v>45718</v>
      </c>
      <c r="E11" t="s">
        <v>53</v>
      </c>
      <c r="F11" t="s">
        <v>54</v>
      </c>
      <c r="G11" t="s">
        <v>167</v>
      </c>
      <c r="H11" s="4">
        <v>0.1</v>
      </c>
      <c r="I11" t="s">
        <v>165</v>
      </c>
    </row>
    <row r="12" spans="1:9">
      <c r="A12" t="s">
        <v>87</v>
      </c>
      <c r="B12" t="s">
        <v>174</v>
      </c>
      <c r="C12" s="3">
        <v>45712</v>
      </c>
      <c r="D12" s="3">
        <v>45725</v>
      </c>
      <c r="E12" t="s">
        <v>66</v>
      </c>
      <c r="F12" t="s">
        <v>71</v>
      </c>
      <c r="G12" t="s">
        <v>164</v>
      </c>
      <c r="H12" s="4">
        <v>0.15</v>
      </c>
      <c r="I12" t="s">
        <v>165</v>
      </c>
    </row>
    <row r="13" spans="1:9">
      <c r="A13" t="s">
        <v>88</v>
      </c>
      <c r="B13" t="s">
        <v>175</v>
      </c>
      <c r="C13" s="3">
        <v>45719</v>
      </c>
      <c r="D13" s="3">
        <v>45732</v>
      </c>
      <c r="E13" t="s">
        <v>24</v>
      </c>
      <c r="F13" t="s">
        <v>25</v>
      </c>
      <c r="G13" t="s">
        <v>176</v>
      </c>
      <c r="H13" s="4">
        <v>0.13</v>
      </c>
      <c r="I13" t="s">
        <v>165</v>
      </c>
    </row>
    <row r="14" spans="1:9">
      <c r="A14" t="s">
        <v>89</v>
      </c>
      <c r="B14" t="s">
        <v>177</v>
      </c>
      <c r="C14" s="3">
        <v>45726</v>
      </c>
      <c r="D14" s="3">
        <v>45739</v>
      </c>
      <c r="E14" t="s">
        <v>53</v>
      </c>
      <c r="F14" t="s">
        <v>61</v>
      </c>
      <c r="G14" t="s">
        <v>164</v>
      </c>
      <c r="H14" s="4">
        <v>0.12</v>
      </c>
      <c r="I14" t="s">
        <v>165</v>
      </c>
    </row>
    <row r="15" spans="1:9">
      <c r="A15" t="s">
        <v>90</v>
      </c>
      <c r="B15" t="s">
        <v>178</v>
      </c>
      <c r="C15" s="3">
        <v>45733</v>
      </c>
      <c r="D15" s="3">
        <v>45746</v>
      </c>
      <c r="E15" t="s">
        <v>66</v>
      </c>
      <c r="F15" t="s">
        <v>67</v>
      </c>
      <c r="G15" t="s">
        <v>164</v>
      </c>
      <c r="H15" s="4">
        <v>0.1</v>
      </c>
      <c r="I15" t="s">
        <v>165</v>
      </c>
    </row>
    <row r="16" spans="1:9">
      <c r="A16" t="s">
        <v>91</v>
      </c>
      <c r="B16" t="s">
        <v>179</v>
      </c>
      <c r="C16" s="3">
        <v>45740</v>
      </c>
      <c r="D16" s="3">
        <v>45753</v>
      </c>
      <c r="E16" t="s">
        <v>42</v>
      </c>
      <c r="F16" t="s">
        <v>43</v>
      </c>
      <c r="G16" t="s">
        <v>164</v>
      </c>
      <c r="H16" s="4">
        <v>0.12</v>
      </c>
      <c r="I16" t="s">
        <v>165</v>
      </c>
    </row>
    <row r="17" spans="1:9">
      <c r="A17" t="s">
        <v>92</v>
      </c>
      <c r="B17" t="s">
        <v>180</v>
      </c>
      <c r="C17" s="3">
        <v>45748</v>
      </c>
      <c r="D17" s="3">
        <v>45761</v>
      </c>
      <c r="E17" t="s">
        <v>24</v>
      </c>
      <c r="F17" t="s">
        <v>34</v>
      </c>
      <c r="G17" t="s">
        <v>170</v>
      </c>
      <c r="H17" s="4">
        <v>0.08</v>
      </c>
      <c r="I17" t="s">
        <v>165</v>
      </c>
    </row>
    <row r="18" spans="1:9">
      <c r="A18" t="s">
        <v>93</v>
      </c>
      <c r="B18" t="s">
        <v>181</v>
      </c>
      <c r="C18" s="3">
        <v>45754</v>
      </c>
      <c r="D18" s="3">
        <v>45767</v>
      </c>
      <c r="E18" t="s">
        <v>53</v>
      </c>
      <c r="F18" t="s">
        <v>59</v>
      </c>
      <c r="G18" t="s">
        <v>167</v>
      </c>
      <c r="H18" s="4">
        <v>0.09</v>
      </c>
      <c r="I18" t="s">
        <v>165</v>
      </c>
    </row>
    <row r="19" spans="1:9">
      <c r="A19" t="s">
        <v>94</v>
      </c>
      <c r="B19" t="s">
        <v>182</v>
      </c>
      <c r="C19" s="3">
        <v>45761</v>
      </c>
      <c r="D19" s="3">
        <v>45774</v>
      </c>
      <c r="E19" t="s">
        <v>42</v>
      </c>
      <c r="F19" t="s">
        <v>49</v>
      </c>
      <c r="G19" t="s">
        <v>164</v>
      </c>
      <c r="H19" s="4">
        <v>0.1</v>
      </c>
      <c r="I19" t="s">
        <v>165</v>
      </c>
    </row>
    <row r="20" spans="1:9">
      <c r="A20" t="s">
        <v>95</v>
      </c>
      <c r="B20" t="s">
        <v>183</v>
      </c>
      <c r="C20" s="3">
        <v>45768</v>
      </c>
      <c r="D20" s="3">
        <v>45781</v>
      </c>
      <c r="E20" t="s">
        <v>66</v>
      </c>
      <c r="F20" t="s">
        <v>73</v>
      </c>
      <c r="G20" t="s">
        <v>164</v>
      </c>
      <c r="H20" s="4">
        <v>7.0000000000000007E-2</v>
      </c>
      <c r="I20" t="s">
        <v>165</v>
      </c>
    </row>
    <row r="21" spans="1:9">
      <c r="A21" t="s">
        <v>96</v>
      </c>
      <c r="B21" t="s">
        <v>184</v>
      </c>
      <c r="C21" s="3">
        <v>45782</v>
      </c>
      <c r="D21" s="3">
        <v>45795</v>
      </c>
      <c r="E21" t="s">
        <v>24</v>
      </c>
      <c r="F21" t="s">
        <v>25</v>
      </c>
      <c r="G21" t="s">
        <v>176</v>
      </c>
      <c r="H21" s="4">
        <v>0.14000000000000001</v>
      </c>
      <c r="I21" t="s">
        <v>165</v>
      </c>
    </row>
    <row r="22" spans="1:9">
      <c r="A22" t="s">
        <v>97</v>
      </c>
      <c r="B22" t="s">
        <v>185</v>
      </c>
      <c r="C22" s="3">
        <v>45789</v>
      </c>
      <c r="D22" s="3">
        <v>45802</v>
      </c>
      <c r="E22" t="s">
        <v>53</v>
      </c>
      <c r="F22" t="s">
        <v>64</v>
      </c>
      <c r="G22" t="s">
        <v>164</v>
      </c>
      <c r="H22" s="4">
        <v>0.12</v>
      </c>
      <c r="I22" t="s">
        <v>165</v>
      </c>
    </row>
    <row r="23" spans="1:9">
      <c r="A23" t="s">
        <v>98</v>
      </c>
      <c r="B23" t="s">
        <v>186</v>
      </c>
      <c r="C23" s="3">
        <v>45796</v>
      </c>
      <c r="D23" s="3">
        <v>45809</v>
      </c>
      <c r="E23" t="s">
        <v>24</v>
      </c>
      <c r="F23" t="s">
        <v>76</v>
      </c>
      <c r="G23" t="s">
        <v>170</v>
      </c>
      <c r="H23" s="4">
        <v>0.1</v>
      </c>
      <c r="I23" t="s">
        <v>165</v>
      </c>
    </row>
    <row r="24" spans="1:9">
      <c r="A24" t="s">
        <v>99</v>
      </c>
      <c r="B24" t="s">
        <v>187</v>
      </c>
      <c r="C24" s="3">
        <v>45810</v>
      </c>
      <c r="D24" s="3">
        <v>45823</v>
      </c>
      <c r="E24" t="s">
        <v>42</v>
      </c>
      <c r="F24" t="s">
        <v>43</v>
      </c>
      <c r="G24" t="s">
        <v>167</v>
      </c>
      <c r="H24" s="4">
        <v>0.11</v>
      </c>
      <c r="I24" t="s">
        <v>165</v>
      </c>
    </row>
  </sheetData>
  <mergeCells count="2">
    <mergeCell ref="A1:I1"/>
    <mergeCell ref="A2:I2"/>
  </mergeCells>
  <dataValidations count="2">
    <dataValidation type="list" sqref="G5:G24" xr:uid="{00000000-0002-0000-0200-000000000000}">
      <formula1>"Discount,Cashback,Bundle,Trade-in,Free delivery,Gift with purchase"</formula1>
    </dataValidation>
    <dataValidation type="list" sqref="I5:I24" xr:uid="{00000000-0002-0000-0200-000001000000}">
      <formula1>"Planned,Active,Closed,Pending approval,Cancelled"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workbookViewId="0">
      <selection activeCell="H10" sqref="H10"/>
    </sheetView>
  </sheetViews>
  <sheetFormatPr defaultRowHeight="13.5"/>
  <cols>
    <col min="1" max="6" width="18" customWidth="1"/>
  </cols>
  <sheetData>
    <row r="1" spans="1:6" ht="17.649999999999999">
      <c r="A1" s="8" t="s">
        <v>188</v>
      </c>
      <c r="B1" s="9"/>
      <c r="C1" s="9"/>
      <c r="D1" s="9"/>
      <c r="E1" s="9"/>
      <c r="F1" s="9"/>
    </row>
    <row r="2" spans="1:6" ht="13.9">
      <c r="A2" s="10" t="s">
        <v>189</v>
      </c>
      <c r="B2" s="9"/>
      <c r="C2" s="9"/>
      <c r="D2" s="9"/>
      <c r="E2" s="9"/>
      <c r="F2" s="9"/>
    </row>
    <row r="4" spans="1:6" ht="13.9">
      <c r="A4" s="1" t="s">
        <v>3</v>
      </c>
      <c r="B4" s="1" t="s">
        <v>5</v>
      </c>
      <c r="C4" s="1" t="s">
        <v>190</v>
      </c>
      <c r="D4" s="1" t="s">
        <v>191</v>
      </c>
      <c r="E4" s="1" t="s">
        <v>192</v>
      </c>
      <c r="F4" s="1" t="s">
        <v>193</v>
      </c>
    </row>
    <row r="5" spans="1:6">
      <c r="A5" t="s">
        <v>194</v>
      </c>
      <c r="B5" t="s">
        <v>42</v>
      </c>
      <c r="C5" s="2">
        <v>1102000</v>
      </c>
      <c r="D5" s="5">
        <v>905</v>
      </c>
      <c r="E5" s="6">
        <v>1.6E-2</v>
      </c>
      <c r="F5" s="7">
        <v>1161.1500000000001</v>
      </c>
    </row>
    <row r="6" spans="1:6">
      <c r="A6" t="s">
        <v>194</v>
      </c>
      <c r="B6" t="s">
        <v>53</v>
      </c>
      <c r="C6" s="2">
        <v>316000</v>
      </c>
      <c r="D6" s="5">
        <v>417</v>
      </c>
      <c r="E6" s="6">
        <v>1.21E-2</v>
      </c>
      <c r="F6" s="7">
        <v>830.3</v>
      </c>
    </row>
    <row r="7" spans="1:6">
      <c r="A7" t="s">
        <v>194</v>
      </c>
      <c r="B7" t="s">
        <v>66</v>
      </c>
      <c r="C7" s="2">
        <v>447000</v>
      </c>
      <c r="D7" s="5">
        <v>1091</v>
      </c>
      <c r="E7" s="6">
        <v>1.8700000000000001E-2</v>
      </c>
      <c r="F7" s="7">
        <v>425.07</v>
      </c>
    </row>
    <row r="8" spans="1:6">
      <c r="A8" t="s">
        <v>194</v>
      </c>
      <c r="B8" t="s">
        <v>24</v>
      </c>
      <c r="C8" s="2">
        <v>4113000</v>
      </c>
      <c r="D8" s="5">
        <v>5048</v>
      </c>
      <c r="E8" s="6">
        <v>2.2599999999999999E-2</v>
      </c>
      <c r="F8" s="7">
        <v>818.68</v>
      </c>
    </row>
    <row r="9" spans="1:6">
      <c r="A9" t="s">
        <v>195</v>
      </c>
      <c r="B9" t="s">
        <v>42</v>
      </c>
      <c r="C9" s="2">
        <v>940000</v>
      </c>
      <c r="D9" s="5">
        <v>748</v>
      </c>
      <c r="E9" s="6">
        <v>1.43E-2</v>
      </c>
      <c r="F9" s="7">
        <v>1229.74</v>
      </c>
    </row>
    <row r="10" spans="1:6">
      <c r="A10" t="s">
        <v>195</v>
      </c>
      <c r="B10" t="s">
        <v>53</v>
      </c>
      <c r="C10" s="2">
        <v>301000</v>
      </c>
      <c r="D10" s="5">
        <v>384</v>
      </c>
      <c r="E10" s="6">
        <v>1.2200000000000001E-2</v>
      </c>
      <c r="F10" s="7">
        <v>837.98</v>
      </c>
    </row>
    <row r="11" spans="1:6">
      <c r="A11" t="s">
        <v>195</v>
      </c>
      <c r="B11" t="s">
        <v>66</v>
      </c>
      <c r="C11" s="2">
        <v>435000</v>
      </c>
      <c r="D11" s="5">
        <v>1023</v>
      </c>
      <c r="E11" s="6">
        <v>2.01E-2</v>
      </c>
      <c r="F11" s="7">
        <v>419.7</v>
      </c>
    </row>
    <row r="12" spans="1:6">
      <c r="A12" t="s">
        <v>195</v>
      </c>
      <c r="B12" t="s">
        <v>24</v>
      </c>
      <c r="C12" s="2">
        <v>3511000</v>
      </c>
      <c r="D12" s="5">
        <v>4369</v>
      </c>
      <c r="E12" s="6">
        <v>2.0799999999999999E-2</v>
      </c>
      <c r="F12" s="7">
        <v>803.3</v>
      </c>
    </row>
    <row r="13" spans="1:6">
      <c r="A13" t="s">
        <v>196</v>
      </c>
      <c r="B13" t="s">
        <v>42</v>
      </c>
      <c r="C13" s="2">
        <v>1077000</v>
      </c>
      <c r="D13" s="5">
        <v>890</v>
      </c>
      <c r="E13" s="6">
        <v>1.4999999999999999E-2</v>
      </c>
      <c r="F13" s="7">
        <v>1232.56</v>
      </c>
    </row>
    <row r="14" spans="1:6">
      <c r="A14" t="s">
        <v>196</v>
      </c>
      <c r="B14" t="s">
        <v>53</v>
      </c>
      <c r="C14" s="2">
        <v>341000</v>
      </c>
      <c r="D14" s="5">
        <v>392</v>
      </c>
      <c r="E14" s="6">
        <v>1.1900000000000001E-2</v>
      </c>
      <c r="F14" s="7">
        <v>847.37</v>
      </c>
    </row>
    <row r="15" spans="1:6">
      <c r="A15" t="s">
        <v>196</v>
      </c>
      <c r="B15" t="s">
        <v>66</v>
      </c>
      <c r="C15" s="2">
        <v>524000</v>
      </c>
      <c r="D15" s="5">
        <v>1345</v>
      </c>
      <c r="E15" s="6">
        <v>2.07E-2</v>
      </c>
      <c r="F15" s="7">
        <v>423.91</v>
      </c>
    </row>
    <row r="16" spans="1:6">
      <c r="A16" t="s">
        <v>196</v>
      </c>
      <c r="B16" t="s">
        <v>24</v>
      </c>
      <c r="C16" s="2">
        <v>4305000</v>
      </c>
      <c r="D16" s="5">
        <v>5300</v>
      </c>
      <c r="E16" s="6">
        <v>2.1499999999999998E-2</v>
      </c>
      <c r="F16" s="7">
        <v>785.93</v>
      </c>
    </row>
    <row r="17" spans="1:6">
      <c r="A17" t="s">
        <v>197</v>
      </c>
      <c r="B17" t="s">
        <v>42</v>
      </c>
      <c r="C17" s="2">
        <v>1102000</v>
      </c>
      <c r="D17" s="5">
        <v>939</v>
      </c>
      <c r="E17" s="6">
        <v>1.4999999999999999E-2</v>
      </c>
      <c r="F17" s="7">
        <v>1214.22</v>
      </c>
    </row>
    <row r="18" spans="1:6">
      <c r="A18" t="s">
        <v>197</v>
      </c>
      <c r="B18" t="s">
        <v>53</v>
      </c>
      <c r="C18" s="2">
        <v>362000</v>
      </c>
      <c r="D18" s="5">
        <v>437</v>
      </c>
      <c r="E18" s="6">
        <v>1.1599999999999999E-2</v>
      </c>
      <c r="F18" s="7">
        <v>842.55</v>
      </c>
    </row>
    <row r="19" spans="1:6">
      <c r="A19" t="s">
        <v>197</v>
      </c>
      <c r="B19" t="s">
        <v>66</v>
      </c>
      <c r="C19" s="2">
        <v>497000</v>
      </c>
      <c r="D19" s="5">
        <v>1229</v>
      </c>
      <c r="E19" s="6">
        <v>1.8599999999999998E-2</v>
      </c>
      <c r="F19" s="7">
        <v>436.06</v>
      </c>
    </row>
    <row r="20" spans="1:6">
      <c r="A20" t="s">
        <v>197</v>
      </c>
      <c r="B20" t="s">
        <v>24</v>
      </c>
      <c r="C20" s="2">
        <v>4276000</v>
      </c>
      <c r="D20" s="5">
        <v>5189</v>
      </c>
      <c r="E20" s="6">
        <v>2.18E-2</v>
      </c>
      <c r="F20" s="7">
        <v>823.58</v>
      </c>
    </row>
    <row r="21" spans="1:6">
      <c r="A21" t="s">
        <v>198</v>
      </c>
      <c r="B21" t="s">
        <v>42</v>
      </c>
      <c r="C21" s="2">
        <v>1176000</v>
      </c>
      <c r="D21" s="5">
        <v>939</v>
      </c>
      <c r="E21" s="6">
        <v>1.4500000000000001E-2</v>
      </c>
      <c r="F21" s="7">
        <v>1221.17</v>
      </c>
    </row>
    <row r="22" spans="1:6">
      <c r="A22" t="s">
        <v>198</v>
      </c>
      <c r="B22" t="s">
        <v>53</v>
      </c>
      <c r="C22" s="2">
        <v>372000</v>
      </c>
      <c r="D22" s="5">
        <v>440</v>
      </c>
      <c r="E22" s="6">
        <v>1.1900000000000001E-2</v>
      </c>
      <c r="F22" s="7">
        <v>835.98</v>
      </c>
    </row>
    <row r="23" spans="1:6">
      <c r="A23" t="s">
        <v>198</v>
      </c>
      <c r="B23" t="s">
        <v>66</v>
      </c>
      <c r="C23" s="2">
        <v>562000</v>
      </c>
      <c r="D23" s="5">
        <v>1344</v>
      </c>
      <c r="E23" s="6">
        <v>1.8800000000000001E-2</v>
      </c>
      <c r="F23" s="7">
        <v>430.81</v>
      </c>
    </row>
    <row r="24" spans="1:6">
      <c r="A24" t="s">
        <v>198</v>
      </c>
      <c r="B24" t="s">
        <v>24</v>
      </c>
      <c r="C24" s="2">
        <v>4716000</v>
      </c>
      <c r="D24" s="5">
        <v>6178</v>
      </c>
      <c r="E24" s="6">
        <v>2.2700000000000001E-2</v>
      </c>
      <c r="F24" s="7">
        <v>800.71</v>
      </c>
    </row>
    <row r="25" spans="1:6">
      <c r="A25" t="s">
        <v>199</v>
      </c>
      <c r="B25" t="s">
        <v>42</v>
      </c>
      <c r="C25" s="2">
        <v>1310000</v>
      </c>
      <c r="D25" s="5">
        <v>1063</v>
      </c>
      <c r="E25" s="6">
        <v>1.6299999999999999E-2</v>
      </c>
      <c r="F25" s="7">
        <v>1212.79</v>
      </c>
    </row>
    <row r="26" spans="1:6">
      <c r="A26" t="s">
        <v>199</v>
      </c>
      <c r="B26" t="s">
        <v>53</v>
      </c>
      <c r="C26" s="2">
        <v>363000</v>
      </c>
      <c r="D26" s="5">
        <v>466</v>
      </c>
      <c r="E26" s="6">
        <v>1.11E-2</v>
      </c>
      <c r="F26" s="7">
        <v>835.97</v>
      </c>
    </row>
    <row r="27" spans="1:6">
      <c r="A27" t="s">
        <v>199</v>
      </c>
      <c r="B27" t="s">
        <v>66</v>
      </c>
      <c r="C27" s="2">
        <v>547000</v>
      </c>
      <c r="D27" s="5">
        <v>1325</v>
      </c>
      <c r="E27" s="6">
        <v>1.95E-2</v>
      </c>
      <c r="F27" s="7">
        <v>420.85</v>
      </c>
    </row>
    <row r="28" spans="1:6">
      <c r="A28" t="s">
        <v>199</v>
      </c>
      <c r="B28" t="s">
        <v>24</v>
      </c>
      <c r="C28" s="2">
        <v>4739000</v>
      </c>
      <c r="D28" s="5">
        <v>5620</v>
      </c>
      <c r="E28" s="6">
        <v>2.0299999999999999E-2</v>
      </c>
      <c r="F28" s="7">
        <v>802.85</v>
      </c>
    </row>
  </sheetData>
  <mergeCells count="2">
    <mergeCell ref="A1:F1"/>
    <mergeCell ref="A2:F2"/>
  </mergeCells>
  <conditionalFormatting sqref="C5:C28">
    <cfRule type="dataBar" priority="1">
      <dataBar>
        <cfvo type="min"/>
        <cfvo type="max"/>
        <color rgb="FF1428A0"/>
      </dataBar>
    </cfRule>
    <cfRule type="dataBar" priority="3">
      <dataBar>
        <cfvo type="min"/>
        <cfvo type="max"/>
        <color rgb="FF1428A0"/>
      </dataBar>
      <extLst>
        <ext xmlns:x14="http://schemas.microsoft.com/office/spreadsheetml/2009/9/main" uri="{B025F937-C7B1-47D3-B67F-A62EFF666E3E}">
          <x14:id>{F2F381B6-77B3-E89E-7F17-BCD24516DF00}</x14:id>
        </ext>
      </extLst>
    </cfRule>
  </conditionalFormatting>
  <conditionalFormatting sqref="E5:E28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F381B6-77B3-E89E-7F17-BCD24516DF00}">
            <x14:dataBar>
              <x14:cfvo type="min"/>
              <x14:cfvo type="max"/>
              <x14:negativeFillColor auto="1"/>
              <x14:axisColor auto="1"/>
            </x14:dataBar>
          </x14:cfRule>
          <xm:sqref>C5:C28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>
      <selection activeCell="H17" sqref="H17"/>
    </sheetView>
  </sheetViews>
  <sheetFormatPr defaultRowHeight="13.5"/>
  <cols>
    <col min="1" max="1" width="22" customWidth="1"/>
    <col min="2" max="2" width="24" customWidth="1"/>
    <col min="3" max="5" width="18" customWidth="1"/>
  </cols>
  <sheetData>
    <row r="1" spans="1:5" ht="17.649999999999999">
      <c r="A1" s="8" t="s">
        <v>200</v>
      </c>
      <c r="B1" s="9"/>
      <c r="C1" s="9"/>
      <c r="D1" s="9"/>
      <c r="E1" s="9"/>
    </row>
    <row r="2" spans="1:5" ht="13.9">
      <c r="A2" s="10" t="s">
        <v>201</v>
      </c>
      <c r="B2" s="9"/>
      <c r="C2" s="9"/>
      <c r="D2" s="9"/>
      <c r="E2" s="9"/>
    </row>
    <row r="4" spans="1:5" ht="13.9">
      <c r="A4" s="1" t="s">
        <v>9</v>
      </c>
      <c r="B4" s="1" t="s">
        <v>202</v>
      </c>
      <c r="C4" s="1" t="s">
        <v>203</v>
      </c>
      <c r="D4" s="1" t="s">
        <v>204</v>
      </c>
      <c r="E4" s="1" t="s">
        <v>205</v>
      </c>
    </row>
    <row r="5" spans="1:5">
      <c r="A5" t="s">
        <v>32</v>
      </c>
      <c r="B5" t="s">
        <v>31</v>
      </c>
      <c r="C5" t="s">
        <v>206</v>
      </c>
      <c r="D5" t="s">
        <v>207</v>
      </c>
      <c r="E5" t="s">
        <v>108</v>
      </c>
    </row>
    <row r="6" spans="1:5">
      <c r="A6" t="s">
        <v>37</v>
      </c>
      <c r="B6" t="s">
        <v>36</v>
      </c>
      <c r="C6" t="s">
        <v>206</v>
      </c>
      <c r="D6" t="s">
        <v>207</v>
      </c>
      <c r="E6" t="s">
        <v>108</v>
      </c>
    </row>
    <row r="7" spans="1:5">
      <c r="A7" t="s">
        <v>28</v>
      </c>
      <c r="B7" t="s">
        <v>27</v>
      </c>
      <c r="C7" t="s">
        <v>208</v>
      </c>
      <c r="D7" t="s">
        <v>207</v>
      </c>
      <c r="E7" t="s">
        <v>108</v>
      </c>
    </row>
    <row r="8" spans="1:5">
      <c r="A8" t="s">
        <v>45</v>
      </c>
      <c r="B8" t="s">
        <v>27</v>
      </c>
      <c r="C8" t="s">
        <v>208</v>
      </c>
      <c r="D8" t="s">
        <v>207</v>
      </c>
      <c r="E8" t="s">
        <v>108</v>
      </c>
    </row>
    <row r="9" spans="1:5">
      <c r="A9" t="s">
        <v>48</v>
      </c>
      <c r="B9" t="s">
        <v>27</v>
      </c>
      <c r="C9" t="s">
        <v>208</v>
      </c>
      <c r="D9" t="s">
        <v>207</v>
      </c>
      <c r="E9" t="s">
        <v>209</v>
      </c>
    </row>
    <row r="10" spans="1:5">
      <c r="A10" t="s">
        <v>63</v>
      </c>
      <c r="B10" t="s">
        <v>27</v>
      </c>
      <c r="C10" t="s">
        <v>208</v>
      </c>
      <c r="D10" t="s">
        <v>207</v>
      </c>
      <c r="E10" t="s">
        <v>209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Sales_Data</vt:lpstr>
      <vt:lpstr>Products</vt:lpstr>
      <vt:lpstr>Promotions</vt:lpstr>
      <vt:lpstr>Targets</vt:lpstr>
      <vt:lpstr>Retailers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Castellani</cp:lastModifiedBy>
  <dcterms:modified xsi:type="dcterms:W3CDTF">2026-06-12T21:30:12Z</dcterms:modified>
</cp:coreProperties>
</file>